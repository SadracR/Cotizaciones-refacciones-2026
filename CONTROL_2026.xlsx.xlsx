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64CEF10-CB0B-4B58-932D-9FF55443381F}" xr6:coauthVersionLast="47" xr6:coauthVersionMax="47" xr10:uidLastSave="{00000000-0000-0000-0000-000000000000}"/>
  <bookViews>
    <workbookView xWindow="20370" yWindow="-120" windowWidth="29040" windowHeight="15840" tabRatio="894" activeTab="3" xr2:uid="{AB93E372-2357-46FA-8AD4-A9377C89A2F7}"/>
  </bookViews>
  <sheets>
    <sheet name="DASHBOARD" sheetId="7" r:id="rId1"/>
    <sheet name="CONTROL" sheetId="1" r:id="rId2"/>
    <sheet name="RESUMEN GLOBAL" sheetId="4" r:id="rId3"/>
    <sheet name="COMPARATIVO POR UNIDAD" sheetId="5" r:id="rId4"/>
    <sheet name="DETALLE POR PARTIDA" sheetId="6" r:id="rId5"/>
    <sheet name="MAQUINARIA" sheetId="3" r:id="rId6"/>
  </sheets>
  <definedNames>
    <definedName name="_xlnm._FilterDatabase" localSheetId="3" hidden="1">'COMPARATIVO POR UNIDAD'!$B$5:$Q$19</definedName>
    <definedName name="_xlnm._FilterDatabase" localSheetId="1" hidden="1">CONTROL!$A$1:$AG$1327</definedName>
    <definedName name="_xlnm._FilterDatabase" localSheetId="4" hidden="1">'DETALLE POR PARTIDA'!$B$5:$R$714</definedName>
    <definedName name="_xlnm._FilterDatabase" localSheetId="5" hidden="1">MAQUINARIA!$A$2:$AN$498</definedName>
    <definedName name="_xlnm._FilterDatabase" localSheetId="2" hidden="1">'RESUMEN GLOBAL'!$B$11:$L$132</definedName>
    <definedName name="_xlnm.Print_Area" localSheetId="5">MAQUINARIA!$A$1:$R$623</definedName>
    <definedName name="TC">'RESUMEN GLOBAL'!$E$3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E8" i="4"/>
  <c r="F8" i="4"/>
  <c r="O7" i="4" s="1"/>
  <c r="G8" i="4"/>
  <c r="O8" i="4" s="1"/>
  <c r="G1327" i="1"/>
  <c r="M1327" i="1"/>
  <c r="P1327" i="1"/>
  <c r="S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G1157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B7" i="4" a="1"/>
  <c r="B7" i="4" s="1"/>
  <c r="C7" i="4" a="1"/>
  <c r="C7" i="4" s="1"/>
  <c r="D7" i="4"/>
  <c r="E533" i="3"/>
  <c r="F533" i="3"/>
  <c r="G533" i="3"/>
  <c r="H533" i="3"/>
  <c r="B136" i="4" a="1"/>
  <c r="B136" i="4" s="1"/>
  <c r="B137" i="4" a="1"/>
  <c r="B137" i="4" s="1"/>
  <c r="B138" i="4" a="1"/>
  <c r="B138" i="4" s="1"/>
  <c r="B139" i="4" a="1"/>
  <c r="B139" i="4" s="1"/>
  <c r="B140" i="4" a="1"/>
  <c r="B140" i="4" s="1"/>
  <c r="B141" i="4" a="1"/>
  <c r="B141" i="4" s="1"/>
  <c r="B142" i="4" a="1"/>
  <c r="B142" i="4" s="1"/>
  <c r="B143" i="4" a="1"/>
  <c r="B143" i="4" s="1"/>
  <c r="B144" i="4" a="1"/>
  <c r="B144" i="4" s="1"/>
  <c r="G816" i="1"/>
  <c r="M816" i="1"/>
  <c r="P816" i="1"/>
  <c r="S816" i="1"/>
  <c r="G815" i="1"/>
  <c r="G814" i="1"/>
  <c r="G813" i="1"/>
  <c r="G812" i="1"/>
  <c r="G811" i="1"/>
  <c r="M815" i="1"/>
  <c r="P815" i="1"/>
  <c r="S815" i="1"/>
  <c r="M814" i="1"/>
  <c r="P814" i="1"/>
  <c r="S814" i="1"/>
  <c r="M813" i="1"/>
  <c r="P813" i="1"/>
  <c r="S813" i="1"/>
  <c r="M812" i="1"/>
  <c r="P812" i="1"/>
  <c r="S812" i="1"/>
  <c r="M811" i="1"/>
  <c r="P811" i="1"/>
  <c r="S811" i="1"/>
  <c r="G810" i="1"/>
  <c r="M810" i="1"/>
  <c r="P810" i="1"/>
  <c r="S810" i="1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F19" i="4" s="1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K24" i="4" s="1"/>
  <c r="C24" i="4"/>
  <c r="D24" i="4"/>
  <c r="B25" i="4"/>
  <c r="C25" i="4"/>
  <c r="D25" i="4"/>
  <c r="B26" i="4"/>
  <c r="K26" i="4" s="1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K32" i="4" s="1"/>
  <c r="C32" i="4"/>
  <c r="D32" i="4"/>
  <c r="B33" i="4"/>
  <c r="C33" i="4"/>
  <c r="D33" i="4"/>
  <c r="B34" i="4"/>
  <c r="K34" i="4" s="1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K40" i="4" s="1"/>
  <c r="C40" i="4"/>
  <c r="D40" i="4"/>
  <c r="B41" i="4"/>
  <c r="C41" i="4"/>
  <c r="D41" i="4"/>
  <c r="B42" i="4"/>
  <c r="K42" i="4" s="1"/>
  <c r="C42" i="4"/>
  <c r="D42" i="4"/>
  <c r="B43" i="4"/>
  <c r="C43" i="4"/>
  <c r="D43" i="4"/>
  <c r="B44" i="4"/>
  <c r="C44" i="4"/>
  <c r="D44" i="4"/>
  <c r="B45" i="4"/>
  <c r="C45" i="4"/>
  <c r="D45" i="4"/>
  <c r="B46" i="4"/>
  <c r="C46" i="4"/>
  <c r="D46" i="4"/>
  <c r="B47" i="4"/>
  <c r="C47" i="4"/>
  <c r="D47" i="4"/>
  <c r="B48" i="4"/>
  <c r="K48" i="4" s="1"/>
  <c r="C48" i="4"/>
  <c r="D48" i="4"/>
  <c r="B49" i="4"/>
  <c r="C49" i="4"/>
  <c r="D49" i="4"/>
  <c r="B50" i="4"/>
  <c r="K50" i="4" s="1"/>
  <c r="C50" i="4"/>
  <c r="D50" i="4"/>
  <c r="B51" i="4"/>
  <c r="C51" i="4"/>
  <c r="D51" i="4"/>
  <c r="B52" i="4"/>
  <c r="C52" i="4"/>
  <c r="D52" i="4"/>
  <c r="B53" i="4"/>
  <c r="C53" i="4"/>
  <c r="D53" i="4"/>
  <c r="B54" i="4"/>
  <c r="J54" i="4" s="1"/>
  <c r="C54" i="4"/>
  <c r="D54" i="4"/>
  <c r="B55" i="4"/>
  <c r="C55" i="4"/>
  <c r="D55" i="4"/>
  <c r="B56" i="4"/>
  <c r="F56" i="4" s="1"/>
  <c r="C56" i="4"/>
  <c r="D56" i="4"/>
  <c r="B57" i="4"/>
  <c r="C57" i="4"/>
  <c r="D57" i="4"/>
  <c r="B58" i="4"/>
  <c r="J58" i="4" s="1"/>
  <c r="C58" i="4"/>
  <c r="D58" i="4"/>
  <c r="B59" i="4"/>
  <c r="C59" i="4"/>
  <c r="D59" i="4"/>
  <c r="B60" i="4"/>
  <c r="F60" i="4" s="1"/>
  <c r="C60" i="4"/>
  <c r="D60" i="4"/>
  <c r="B61" i="4"/>
  <c r="C61" i="4"/>
  <c r="D61" i="4"/>
  <c r="B62" i="4"/>
  <c r="J62" i="4" s="1"/>
  <c r="C62" i="4"/>
  <c r="D62" i="4"/>
  <c r="B63" i="4"/>
  <c r="C63" i="4"/>
  <c r="D63" i="4"/>
  <c r="B64" i="4"/>
  <c r="F64" i="4" s="1"/>
  <c r="C64" i="4"/>
  <c r="D64" i="4"/>
  <c r="B65" i="4"/>
  <c r="C65" i="4"/>
  <c r="D65" i="4"/>
  <c r="B66" i="4"/>
  <c r="J66" i="4" s="1"/>
  <c r="C66" i="4"/>
  <c r="D66" i="4"/>
  <c r="B67" i="4"/>
  <c r="C67" i="4"/>
  <c r="D67" i="4"/>
  <c r="B68" i="4"/>
  <c r="F68" i="4" s="1"/>
  <c r="C68" i="4"/>
  <c r="D68" i="4"/>
  <c r="B69" i="4"/>
  <c r="C69" i="4"/>
  <c r="D69" i="4"/>
  <c r="B70" i="4"/>
  <c r="J70" i="4" s="1"/>
  <c r="C70" i="4"/>
  <c r="D70" i="4"/>
  <c r="B71" i="4"/>
  <c r="C71" i="4"/>
  <c r="D71" i="4"/>
  <c r="B72" i="4"/>
  <c r="F72" i="4" s="1"/>
  <c r="C72" i="4"/>
  <c r="D72" i="4"/>
  <c r="B73" i="4"/>
  <c r="C73" i="4"/>
  <c r="D73" i="4"/>
  <c r="B74" i="4"/>
  <c r="J74" i="4" s="1"/>
  <c r="C74" i="4"/>
  <c r="D74" i="4"/>
  <c r="B75" i="4"/>
  <c r="C75" i="4"/>
  <c r="D75" i="4"/>
  <c r="B76" i="4"/>
  <c r="F76" i="4" s="1"/>
  <c r="C76" i="4"/>
  <c r="D76" i="4"/>
  <c r="B77" i="4"/>
  <c r="C77" i="4"/>
  <c r="D77" i="4"/>
  <c r="B78" i="4"/>
  <c r="J78" i="4" s="1"/>
  <c r="C78" i="4"/>
  <c r="D78" i="4"/>
  <c r="B79" i="4"/>
  <c r="C79" i="4"/>
  <c r="D79" i="4"/>
  <c r="B80" i="4"/>
  <c r="F80" i="4" s="1"/>
  <c r="C80" i="4"/>
  <c r="D80" i="4"/>
  <c r="B81" i="4"/>
  <c r="C81" i="4"/>
  <c r="D81" i="4"/>
  <c r="B82" i="4"/>
  <c r="C82" i="4"/>
  <c r="D82" i="4"/>
  <c r="B83" i="4"/>
  <c r="C83" i="4"/>
  <c r="D83" i="4"/>
  <c r="B84" i="4"/>
  <c r="F84" i="4" s="1"/>
  <c r="C84" i="4"/>
  <c r="D84" i="4"/>
  <c r="B85" i="4"/>
  <c r="C85" i="4"/>
  <c r="D85" i="4"/>
  <c r="B86" i="4"/>
  <c r="C86" i="4"/>
  <c r="D86" i="4"/>
  <c r="B87" i="4"/>
  <c r="C87" i="4"/>
  <c r="D87" i="4"/>
  <c r="B88" i="4"/>
  <c r="E88" i="4" s="1" a="1"/>
  <c r="E88" i="4" s="1"/>
  <c r="C88" i="4"/>
  <c r="D88" i="4"/>
  <c r="B89" i="4"/>
  <c r="E89" i="4" s="1" a="1"/>
  <c r="E89" i="4" s="1"/>
  <c r="C89" i="4"/>
  <c r="D89" i="4"/>
  <c r="B90" i="4"/>
  <c r="E90" i="4" s="1" a="1"/>
  <c r="E90" i="4" s="1"/>
  <c r="C90" i="4"/>
  <c r="D90" i="4"/>
  <c r="B91" i="4"/>
  <c r="E91" i="4" s="1" a="1"/>
  <c r="E91" i="4" s="1"/>
  <c r="C91" i="4"/>
  <c r="D91" i="4"/>
  <c r="B92" i="4"/>
  <c r="E92" i="4" s="1" a="1"/>
  <c r="E92" i="4" s="1"/>
  <c r="C92" i="4"/>
  <c r="D92" i="4"/>
  <c r="B93" i="4"/>
  <c r="E93" i="4" s="1" a="1"/>
  <c r="E93" i="4" s="1"/>
  <c r="C93" i="4"/>
  <c r="D93" i="4"/>
  <c r="B94" i="4"/>
  <c r="E94" i="4" s="1" a="1"/>
  <c r="E94" i="4" s="1"/>
  <c r="C94" i="4"/>
  <c r="D94" i="4"/>
  <c r="B95" i="4"/>
  <c r="E95" i="4" s="1" a="1"/>
  <c r="E95" i="4" s="1"/>
  <c r="C95" i="4"/>
  <c r="D95" i="4"/>
  <c r="B96" i="4"/>
  <c r="E96" i="4" s="1" a="1"/>
  <c r="E96" i="4" s="1"/>
  <c r="C96" i="4"/>
  <c r="D96" i="4"/>
  <c r="B97" i="4"/>
  <c r="G97" i="4" s="1"/>
  <c r="C97" i="4"/>
  <c r="D97" i="4"/>
  <c r="B98" i="4"/>
  <c r="I98" i="4" s="1"/>
  <c r="C98" i="4"/>
  <c r="D98" i="4"/>
  <c r="B99" i="4"/>
  <c r="G99" i="4" s="1"/>
  <c r="C99" i="4"/>
  <c r="D99" i="4"/>
  <c r="B100" i="4"/>
  <c r="I100" i="4" s="1"/>
  <c r="C100" i="4"/>
  <c r="D100" i="4"/>
  <c r="B101" i="4"/>
  <c r="G101" i="4" s="1"/>
  <c r="C101" i="4"/>
  <c r="D101" i="4"/>
  <c r="B102" i="4"/>
  <c r="I102" i="4" s="1"/>
  <c r="C102" i="4"/>
  <c r="D102" i="4"/>
  <c r="B103" i="4"/>
  <c r="G103" i="4" s="1"/>
  <c r="C103" i="4"/>
  <c r="D103" i="4"/>
  <c r="B104" i="4"/>
  <c r="I104" i="4" s="1"/>
  <c r="C104" i="4"/>
  <c r="D104" i="4"/>
  <c r="B105" i="4"/>
  <c r="G105" i="4" s="1"/>
  <c r="C105" i="4"/>
  <c r="D105" i="4"/>
  <c r="B106" i="4"/>
  <c r="I106" i="4" s="1"/>
  <c r="C106" i="4"/>
  <c r="D106" i="4"/>
  <c r="B107" i="4"/>
  <c r="G107" i="4" s="1"/>
  <c r="C107" i="4"/>
  <c r="D107" i="4"/>
  <c r="B108" i="4"/>
  <c r="I108" i="4" s="1"/>
  <c r="C108" i="4"/>
  <c r="D108" i="4"/>
  <c r="B109" i="4"/>
  <c r="G109" i="4" s="1"/>
  <c r="C109" i="4"/>
  <c r="D109" i="4"/>
  <c r="B110" i="4"/>
  <c r="I110" i="4" s="1"/>
  <c r="C110" i="4"/>
  <c r="D110" i="4"/>
  <c r="B111" i="4"/>
  <c r="G111" i="4" s="1"/>
  <c r="C111" i="4"/>
  <c r="D111" i="4"/>
  <c r="B112" i="4"/>
  <c r="I112" i="4" s="1"/>
  <c r="C112" i="4"/>
  <c r="D112" i="4"/>
  <c r="B113" i="4"/>
  <c r="G113" i="4" s="1"/>
  <c r="C113" i="4"/>
  <c r="D113" i="4"/>
  <c r="B114" i="4"/>
  <c r="I114" i="4" s="1"/>
  <c r="C114" i="4"/>
  <c r="D114" i="4"/>
  <c r="B115" i="4"/>
  <c r="G115" i="4" s="1"/>
  <c r="C115" i="4"/>
  <c r="D115" i="4"/>
  <c r="B116" i="4"/>
  <c r="I116" i="4" s="1"/>
  <c r="C116" i="4"/>
  <c r="D116" i="4"/>
  <c r="B117" i="4"/>
  <c r="G117" i="4" s="1"/>
  <c r="C117" i="4"/>
  <c r="D117" i="4"/>
  <c r="B118" i="4"/>
  <c r="I118" i="4" s="1"/>
  <c r="C118" i="4"/>
  <c r="D118" i="4"/>
  <c r="B119" i="4"/>
  <c r="G119" i="4" s="1"/>
  <c r="C119" i="4"/>
  <c r="D119" i="4"/>
  <c r="B120" i="4"/>
  <c r="I120" i="4" s="1"/>
  <c r="C120" i="4"/>
  <c r="D120" i="4"/>
  <c r="B121" i="4"/>
  <c r="G121" i="4" s="1"/>
  <c r="C121" i="4"/>
  <c r="D121" i="4"/>
  <c r="B122" i="4"/>
  <c r="I122" i="4" s="1"/>
  <c r="C122" i="4"/>
  <c r="D122" i="4"/>
  <c r="B123" i="4"/>
  <c r="G123" i="4" s="1"/>
  <c r="C123" i="4"/>
  <c r="D123" i="4"/>
  <c r="B124" i="4"/>
  <c r="I124" i="4" s="1"/>
  <c r="C124" i="4"/>
  <c r="D124" i="4"/>
  <c r="B125" i="4"/>
  <c r="G125" i="4" s="1"/>
  <c r="C125" i="4"/>
  <c r="D125" i="4"/>
  <c r="B126" i="4"/>
  <c r="I126" i="4" s="1"/>
  <c r="C126" i="4"/>
  <c r="D126" i="4"/>
  <c r="B127" i="4"/>
  <c r="E127" i="4" s="1" a="1"/>
  <c r="E127" i="4" s="1"/>
  <c r="C127" i="4"/>
  <c r="D127" i="4"/>
  <c r="B128" i="4"/>
  <c r="G128" i="4" s="1"/>
  <c r="C128" i="4"/>
  <c r="D128" i="4"/>
  <c r="B129" i="4"/>
  <c r="F129" i="4" s="1"/>
  <c r="C129" i="4"/>
  <c r="D129" i="4"/>
  <c r="B130" i="4"/>
  <c r="E130" i="4" s="1" a="1"/>
  <c r="E130" i="4" s="1"/>
  <c r="C130" i="4"/>
  <c r="D130" i="4"/>
  <c r="G809" i="1"/>
  <c r="M809" i="1"/>
  <c r="P809" i="1"/>
  <c r="S809" i="1"/>
  <c r="G808" i="1"/>
  <c r="M808" i="1"/>
  <c r="P808" i="1"/>
  <c r="S808" i="1"/>
  <c r="B48" i="7"/>
  <c r="F2" i="5"/>
  <c r="E17" i="7"/>
  <c r="D7" i="7"/>
  <c r="B24" i="5" a="1"/>
  <c r="B24" i="5" s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B6" i="5" a="1"/>
  <c r="B6" i="5" s="1"/>
  <c r="B12" i="7"/>
  <c r="C12" i="7"/>
  <c r="D12" i="7"/>
  <c r="E12" i="7"/>
  <c r="G7" i="7"/>
  <c r="F7" i="7"/>
  <c r="E7" i="7"/>
  <c r="C7" i="7"/>
  <c r="B7" i="7"/>
  <c r="D622" i="3"/>
  <c r="C622" i="3"/>
  <c r="D615" i="3"/>
  <c r="C615" i="3"/>
  <c r="D608" i="3"/>
  <c r="C608" i="3"/>
  <c r="D601" i="3"/>
  <c r="C601" i="3"/>
  <c r="D587" i="3"/>
  <c r="C587" i="3"/>
  <c r="D580" i="3"/>
  <c r="C580" i="3"/>
  <c r="D573" i="3"/>
  <c r="C573" i="3"/>
  <c r="D566" i="3"/>
  <c r="C566" i="3"/>
  <c r="D559" i="3"/>
  <c r="C559" i="3"/>
  <c r="D552" i="3"/>
  <c r="F527" i="3" s="1"/>
  <c r="C552" i="3"/>
  <c r="H532" i="3"/>
  <c r="F532" i="3"/>
  <c r="H531" i="3"/>
  <c r="F531" i="3"/>
  <c r="H530" i="3"/>
  <c r="F530" i="3"/>
  <c r="H529" i="3"/>
  <c r="F529" i="3"/>
  <c r="F528" i="3"/>
  <c r="H526" i="3"/>
  <c r="F526" i="3"/>
  <c r="H525" i="3"/>
  <c r="F525" i="3"/>
  <c r="H524" i="3"/>
  <c r="F524" i="3"/>
  <c r="H523" i="3"/>
  <c r="F523" i="3"/>
  <c r="H522" i="3"/>
  <c r="F522" i="3"/>
  <c r="H521" i="3"/>
  <c r="F521" i="3"/>
  <c r="H520" i="3"/>
  <c r="F520" i="3"/>
  <c r="H519" i="3"/>
  <c r="F519" i="3"/>
  <c r="H518" i="3"/>
  <c r="F518" i="3"/>
  <c r="H517" i="3"/>
  <c r="F517" i="3"/>
  <c r="H516" i="3"/>
  <c r="F516" i="3"/>
  <c r="H515" i="3"/>
  <c r="F515" i="3"/>
  <c r="H514" i="3"/>
  <c r="F514" i="3"/>
  <c r="H513" i="3"/>
  <c r="F513" i="3"/>
  <c r="H512" i="3"/>
  <c r="F512" i="3"/>
  <c r="H511" i="3"/>
  <c r="F511" i="3"/>
  <c r="H510" i="3"/>
  <c r="F510" i="3"/>
  <c r="H509" i="3"/>
  <c r="F509" i="3"/>
  <c r="A498" i="3"/>
  <c r="A497" i="3"/>
  <c r="A496" i="3"/>
  <c r="A472" i="3" s="1"/>
  <c r="A448" i="3" s="1"/>
  <c r="A424" i="3" s="1"/>
  <c r="A495" i="3"/>
  <c r="A471" i="3" s="1"/>
  <c r="A452" i="3" s="1"/>
  <c r="A428" i="3" s="1"/>
  <c r="A494" i="3"/>
  <c r="A470" i="3" s="1"/>
  <c r="A446" i="3" s="1"/>
  <c r="A422" i="3" s="1"/>
  <c r="A398" i="3" s="1"/>
  <c r="A374" i="3" s="1"/>
  <c r="A493" i="3"/>
  <c r="A469" i="3" s="1"/>
  <c r="A445" i="3" s="1"/>
  <c r="A421" i="3" s="1"/>
  <c r="A397" i="3" s="1"/>
  <c r="A492" i="3"/>
  <c r="A473" i="3" s="1"/>
  <c r="A449" i="3" s="1"/>
  <c r="A425" i="3" s="1"/>
  <c r="A491" i="3"/>
  <c r="A490" i="3"/>
  <c r="A466" i="3" s="1"/>
  <c r="A442" i="3" s="1"/>
  <c r="A418" i="3" s="1"/>
  <c r="A489" i="3"/>
  <c r="A465" i="3" s="1"/>
  <c r="A441" i="3" s="1"/>
  <c r="A417" i="3" s="1"/>
  <c r="A393" i="3" s="1"/>
  <c r="A369" i="3" s="1"/>
  <c r="A345" i="3" s="1"/>
  <c r="A488" i="3"/>
  <c r="A464" i="3" s="1"/>
  <c r="A487" i="3"/>
  <c r="A467" i="3" s="1"/>
  <c r="A443" i="3" s="1"/>
  <c r="A486" i="3"/>
  <c r="A485" i="3"/>
  <c r="A462" i="3" s="1"/>
  <c r="A440" i="3" s="1"/>
  <c r="A484" i="3"/>
  <c r="A483" i="3"/>
  <c r="A459" i="3" s="1"/>
  <c r="A435" i="3" s="1"/>
  <c r="A411" i="3" s="1"/>
  <c r="A482" i="3"/>
  <c r="A458" i="3" s="1"/>
  <c r="A437" i="3" s="1"/>
  <c r="A413" i="3" s="1"/>
  <c r="A481" i="3"/>
  <c r="A457" i="3" s="1"/>
  <c r="A480" i="3"/>
  <c r="A460" i="3" s="1"/>
  <c r="A436" i="3" s="1"/>
  <c r="A412" i="3" s="1"/>
  <c r="A388" i="3" s="1"/>
  <c r="A364" i="3" s="1"/>
  <c r="A340" i="3" s="1"/>
  <c r="A316" i="3" s="1"/>
  <c r="A292" i="3" s="1"/>
  <c r="A268" i="3" s="1"/>
  <c r="A244" i="3" s="1"/>
  <c r="A220" i="3" s="1"/>
  <c r="A196" i="3" s="1"/>
  <c r="A479" i="3"/>
  <c r="A478" i="3"/>
  <c r="A454" i="3" s="1"/>
  <c r="A430" i="3" s="1"/>
  <c r="A406" i="3" s="1"/>
  <c r="A382" i="3" s="1"/>
  <c r="A358" i="3" s="1"/>
  <c r="A334" i="3" s="1"/>
  <c r="A477" i="3"/>
  <c r="A455" i="3" s="1"/>
  <c r="A431" i="3" s="1"/>
  <c r="A407" i="3" s="1"/>
  <c r="A476" i="3"/>
  <c r="A475" i="3"/>
  <c r="A451" i="3" s="1"/>
  <c r="A474" i="3"/>
  <c r="A450" i="3" s="1"/>
  <c r="A426" i="3" s="1"/>
  <c r="R6" i="6" a="1"/>
  <c r="R6" i="6" s="1"/>
  <c r="O6" i="6" a="1"/>
  <c r="O6" i="6" s="1"/>
  <c r="N6" i="6" a="1"/>
  <c r="N6" i="6" s="1"/>
  <c r="K6" i="6" a="1"/>
  <c r="K6" i="6" s="1"/>
  <c r="J6" i="6" a="1"/>
  <c r="J6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B6" i="6" a="1"/>
  <c r="B6" i="6" s="1"/>
  <c r="F2" i="6"/>
  <c r="S807" i="1"/>
  <c r="M807" i="1"/>
  <c r="G807" i="1"/>
  <c r="XFD807" i="1" s="1"/>
  <c r="S806" i="1"/>
  <c r="M806" i="1"/>
  <c r="G806" i="1"/>
  <c r="XFD806" i="1" s="1"/>
  <c r="S805" i="1"/>
  <c r="M805" i="1"/>
  <c r="G805" i="1"/>
  <c r="XFD805" i="1" s="1"/>
  <c r="S804" i="1"/>
  <c r="M804" i="1"/>
  <c r="G804" i="1"/>
  <c r="XFD804" i="1" s="1"/>
  <c r="S803" i="1"/>
  <c r="M803" i="1"/>
  <c r="G803" i="1"/>
  <c r="XFD803" i="1" s="1"/>
  <c r="S802" i="1"/>
  <c r="M802" i="1"/>
  <c r="G802" i="1"/>
  <c r="XFD802" i="1" s="1"/>
  <c r="S801" i="1"/>
  <c r="M801" i="1"/>
  <c r="G801" i="1"/>
  <c r="XFD801" i="1" s="1"/>
  <c r="S800" i="1"/>
  <c r="M800" i="1"/>
  <c r="G800" i="1"/>
  <c r="XFD800" i="1" s="1"/>
  <c r="S799" i="1"/>
  <c r="K86" i="4" s="1"/>
  <c r="M799" i="1"/>
  <c r="G799" i="1"/>
  <c r="XFD799" i="1" s="1"/>
  <c r="S798" i="1"/>
  <c r="M798" i="1"/>
  <c r="G798" i="1"/>
  <c r="XFD798" i="1" s="1"/>
  <c r="S797" i="1"/>
  <c r="M797" i="1"/>
  <c r="G797" i="1"/>
  <c r="XFD797" i="1" s="1"/>
  <c r="S796" i="1"/>
  <c r="M796" i="1"/>
  <c r="G796" i="1"/>
  <c r="XFD796" i="1" s="1"/>
  <c r="S795" i="1"/>
  <c r="M795" i="1"/>
  <c r="G795" i="1"/>
  <c r="XFD795" i="1" s="1"/>
  <c r="S794" i="1"/>
  <c r="M794" i="1"/>
  <c r="G794" i="1"/>
  <c r="XFD794" i="1" s="1"/>
  <c r="S793" i="1"/>
  <c r="M793" i="1"/>
  <c r="G793" i="1"/>
  <c r="XFD793" i="1" s="1"/>
  <c r="S792" i="1"/>
  <c r="M792" i="1"/>
  <c r="G792" i="1"/>
  <c r="XFD792" i="1" s="1"/>
  <c r="S791" i="1"/>
  <c r="M791" i="1"/>
  <c r="G791" i="1"/>
  <c r="XFD791" i="1" s="1"/>
  <c r="S790" i="1"/>
  <c r="M790" i="1"/>
  <c r="G790" i="1"/>
  <c r="XFD790" i="1" s="1"/>
  <c r="S789" i="1"/>
  <c r="M789" i="1"/>
  <c r="G789" i="1"/>
  <c r="XFD789" i="1" s="1"/>
  <c r="S788" i="1"/>
  <c r="M788" i="1"/>
  <c r="G788" i="1"/>
  <c r="XFD788" i="1" s="1"/>
  <c r="S787" i="1"/>
  <c r="M787" i="1"/>
  <c r="G787" i="1"/>
  <c r="XFD787" i="1" s="1"/>
  <c r="S786" i="1"/>
  <c r="M786" i="1"/>
  <c r="G786" i="1"/>
  <c r="XFD786" i="1" s="1"/>
  <c r="S785" i="1"/>
  <c r="M785" i="1"/>
  <c r="G785" i="1"/>
  <c r="XFD785" i="1" s="1"/>
  <c r="S784" i="1"/>
  <c r="M784" i="1"/>
  <c r="G784" i="1"/>
  <c r="XFD784" i="1" s="1"/>
  <c r="S783" i="1"/>
  <c r="M783" i="1"/>
  <c r="G783" i="1"/>
  <c r="XFD783" i="1" s="1"/>
  <c r="S782" i="1"/>
  <c r="M782" i="1"/>
  <c r="G782" i="1"/>
  <c r="XFD782" i="1" s="1"/>
  <c r="S781" i="1"/>
  <c r="M781" i="1"/>
  <c r="G781" i="1"/>
  <c r="XFD781" i="1" s="1"/>
  <c r="S780" i="1"/>
  <c r="M780" i="1"/>
  <c r="G780" i="1"/>
  <c r="XFD780" i="1" s="1"/>
  <c r="S779" i="1"/>
  <c r="M779" i="1"/>
  <c r="G779" i="1"/>
  <c r="XFD779" i="1" s="1"/>
  <c r="S778" i="1"/>
  <c r="M778" i="1"/>
  <c r="G778" i="1"/>
  <c r="XFD778" i="1" s="1"/>
  <c r="S777" i="1"/>
  <c r="M777" i="1"/>
  <c r="G777" i="1"/>
  <c r="XFD777" i="1" s="1"/>
  <c r="S776" i="1"/>
  <c r="M776" i="1"/>
  <c r="G776" i="1"/>
  <c r="XFD776" i="1" s="1"/>
  <c r="S775" i="1"/>
  <c r="M775" i="1"/>
  <c r="G775" i="1"/>
  <c r="XFD775" i="1" s="1"/>
  <c r="S774" i="1"/>
  <c r="M774" i="1"/>
  <c r="G774" i="1"/>
  <c r="XFD774" i="1" s="1"/>
  <c r="S773" i="1"/>
  <c r="M773" i="1"/>
  <c r="G773" i="1"/>
  <c r="XFD773" i="1" s="1"/>
  <c r="S772" i="1"/>
  <c r="M772" i="1"/>
  <c r="G772" i="1"/>
  <c r="XFD772" i="1" s="1"/>
  <c r="S771" i="1"/>
  <c r="M771" i="1"/>
  <c r="G771" i="1"/>
  <c r="XFD771" i="1" s="1"/>
  <c r="S770" i="1"/>
  <c r="M770" i="1"/>
  <c r="G770" i="1"/>
  <c r="XFD770" i="1" s="1"/>
  <c r="S769" i="1"/>
  <c r="M769" i="1"/>
  <c r="G769" i="1"/>
  <c r="XFD769" i="1" s="1"/>
  <c r="S768" i="1"/>
  <c r="M768" i="1"/>
  <c r="G768" i="1"/>
  <c r="XFD768" i="1" s="1"/>
  <c r="S767" i="1"/>
  <c r="M767" i="1"/>
  <c r="G767" i="1"/>
  <c r="XFD767" i="1" s="1"/>
  <c r="S766" i="1"/>
  <c r="M766" i="1"/>
  <c r="G766" i="1"/>
  <c r="XFD766" i="1" s="1"/>
  <c r="S765" i="1"/>
  <c r="M765" i="1"/>
  <c r="G765" i="1"/>
  <c r="XFD765" i="1" s="1"/>
  <c r="S764" i="1"/>
  <c r="M764" i="1"/>
  <c r="G764" i="1"/>
  <c r="XFD764" i="1" s="1"/>
  <c r="S763" i="1"/>
  <c r="M763" i="1"/>
  <c r="G763" i="1"/>
  <c r="XFD763" i="1" s="1"/>
  <c r="S762" i="1"/>
  <c r="M762" i="1"/>
  <c r="G762" i="1"/>
  <c r="XFD762" i="1" s="1"/>
  <c r="S761" i="1"/>
  <c r="M761" i="1"/>
  <c r="G761" i="1"/>
  <c r="XFD761" i="1" s="1"/>
  <c r="S760" i="1"/>
  <c r="M760" i="1"/>
  <c r="G760" i="1"/>
  <c r="XFD760" i="1" s="1"/>
  <c r="S759" i="1"/>
  <c r="M759" i="1"/>
  <c r="G759" i="1"/>
  <c r="XFD759" i="1" s="1"/>
  <c r="S758" i="1"/>
  <c r="M758" i="1"/>
  <c r="G758" i="1"/>
  <c r="XFD758" i="1" s="1"/>
  <c r="S757" i="1"/>
  <c r="M757" i="1"/>
  <c r="G757" i="1"/>
  <c r="XFD757" i="1" s="1"/>
  <c r="S756" i="1"/>
  <c r="M756" i="1"/>
  <c r="G756" i="1"/>
  <c r="XFD756" i="1" s="1"/>
  <c r="S755" i="1"/>
  <c r="M755" i="1"/>
  <c r="G755" i="1"/>
  <c r="XFD755" i="1" s="1"/>
  <c r="S754" i="1"/>
  <c r="M754" i="1"/>
  <c r="G754" i="1"/>
  <c r="XFD754" i="1" s="1"/>
  <c r="S753" i="1"/>
  <c r="M753" i="1"/>
  <c r="G753" i="1"/>
  <c r="XFD753" i="1" s="1"/>
  <c r="S752" i="1"/>
  <c r="M752" i="1"/>
  <c r="G752" i="1"/>
  <c r="XFD752" i="1" s="1"/>
  <c r="S751" i="1"/>
  <c r="M751" i="1"/>
  <c r="G751" i="1"/>
  <c r="XFD751" i="1" s="1"/>
  <c r="S750" i="1"/>
  <c r="M750" i="1"/>
  <c r="G750" i="1"/>
  <c r="XFD750" i="1" s="1"/>
  <c r="S749" i="1"/>
  <c r="M749" i="1"/>
  <c r="G749" i="1"/>
  <c r="XFD749" i="1" s="1"/>
  <c r="S748" i="1"/>
  <c r="M748" i="1"/>
  <c r="G748" i="1"/>
  <c r="XFD748" i="1" s="1"/>
  <c r="S747" i="1"/>
  <c r="M747" i="1"/>
  <c r="G747" i="1"/>
  <c r="XFD747" i="1" s="1"/>
  <c r="S746" i="1"/>
  <c r="M746" i="1"/>
  <c r="G746" i="1"/>
  <c r="XFD746" i="1" s="1"/>
  <c r="S745" i="1"/>
  <c r="M745" i="1"/>
  <c r="G745" i="1"/>
  <c r="XFD745" i="1" s="1"/>
  <c r="S744" i="1"/>
  <c r="M744" i="1"/>
  <c r="G744" i="1"/>
  <c r="XFD744" i="1" s="1"/>
  <c r="S743" i="1"/>
  <c r="M743" i="1"/>
  <c r="G743" i="1"/>
  <c r="XFD743" i="1" s="1"/>
  <c r="S742" i="1"/>
  <c r="M742" i="1"/>
  <c r="G742" i="1"/>
  <c r="XFD742" i="1" s="1"/>
  <c r="S741" i="1"/>
  <c r="M741" i="1"/>
  <c r="G741" i="1"/>
  <c r="XFD741" i="1" s="1"/>
  <c r="S740" i="1"/>
  <c r="M740" i="1"/>
  <c r="G740" i="1"/>
  <c r="XFD740" i="1" s="1"/>
  <c r="S739" i="1"/>
  <c r="M739" i="1"/>
  <c r="G739" i="1"/>
  <c r="XFD739" i="1" s="1"/>
  <c r="S738" i="1"/>
  <c r="M738" i="1"/>
  <c r="G738" i="1"/>
  <c r="XFD738" i="1" s="1"/>
  <c r="S737" i="1"/>
  <c r="M737" i="1"/>
  <c r="G737" i="1"/>
  <c r="XFD737" i="1" s="1"/>
  <c r="S736" i="1"/>
  <c r="M736" i="1"/>
  <c r="G736" i="1"/>
  <c r="XFD736" i="1" s="1"/>
  <c r="S735" i="1"/>
  <c r="M735" i="1"/>
  <c r="G735" i="1"/>
  <c r="XFD735" i="1" s="1"/>
  <c r="S734" i="1"/>
  <c r="M734" i="1"/>
  <c r="G734" i="1"/>
  <c r="XFD734" i="1" s="1"/>
  <c r="S733" i="1"/>
  <c r="M733" i="1"/>
  <c r="G733" i="1"/>
  <c r="XFD733" i="1" s="1"/>
  <c r="S732" i="1"/>
  <c r="M732" i="1"/>
  <c r="G732" i="1"/>
  <c r="XFD732" i="1" s="1"/>
  <c r="S731" i="1"/>
  <c r="M731" i="1"/>
  <c r="G731" i="1"/>
  <c r="XFD731" i="1" s="1"/>
  <c r="S730" i="1"/>
  <c r="M730" i="1"/>
  <c r="G730" i="1"/>
  <c r="XFD730" i="1" s="1"/>
  <c r="S729" i="1"/>
  <c r="M729" i="1"/>
  <c r="G729" i="1"/>
  <c r="XFD729" i="1" s="1"/>
  <c r="S728" i="1"/>
  <c r="M728" i="1"/>
  <c r="G728" i="1"/>
  <c r="XFD728" i="1" s="1"/>
  <c r="S727" i="1"/>
  <c r="M727" i="1"/>
  <c r="G727" i="1"/>
  <c r="XFD727" i="1" s="1"/>
  <c r="S726" i="1"/>
  <c r="M726" i="1"/>
  <c r="G726" i="1"/>
  <c r="XFD726" i="1" s="1"/>
  <c r="S725" i="1"/>
  <c r="M725" i="1"/>
  <c r="G725" i="1"/>
  <c r="XFD725" i="1" s="1"/>
  <c r="S724" i="1"/>
  <c r="M724" i="1"/>
  <c r="G724" i="1"/>
  <c r="XFD724" i="1" s="1"/>
  <c r="S723" i="1"/>
  <c r="M723" i="1"/>
  <c r="G723" i="1"/>
  <c r="XFD723" i="1" s="1"/>
  <c r="S722" i="1"/>
  <c r="M722" i="1"/>
  <c r="G722" i="1"/>
  <c r="XFD722" i="1" s="1"/>
  <c r="S721" i="1"/>
  <c r="M721" i="1"/>
  <c r="G721" i="1"/>
  <c r="XFD721" i="1" s="1"/>
  <c r="S720" i="1"/>
  <c r="M720" i="1"/>
  <c r="G720" i="1"/>
  <c r="XFD720" i="1" s="1"/>
  <c r="S719" i="1"/>
  <c r="M719" i="1"/>
  <c r="G719" i="1"/>
  <c r="XFD719" i="1" s="1"/>
  <c r="S718" i="1"/>
  <c r="M718" i="1"/>
  <c r="G718" i="1"/>
  <c r="XFD718" i="1" s="1"/>
  <c r="S717" i="1"/>
  <c r="M717" i="1"/>
  <c r="G717" i="1"/>
  <c r="XFD717" i="1" s="1"/>
  <c r="S716" i="1"/>
  <c r="M716" i="1"/>
  <c r="G716" i="1"/>
  <c r="XFD716" i="1" s="1"/>
  <c r="S715" i="1"/>
  <c r="M715" i="1"/>
  <c r="G715" i="1"/>
  <c r="XFD715" i="1" s="1"/>
  <c r="S714" i="1"/>
  <c r="M714" i="1"/>
  <c r="G714" i="1"/>
  <c r="XFD714" i="1" s="1"/>
  <c r="S713" i="1"/>
  <c r="M713" i="1"/>
  <c r="G713" i="1"/>
  <c r="XFD713" i="1" s="1"/>
  <c r="S712" i="1"/>
  <c r="M712" i="1"/>
  <c r="G712" i="1"/>
  <c r="XFD712" i="1" s="1"/>
  <c r="S711" i="1"/>
  <c r="M711" i="1"/>
  <c r="G711" i="1"/>
  <c r="XFD711" i="1" s="1"/>
  <c r="S710" i="1"/>
  <c r="M710" i="1"/>
  <c r="G710" i="1"/>
  <c r="XFD710" i="1" s="1"/>
  <c r="S709" i="1"/>
  <c r="M709" i="1"/>
  <c r="G709" i="1"/>
  <c r="XFD709" i="1" s="1"/>
  <c r="S708" i="1"/>
  <c r="M708" i="1"/>
  <c r="G708" i="1"/>
  <c r="XFD708" i="1" s="1"/>
  <c r="S707" i="1"/>
  <c r="M707" i="1"/>
  <c r="G707" i="1"/>
  <c r="XFD707" i="1" s="1"/>
  <c r="S706" i="1"/>
  <c r="M706" i="1"/>
  <c r="G706" i="1"/>
  <c r="XFD706" i="1" s="1"/>
  <c r="S705" i="1"/>
  <c r="M705" i="1"/>
  <c r="G705" i="1"/>
  <c r="XFD705" i="1" s="1"/>
  <c r="S704" i="1"/>
  <c r="M704" i="1"/>
  <c r="G704" i="1"/>
  <c r="XFD704" i="1" s="1"/>
  <c r="S703" i="1"/>
  <c r="M703" i="1"/>
  <c r="G703" i="1"/>
  <c r="XFD703" i="1" s="1"/>
  <c r="S702" i="1"/>
  <c r="M702" i="1"/>
  <c r="G702" i="1"/>
  <c r="XFD702" i="1" s="1"/>
  <c r="S701" i="1"/>
  <c r="M701" i="1"/>
  <c r="G701" i="1"/>
  <c r="XFD701" i="1" s="1"/>
  <c r="S700" i="1"/>
  <c r="M700" i="1"/>
  <c r="G700" i="1"/>
  <c r="XFD700" i="1" s="1"/>
  <c r="S699" i="1"/>
  <c r="M699" i="1"/>
  <c r="G699" i="1"/>
  <c r="XFD699" i="1" s="1"/>
  <c r="S698" i="1"/>
  <c r="M698" i="1"/>
  <c r="G698" i="1"/>
  <c r="XFD698" i="1" s="1"/>
  <c r="S697" i="1"/>
  <c r="M697" i="1"/>
  <c r="G697" i="1"/>
  <c r="XFD697" i="1" s="1"/>
  <c r="S696" i="1"/>
  <c r="M696" i="1"/>
  <c r="G696" i="1"/>
  <c r="XFD696" i="1" s="1"/>
  <c r="S695" i="1"/>
  <c r="M695" i="1"/>
  <c r="G695" i="1"/>
  <c r="XFD695" i="1" s="1"/>
  <c r="S694" i="1"/>
  <c r="M694" i="1"/>
  <c r="G694" i="1"/>
  <c r="XFD694" i="1" s="1"/>
  <c r="S693" i="1"/>
  <c r="M693" i="1"/>
  <c r="G693" i="1"/>
  <c r="XFD693" i="1" s="1"/>
  <c r="S692" i="1"/>
  <c r="M692" i="1"/>
  <c r="G692" i="1"/>
  <c r="XFD692" i="1" s="1"/>
  <c r="S691" i="1"/>
  <c r="M691" i="1"/>
  <c r="G691" i="1"/>
  <c r="XFD691" i="1" s="1"/>
  <c r="S690" i="1"/>
  <c r="M690" i="1"/>
  <c r="G690" i="1"/>
  <c r="XFD690" i="1" s="1"/>
  <c r="S689" i="1"/>
  <c r="M689" i="1"/>
  <c r="G689" i="1"/>
  <c r="XFD689" i="1" s="1"/>
  <c r="S688" i="1"/>
  <c r="M688" i="1"/>
  <c r="G688" i="1"/>
  <c r="XFD688" i="1" s="1"/>
  <c r="S687" i="1"/>
  <c r="M687" i="1"/>
  <c r="G687" i="1"/>
  <c r="XFD687" i="1" s="1"/>
  <c r="S686" i="1"/>
  <c r="M686" i="1"/>
  <c r="G686" i="1"/>
  <c r="XFD686" i="1" s="1"/>
  <c r="S685" i="1"/>
  <c r="M685" i="1"/>
  <c r="G685" i="1"/>
  <c r="XFD685" i="1" s="1"/>
  <c r="S684" i="1"/>
  <c r="M684" i="1"/>
  <c r="G684" i="1"/>
  <c r="XFD684" i="1" s="1"/>
  <c r="S683" i="1"/>
  <c r="M683" i="1"/>
  <c r="G683" i="1"/>
  <c r="XFD683" i="1" s="1"/>
  <c r="S682" i="1"/>
  <c r="M682" i="1"/>
  <c r="G682" i="1"/>
  <c r="XFD682" i="1" s="1"/>
  <c r="S681" i="1"/>
  <c r="M681" i="1"/>
  <c r="G681" i="1"/>
  <c r="XFD681" i="1" s="1"/>
  <c r="S680" i="1"/>
  <c r="M680" i="1"/>
  <c r="G680" i="1"/>
  <c r="XFD680" i="1" s="1"/>
  <c r="S679" i="1"/>
  <c r="M679" i="1"/>
  <c r="G679" i="1"/>
  <c r="XFD679" i="1" s="1"/>
  <c r="S678" i="1"/>
  <c r="M678" i="1"/>
  <c r="G678" i="1"/>
  <c r="XFD678" i="1" s="1"/>
  <c r="S677" i="1"/>
  <c r="M677" i="1"/>
  <c r="G677" i="1"/>
  <c r="XFD677" i="1" s="1"/>
  <c r="S676" i="1"/>
  <c r="M676" i="1"/>
  <c r="G676" i="1"/>
  <c r="XFD676" i="1" s="1"/>
  <c r="S675" i="1"/>
  <c r="M675" i="1"/>
  <c r="G675" i="1"/>
  <c r="XFD675" i="1" s="1"/>
  <c r="S674" i="1"/>
  <c r="M674" i="1"/>
  <c r="G674" i="1"/>
  <c r="XFD674" i="1" s="1"/>
  <c r="S673" i="1"/>
  <c r="M673" i="1"/>
  <c r="G673" i="1"/>
  <c r="XFD673" i="1" s="1"/>
  <c r="S672" i="1"/>
  <c r="M672" i="1"/>
  <c r="G672" i="1"/>
  <c r="XFD672" i="1" s="1"/>
  <c r="S671" i="1"/>
  <c r="M671" i="1"/>
  <c r="G671" i="1"/>
  <c r="XFD671" i="1" s="1"/>
  <c r="S670" i="1"/>
  <c r="M670" i="1"/>
  <c r="G670" i="1"/>
  <c r="XFD670" i="1" s="1"/>
  <c r="S669" i="1"/>
  <c r="M669" i="1"/>
  <c r="G669" i="1"/>
  <c r="XFD669" i="1" s="1"/>
  <c r="S668" i="1"/>
  <c r="M668" i="1"/>
  <c r="G668" i="1"/>
  <c r="XFD668" i="1" s="1"/>
  <c r="S667" i="1"/>
  <c r="M667" i="1"/>
  <c r="G667" i="1"/>
  <c r="XFD667" i="1" s="1"/>
  <c r="S666" i="1"/>
  <c r="M666" i="1"/>
  <c r="G666" i="1"/>
  <c r="XFD666" i="1" s="1"/>
  <c r="S665" i="1"/>
  <c r="M665" i="1"/>
  <c r="G665" i="1"/>
  <c r="XFD665" i="1" s="1"/>
  <c r="S664" i="1"/>
  <c r="M664" i="1"/>
  <c r="G664" i="1"/>
  <c r="XFD664" i="1" s="1"/>
  <c r="S663" i="1"/>
  <c r="M663" i="1"/>
  <c r="G663" i="1"/>
  <c r="XFD663" i="1" s="1"/>
  <c r="S662" i="1"/>
  <c r="M662" i="1"/>
  <c r="G662" i="1"/>
  <c r="XFD662" i="1" s="1"/>
  <c r="S661" i="1"/>
  <c r="M661" i="1"/>
  <c r="G661" i="1"/>
  <c r="XFD661" i="1" s="1"/>
  <c r="S660" i="1"/>
  <c r="M660" i="1"/>
  <c r="G660" i="1"/>
  <c r="XFD660" i="1" s="1"/>
  <c r="S659" i="1"/>
  <c r="M659" i="1"/>
  <c r="G659" i="1"/>
  <c r="XFD659" i="1" s="1"/>
  <c r="S658" i="1"/>
  <c r="M658" i="1"/>
  <c r="G658" i="1"/>
  <c r="XFD658" i="1" s="1"/>
  <c r="S657" i="1"/>
  <c r="M657" i="1"/>
  <c r="G657" i="1"/>
  <c r="XFD657" i="1" s="1"/>
  <c r="S656" i="1"/>
  <c r="M656" i="1"/>
  <c r="G656" i="1"/>
  <c r="XFD656" i="1" s="1"/>
  <c r="S655" i="1"/>
  <c r="M655" i="1"/>
  <c r="G655" i="1"/>
  <c r="XFD655" i="1" s="1"/>
  <c r="S654" i="1"/>
  <c r="M654" i="1"/>
  <c r="G654" i="1"/>
  <c r="XFD654" i="1" s="1"/>
  <c r="S653" i="1"/>
  <c r="M653" i="1"/>
  <c r="G653" i="1"/>
  <c r="XFD653" i="1" s="1"/>
  <c r="S652" i="1"/>
  <c r="M652" i="1"/>
  <c r="G652" i="1"/>
  <c r="XFD652" i="1" s="1"/>
  <c r="S651" i="1"/>
  <c r="M651" i="1"/>
  <c r="G651" i="1"/>
  <c r="XFD651" i="1" s="1"/>
  <c r="S650" i="1"/>
  <c r="M650" i="1"/>
  <c r="G650" i="1"/>
  <c r="XFD650" i="1" s="1"/>
  <c r="S649" i="1"/>
  <c r="M649" i="1"/>
  <c r="G649" i="1"/>
  <c r="XFD649" i="1" s="1"/>
  <c r="S648" i="1"/>
  <c r="M648" i="1"/>
  <c r="G648" i="1"/>
  <c r="XFD648" i="1" s="1"/>
  <c r="S647" i="1"/>
  <c r="M647" i="1"/>
  <c r="G647" i="1"/>
  <c r="XFD647" i="1" s="1"/>
  <c r="S646" i="1"/>
  <c r="M646" i="1"/>
  <c r="G646" i="1"/>
  <c r="XFD646" i="1" s="1"/>
  <c r="S645" i="1"/>
  <c r="M645" i="1"/>
  <c r="G645" i="1"/>
  <c r="XFD645" i="1" s="1"/>
  <c r="S644" i="1"/>
  <c r="M644" i="1"/>
  <c r="G644" i="1"/>
  <c r="XFD644" i="1" s="1"/>
  <c r="S643" i="1"/>
  <c r="M643" i="1"/>
  <c r="G643" i="1"/>
  <c r="XFD643" i="1" s="1"/>
  <c r="S642" i="1"/>
  <c r="M642" i="1"/>
  <c r="G642" i="1"/>
  <c r="XFD642" i="1" s="1"/>
  <c r="S641" i="1"/>
  <c r="M641" i="1"/>
  <c r="G641" i="1"/>
  <c r="XFD641" i="1" s="1"/>
  <c r="S640" i="1"/>
  <c r="M640" i="1"/>
  <c r="G640" i="1"/>
  <c r="XFD640" i="1" s="1"/>
  <c r="S639" i="1"/>
  <c r="M639" i="1"/>
  <c r="G639" i="1"/>
  <c r="XFD639" i="1" s="1"/>
  <c r="S638" i="1"/>
  <c r="M638" i="1"/>
  <c r="G638" i="1"/>
  <c r="XFD638" i="1" s="1"/>
  <c r="S637" i="1"/>
  <c r="M637" i="1"/>
  <c r="G637" i="1"/>
  <c r="XFD637" i="1" s="1"/>
  <c r="S636" i="1"/>
  <c r="M636" i="1"/>
  <c r="G636" i="1"/>
  <c r="XFD636" i="1" s="1"/>
  <c r="S635" i="1"/>
  <c r="M635" i="1"/>
  <c r="G635" i="1"/>
  <c r="XFD635" i="1" s="1"/>
  <c r="S634" i="1"/>
  <c r="M634" i="1"/>
  <c r="G634" i="1"/>
  <c r="XFD634" i="1" s="1"/>
  <c r="S633" i="1"/>
  <c r="M633" i="1"/>
  <c r="G633" i="1"/>
  <c r="XFD633" i="1" s="1"/>
  <c r="S632" i="1"/>
  <c r="M632" i="1"/>
  <c r="G632" i="1"/>
  <c r="XFD632" i="1" s="1"/>
  <c r="S631" i="1"/>
  <c r="M631" i="1"/>
  <c r="G631" i="1"/>
  <c r="XFD631" i="1" s="1"/>
  <c r="S630" i="1"/>
  <c r="M630" i="1"/>
  <c r="G630" i="1"/>
  <c r="XFD630" i="1" s="1"/>
  <c r="S629" i="1"/>
  <c r="M629" i="1"/>
  <c r="G629" i="1"/>
  <c r="XFD629" i="1" s="1"/>
  <c r="S628" i="1"/>
  <c r="M628" i="1"/>
  <c r="G628" i="1"/>
  <c r="XFD628" i="1" s="1"/>
  <c r="S627" i="1"/>
  <c r="M627" i="1"/>
  <c r="G627" i="1"/>
  <c r="XFD627" i="1" s="1"/>
  <c r="S626" i="1"/>
  <c r="M626" i="1"/>
  <c r="G626" i="1"/>
  <c r="XFD626" i="1" s="1"/>
  <c r="S625" i="1"/>
  <c r="M625" i="1"/>
  <c r="G625" i="1"/>
  <c r="XFD625" i="1" s="1"/>
  <c r="S624" i="1"/>
  <c r="M624" i="1"/>
  <c r="G624" i="1"/>
  <c r="XFD624" i="1" s="1"/>
  <c r="S623" i="1"/>
  <c r="M623" i="1"/>
  <c r="G623" i="1"/>
  <c r="XFD623" i="1" s="1"/>
  <c r="S622" i="1"/>
  <c r="M622" i="1"/>
  <c r="G622" i="1"/>
  <c r="XFD622" i="1" s="1"/>
  <c r="S621" i="1"/>
  <c r="M621" i="1"/>
  <c r="G621" i="1"/>
  <c r="XFD621" i="1" s="1"/>
  <c r="S620" i="1"/>
  <c r="M620" i="1"/>
  <c r="G620" i="1"/>
  <c r="XFD620" i="1" s="1"/>
  <c r="S619" i="1"/>
  <c r="M619" i="1"/>
  <c r="G619" i="1"/>
  <c r="XFD619" i="1" s="1"/>
  <c r="S618" i="1"/>
  <c r="M618" i="1"/>
  <c r="G618" i="1"/>
  <c r="XFD618" i="1" s="1"/>
  <c r="S617" i="1"/>
  <c r="M617" i="1"/>
  <c r="G617" i="1"/>
  <c r="XFD617" i="1" s="1"/>
  <c r="S616" i="1"/>
  <c r="M616" i="1"/>
  <c r="G616" i="1"/>
  <c r="XFD616" i="1" s="1"/>
  <c r="S615" i="1"/>
  <c r="M615" i="1"/>
  <c r="G615" i="1"/>
  <c r="XFD615" i="1" s="1"/>
  <c r="S614" i="1"/>
  <c r="M614" i="1"/>
  <c r="G614" i="1"/>
  <c r="XFD614" i="1" s="1"/>
  <c r="S613" i="1"/>
  <c r="M613" i="1"/>
  <c r="G613" i="1"/>
  <c r="XFD613" i="1" s="1"/>
  <c r="S612" i="1"/>
  <c r="M612" i="1"/>
  <c r="G612" i="1"/>
  <c r="XFD612" i="1" s="1"/>
  <c r="S611" i="1"/>
  <c r="M611" i="1"/>
  <c r="G611" i="1"/>
  <c r="XFD611" i="1" s="1"/>
  <c r="S610" i="1"/>
  <c r="M610" i="1"/>
  <c r="G610" i="1"/>
  <c r="XFD610" i="1" s="1"/>
  <c r="S609" i="1"/>
  <c r="M609" i="1"/>
  <c r="G609" i="1"/>
  <c r="XFD609" i="1" s="1"/>
  <c r="S608" i="1"/>
  <c r="M608" i="1"/>
  <c r="G608" i="1"/>
  <c r="XFD608" i="1" s="1"/>
  <c r="S607" i="1"/>
  <c r="M607" i="1"/>
  <c r="G607" i="1"/>
  <c r="XFD607" i="1" s="1"/>
  <c r="S606" i="1"/>
  <c r="M606" i="1"/>
  <c r="G606" i="1"/>
  <c r="XFD606" i="1" s="1"/>
  <c r="S605" i="1"/>
  <c r="M605" i="1"/>
  <c r="G605" i="1"/>
  <c r="XFD605" i="1" s="1"/>
  <c r="S604" i="1"/>
  <c r="M604" i="1"/>
  <c r="G604" i="1"/>
  <c r="XFD604" i="1" s="1"/>
  <c r="S603" i="1"/>
  <c r="M603" i="1"/>
  <c r="G603" i="1"/>
  <c r="XFD603" i="1" s="1"/>
  <c r="S602" i="1"/>
  <c r="M602" i="1"/>
  <c r="G602" i="1"/>
  <c r="XFD602" i="1" s="1"/>
  <c r="S601" i="1"/>
  <c r="M601" i="1"/>
  <c r="G601" i="1"/>
  <c r="XFD601" i="1" s="1"/>
  <c r="S600" i="1"/>
  <c r="M600" i="1"/>
  <c r="G600" i="1"/>
  <c r="XFD600" i="1" s="1"/>
  <c r="S599" i="1"/>
  <c r="M599" i="1"/>
  <c r="G599" i="1"/>
  <c r="XFD599" i="1" s="1"/>
  <c r="S598" i="1"/>
  <c r="M598" i="1"/>
  <c r="G598" i="1"/>
  <c r="XFD598" i="1" s="1"/>
  <c r="S597" i="1"/>
  <c r="M597" i="1"/>
  <c r="G597" i="1"/>
  <c r="XFD597" i="1" s="1"/>
  <c r="S596" i="1"/>
  <c r="M596" i="1"/>
  <c r="G596" i="1"/>
  <c r="XFD596" i="1" s="1"/>
  <c r="S595" i="1"/>
  <c r="M595" i="1"/>
  <c r="G595" i="1"/>
  <c r="XFD595" i="1" s="1"/>
  <c r="S594" i="1"/>
  <c r="M594" i="1"/>
  <c r="G594" i="1"/>
  <c r="XFD594" i="1" s="1"/>
  <c r="S593" i="1"/>
  <c r="M593" i="1"/>
  <c r="G593" i="1"/>
  <c r="XFD593" i="1" s="1"/>
  <c r="S592" i="1"/>
  <c r="M592" i="1"/>
  <c r="G592" i="1"/>
  <c r="XFD592" i="1" s="1"/>
  <c r="S591" i="1"/>
  <c r="M591" i="1"/>
  <c r="G591" i="1"/>
  <c r="XFD591" i="1" s="1"/>
  <c r="S590" i="1"/>
  <c r="M590" i="1"/>
  <c r="G590" i="1"/>
  <c r="XFD590" i="1" s="1"/>
  <c r="S589" i="1"/>
  <c r="M589" i="1"/>
  <c r="G589" i="1"/>
  <c r="XFD589" i="1" s="1"/>
  <c r="S588" i="1"/>
  <c r="M588" i="1"/>
  <c r="G588" i="1"/>
  <c r="XFD588" i="1" s="1"/>
  <c r="S587" i="1"/>
  <c r="M587" i="1"/>
  <c r="G587" i="1"/>
  <c r="XFD587" i="1" s="1"/>
  <c r="S586" i="1"/>
  <c r="M586" i="1"/>
  <c r="G586" i="1"/>
  <c r="XFD586" i="1" s="1"/>
  <c r="S585" i="1"/>
  <c r="M585" i="1"/>
  <c r="G585" i="1"/>
  <c r="XFD585" i="1" s="1"/>
  <c r="S584" i="1"/>
  <c r="M584" i="1"/>
  <c r="G584" i="1"/>
  <c r="XFD584" i="1" s="1"/>
  <c r="S583" i="1"/>
  <c r="M583" i="1"/>
  <c r="G583" i="1"/>
  <c r="XFD583" i="1" s="1"/>
  <c r="S582" i="1"/>
  <c r="M582" i="1"/>
  <c r="G582" i="1"/>
  <c r="XFD582" i="1" s="1"/>
  <c r="S581" i="1"/>
  <c r="M581" i="1"/>
  <c r="G581" i="1"/>
  <c r="XFD581" i="1" s="1"/>
  <c r="S580" i="1"/>
  <c r="M580" i="1"/>
  <c r="G580" i="1"/>
  <c r="XFD580" i="1" s="1"/>
  <c r="S579" i="1"/>
  <c r="M579" i="1"/>
  <c r="G579" i="1"/>
  <c r="XFD579" i="1" s="1"/>
  <c r="S578" i="1"/>
  <c r="M578" i="1"/>
  <c r="G578" i="1"/>
  <c r="XFD578" i="1" s="1"/>
  <c r="S577" i="1"/>
  <c r="M577" i="1"/>
  <c r="G577" i="1"/>
  <c r="XFD577" i="1" s="1"/>
  <c r="S576" i="1"/>
  <c r="M576" i="1"/>
  <c r="G576" i="1"/>
  <c r="XFD576" i="1" s="1"/>
  <c r="S575" i="1"/>
  <c r="M575" i="1"/>
  <c r="G575" i="1"/>
  <c r="XFD575" i="1" s="1"/>
  <c r="S574" i="1"/>
  <c r="M574" i="1"/>
  <c r="G574" i="1"/>
  <c r="XFD574" i="1" s="1"/>
  <c r="S573" i="1"/>
  <c r="M573" i="1"/>
  <c r="G573" i="1"/>
  <c r="XFD573" i="1" s="1"/>
  <c r="S572" i="1"/>
  <c r="M572" i="1"/>
  <c r="G572" i="1"/>
  <c r="XFD572" i="1" s="1"/>
  <c r="S571" i="1"/>
  <c r="M571" i="1"/>
  <c r="G571" i="1"/>
  <c r="XFD571" i="1" s="1"/>
  <c r="S570" i="1"/>
  <c r="M570" i="1"/>
  <c r="G570" i="1"/>
  <c r="XFD570" i="1" s="1"/>
  <c r="S569" i="1"/>
  <c r="M569" i="1"/>
  <c r="G569" i="1"/>
  <c r="XFD569" i="1" s="1"/>
  <c r="S568" i="1"/>
  <c r="M568" i="1"/>
  <c r="G568" i="1"/>
  <c r="XFD568" i="1" s="1"/>
  <c r="S567" i="1"/>
  <c r="M567" i="1"/>
  <c r="G567" i="1"/>
  <c r="XFD567" i="1" s="1"/>
  <c r="S566" i="1"/>
  <c r="M566" i="1"/>
  <c r="G566" i="1"/>
  <c r="XFD566" i="1" s="1"/>
  <c r="S565" i="1"/>
  <c r="M565" i="1"/>
  <c r="G565" i="1"/>
  <c r="XFD565" i="1" s="1"/>
  <c r="S564" i="1"/>
  <c r="M564" i="1"/>
  <c r="G564" i="1"/>
  <c r="XFD564" i="1" s="1"/>
  <c r="S563" i="1"/>
  <c r="M563" i="1"/>
  <c r="G563" i="1"/>
  <c r="XFD563" i="1" s="1"/>
  <c r="S562" i="1"/>
  <c r="M562" i="1"/>
  <c r="G562" i="1"/>
  <c r="XFD562" i="1" s="1"/>
  <c r="S561" i="1"/>
  <c r="M561" i="1"/>
  <c r="G561" i="1"/>
  <c r="XFD561" i="1" s="1"/>
  <c r="S560" i="1"/>
  <c r="M560" i="1"/>
  <c r="G560" i="1"/>
  <c r="XFD560" i="1" s="1"/>
  <c r="S559" i="1"/>
  <c r="M559" i="1"/>
  <c r="G559" i="1"/>
  <c r="XFD559" i="1" s="1"/>
  <c r="S558" i="1"/>
  <c r="M558" i="1"/>
  <c r="G558" i="1"/>
  <c r="XFD558" i="1" s="1"/>
  <c r="S557" i="1"/>
  <c r="M557" i="1"/>
  <c r="G557" i="1"/>
  <c r="XFD557" i="1" s="1"/>
  <c r="S556" i="1"/>
  <c r="M556" i="1"/>
  <c r="G556" i="1"/>
  <c r="XFD556" i="1" s="1"/>
  <c r="S555" i="1"/>
  <c r="M555" i="1"/>
  <c r="G555" i="1"/>
  <c r="XFD555" i="1" s="1"/>
  <c r="S554" i="1"/>
  <c r="M554" i="1"/>
  <c r="G554" i="1"/>
  <c r="XFD554" i="1" s="1"/>
  <c r="S553" i="1"/>
  <c r="M553" i="1"/>
  <c r="G553" i="1"/>
  <c r="XFD553" i="1" s="1"/>
  <c r="S552" i="1"/>
  <c r="M552" i="1"/>
  <c r="G552" i="1"/>
  <c r="XFD552" i="1" s="1"/>
  <c r="S551" i="1"/>
  <c r="M551" i="1"/>
  <c r="G551" i="1"/>
  <c r="XFD551" i="1" s="1"/>
  <c r="S550" i="1"/>
  <c r="M550" i="1"/>
  <c r="G550" i="1"/>
  <c r="XFD550" i="1" s="1"/>
  <c r="S549" i="1"/>
  <c r="M549" i="1"/>
  <c r="G549" i="1"/>
  <c r="XFD549" i="1" s="1"/>
  <c r="S548" i="1"/>
  <c r="M548" i="1"/>
  <c r="G548" i="1"/>
  <c r="XFD548" i="1" s="1"/>
  <c r="S547" i="1"/>
  <c r="M547" i="1"/>
  <c r="G547" i="1"/>
  <c r="XFD547" i="1" s="1"/>
  <c r="S546" i="1"/>
  <c r="M546" i="1"/>
  <c r="G546" i="1"/>
  <c r="XFD546" i="1" s="1"/>
  <c r="S545" i="1"/>
  <c r="M545" i="1"/>
  <c r="G545" i="1"/>
  <c r="XFD545" i="1" s="1"/>
  <c r="S544" i="1"/>
  <c r="M544" i="1"/>
  <c r="G544" i="1"/>
  <c r="XFD544" i="1" s="1"/>
  <c r="S543" i="1"/>
  <c r="M543" i="1"/>
  <c r="G543" i="1"/>
  <c r="XFD543" i="1" s="1"/>
  <c r="S542" i="1"/>
  <c r="M542" i="1"/>
  <c r="G542" i="1"/>
  <c r="XFD542" i="1" s="1"/>
  <c r="S541" i="1"/>
  <c r="M541" i="1"/>
  <c r="G541" i="1"/>
  <c r="XFD541" i="1" s="1"/>
  <c r="S540" i="1"/>
  <c r="M540" i="1"/>
  <c r="G540" i="1"/>
  <c r="XFD540" i="1" s="1"/>
  <c r="S539" i="1"/>
  <c r="M539" i="1"/>
  <c r="G539" i="1"/>
  <c r="XFD539" i="1" s="1"/>
  <c r="S538" i="1"/>
  <c r="M538" i="1"/>
  <c r="G538" i="1"/>
  <c r="XFD538" i="1" s="1"/>
  <c r="S537" i="1"/>
  <c r="M537" i="1"/>
  <c r="G537" i="1"/>
  <c r="XFD537" i="1" s="1"/>
  <c r="S536" i="1"/>
  <c r="M536" i="1"/>
  <c r="G536" i="1"/>
  <c r="XFD536" i="1" s="1"/>
  <c r="S535" i="1"/>
  <c r="M535" i="1"/>
  <c r="G535" i="1"/>
  <c r="XFD535" i="1" s="1"/>
  <c r="S534" i="1"/>
  <c r="M534" i="1"/>
  <c r="G534" i="1"/>
  <c r="XFD534" i="1" s="1"/>
  <c r="S533" i="1"/>
  <c r="M533" i="1"/>
  <c r="G533" i="1"/>
  <c r="XFD533" i="1" s="1"/>
  <c r="S532" i="1"/>
  <c r="M532" i="1"/>
  <c r="G532" i="1"/>
  <c r="XFD532" i="1" s="1"/>
  <c r="S531" i="1"/>
  <c r="M531" i="1"/>
  <c r="G531" i="1"/>
  <c r="XFD531" i="1" s="1"/>
  <c r="S530" i="1"/>
  <c r="M530" i="1"/>
  <c r="G530" i="1"/>
  <c r="XFD530" i="1" s="1"/>
  <c r="S529" i="1"/>
  <c r="M529" i="1"/>
  <c r="G529" i="1"/>
  <c r="XFD529" i="1" s="1"/>
  <c r="S528" i="1"/>
  <c r="M528" i="1"/>
  <c r="G528" i="1"/>
  <c r="XFD528" i="1" s="1"/>
  <c r="S527" i="1"/>
  <c r="M527" i="1"/>
  <c r="G527" i="1"/>
  <c r="XFD527" i="1" s="1"/>
  <c r="S526" i="1"/>
  <c r="M526" i="1"/>
  <c r="G526" i="1"/>
  <c r="XFD526" i="1" s="1"/>
  <c r="S525" i="1"/>
  <c r="M525" i="1"/>
  <c r="G525" i="1"/>
  <c r="XFD525" i="1" s="1"/>
  <c r="S524" i="1"/>
  <c r="M524" i="1"/>
  <c r="G524" i="1"/>
  <c r="XFD524" i="1" s="1"/>
  <c r="S523" i="1"/>
  <c r="M523" i="1"/>
  <c r="G523" i="1"/>
  <c r="XFD523" i="1" s="1"/>
  <c r="S522" i="1"/>
  <c r="M522" i="1"/>
  <c r="G522" i="1"/>
  <c r="XFD522" i="1" s="1"/>
  <c r="S521" i="1"/>
  <c r="M521" i="1"/>
  <c r="G521" i="1"/>
  <c r="XFD521" i="1" s="1"/>
  <c r="S520" i="1"/>
  <c r="M520" i="1"/>
  <c r="G520" i="1"/>
  <c r="XFD520" i="1" s="1"/>
  <c r="S519" i="1"/>
  <c r="M519" i="1"/>
  <c r="G519" i="1"/>
  <c r="XFD519" i="1" s="1"/>
  <c r="S518" i="1"/>
  <c r="M518" i="1"/>
  <c r="G518" i="1"/>
  <c r="XFD518" i="1" s="1"/>
  <c r="S517" i="1"/>
  <c r="M517" i="1"/>
  <c r="G517" i="1"/>
  <c r="XFD517" i="1" s="1"/>
  <c r="S516" i="1"/>
  <c r="M516" i="1"/>
  <c r="G516" i="1"/>
  <c r="XFD516" i="1" s="1"/>
  <c r="S515" i="1"/>
  <c r="M515" i="1"/>
  <c r="G515" i="1"/>
  <c r="XFD515" i="1" s="1"/>
  <c r="S514" i="1"/>
  <c r="M514" i="1"/>
  <c r="G514" i="1"/>
  <c r="XFD514" i="1" s="1"/>
  <c r="S513" i="1"/>
  <c r="M513" i="1"/>
  <c r="G513" i="1"/>
  <c r="XFD513" i="1" s="1"/>
  <c r="S512" i="1"/>
  <c r="M512" i="1"/>
  <c r="G512" i="1"/>
  <c r="XFD512" i="1" s="1"/>
  <c r="S511" i="1"/>
  <c r="M511" i="1"/>
  <c r="G511" i="1"/>
  <c r="XFD511" i="1" s="1"/>
  <c r="S510" i="1"/>
  <c r="M510" i="1"/>
  <c r="G510" i="1"/>
  <c r="XFD510" i="1" s="1"/>
  <c r="S509" i="1"/>
  <c r="M509" i="1"/>
  <c r="G509" i="1"/>
  <c r="XFD509" i="1" s="1"/>
  <c r="S508" i="1"/>
  <c r="M508" i="1"/>
  <c r="G508" i="1"/>
  <c r="XFD508" i="1" s="1"/>
  <c r="S507" i="1"/>
  <c r="M507" i="1"/>
  <c r="G507" i="1"/>
  <c r="XFD507" i="1" s="1"/>
  <c r="S506" i="1"/>
  <c r="M506" i="1"/>
  <c r="G506" i="1"/>
  <c r="XFD506" i="1" s="1"/>
  <c r="S505" i="1"/>
  <c r="M505" i="1"/>
  <c r="G505" i="1"/>
  <c r="XFD505" i="1" s="1"/>
  <c r="S504" i="1"/>
  <c r="M504" i="1"/>
  <c r="G504" i="1"/>
  <c r="XFD504" i="1" s="1"/>
  <c r="S503" i="1"/>
  <c r="M503" i="1"/>
  <c r="G503" i="1"/>
  <c r="XFD503" i="1" s="1"/>
  <c r="S502" i="1"/>
  <c r="M502" i="1"/>
  <c r="G502" i="1"/>
  <c r="XFD502" i="1" s="1"/>
  <c r="S501" i="1"/>
  <c r="M501" i="1"/>
  <c r="G501" i="1"/>
  <c r="XFD501" i="1" s="1"/>
  <c r="S500" i="1"/>
  <c r="M500" i="1"/>
  <c r="G500" i="1"/>
  <c r="XFD500" i="1" s="1"/>
  <c r="S499" i="1"/>
  <c r="M499" i="1"/>
  <c r="G499" i="1"/>
  <c r="XFD499" i="1" s="1"/>
  <c r="S498" i="1"/>
  <c r="M498" i="1"/>
  <c r="G498" i="1"/>
  <c r="XFD498" i="1" s="1"/>
  <c r="S497" i="1"/>
  <c r="M497" i="1"/>
  <c r="G497" i="1"/>
  <c r="XFD497" i="1" s="1"/>
  <c r="S496" i="1"/>
  <c r="M496" i="1"/>
  <c r="G496" i="1"/>
  <c r="XFD496" i="1" s="1"/>
  <c r="S495" i="1"/>
  <c r="M495" i="1"/>
  <c r="G495" i="1"/>
  <c r="XFD495" i="1" s="1"/>
  <c r="S494" i="1"/>
  <c r="M494" i="1"/>
  <c r="G494" i="1"/>
  <c r="XFD494" i="1" s="1"/>
  <c r="S493" i="1"/>
  <c r="M493" i="1"/>
  <c r="G493" i="1"/>
  <c r="XFD493" i="1" s="1"/>
  <c r="S492" i="1"/>
  <c r="M492" i="1"/>
  <c r="G492" i="1"/>
  <c r="XFD492" i="1" s="1"/>
  <c r="S491" i="1"/>
  <c r="M491" i="1"/>
  <c r="G491" i="1"/>
  <c r="XFD491" i="1" s="1"/>
  <c r="S490" i="1"/>
  <c r="M490" i="1"/>
  <c r="G490" i="1"/>
  <c r="XFD490" i="1" s="1"/>
  <c r="S489" i="1"/>
  <c r="M489" i="1"/>
  <c r="G489" i="1"/>
  <c r="XFD489" i="1" s="1"/>
  <c r="S488" i="1"/>
  <c r="M488" i="1"/>
  <c r="G488" i="1"/>
  <c r="XFD488" i="1" s="1"/>
  <c r="S487" i="1"/>
  <c r="M487" i="1"/>
  <c r="G487" i="1"/>
  <c r="XFD487" i="1" s="1"/>
  <c r="S486" i="1"/>
  <c r="M486" i="1"/>
  <c r="G486" i="1"/>
  <c r="XFD486" i="1" s="1"/>
  <c r="S485" i="1"/>
  <c r="M485" i="1"/>
  <c r="G485" i="1"/>
  <c r="XFD485" i="1" s="1"/>
  <c r="S484" i="1"/>
  <c r="M484" i="1"/>
  <c r="G484" i="1"/>
  <c r="XFD484" i="1" s="1"/>
  <c r="S483" i="1"/>
  <c r="M483" i="1"/>
  <c r="G483" i="1"/>
  <c r="XFD483" i="1" s="1"/>
  <c r="S482" i="1"/>
  <c r="M482" i="1"/>
  <c r="G482" i="1"/>
  <c r="XFD482" i="1" s="1"/>
  <c r="S481" i="1"/>
  <c r="M481" i="1"/>
  <c r="G481" i="1"/>
  <c r="XFD481" i="1" s="1"/>
  <c r="S480" i="1"/>
  <c r="M480" i="1"/>
  <c r="G480" i="1"/>
  <c r="XFD480" i="1" s="1"/>
  <c r="S479" i="1"/>
  <c r="M479" i="1"/>
  <c r="G479" i="1"/>
  <c r="XFD479" i="1" s="1"/>
  <c r="S478" i="1"/>
  <c r="M478" i="1"/>
  <c r="G478" i="1"/>
  <c r="XFD478" i="1" s="1"/>
  <c r="S477" i="1"/>
  <c r="M477" i="1"/>
  <c r="G477" i="1"/>
  <c r="XFD477" i="1" s="1"/>
  <c r="S476" i="1"/>
  <c r="M476" i="1"/>
  <c r="G476" i="1"/>
  <c r="XFD476" i="1" s="1"/>
  <c r="S475" i="1"/>
  <c r="M475" i="1"/>
  <c r="G475" i="1"/>
  <c r="XFD475" i="1" s="1"/>
  <c r="S474" i="1"/>
  <c r="M474" i="1"/>
  <c r="G474" i="1"/>
  <c r="XFD474" i="1" s="1"/>
  <c r="S473" i="1"/>
  <c r="M473" i="1"/>
  <c r="G473" i="1"/>
  <c r="XFD473" i="1" s="1"/>
  <c r="S472" i="1"/>
  <c r="M472" i="1"/>
  <c r="G472" i="1"/>
  <c r="XFD472" i="1" s="1"/>
  <c r="S471" i="1"/>
  <c r="M471" i="1"/>
  <c r="G471" i="1"/>
  <c r="XFD471" i="1" s="1"/>
  <c r="S470" i="1"/>
  <c r="M470" i="1"/>
  <c r="G470" i="1"/>
  <c r="XFD470" i="1" s="1"/>
  <c r="S469" i="1"/>
  <c r="M469" i="1"/>
  <c r="G469" i="1"/>
  <c r="XFD469" i="1" s="1"/>
  <c r="S468" i="1"/>
  <c r="M468" i="1"/>
  <c r="G468" i="1"/>
  <c r="XFD468" i="1" s="1"/>
  <c r="S467" i="1"/>
  <c r="M467" i="1"/>
  <c r="G467" i="1"/>
  <c r="XFD467" i="1" s="1"/>
  <c r="S466" i="1"/>
  <c r="M466" i="1"/>
  <c r="G466" i="1"/>
  <c r="XFD466" i="1" s="1"/>
  <c r="S465" i="1"/>
  <c r="M465" i="1"/>
  <c r="G465" i="1"/>
  <c r="XFD465" i="1" s="1"/>
  <c r="S464" i="1"/>
  <c r="M464" i="1"/>
  <c r="G464" i="1"/>
  <c r="XFD464" i="1" s="1"/>
  <c r="S463" i="1"/>
  <c r="M463" i="1"/>
  <c r="G463" i="1"/>
  <c r="XFD463" i="1" s="1"/>
  <c r="S462" i="1"/>
  <c r="M462" i="1"/>
  <c r="G462" i="1"/>
  <c r="XFD462" i="1" s="1"/>
  <c r="S461" i="1"/>
  <c r="M461" i="1"/>
  <c r="G461" i="1"/>
  <c r="XFD461" i="1" s="1"/>
  <c r="S460" i="1"/>
  <c r="M460" i="1"/>
  <c r="G460" i="1"/>
  <c r="XFD460" i="1" s="1"/>
  <c r="S459" i="1"/>
  <c r="M459" i="1"/>
  <c r="G459" i="1"/>
  <c r="XFD459" i="1" s="1"/>
  <c r="S458" i="1"/>
  <c r="M458" i="1"/>
  <c r="G458" i="1"/>
  <c r="XFD458" i="1" s="1"/>
  <c r="S457" i="1"/>
  <c r="M457" i="1"/>
  <c r="G457" i="1"/>
  <c r="XFD457" i="1" s="1"/>
  <c r="S456" i="1"/>
  <c r="M456" i="1"/>
  <c r="G456" i="1"/>
  <c r="XFD456" i="1" s="1"/>
  <c r="S455" i="1"/>
  <c r="M455" i="1"/>
  <c r="G455" i="1"/>
  <c r="XFD455" i="1" s="1"/>
  <c r="S454" i="1"/>
  <c r="M454" i="1"/>
  <c r="G454" i="1"/>
  <c r="XFD454" i="1" s="1"/>
  <c r="S453" i="1"/>
  <c r="M453" i="1"/>
  <c r="G453" i="1"/>
  <c r="XFD453" i="1" s="1"/>
  <c r="S452" i="1"/>
  <c r="M452" i="1"/>
  <c r="G452" i="1"/>
  <c r="XFD452" i="1" s="1"/>
  <c r="S451" i="1"/>
  <c r="M451" i="1"/>
  <c r="G451" i="1"/>
  <c r="XFD451" i="1" s="1"/>
  <c r="S450" i="1"/>
  <c r="M450" i="1"/>
  <c r="G450" i="1"/>
  <c r="XFD450" i="1" s="1"/>
  <c r="S449" i="1"/>
  <c r="M449" i="1"/>
  <c r="G449" i="1"/>
  <c r="XFD449" i="1" s="1"/>
  <c r="S448" i="1"/>
  <c r="M448" i="1"/>
  <c r="G448" i="1"/>
  <c r="XFD448" i="1" s="1"/>
  <c r="S447" i="1"/>
  <c r="M447" i="1"/>
  <c r="G447" i="1"/>
  <c r="XFD447" i="1" s="1"/>
  <c r="S446" i="1"/>
  <c r="M446" i="1"/>
  <c r="G446" i="1"/>
  <c r="XFD446" i="1" s="1"/>
  <c r="S445" i="1"/>
  <c r="M445" i="1"/>
  <c r="G445" i="1"/>
  <c r="XFD445" i="1" s="1"/>
  <c r="S444" i="1"/>
  <c r="M444" i="1"/>
  <c r="G444" i="1"/>
  <c r="XFD444" i="1" s="1"/>
  <c r="S443" i="1"/>
  <c r="M443" i="1"/>
  <c r="G443" i="1"/>
  <c r="XFD443" i="1" s="1"/>
  <c r="S442" i="1"/>
  <c r="M442" i="1"/>
  <c r="G442" i="1"/>
  <c r="XFD442" i="1" s="1"/>
  <c r="S441" i="1"/>
  <c r="M441" i="1"/>
  <c r="G441" i="1"/>
  <c r="XFD441" i="1" s="1"/>
  <c r="S440" i="1"/>
  <c r="M440" i="1"/>
  <c r="G440" i="1"/>
  <c r="XFD440" i="1" s="1"/>
  <c r="S439" i="1"/>
  <c r="M439" i="1"/>
  <c r="G439" i="1"/>
  <c r="XFD439" i="1" s="1"/>
  <c r="S438" i="1"/>
  <c r="M438" i="1"/>
  <c r="G438" i="1"/>
  <c r="XFD438" i="1" s="1"/>
  <c r="S437" i="1"/>
  <c r="M437" i="1"/>
  <c r="G437" i="1"/>
  <c r="XFD437" i="1" s="1"/>
  <c r="S436" i="1"/>
  <c r="M436" i="1"/>
  <c r="G436" i="1"/>
  <c r="XFD436" i="1" s="1"/>
  <c r="S435" i="1"/>
  <c r="M435" i="1"/>
  <c r="G435" i="1"/>
  <c r="XFD435" i="1" s="1"/>
  <c r="S434" i="1"/>
  <c r="M434" i="1"/>
  <c r="G434" i="1"/>
  <c r="XFD434" i="1" s="1"/>
  <c r="S433" i="1"/>
  <c r="M433" i="1"/>
  <c r="G433" i="1"/>
  <c r="XFD433" i="1" s="1"/>
  <c r="S432" i="1"/>
  <c r="M432" i="1"/>
  <c r="G432" i="1"/>
  <c r="XFD432" i="1" s="1"/>
  <c r="S431" i="1"/>
  <c r="M431" i="1"/>
  <c r="G431" i="1"/>
  <c r="XFD431" i="1" s="1"/>
  <c r="S430" i="1"/>
  <c r="M430" i="1"/>
  <c r="G430" i="1"/>
  <c r="XFD430" i="1" s="1"/>
  <c r="S429" i="1"/>
  <c r="M429" i="1"/>
  <c r="G429" i="1"/>
  <c r="XFD429" i="1" s="1"/>
  <c r="S428" i="1"/>
  <c r="M428" i="1"/>
  <c r="G428" i="1"/>
  <c r="XFD428" i="1" s="1"/>
  <c r="S427" i="1"/>
  <c r="M427" i="1"/>
  <c r="G427" i="1"/>
  <c r="XFD427" i="1" s="1"/>
  <c r="S426" i="1"/>
  <c r="M426" i="1"/>
  <c r="G426" i="1"/>
  <c r="XFD426" i="1" s="1"/>
  <c r="S425" i="1"/>
  <c r="M425" i="1"/>
  <c r="G425" i="1"/>
  <c r="XFD425" i="1" s="1"/>
  <c r="S424" i="1"/>
  <c r="M424" i="1"/>
  <c r="G424" i="1"/>
  <c r="XFD424" i="1" s="1"/>
  <c r="S423" i="1"/>
  <c r="M423" i="1"/>
  <c r="G423" i="1"/>
  <c r="XFD423" i="1" s="1"/>
  <c r="S422" i="1"/>
  <c r="M422" i="1"/>
  <c r="G422" i="1"/>
  <c r="XFD422" i="1" s="1"/>
  <c r="S421" i="1"/>
  <c r="M421" i="1"/>
  <c r="G421" i="1"/>
  <c r="XFD421" i="1" s="1"/>
  <c r="S420" i="1"/>
  <c r="M420" i="1"/>
  <c r="G420" i="1"/>
  <c r="XFD420" i="1" s="1"/>
  <c r="S419" i="1"/>
  <c r="M419" i="1"/>
  <c r="G419" i="1"/>
  <c r="XFD419" i="1" s="1"/>
  <c r="S418" i="1"/>
  <c r="M418" i="1"/>
  <c r="G418" i="1"/>
  <c r="XFD418" i="1" s="1"/>
  <c r="S417" i="1"/>
  <c r="M417" i="1"/>
  <c r="G417" i="1"/>
  <c r="XFD417" i="1" s="1"/>
  <c r="S416" i="1"/>
  <c r="M416" i="1"/>
  <c r="G416" i="1"/>
  <c r="XFD416" i="1" s="1"/>
  <c r="S415" i="1"/>
  <c r="M415" i="1"/>
  <c r="G415" i="1"/>
  <c r="XFD415" i="1" s="1"/>
  <c r="S414" i="1"/>
  <c r="M414" i="1"/>
  <c r="G414" i="1"/>
  <c r="XFD414" i="1" s="1"/>
  <c r="S413" i="1"/>
  <c r="M413" i="1"/>
  <c r="G413" i="1"/>
  <c r="XFD413" i="1" s="1"/>
  <c r="S412" i="1"/>
  <c r="M412" i="1"/>
  <c r="G412" i="1"/>
  <c r="XFD412" i="1" s="1"/>
  <c r="S411" i="1"/>
  <c r="M411" i="1"/>
  <c r="G411" i="1"/>
  <c r="XFD411" i="1" s="1"/>
  <c r="S410" i="1"/>
  <c r="M410" i="1"/>
  <c r="G410" i="1"/>
  <c r="XFD410" i="1" s="1"/>
  <c r="S409" i="1"/>
  <c r="M409" i="1"/>
  <c r="G409" i="1"/>
  <c r="XFD409" i="1" s="1"/>
  <c r="S408" i="1"/>
  <c r="M408" i="1"/>
  <c r="G408" i="1"/>
  <c r="XFD408" i="1" s="1"/>
  <c r="S407" i="1"/>
  <c r="M407" i="1"/>
  <c r="G407" i="1"/>
  <c r="XFD407" i="1" s="1"/>
  <c r="S406" i="1"/>
  <c r="M406" i="1"/>
  <c r="G406" i="1"/>
  <c r="XFD406" i="1" s="1"/>
  <c r="S405" i="1"/>
  <c r="M405" i="1"/>
  <c r="G405" i="1"/>
  <c r="XFD405" i="1" s="1"/>
  <c r="S404" i="1"/>
  <c r="M404" i="1"/>
  <c r="G404" i="1"/>
  <c r="XFD404" i="1" s="1"/>
  <c r="S403" i="1"/>
  <c r="M403" i="1"/>
  <c r="G403" i="1"/>
  <c r="XFD403" i="1" s="1"/>
  <c r="S402" i="1"/>
  <c r="M402" i="1"/>
  <c r="G402" i="1"/>
  <c r="XFD402" i="1" s="1"/>
  <c r="S401" i="1"/>
  <c r="M401" i="1"/>
  <c r="G401" i="1"/>
  <c r="XFD401" i="1" s="1"/>
  <c r="S400" i="1"/>
  <c r="M400" i="1"/>
  <c r="G400" i="1"/>
  <c r="XFD400" i="1" s="1"/>
  <c r="S399" i="1"/>
  <c r="M399" i="1"/>
  <c r="G399" i="1"/>
  <c r="XFD399" i="1" s="1"/>
  <c r="S398" i="1"/>
  <c r="M398" i="1"/>
  <c r="G398" i="1"/>
  <c r="XFD398" i="1" s="1"/>
  <c r="S397" i="1"/>
  <c r="M397" i="1"/>
  <c r="G397" i="1"/>
  <c r="XFD397" i="1" s="1"/>
  <c r="S396" i="1"/>
  <c r="M396" i="1"/>
  <c r="G396" i="1"/>
  <c r="XFD396" i="1" s="1"/>
  <c r="S395" i="1"/>
  <c r="M395" i="1"/>
  <c r="G395" i="1"/>
  <c r="XFD395" i="1" s="1"/>
  <c r="S394" i="1"/>
  <c r="M394" i="1"/>
  <c r="G394" i="1"/>
  <c r="XFD394" i="1" s="1"/>
  <c r="S393" i="1"/>
  <c r="M393" i="1"/>
  <c r="G393" i="1"/>
  <c r="XFD393" i="1" s="1"/>
  <c r="S392" i="1"/>
  <c r="M392" i="1"/>
  <c r="G392" i="1"/>
  <c r="XFD392" i="1" s="1"/>
  <c r="S391" i="1"/>
  <c r="M391" i="1"/>
  <c r="G391" i="1"/>
  <c r="XFD391" i="1" s="1"/>
  <c r="S390" i="1"/>
  <c r="M390" i="1"/>
  <c r="G390" i="1"/>
  <c r="XFD390" i="1" s="1"/>
  <c r="S389" i="1"/>
  <c r="M389" i="1"/>
  <c r="G389" i="1"/>
  <c r="XFD389" i="1" s="1"/>
  <c r="S388" i="1"/>
  <c r="M388" i="1"/>
  <c r="G388" i="1"/>
  <c r="XFD388" i="1" s="1"/>
  <c r="S387" i="1"/>
  <c r="M387" i="1"/>
  <c r="G387" i="1"/>
  <c r="XFD387" i="1" s="1"/>
  <c r="S386" i="1"/>
  <c r="M386" i="1"/>
  <c r="G386" i="1"/>
  <c r="XFD386" i="1" s="1"/>
  <c r="S385" i="1"/>
  <c r="M385" i="1"/>
  <c r="G385" i="1"/>
  <c r="XFD385" i="1" s="1"/>
  <c r="S384" i="1"/>
  <c r="M384" i="1"/>
  <c r="G384" i="1"/>
  <c r="XFD384" i="1" s="1"/>
  <c r="S383" i="1"/>
  <c r="M383" i="1"/>
  <c r="G383" i="1"/>
  <c r="XFD383" i="1" s="1"/>
  <c r="S382" i="1"/>
  <c r="M382" i="1"/>
  <c r="G382" i="1"/>
  <c r="XFD382" i="1" s="1"/>
  <c r="S381" i="1"/>
  <c r="M381" i="1"/>
  <c r="G381" i="1"/>
  <c r="XFD381" i="1" s="1"/>
  <c r="S380" i="1"/>
  <c r="M380" i="1"/>
  <c r="G380" i="1"/>
  <c r="XFD380" i="1" s="1"/>
  <c r="S379" i="1"/>
  <c r="M379" i="1"/>
  <c r="G379" i="1"/>
  <c r="XFD379" i="1" s="1"/>
  <c r="S378" i="1"/>
  <c r="M378" i="1"/>
  <c r="G378" i="1"/>
  <c r="XFD378" i="1" s="1"/>
  <c r="S377" i="1"/>
  <c r="M377" i="1"/>
  <c r="G377" i="1"/>
  <c r="XFD377" i="1" s="1"/>
  <c r="S376" i="1"/>
  <c r="M376" i="1"/>
  <c r="G376" i="1"/>
  <c r="XFD376" i="1" s="1"/>
  <c r="S375" i="1"/>
  <c r="M375" i="1"/>
  <c r="G375" i="1"/>
  <c r="XFD375" i="1" s="1"/>
  <c r="S374" i="1"/>
  <c r="M374" i="1"/>
  <c r="G374" i="1"/>
  <c r="XFD374" i="1" s="1"/>
  <c r="S373" i="1"/>
  <c r="M373" i="1"/>
  <c r="G373" i="1"/>
  <c r="XFD373" i="1" s="1"/>
  <c r="S372" i="1"/>
  <c r="M372" i="1"/>
  <c r="G372" i="1"/>
  <c r="XFD372" i="1" s="1"/>
  <c r="S371" i="1"/>
  <c r="M371" i="1"/>
  <c r="G371" i="1"/>
  <c r="XFD371" i="1" s="1"/>
  <c r="S370" i="1"/>
  <c r="M370" i="1"/>
  <c r="G370" i="1"/>
  <c r="XFD370" i="1" s="1"/>
  <c r="S369" i="1"/>
  <c r="M369" i="1"/>
  <c r="G369" i="1"/>
  <c r="XFD369" i="1" s="1"/>
  <c r="S368" i="1"/>
  <c r="M368" i="1"/>
  <c r="G368" i="1"/>
  <c r="XFD368" i="1" s="1"/>
  <c r="S367" i="1"/>
  <c r="M367" i="1"/>
  <c r="G367" i="1"/>
  <c r="XFD367" i="1" s="1"/>
  <c r="S366" i="1"/>
  <c r="M366" i="1"/>
  <c r="G366" i="1"/>
  <c r="XFD366" i="1" s="1"/>
  <c r="S365" i="1"/>
  <c r="M365" i="1"/>
  <c r="G365" i="1"/>
  <c r="XFD365" i="1" s="1"/>
  <c r="S364" i="1"/>
  <c r="M364" i="1"/>
  <c r="G364" i="1"/>
  <c r="XFD364" i="1" s="1"/>
  <c r="S363" i="1"/>
  <c r="M363" i="1"/>
  <c r="G363" i="1"/>
  <c r="XFD363" i="1" s="1"/>
  <c r="S362" i="1"/>
  <c r="M362" i="1"/>
  <c r="G362" i="1"/>
  <c r="XFD362" i="1" s="1"/>
  <c r="S361" i="1"/>
  <c r="M361" i="1"/>
  <c r="G361" i="1"/>
  <c r="XFD361" i="1" s="1"/>
  <c r="S360" i="1"/>
  <c r="M360" i="1"/>
  <c r="G360" i="1"/>
  <c r="XFD360" i="1" s="1"/>
  <c r="S359" i="1"/>
  <c r="M359" i="1"/>
  <c r="G359" i="1"/>
  <c r="XFD359" i="1" s="1"/>
  <c r="S358" i="1"/>
  <c r="M358" i="1"/>
  <c r="G358" i="1"/>
  <c r="XFD358" i="1" s="1"/>
  <c r="S357" i="1"/>
  <c r="M357" i="1"/>
  <c r="G357" i="1"/>
  <c r="XFD357" i="1" s="1"/>
  <c r="S356" i="1"/>
  <c r="M356" i="1"/>
  <c r="G356" i="1"/>
  <c r="XFD356" i="1" s="1"/>
  <c r="S355" i="1"/>
  <c r="M355" i="1"/>
  <c r="G355" i="1"/>
  <c r="XFD355" i="1" s="1"/>
  <c r="S354" i="1"/>
  <c r="M354" i="1"/>
  <c r="G354" i="1"/>
  <c r="XFD354" i="1" s="1"/>
  <c r="S353" i="1"/>
  <c r="M353" i="1"/>
  <c r="G353" i="1"/>
  <c r="XFD353" i="1" s="1"/>
  <c r="S352" i="1"/>
  <c r="M352" i="1"/>
  <c r="G352" i="1"/>
  <c r="XFD352" i="1" s="1"/>
  <c r="S351" i="1"/>
  <c r="M351" i="1"/>
  <c r="G351" i="1"/>
  <c r="XFD351" i="1" s="1"/>
  <c r="S350" i="1"/>
  <c r="M350" i="1"/>
  <c r="G350" i="1"/>
  <c r="XFD350" i="1" s="1"/>
  <c r="S349" i="1"/>
  <c r="M349" i="1"/>
  <c r="G349" i="1"/>
  <c r="XFD349" i="1" s="1"/>
  <c r="S348" i="1"/>
  <c r="M348" i="1"/>
  <c r="G348" i="1"/>
  <c r="XFD348" i="1" s="1"/>
  <c r="S347" i="1"/>
  <c r="M347" i="1"/>
  <c r="G347" i="1"/>
  <c r="XFD347" i="1" s="1"/>
  <c r="S346" i="1"/>
  <c r="M346" i="1"/>
  <c r="G346" i="1"/>
  <c r="XFD346" i="1" s="1"/>
  <c r="S345" i="1"/>
  <c r="M345" i="1"/>
  <c r="G345" i="1"/>
  <c r="XFD345" i="1" s="1"/>
  <c r="S344" i="1"/>
  <c r="M344" i="1"/>
  <c r="G344" i="1"/>
  <c r="XFD344" i="1" s="1"/>
  <c r="S343" i="1"/>
  <c r="M343" i="1"/>
  <c r="G343" i="1"/>
  <c r="XFD343" i="1" s="1"/>
  <c r="S342" i="1"/>
  <c r="M342" i="1"/>
  <c r="G342" i="1"/>
  <c r="XFD342" i="1" s="1"/>
  <c r="S341" i="1"/>
  <c r="M341" i="1"/>
  <c r="G341" i="1"/>
  <c r="XFD341" i="1" s="1"/>
  <c r="S340" i="1"/>
  <c r="M340" i="1"/>
  <c r="G340" i="1"/>
  <c r="XFD340" i="1" s="1"/>
  <c r="S339" i="1"/>
  <c r="M339" i="1"/>
  <c r="G339" i="1"/>
  <c r="XFD339" i="1" s="1"/>
  <c r="S338" i="1"/>
  <c r="M338" i="1"/>
  <c r="G338" i="1"/>
  <c r="XFD338" i="1" s="1"/>
  <c r="S337" i="1"/>
  <c r="M337" i="1"/>
  <c r="G337" i="1"/>
  <c r="XFD337" i="1" s="1"/>
  <c r="S336" i="1"/>
  <c r="M336" i="1"/>
  <c r="G336" i="1"/>
  <c r="XFD336" i="1" s="1"/>
  <c r="S335" i="1"/>
  <c r="M335" i="1"/>
  <c r="G335" i="1"/>
  <c r="XFD335" i="1" s="1"/>
  <c r="S334" i="1"/>
  <c r="M334" i="1"/>
  <c r="G334" i="1"/>
  <c r="XFD334" i="1" s="1"/>
  <c r="S333" i="1"/>
  <c r="M333" i="1"/>
  <c r="G333" i="1"/>
  <c r="XFD333" i="1" s="1"/>
  <c r="S332" i="1"/>
  <c r="M332" i="1"/>
  <c r="G332" i="1"/>
  <c r="XFD332" i="1" s="1"/>
  <c r="S331" i="1"/>
  <c r="M331" i="1"/>
  <c r="G331" i="1"/>
  <c r="XFD331" i="1" s="1"/>
  <c r="S330" i="1"/>
  <c r="M330" i="1"/>
  <c r="G330" i="1"/>
  <c r="XFD330" i="1" s="1"/>
  <c r="S329" i="1"/>
  <c r="M329" i="1"/>
  <c r="G329" i="1"/>
  <c r="XFD329" i="1" s="1"/>
  <c r="S328" i="1"/>
  <c r="M328" i="1"/>
  <c r="G328" i="1"/>
  <c r="XFD328" i="1" s="1"/>
  <c r="S327" i="1"/>
  <c r="M327" i="1"/>
  <c r="G327" i="1"/>
  <c r="XFD327" i="1" s="1"/>
  <c r="S326" i="1"/>
  <c r="M326" i="1"/>
  <c r="G326" i="1"/>
  <c r="XFD326" i="1" s="1"/>
  <c r="S325" i="1"/>
  <c r="M325" i="1"/>
  <c r="G325" i="1"/>
  <c r="XFD325" i="1" s="1"/>
  <c r="S324" i="1"/>
  <c r="M324" i="1"/>
  <c r="G324" i="1"/>
  <c r="XFD324" i="1" s="1"/>
  <c r="S323" i="1"/>
  <c r="M323" i="1"/>
  <c r="G323" i="1"/>
  <c r="XFD323" i="1" s="1"/>
  <c r="S322" i="1"/>
  <c r="M322" i="1"/>
  <c r="G322" i="1"/>
  <c r="XFD322" i="1" s="1"/>
  <c r="S321" i="1"/>
  <c r="M321" i="1"/>
  <c r="G321" i="1"/>
  <c r="XFD321" i="1" s="1"/>
  <c r="S320" i="1"/>
  <c r="M320" i="1"/>
  <c r="G320" i="1"/>
  <c r="XFD320" i="1" s="1"/>
  <c r="S319" i="1"/>
  <c r="M319" i="1"/>
  <c r="G319" i="1"/>
  <c r="XFD319" i="1" s="1"/>
  <c r="S318" i="1"/>
  <c r="M318" i="1"/>
  <c r="G318" i="1"/>
  <c r="XFD318" i="1" s="1"/>
  <c r="S317" i="1"/>
  <c r="M317" i="1"/>
  <c r="G317" i="1"/>
  <c r="XFD317" i="1" s="1"/>
  <c r="S316" i="1"/>
  <c r="M316" i="1"/>
  <c r="G316" i="1"/>
  <c r="XFD316" i="1" s="1"/>
  <c r="S315" i="1"/>
  <c r="M315" i="1"/>
  <c r="G315" i="1"/>
  <c r="XFD315" i="1" s="1"/>
  <c r="S314" i="1"/>
  <c r="M314" i="1"/>
  <c r="G314" i="1"/>
  <c r="XFD314" i="1" s="1"/>
  <c r="S313" i="1"/>
  <c r="M313" i="1"/>
  <c r="G313" i="1"/>
  <c r="XFD313" i="1" s="1"/>
  <c r="S312" i="1"/>
  <c r="M312" i="1"/>
  <c r="G312" i="1"/>
  <c r="XFD312" i="1" s="1"/>
  <c r="S311" i="1"/>
  <c r="M311" i="1"/>
  <c r="G311" i="1"/>
  <c r="XFD311" i="1" s="1"/>
  <c r="S310" i="1"/>
  <c r="M310" i="1"/>
  <c r="G310" i="1"/>
  <c r="XFD310" i="1" s="1"/>
  <c r="S309" i="1"/>
  <c r="M309" i="1"/>
  <c r="G309" i="1"/>
  <c r="XFD309" i="1" s="1"/>
  <c r="S308" i="1"/>
  <c r="M308" i="1"/>
  <c r="G308" i="1"/>
  <c r="XFD308" i="1" s="1"/>
  <c r="S307" i="1"/>
  <c r="M307" i="1"/>
  <c r="G307" i="1"/>
  <c r="XFD307" i="1" s="1"/>
  <c r="S306" i="1"/>
  <c r="M306" i="1"/>
  <c r="G306" i="1"/>
  <c r="XFD306" i="1" s="1"/>
  <c r="S305" i="1"/>
  <c r="M305" i="1"/>
  <c r="G305" i="1"/>
  <c r="XFD305" i="1" s="1"/>
  <c r="S304" i="1"/>
  <c r="M304" i="1"/>
  <c r="G304" i="1"/>
  <c r="XFD304" i="1" s="1"/>
  <c r="S303" i="1"/>
  <c r="M303" i="1"/>
  <c r="G303" i="1"/>
  <c r="XFD303" i="1" s="1"/>
  <c r="S302" i="1"/>
  <c r="M302" i="1"/>
  <c r="G302" i="1"/>
  <c r="XFD302" i="1" s="1"/>
  <c r="S301" i="1"/>
  <c r="M301" i="1"/>
  <c r="G301" i="1"/>
  <c r="XFD301" i="1" s="1"/>
  <c r="S300" i="1"/>
  <c r="M300" i="1"/>
  <c r="G300" i="1"/>
  <c r="XFD300" i="1" s="1"/>
  <c r="S299" i="1"/>
  <c r="M299" i="1"/>
  <c r="G299" i="1"/>
  <c r="XFD299" i="1" s="1"/>
  <c r="S298" i="1"/>
  <c r="M298" i="1"/>
  <c r="G298" i="1"/>
  <c r="XFD298" i="1" s="1"/>
  <c r="S297" i="1"/>
  <c r="M297" i="1"/>
  <c r="G297" i="1"/>
  <c r="XFD297" i="1" s="1"/>
  <c r="S296" i="1"/>
  <c r="M296" i="1"/>
  <c r="G296" i="1"/>
  <c r="XFD296" i="1" s="1"/>
  <c r="S295" i="1"/>
  <c r="M295" i="1"/>
  <c r="G295" i="1"/>
  <c r="XFD295" i="1" s="1"/>
  <c r="S294" i="1"/>
  <c r="M294" i="1"/>
  <c r="G294" i="1"/>
  <c r="XFD294" i="1" s="1"/>
  <c r="S293" i="1"/>
  <c r="M293" i="1"/>
  <c r="G293" i="1"/>
  <c r="XFD293" i="1" s="1"/>
  <c r="S292" i="1"/>
  <c r="M292" i="1"/>
  <c r="G292" i="1"/>
  <c r="XFD292" i="1" s="1"/>
  <c r="S291" i="1"/>
  <c r="M291" i="1"/>
  <c r="G291" i="1"/>
  <c r="XFD291" i="1" s="1"/>
  <c r="S290" i="1"/>
  <c r="M290" i="1"/>
  <c r="G290" i="1"/>
  <c r="XFD290" i="1" s="1"/>
  <c r="S289" i="1"/>
  <c r="M289" i="1"/>
  <c r="G289" i="1"/>
  <c r="XFD289" i="1" s="1"/>
  <c r="S288" i="1"/>
  <c r="M288" i="1"/>
  <c r="G288" i="1"/>
  <c r="XFD288" i="1" s="1"/>
  <c r="S287" i="1"/>
  <c r="M287" i="1"/>
  <c r="G287" i="1"/>
  <c r="XFD287" i="1" s="1"/>
  <c r="S286" i="1"/>
  <c r="M286" i="1"/>
  <c r="G286" i="1"/>
  <c r="XFD286" i="1" s="1"/>
  <c r="S285" i="1"/>
  <c r="M285" i="1"/>
  <c r="G285" i="1"/>
  <c r="XFD285" i="1" s="1"/>
  <c r="S284" i="1"/>
  <c r="M284" i="1"/>
  <c r="G284" i="1"/>
  <c r="XFD284" i="1" s="1"/>
  <c r="S283" i="1"/>
  <c r="M283" i="1"/>
  <c r="G283" i="1"/>
  <c r="XFD283" i="1" s="1"/>
  <c r="S282" i="1"/>
  <c r="M282" i="1"/>
  <c r="G282" i="1"/>
  <c r="XFD282" i="1" s="1"/>
  <c r="S281" i="1"/>
  <c r="M281" i="1"/>
  <c r="G281" i="1"/>
  <c r="XFD281" i="1" s="1"/>
  <c r="S280" i="1"/>
  <c r="M280" i="1"/>
  <c r="G280" i="1"/>
  <c r="XFD280" i="1" s="1"/>
  <c r="S279" i="1"/>
  <c r="M279" i="1"/>
  <c r="G279" i="1"/>
  <c r="XFD279" i="1" s="1"/>
  <c r="S278" i="1"/>
  <c r="M278" i="1"/>
  <c r="G278" i="1"/>
  <c r="XFD278" i="1" s="1"/>
  <c r="S277" i="1"/>
  <c r="M277" i="1"/>
  <c r="G277" i="1"/>
  <c r="XFD277" i="1" s="1"/>
  <c r="S276" i="1"/>
  <c r="M276" i="1"/>
  <c r="G276" i="1"/>
  <c r="XFD276" i="1" s="1"/>
  <c r="S275" i="1"/>
  <c r="M275" i="1"/>
  <c r="G275" i="1"/>
  <c r="XFD275" i="1" s="1"/>
  <c r="S274" i="1"/>
  <c r="M274" i="1"/>
  <c r="G274" i="1"/>
  <c r="XFD274" i="1" s="1"/>
  <c r="S273" i="1"/>
  <c r="M273" i="1"/>
  <c r="G273" i="1"/>
  <c r="XFD273" i="1" s="1"/>
  <c r="S272" i="1"/>
  <c r="M272" i="1"/>
  <c r="G272" i="1"/>
  <c r="XFD272" i="1" s="1"/>
  <c r="S271" i="1"/>
  <c r="M271" i="1"/>
  <c r="G271" i="1"/>
  <c r="XFD271" i="1" s="1"/>
  <c r="S270" i="1"/>
  <c r="M270" i="1"/>
  <c r="G270" i="1"/>
  <c r="XFD270" i="1" s="1"/>
  <c r="S269" i="1"/>
  <c r="M269" i="1"/>
  <c r="G269" i="1"/>
  <c r="XFD269" i="1" s="1"/>
  <c r="S268" i="1"/>
  <c r="M268" i="1"/>
  <c r="G268" i="1"/>
  <c r="XFD268" i="1" s="1"/>
  <c r="S267" i="1"/>
  <c r="M267" i="1"/>
  <c r="G267" i="1"/>
  <c r="XFD267" i="1" s="1"/>
  <c r="S266" i="1"/>
  <c r="M266" i="1"/>
  <c r="G266" i="1"/>
  <c r="XFD266" i="1" s="1"/>
  <c r="S265" i="1"/>
  <c r="M265" i="1"/>
  <c r="G265" i="1"/>
  <c r="XFD265" i="1" s="1"/>
  <c r="S264" i="1"/>
  <c r="M264" i="1"/>
  <c r="G264" i="1"/>
  <c r="XFD264" i="1" s="1"/>
  <c r="S263" i="1"/>
  <c r="M263" i="1"/>
  <c r="G263" i="1"/>
  <c r="XFD263" i="1" s="1"/>
  <c r="S262" i="1"/>
  <c r="M262" i="1"/>
  <c r="G262" i="1"/>
  <c r="XFD262" i="1" s="1"/>
  <c r="S261" i="1"/>
  <c r="M261" i="1"/>
  <c r="G261" i="1"/>
  <c r="XFD261" i="1" s="1"/>
  <c r="S260" i="1"/>
  <c r="M260" i="1"/>
  <c r="G260" i="1"/>
  <c r="XFD260" i="1" s="1"/>
  <c r="S259" i="1"/>
  <c r="M259" i="1"/>
  <c r="G259" i="1"/>
  <c r="XFD259" i="1" s="1"/>
  <c r="S258" i="1"/>
  <c r="M258" i="1"/>
  <c r="G258" i="1"/>
  <c r="XFD258" i="1" s="1"/>
  <c r="S257" i="1"/>
  <c r="M257" i="1"/>
  <c r="G257" i="1"/>
  <c r="XFD257" i="1" s="1"/>
  <c r="S256" i="1"/>
  <c r="M256" i="1"/>
  <c r="G256" i="1"/>
  <c r="XFD256" i="1" s="1"/>
  <c r="S255" i="1"/>
  <c r="M255" i="1"/>
  <c r="G255" i="1"/>
  <c r="XFD255" i="1" s="1"/>
  <c r="S254" i="1"/>
  <c r="M254" i="1"/>
  <c r="G254" i="1"/>
  <c r="XFD254" i="1" s="1"/>
  <c r="S253" i="1"/>
  <c r="M253" i="1"/>
  <c r="G253" i="1"/>
  <c r="XFD253" i="1" s="1"/>
  <c r="S252" i="1"/>
  <c r="M252" i="1"/>
  <c r="G252" i="1"/>
  <c r="XFD252" i="1" s="1"/>
  <c r="S251" i="1"/>
  <c r="M251" i="1"/>
  <c r="G251" i="1"/>
  <c r="XFD251" i="1" s="1"/>
  <c r="S250" i="1"/>
  <c r="M250" i="1"/>
  <c r="G250" i="1"/>
  <c r="XFD250" i="1" s="1"/>
  <c r="S249" i="1"/>
  <c r="M249" i="1"/>
  <c r="G249" i="1"/>
  <c r="XFD249" i="1" s="1"/>
  <c r="S248" i="1"/>
  <c r="M248" i="1"/>
  <c r="G248" i="1"/>
  <c r="XFD248" i="1" s="1"/>
  <c r="S247" i="1"/>
  <c r="M247" i="1"/>
  <c r="G247" i="1"/>
  <c r="XFD247" i="1" s="1"/>
  <c r="S246" i="1"/>
  <c r="M246" i="1"/>
  <c r="G246" i="1"/>
  <c r="XFD246" i="1" s="1"/>
  <c r="S245" i="1"/>
  <c r="M245" i="1"/>
  <c r="G245" i="1"/>
  <c r="XFD245" i="1" s="1"/>
  <c r="S244" i="1"/>
  <c r="M244" i="1"/>
  <c r="G244" i="1"/>
  <c r="XFD244" i="1" s="1"/>
  <c r="S243" i="1"/>
  <c r="M243" i="1"/>
  <c r="G243" i="1"/>
  <c r="XFD243" i="1" s="1"/>
  <c r="S242" i="1"/>
  <c r="M242" i="1"/>
  <c r="G242" i="1"/>
  <c r="XFD242" i="1" s="1"/>
  <c r="S241" i="1"/>
  <c r="M241" i="1"/>
  <c r="G241" i="1"/>
  <c r="XFD241" i="1" s="1"/>
  <c r="S240" i="1"/>
  <c r="M240" i="1"/>
  <c r="G240" i="1"/>
  <c r="XFD240" i="1" s="1"/>
  <c r="S239" i="1"/>
  <c r="M239" i="1"/>
  <c r="G239" i="1"/>
  <c r="XFD239" i="1" s="1"/>
  <c r="S238" i="1"/>
  <c r="M238" i="1"/>
  <c r="G238" i="1"/>
  <c r="XFD238" i="1" s="1"/>
  <c r="S237" i="1"/>
  <c r="M237" i="1"/>
  <c r="G237" i="1"/>
  <c r="XFD237" i="1" s="1"/>
  <c r="S236" i="1"/>
  <c r="M236" i="1"/>
  <c r="G236" i="1"/>
  <c r="XFD236" i="1" s="1"/>
  <c r="S235" i="1"/>
  <c r="M235" i="1"/>
  <c r="G235" i="1"/>
  <c r="XFD235" i="1" s="1"/>
  <c r="S234" i="1"/>
  <c r="M234" i="1"/>
  <c r="G234" i="1"/>
  <c r="XFD234" i="1" s="1"/>
  <c r="S233" i="1"/>
  <c r="M233" i="1"/>
  <c r="G233" i="1"/>
  <c r="XFD233" i="1" s="1"/>
  <c r="S232" i="1"/>
  <c r="M232" i="1"/>
  <c r="G232" i="1"/>
  <c r="XFD232" i="1" s="1"/>
  <c r="S231" i="1"/>
  <c r="M231" i="1"/>
  <c r="G231" i="1"/>
  <c r="XFD231" i="1" s="1"/>
  <c r="S230" i="1"/>
  <c r="M230" i="1"/>
  <c r="G230" i="1"/>
  <c r="XFD230" i="1" s="1"/>
  <c r="S229" i="1"/>
  <c r="M229" i="1"/>
  <c r="G229" i="1"/>
  <c r="XFD229" i="1" s="1"/>
  <c r="S228" i="1"/>
  <c r="M228" i="1"/>
  <c r="G228" i="1"/>
  <c r="XFD228" i="1" s="1"/>
  <c r="S227" i="1"/>
  <c r="M227" i="1"/>
  <c r="G227" i="1"/>
  <c r="XFD227" i="1" s="1"/>
  <c r="S226" i="1"/>
  <c r="M226" i="1"/>
  <c r="G226" i="1"/>
  <c r="XFD226" i="1" s="1"/>
  <c r="S225" i="1"/>
  <c r="M225" i="1"/>
  <c r="G225" i="1"/>
  <c r="XFD225" i="1" s="1"/>
  <c r="S224" i="1"/>
  <c r="M224" i="1"/>
  <c r="G224" i="1"/>
  <c r="XFD224" i="1" s="1"/>
  <c r="S223" i="1"/>
  <c r="M223" i="1"/>
  <c r="G223" i="1"/>
  <c r="XFD223" i="1" s="1"/>
  <c r="S222" i="1"/>
  <c r="M222" i="1"/>
  <c r="G222" i="1"/>
  <c r="XFD222" i="1" s="1"/>
  <c r="S221" i="1"/>
  <c r="M221" i="1"/>
  <c r="G221" i="1"/>
  <c r="XFD221" i="1" s="1"/>
  <c r="S220" i="1"/>
  <c r="M220" i="1"/>
  <c r="G220" i="1"/>
  <c r="XFD220" i="1" s="1"/>
  <c r="S219" i="1"/>
  <c r="M219" i="1"/>
  <c r="G219" i="1"/>
  <c r="XFD219" i="1" s="1"/>
  <c r="S218" i="1"/>
  <c r="M218" i="1"/>
  <c r="G218" i="1"/>
  <c r="XFD218" i="1" s="1"/>
  <c r="S217" i="1"/>
  <c r="M217" i="1"/>
  <c r="G217" i="1"/>
  <c r="XFD217" i="1" s="1"/>
  <c r="S216" i="1"/>
  <c r="M216" i="1"/>
  <c r="G216" i="1"/>
  <c r="XFD216" i="1" s="1"/>
  <c r="S215" i="1"/>
  <c r="M215" i="1"/>
  <c r="G215" i="1"/>
  <c r="XFD215" i="1" s="1"/>
  <c r="S214" i="1"/>
  <c r="M214" i="1"/>
  <c r="G214" i="1"/>
  <c r="XFD214" i="1" s="1"/>
  <c r="S213" i="1"/>
  <c r="M213" i="1"/>
  <c r="G213" i="1"/>
  <c r="XFD213" i="1" s="1"/>
  <c r="S212" i="1"/>
  <c r="M212" i="1"/>
  <c r="G212" i="1"/>
  <c r="XFD212" i="1" s="1"/>
  <c r="S211" i="1"/>
  <c r="M211" i="1"/>
  <c r="G211" i="1"/>
  <c r="XFD211" i="1" s="1"/>
  <c r="S210" i="1"/>
  <c r="M210" i="1"/>
  <c r="G210" i="1"/>
  <c r="XFD210" i="1" s="1"/>
  <c r="S209" i="1"/>
  <c r="M209" i="1"/>
  <c r="G209" i="1"/>
  <c r="XFD209" i="1" s="1"/>
  <c r="S208" i="1"/>
  <c r="M208" i="1"/>
  <c r="G208" i="1"/>
  <c r="XFD208" i="1" s="1"/>
  <c r="S207" i="1"/>
  <c r="M207" i="1"/>
  <c r="G207" i="1"/>
  <c r="XFD207" i="1" s="1"/>
  <c r="S206" i="1"/>
  <c r="M206" i="1"/>
  <c r="G206" i="1"/>
  <c r="XFD206" i="1" s="1"/>
  <c r="S205" i="1"/>
  <c r="M205" i="1"/>
  <c r="G205" i="1"/>
  <c r="XFD205" i="1" s="1"/>
  <c r="S204" i="1"/>
  <c r="M204" i="1"/>
  <c r="G204" i="1"/>
  <c r="XFD204" i="1" s="1"/>
  <c r="S203" i="1"/>
  <c r="M203" i="1"/>
  <c r="G203" i="1"/>
  <c r="XFD203" i="1" s="1"/>
  <c r="S202" i="1"/>
  <c r="M202" i="1"/>
  <c r="G202" i="1"/>
  <c r="XFD202" i="1" s="1"/>
  <c r="S201" i="1"/>
  <c r="M201" i="1"/>
  <c r="G201" i="1"/>
  <c r="XFD201" i="1" s="1"/>
  <c r="S200" i="1"/>
  <c r="M200" i="1"/>
  <c r="G200" i="1"/>
  <c r="XFD200" i="1" s="1"/>
  <c r="S199" i="1"/>
  <c r="M199" i="1"/>
  <c r="G199" i="1"/>
  <c r="XFD199" i="1" s="1"/>
  <c r="S198" i="1"/>
  <c r="M198" i="1"/>
  <c r="G198" i="1"/>
  <c r="XFD198" i="1" s="1"/>
  <c r="S197" i="1"/>
  <c r="M197" i="1"/>
  <c r="G197" i="1"/>
  <c r="XFD197" i="1" s="1"/>
  <c r="S196" i="1"/>
  <c r="M196" i="1"/>
  <c r="G196" i="1"/>
  <c r="XFD196" i="1" s="1"/>
  <c r="S195" i="1"/>
  <c r="M195" i="1"/>
  <c r="G195" i="1"/>
  <c r="XFD195" i="1" s="1"/>
  <c r="S194" i="1"/>
  <c r="M194" i="1"/>
  <c r="G194" i="1"/>
  <c r="XFD194" i="1" s="1"/>
  <c r="S193" i="1"/>
  <c r="M193" i="1"/>
  <c r="G193" i="1"/>
  <c r="XFD193" i="1" s="1"/>
  <c r="S192" i="1"/>
  <c r="M192" i="1"/>
  <c r="G192" i="1"/>
  <c r="XFD192" i="1" s="1"/>
  <c r="S191" i="1"/>
  <c r="M191" i="1"/>
  <c r="G191" i="1"/>
  <c r="XFD191" i="1" s="1"/>
  <c r="S190" i="1"/>
  <c r="M190" i="1"/>
  <c r="G190" i="1"/>
  <c r="XFD190" i="1" s="1"/>
  <c r="S189" i="1"/>
  <c r="M189" i="1"/>
  <c r="G189" i="1"/>
  <c r="XFD189" i="1" s="1"/>
  <c r="S188" i="1"/>
  <c r="M188" i="1"/>
  <c r="G188" i="1"/>
  <c r="XFD188" i="1" s="1"/>
  <c r="S187" i="1"/>
  <c r="M187" i="1"/>
  <c r="G187" i="1"/>
  <c r="XFD187" i="1" s="1"/>
  <c r="S186" i="1"/>
  <c r="M186" i="1"/>
  <c r="G186" i="1"/>
  <c r="XFD186" i="1" s="1"/>
  <c r="S185" i="1"/>
  <c r="M185" i="1"/>
  <c r="G185" i="1"/>
  <c r="XFD185" i="1" s="1"/>
  <c r="S184" i="1"/>
  <c r="M184" i="1"/>
  <c r="G184" i="1"/>
  <c r="XFD184" i="1" s="1"/>
  <c r="S183" i="1"/>
  <c r="M183" i="1"/>
  <c r="G183" i="1"/>
  <c r="XFD183" i="1" s="1"/>
  <c r="S182" i="1"/>
  <c r="M182" i="1"/>
  <c r="G182" i="1"/>
  <c r="XFD182" i="1" s="1"/>
  <c r="S181" i="1"/>
  <c r="M181" i="1"/>
  <c r="G181" i="1"/>
  <c r="XFD181" i="1" s="1"/>
  <c r="S180" i="1"/>
  <c r="M180" i="1"/>
  <c r="G180" i="1"/>
  <c r="XFD180" i="1" s="1"/>
  <c r="S179" i="1"/>
  <c r="M179" i="1"/>
  <c r="G179" i="1"/>
  <c r="XFD179" i="1" s="1"/>
  <c r="S178" i="1"/>
  <c r="M178" i="1"/>
  <c r="G178" i="1"/>
  <c r="XFD178" i="1" s="1"/>
  <c r="S177" i="1"/>
  <c r="M177" i="1"/>
  <c r="G177" i="1"/>
  <c r="XFD177" i="1" s="1"/>
  <c r="S176" i="1"/>
  <c r="M176" i="1"/>
  <c r="G176" i="1"/>
  <c r="XFD176" i="1" s="1"/>
  <c r="S175" i="1"/>
  <c r="M175" i="1"/>
  <c r="G175" i="1"/>
  <c r="XFD175" i="1" s="1"/>
  <c r="S174" i="1"/>
  <c r="M174" i="1"/>
  <c r="G174" i="1"/>
  <c r="XFD174" i="1" s="1"/>
  <c r="S173" i="1"/>
  <c r="M173" i="1"/>
  <c r="G173" i="1"/>
  <c r="XFD173" i="1" s="1"/>
  <c r="S172" i="1"/>
  <c r="M172" i="1"/>
  <c r="G172" i="1"/>
  <c r="XFD172" i="1" s="1"/>
  <c r="S171" i="1"/>
  <c r="M171" i="1"/>
  <c r="G171" i="1"/>
  <c r="XFD171" i="1" s="1"/>
  <c r="S170" i="1"/>
  <c r="M170" i="1"/>
  <c r="G170" i="1"/>
  <c r="XFD170" i="1" s="1"/>
  <c r="S169" i="1"/>
  <c r="M169" i="1"/>
  <c r="G169" i="1"/>
  <c r="XFD169" i="1" s="1"/>
  <c r="S168" i="1"/>
  <c r="M168" i="1"/>
  <c r="G168" i="1"/>
  <c r="XFD168" i="1" s="1"/>
  <c r="S167" i="1"/>
  <c r="M167" i="1"/>
  <c r="G167" i="1"/>
  <c r="XFD167" i="1" s="1"/>
  <c r="S166" i="1"/>
  <c r="M166" i="1"/>
  <c r="G166" i="1"/>
  <c r="XFD166" i="1" s="1"/>
  <c r="S165" i="1"/>
  <c r="M165" i="1"/>
  <c r="G165" i="1"/>
  <c r="XFD165" i="1" s="1"/>
  <c r="S164" i="1"/>
  <c r="M164" i="1"/>
  <c r="G164" i="1"/>
  <c r="XFD164" i="1" s="1"/>
  <c r="S163" i="1"/>
  <c r="M163" i="1"/>
  <c r="G163" i="1"/>
  <c r="XFD163" i="1" s="1"/>
  <c r="S162" i="1"/>
  <c r="M162" i="1"/>
  <c r="G162" i="1"/>
  <c r="XFD162" i="1" s="1"/>
  <c r="S161" i="1"/>
  <c r="M161" i="1"/>
  <c r="G161" i="1"/>
  <c r="XFD161" i="1" s="1"/>
  <c r="S160" i="1"/>
  <c r="M160" i="1"/>
  <c r="G160" i="1"/>
  <c r="XFD160" i="1" s="1"/>
  <c r="S159" i="1"/>
  <c r="M159" i="1"/>
  <c r="G159" i="1"/>
  <c r="XFD159" i="1" s="1"/>
  <c r="S158" i="1"/>
  <c r="M158" i="1"/>
  <c r="G158" i="1"/>
  <c r="XFD158" i="1" s="1"/>
  <c r="S157" i="1"/>
  <c r="M157" i="1"/>
  <c r="G157" i="1"/>
  <c r="XFD157" i="1" s="1"/>
  <c r="S156" i="1"/>
  <c r="M156" i="1"/>
  <c r="G156" i="1"/>
  <c r="XFD156" i="1" s="1"/>
  <c r="S155" i="1"/>
  <c r="M155" i="1"/>
  <c r="G155" i="1"/>
  <c r="XFD155" i="1" s="1"/>
  <c r="S154" i="1"/>
  <c r="M154" i="1"/>
  <c r="G154" i="1"/>
  <c r="XFD154" i="1" s="1"/>
  <c r="S153" i="1"/>
  <c r="M153" i="1"/>
  <c r="G153" i="1"/>
  <c r="XFD153" i="1" s="1"/>
  <c r="S152" i="1"/>
  <c r="M152" i="1"/>
  <c r="G152" i="1"/>
  <c r="XFD152" i="1" s="1"/>
  <c r="S151" i="1"/>
  <c r="M151" i="1"/>
  <c r="G151" i="1"/>
  <c r="XFD151" i="1" s="1"/>
  <c r="S150" i="1"/>
  <c r="M150" i="1"/>
  <c r="G150" i="1"/>
  <c r="XFD150" i="1" s="1"/>
  <c r="S149" i="1"/>
  <c r="M149" i="1"/>
  <c r="G149" i="1"/>
  <c r="XFD149" i="1" s="1"/>
  <c r="S148" i="1"/>
  <c r="M148" i="1"/>
  <c r="G148" i="1"/>
  <c r="XFD148" i="1" s="1"/>
  <c r="S147" i="1"/>
  <c r="M147" i="1"/>
  <c r="G147" i="1"/>
  <c r="XFD147" i="1" s="1"/>
  <c r="S146" i="1"/>
  <c r="M146" i="1"/>
  <c r="G146" i="1"/>
  <c r="XFD146" i="1" s="1"/>
  <c r="S145" i="1"/>
  <c r="M145" i="1"/>
  <c r="G145" i="1"/>
  <c r="XFD145" i="1" s="1"/>
  <c r="S144" i="1"/>
  <c r="M144" i="1"/>
  <c r="G144" i="1"/>
  <c r="XFD144" i="1" s="1"/>
  <c r="S143" i="1"/>
  <c r="M143" i="1"/>
  <c r="G143" i="1"/>
  <c r="XFD143" i="1" s="1"/>
  <c r="S142" i="1"/>
  <c r="M142" i="1"/>
  <c r="G142" i="1"/>
  <c r="XFD142" i="1" s="1"/>
  <c r="S141" i="1"/>
  <c r="M141" i="1"/>
  <c r="G141" i="1"/>
  <c r="XFD141" i="1" s="1"/>
  <c r="S140" i="1"/>
  <c r="M140" i="1"/>
  <c r="G140" i="1"/>
  <c r="XFD140" i="1" s="1"/>
  <c r="S139" i="1"/>
  <c r="M139" i="1"/>
  <c r="G139" i="1"/>
  <c r="XFD139" i="1" s="1"/>
  <c r="S138" i="1"/>
  <c r="M138" i="1"/>
  <c r="G138" i="1"/>
  <c r="XFD138" i="1" s="1"/>
  <c r="S137" i="1"/>
  <c r="M137" i="1"/>
  <c r="G137" i="1"/>
  <c r="XFD137" i="1" s="1"/>
  <c r="S136" i="1"/>
  <c r="M136" i="1"/>
  <c r="G136" i="1"/>
  <c r="XFD136" i="1" s="1"/>
  <c r="S135" i="1"/>
  <c r="M135" i="1"/>
  <c r="G135" i="1"/>
  <c r="XFD135" i="1" s="1"/>
  <c r="S134" i="1"/>
  <c r="M134" i="1"/>
  <c r="G134" i="1"/>
  <c r="XFD134" i="1" s="1"/>
  <c r="S133" i="1"/>
  <c r="M133" i="1"/>
  <c r="G133" i="1"/>
  <c r="XFD133" i="1" s="1"/>
  <c r="S132" i="1"/>
  <c r="M132" i="1"/>
  <c r="G132" i="1"/>
  <c r="XFD132" i="1" s="1"/>
  <c r="S131" i="1"/>
  <c r="M131" i="1"/>
  <c r="G131" i="1"/>
  <c r="XFD131" i="1" s="1"/>
  <c r="S130" i="1"/>
  <c r="M130" i="1"/>
  <c r="G130" i="1"/>
  <c r="XFD130" i="1" s="1"/>
  <c r="S129" i="1"/>
  <c r="M129" i="1"/>
  <c r="G129" i="1"/>
  <c r="XFD129" i="1" s="1"/>
  <c r="S128" i="1"/>
  <c r="M128" i="1"/>
  <c r="G128" i="1"/>
  <c r="XFD128" i="1" s="1"/>
  <c r="S127" i="1"/>
  <c r="M127" i="1"/>
  <c r="G127" i="1"/>
  <c r="XFD127" i="1" s="1"/>
  <c r="S126" i="1"/>
  <c r="M126" i="1"/>
  <c r="G126" i="1"/>
  <c r="XFD126" i="1" s="1"/>
  <c r="S125" i="1"/>
  <c r="M125" i="1"/>
  <c r="G125" i="1"/>
  <c r="XFD125" i="1" s="1"/>
  <c r="S124" i="1"/>
  <c r="M124" i="1"/>
  <c r="G124" i="1"/>
  <c r="XFD124" i="1" s="1"/>
  <c r="S123" i="1"/>
  <c r="M123" i="1"/>
  <c r="G123" i="1"/>
  <c r="XFD123" i="1" s="1"/>
  <c r="S122" i="1"/>
  <c r="M122" i="1"/>
  <c r="G122" i="1"/>
  <c r="XFD122" i="1" s="1"/>
  <c r="S121" i="1"/>
  <c r="M121" i="1"/>
  <c r="G121" i="1"/>
  <c r="XFD121" i="1" s="1"/>
  <c r="S120" i="1"/>
  <c r="M120" i="1"/>
  <c r="G120" i="1"/>
  <c r="XFD120" i="1" s="1"/>
  <c r="S119" i="1"/>
  <c r="M119" i="1"/>
  <c r="G119" i="1"/>
  <c r="XFD119" i="1" s="1"/>
  <c r="S118" i="1"/>
  <c r="M118" i="1"/>
  <c r="G118" i="1"/>
  <c r="XFD118" i="1" s="1"/>
  <c r="S117" i="1"/>
  <c r="M117" i="1"/>
  <c r="G117" i="1"/>
  <c r="XFD117" i="1" s="1"/>
  <c r="S116" i="1"/>
  <c r="M116" i="1"/>
  <c r="G116" i="1"/>
  <c r="XFD116" i="1" s="1"/>
  <c r="S115" i="1"/>
  <c r="M115" i="1"/>
  <c r="G115" i="1"/>
  <c r="XFD115" i="1" s="1"/>
  <c r="S114" i="1"/>
  <c r="M114" i="1"/>
  <c r="G114" i="1"/>
  <c r="XFD114" i="1" s="1"/>
  <c r="S113" i="1"/>
  <c r="M113" i="1"/>
  <c r="G113" i="1"/>
  <c r="XFD113" i="1" s="1"/>
  <c r="S112" i="1"/>
  <c r="M112" i="1"/>
  <c r="G112" i="1"/>
  <c r="XFD112" i="1" s="1"/>
  <c r="S111" i="1"/>
  <c r="M111" i="1"/>
  <c r="G111" i="1"/>
  <c r="XFD111" i="1" s="1"/>
  <c r="S110" i="1"/>
  <c r="M110" i="1"/>
  <c r="G110" i="1"/>
  <c r="XFD110" i="1" s="1"/>
  <c r="S109" i="1"/>
  <c r="M109" i="1"/>
  <c r="G109" i="1"/>
  <c r="XFD109" i="1" s="1"/>
  <c r="S108" i="1"/>
  <c r="M108" i="1"/>
  <c r="G108" i="1"/>
  <c r="XFD108" i="1" s="1"/>
  <c r="S107" i="1"/>
  <c r="M107" i="1"/>
  <c r="G107" i="1"/>
  <c r="XFD107" i="1" s="1"/>
  <c r="S106" i="1"/>
  <c r="M106" i="1"/>
  <c r="G106" i="1"/>
  <c r="XFD106" i="1" s="1"/>
  <c r="S105" i="1"/>
  <c r="M105" i="1"/>
  <c r="G105" i="1"/>
  <c r="XFD105" i="1" s="1"/>
  <c r="S104" i="1"/>
  <c r="M104" i="1"/>
  <c r="G104" i="1"/>
  <c r="XFD104" i="1" s="1"/>
  <c r="S103" i="1"/>
  <c r="M103" i="1"/>
  <c r="G103" i="1"/>
  <c r="XFD103" i="1" s="1"/>
  <c r="S102" i="1"/>
  <c r="M102" i="1"/>
  <c r="G102" i="1"/>
  <c r="XFD102" i="1" s="1"/>
  <c r="S101" i="1"/>
  <c r="M101" i="1"/>
  <c r="G101" i="1"/>
  <c r="XFD101" i="1" s="1"/>
  <c r="S100" i="1"/>
  <c r="M100" i="1"/>
  <c r="G100" i="1"/>
  <c r="XFD100" i="1" s="1"/>
  <c r="S99" i="1"/>
  <c r="M99" i="1"/>
  <c r="G99" i="1"/>
  <c r="XFD99" i="1" s="1"/>
  <c r="S98" i="1"/>
  <c r="M98" i="1"/>
  <c r="G98" i="1"/>
  <c r="XFD98" i="1" s="1"/>
  <c r="S97" i="1"/>
  <c r="M97" i="1"/>
  <c r="G97" i="1"/>
  <c r="XFD97" i="1" s="1"/>
  <c r="S96" i="1"/>
  <c r="M96" i="1"/>
  <c r="G96" i="1"/>
  <c r="XFD96" i="1" s="1"/>
  <c r="S95" i="1"/>
  <c r="M95" i="1"/>
  <c r="G95" i="1"/>
  <c r="XFD95" i="1" s="1"/>
  <c r="S94" i="1"/>
  <c r="M94" i="1"/>
  <c r="G94" i="1"/>
  <c r="XFD94" i="1" s="1"/>
  <c r="S93" i="1"/>
  <c r="M93" i="1"/>
  <c r="G93" i="1"/>
  <c r="XFD93" i="1" s="1"/>
  <c r="S92" i="1"/>
  <c r="M92" i="1"/>
  <c r="G92" i="1"/>
  <c r="XFD92" i="1" s="1"/>
  <c r="S91" i="1"/>
  <c r="M91" i="1"/>
  <c r="G91" i="1"/>
  <c r="XFD91" i="1" s="1"/>
  <c r="S90" i="1"/>
  <c r="M90" i="1"/>
  <c r="G90" i="1"/>
  <c r="XFD90" i="1" s="1"/>
  <c r="S89" i="1"/>
  <c r="M89" i="1"/>
  <c r="G89" i="1"/>
  <c r="XFD89" i="1" s="1"/>
  <c r="S88" i="1"/>
  <c r="M88" i="1"/>
  <c r="G88" i="1"/>
  <c r="XFD88" i="1" s="1"/>
  <c r="S87" i="1"/>
  <c r="M87" i="1"/>
  <c r="G87" i="1"/>
  <c r="XFD87" i="1" s="1"/>
  <c r="S86" i="1"/>
  <c r="M86" i="1"/>
  <c r="G86" i="1"/>
  <c r="XFD86" i="1" s="1"/>
  <c r="S85" i="1"/>
  <c r="M85" i="1"/>
  <c r="G85" i="1"/>
  <c r="XFD85" i="1" s="1"/>
  <c r="S84" i="1"/>
  <c r="M84" i="1"/>
  <c r="G84" i="1"/>
  <c r="XFD84" i="1" s="1"/>
  <c r="S83" i="1"/>
  <c r="M83" i="1"/>
  <c r="G83" i="1"/>
  <c r="XFD83" i="1" s="1"/>
  <c r="S82" i="1"/>
  <c r="M82" i="1"/>
  <c r="G82" i="1"/>
  <c r="XFD82" i="1" s="1"/>
  <c r="S81" i="1"/>
  <c r="M81" i="1"/>
  <c r="G81" i="1"/>
  <c r="XFD81" i="1" s="1"/>
  <c r="S80" i="1"/>
  <c r="M80" i="1"/>
  <c r="G80" i="1"/>
  <c r="XFD80" i="1" s="1"/>
  <c r="S79" i="1"/>
  <c r="M79" i="1"/>
  <c r="G79" i="1"/>
  <c r="XFD79" i="1" s="1"/>
  <c r="S78" i="1"/>
  <c r="M78" i="1"/>
  <c r="G78" i="1"/>
  <c r="XFD78" i="1" s="1"/>
  <c r="S77" i="1"/>
  <c r="M77" i="1"/>
  <c r="G77" i="1"/>
  <c r="XFD77" i="1" s="1"/>
  <c r="S76" i="1"/>
  <c r="M76" i="1"/>
  <c r="G76" i="1"/>
  <c r="XFD76" i="1" s="1"/>
  <c r="S75" i="1"/>
  <c r="M75" i="1"/>
  <c r="G75" i="1"/>
  <c r="XFD75" i="1" s="1"/>
  <c r="S74" i="1"/>
  <c r="M74" i="1"/>
  <c r="G74" i="1"/>
  <c r="XFD74" i="1" s="1"/>
  <c r="S73" i="1"/>
  <c r="M73" i="1"/>
  <c r="G73" i="1"/>
  <c r="XFD73" i="1" s="1"/>
  <c r="S72" i="1"/>
  <c r="M72" i="1"/>
  <c r="G72" i="1"/>
  <c r="XFD72" i="1" s="1"/>
  <c r="S71" i="1"/>
  <c r="M71" i="1"/>
  <c r="G71" i="1"/>
  <c r="XFD71" i="1" s="1"/>
  <c r="S70" i="1"/>
  <c r="M70" i="1"/>
  <c r="G70" i="1"/>
  <c r="XFD70" i="1" s="1"/>
  <c r="S69" i="1"/>
  <c r="M69" i="1"/>
  <c r="G69" i="1"/>
  <c r="XFD69" i="1" s="1"/>
  <c r="S68" i="1"/>
  <c r="M68" i="1"/>
  <c r="G68" i="1"/>
  <c r="XFD68" i="1" s="1"/>
  <c r="S67" i="1"/>
  <c r="M67" i="1"/>
  <c r="G67" i="1"/>
  <c r="XFD67" i="1" s="1"/>
  <c r="S66" i="1"/>
  <c r="M66" i="1"/>
  <c r="G66" i="1"/>
  <c r="XFD66" i="1" s="1"/>
  <c r="S65" i="1"/>
  <c r="M65" i="1"/>
  <c r="G65" i="1"/>
  <c r="XFD65" i="1" s="1"/>
  <c r="S64" i="1"/>
  <c r="M64" i="1"/>
  <c r="G64" i="1"/>
  <c r="XFD64" i="1" s="1"/>
  <c r="S63" i="1"/>
  <c r="M63" i="1"/>
  <c r="G63" i="1"/>
  <c r="XFD63" i="1" s="1"/>
  <c r="S62" i="1"/>
  <c r="M62" i="1"/>
  <c r="G62" i="1"/>
  <c r="XFD62" i="1" s="1"/>
  <c r="S61" i="1"/>
  <c r="M61" i="1"/>
  <c r="G61" i="1"/>
  <c r="XFD61" i="1" s="1"/>
  <c r="S60" i="1"/>
  <c r="M60" i="1"/>
  <c r="G60" i="1"/>
  <c r="XFD60" i="1" s="1"/>
  <c r="S59" i="1"/>
  <c r="M59" i="1"/>
  <c r="G59" i="1"/>
  <c r="XFD59" i="1" s="1"/>
  <c r="S58" i="1"/>
  <c r="M58" i="1"/>
  <c r="G58" i="1"/>
  <c r="XFD58" i="1" s="1"/>
  <c r="S57" i="1"/>
  <c r="M57" i="1"/>
  <c r="G57" i="1"/>
  <c r="XFD57" i="1" s="1"/>
  <c r="S56" i="1"/>
  <c r="M56" i="1"/>
  <c r="G56" i="1"/>
  <c r="XFD56" i="1" s="1"/>
  <c r="S55" i="1"/>
  <c r="M55" i="1"/>
  <c r="G55" i="1"/>
  <c r="XFD55" i="1" s="1"/>
  <c r="S54" i="1"/>
  <c r="M54" i="1"/>
  <c r="G54" i="1"/>
  <c r="XFD54" i="1" s="1"/>
  <c r="S53" i="1"/>
  <c r="M53" i="1"/>
  <c r="G53" i="1"/>
  <c r="XFD53" i="1" s="1"/>
  <c r="S52" i="1"/>
  <c r="M52" i="1"/>
  <c r="G52" i="1"/>
  <c r="XFD52" i="1" s="1"/>
  <c r="S51" i="1"/>
  <c r="M51" i="1"/>
  <c r="G51" i="1"/>
  <c r="XFD51" i="1" s="1"/>
  <c r="S50" i="1"/>
  <c r="M50" i="1"/>
  <c r="G50" i="1"/>
  <c r="XFD50" i="1" s="1"/>
  <c r="S49" i="1"/>
  <c r="M49" i="1"/>
  <c r="G49" i="1"/>
  <c r="XFD49" i="1" s="1"/>
  <c r="S48" i="1"/>
  <c r="M48" i="1"/>
  <c r="G48" i="1"/>
  <c r="XFD48" i="1" s="1"/>
  <c r="S47" i="1"/>
  <c r="M47" i="1"/>
  <c r="G47" i="1"/>
  <c r="XFD47" i="1" s="1"/>
  <c r="S46" i="1"/>
  <c r="M46" i="1"/>
  <c r="G46" i="1"/>
  <c r="XFD46" i="1" s="1"/>
  <c r="S45" i="1"/>
  <c r="M45" i="1"/>
  <c r="G45" i="1"/>
  <c r="XFD45" i="1" s="1"/>
  <c r="S44" i="1"/>
  <c r="M44" i="1"/>
  <c r="G44" i="1"/>
  <c r="XFD44" i="1" s="1"/>
  <c r="S43" i="1"/>
  <c r="M43" i="1"/>
  <c r="G43" i="1"/>
  <c r="XFD43" i="1" s="1"/>
  <c r="S42" i="1"/>
  <c r="M42" i="1"/>
  <c r="G42" i="1"/>
  <c r="XFD42" i="1" s="1"/>
  <c r="S41" i="1"/>
  <c r="M41" i="1"/>
  <c r="G41" i="1"/>
  <c r="XFD41" i="1" s="1"/>
  <c r="S40" i="1"/>
  <c r="M40" i="1"/>
  <c r="G40" i="1"/>
  <c r="XFD40" i="1" s="1"/>
  <c r="S39" i="1"/>
  <c r="M39" i="1"/>
  <c r="G39" i="1"/>
  <c r="XFD39" i="1" s="1"/>
  <c r="S38" i="1"/>
  <c r="M38" i="1"/>
  <c r="G38" i="1"/>
  <c r="XFD38" i="1" s="1"/>
  <c r="S37" i="1"/>
  <c r="M37" i="1"/>
  <c r="G37" i="1"/>
  <c r="S36" i="1"/>
  <c r="M36" i="1"/>
  <c r="G36" i="1"/>
  <c r="S35" i="1"/>
  <c r="M35" i="1"/>
  <c r="G35" i="1"/>
  <c r="S34" i="1"/>
  <c r="M34" i="1"/>
  <c r="G34" i="1"/>
  <c r="S33" i="1"/>
  <c r="M33" i="1"/>
  <c r="G33" i="1"/>
  <c r="S32" i="1"/>
  <c r="M32" i="1"/>
  <c r="G32" i="1"/>
  <c r="S31" i="1"/>
  <c r="M31" i="1"/>
  <c r="G31" i="1"/>
  <c r="S30" i="1"/>
  <c r="M30" i="1"/>
  <c r="G30" i="1"/>
  <c r="S29" i="1"/>
  <c r="M29" i="1"/>
  <c r="G29" i="1"/>
  <c r="S28" i="1"/>
  <c r="M28" i="1"/>
  <c r="G28" i="1"/>
  <c r="S27" i="1"/>
  <c r="M27" i="1"/>
  <c r="G27" i="1"/>
  <c r="S26" i="1"/>
  <c r="M26" i="1"/>
  <c r="G26" i="1"/>
  <c r="S25" i="1"/>
  <c r="M25" i="1"/>
  <c r="G25" i="1"/>
  <c r="S24" i="1"/>
  <c r="M24" i="1"/>
  <c r="G24" i="1"/>
  <c r="S23" i="1"/>
  <c r="M23" i="1"/>
  <c r="G23" i="1"/>
  <c r="S22" i="1"/>
  <c r="M22" i="1"/>
  <c r="G22" i="1"/>
  <c r="S21" i="1"/>
  <c r="M21" i="1"/>
  <c r="G21" i="1"/>
  <c r="S20" i="1"/>
  <c r="M20" i="1"/>
  <c r="G20" i="1"/>
  <c r="S19" i="1"/>
  <c r="M19" i="1"/>
  <c r="G19" i="1"/>
  <c r="S18" i="1"/>
  <c r="M18" i="1"/>
  <c r="G18" i="1"/>
  <c r="S17" i="1"/>
  <c r="M17" i="1"/>
  <c r="G17" i="1"/>
  <c r="S16" i="1"/>
  <c r="M16" i="1"/>
  <c r="G16" i="1"/>
  <c r="S15" i="1"/>
  <c r="M15" i="1"/>
  <c r="G15" i="1"/>
  <c r="S14" i="1"/>
  <c r="M14" i="1"/>
  <c r="G14" i="1"/>
  <c r="S13" i="1"/>
  <c r="M13" i="1"/>
  <c r="G13" i="1"/>
  <c r="S12" i="1"/>
  <c r="M12" i="1"/>
  <c r="G12" i="1"/>
  <c r="S11" i="1"/>
  <c r="M11" i="1"/>
  <c r="G11" i="1"/>
  <c r="S10" i="1"/>
  <c r="M10" i="1"/>
  <c r="G10" i="1"/>
  <c r="S9" i="1"/>
  <c r="M9" i="1"/>
  <c r="G9" i="1"/>
  <c r="S8" i="1"/>
  <c r="M8" i="1"/>
  <c r="G8" i="1"/>
  <c r="S7" i="1"/>
  <c r="M7" i="1"/>
  <c r="G7" i="1"/>
  <c r="S6" i="1"/>
  <c r="M6" i="1"/>
  <c r="G6" i="1"/>
  <c r="S5" i="1"/>
  <c r="M5" i="1"/>
  <c r="G5" i="1"/>
  <c r="S4" i="1"/>
  <c r="M4" i="1"/>
  <c r="G4" i="1"/>
  <c r="S3" i="1"/>
  <c r="M3" i="1"/>
  <c r="G3" i="1"/>
  <c r="S2" i="1"/>
  <c r="M2" i="1"/>
  <c r="G2" i="1"/>
  <c r="I6" i="5" l="1" a="1"/>
  <c r="I6" i="5" s="1"/>
  <c r="M6" i="5" a="1"/>
  <c r="M6" i="5" s="1"/>
  <c r="H7" i="4"/>
  <c r="F6" i="5" a="1"/>
  <c r="F6" i="5" s="1"/>
  <c r="G53" i="4"/>
  <c r="G7" i="4"/>
  <c r="F7" i="4"/>
  <c r="I7" i="4"/>
  <c r="E7" i="4"/>
  <c r="K7" i="4"/>
  <c r="J7" i="4"/>
  <c r="L130" i="4" a="1"/>
  <c r="L130" i="4" s="1"/>
  <c r="K127" i="4"/>
  <c r="E126" i="4" a="1"/>
  <c r="E126" i="4" s="1"/>
  <c r="J123" i="4"/>
  <c r="E122" i="4" a="1"/>
  <c r="E122" i="4" s="1"/>
  <c r="J119" i="4"/>
  <c r="E118" i="4" a="1"/>
  <c r="E118" i="4" s="1"/>
  <c r="J115" i="4"/>
  <c r="E114" i="4" a="1"/>
  <c r="E114" i="4" s="1"/>
  <c r="J111" i="4"/>
  <c r="E110" i="4" a="1"/>
  <c r="E110" i="4" s="1"/>
  <c r="J107" i="4"/>
  <c r="E106" i="4" a="1"/>
  <c r="E106" i="4" s="1"/>
  <c r="J103" i="4"/>
  <c r="E102" i="4" a="1"/>
  <c r="E102" i="4" s="1"/>
  <c r="J99" i="4"/>
  <c r="E98" i="4" a="1"/>
  <c r="E98" i="4" s="1"/>
  <c r="H95" i="4"/>
  <c r="L91" i="4" a="1"/>
  <c r="L91" i="4" s="1"/>
  <c r="L88" i="4" a="1"/>
  <c r="L88" i="4" s="1"/>
  <c r="J76" i="4"/>
  <c r="H130" i="4"/>
  <c r="G127" i="4"/>
  <c r="L124" i="4" a="1"/>
  <c r="L124" i="4" s="1"/>
  <c r="F123" i="4"/>
  <c r="L120" i="4" a="1"/>
  <c r="L120" i="4" s="1"/>
  <c r="F119" i="4"/>
  <c r="L116" i="4" a="1"/>
  <c r="L116" i="4" s="1"/>
  <c r="F115" i="4"/>
  <c r="L112" i="4" a="1"/>
  <c r="L112" i="4" s="1"/>
  <c r="F111" i="4"/>
  <c r="L108" i="4" a="1"/>
  <c r="L108" i="4" s="1"/>
  <c r="F107" i="4"/>
  <c r="L104" i="4" a="1"/>
  <c r="L104" i="4" s="1"/>
  <c r="F103" i="4"/>
  <c r="L100" i="4" a="1"/>
  <c r="L100" i="4" s="1"/>
  <c r="F99" i="4"/>
  <c r="L96" i="4" a="1"/>
  <c r="L96" i="4" s="1"/>
  <c r="L94" i="4" a="1"/>
  <c r="L94" i="4" s="1"/>
  <c r="H91" i="4"/>
  <c r="H88" i="4"/>
  <c r="J64" i="4"/>
  <c r="J56" i="4"/>
  <c r="J128" i="4"/>
  <c r="L126" i="4" a="1"/>
  <c r="L126" i="4" s="1"/>
  <c r="H124" i="4"/>
  <c r="L122" i="4" a="1"/>
  <c r="L122" i="4" s="1"/>
  <c r="H120" i="4"/>
  <c r="L118" i="4" a="1"/>
  <c r="L118" i="4" s="1"/>
  <c r="H116" i="4"/>
  <c r="L114" i="4" a="1"/>
  <c r="L114" i="4" s="1"/>
  <c r="H112" i="4"/>
  <c r="L110" i="4" a="1"/>
  <c r="L110" i="4" s="1"/>
  <c r="H108" i="4"/>
  <c r="L106" i="4" a="1"/>
  <c r="L106" i="4" s="1"/>
  <c r="H104" i="4"/>
  <c r="L102" i="4" a="1"/>
  <c r="L102" i="4" s="1"/>
  <c r="H100" i="4"/>
  <c r="L98" i="4" a="1"/>
  <c r="L98" i="4" s="1"/>
  <c r="H96" i="4"/>
  <c r="H94" i="4"/>
  <c r="L90" i="4" a="1"/>
  <c r="L90" i="4" s="1"/>
  <c r="J80" i="4"/>
  <c r="F128" i="4"/>
  <c r="H126" i="4"/>
  <c r="E124" i="4" a="1"/>
  <c r="E124" i="4" s="1"/>
  <c r="H122" i="4"/>
  <c r="E120" i="4" a="1"/>
  <c r="E120" i="4" s="1"/>
  <c r="H118" i="4"/>
  <c r="E116" i="4" a="1"/>
  <c r="E116" i="4" s="1"/>
  <c r="H114" i="4"/>
  <c r="E112" i="4" a="1"/>
  <c r="E112" i="4" s="1"/>
  <c r="H110" i="4"/>
  <c r="E108" i="4" a="1"/>
  <c r="E108" i="4" s="1"/>
  <c r="H106" i="4"/>
  <c r="E104" i="4" a="1"/>
  <c r="E104" i="4" s="1"/>
  <c r="H102" i="4"/>
  <c r="E100" i="4" a="1"/>
  <c r="E100" i="4" s="1"/>
  <c r="H98" i="4"/>
  <c r="L95" i="4" a="1"/>
  <c r="L95" i="4" s="1"/>
  <c r="L92" i="4" a="1"/>
  <c r="L92" i="4" s="1"/>
  <c r="H90" i="4"/>
  <c r="J68" i="4"/>
  <c r="J60" i="4"/>
  <c r="D533" i="3"/>
  <c r="J82" i="4"/>
  <c r="H92" i="4"/>
  <c r="K87" i="4"/>
  <c r="J84" i="4"/>
  <c r="J72" i="4"/>
  <c r="J87" i="4"/>
  <c r="H85" i="4"/>
  <c r="L85" i="4" a="1"/>
  <c r="L85" i="4" s="1"/>
  <c r="E85" i="4" a="1"/>
  <c r="E85" i="4" s="1"/>
  <c r="I85" i="4"/>
  <c r="G81" i="4"/>
  <c r="K81" i="4"/>
  <c r="H81" i="4"/>
  <c r="L81" i="4" a="1"/>
  <c r="L81" i="4" s="1"/>
  <c r="E81" i="4" a="1"/>
  <c r="E81" i="4" s="1"/>
  <c r="I81" i="4"/>
  <c r="G77" i="4"/>
  <c r="K77" i="4"/>
  <c r="H77" i="4"/>
  <c r="L77" i="4" a="1"/>
  <c r="L77" i="4" s="1"/>
  <c r="E77" i="4" a="1"/>
  <c r="E77" i="4" s="1"/>
  <c r="I77" i="4"/>
  <c r="G73" i="4"/>
  <c r="K73" i="4"/>
  <c r="H73" i="4"/>
  <c r="L73" i="4" a="1"/>
  <c r="L73" i="4" s="1"/>
  <c r="E73" i="4" a="1"/>
  <c r="E73" i="4" s="1"/>
  <c r="I73" i="4"/>
  <c r="G69" i="4"/>
  <c r="K69" i="4"/>
  <c r="H69" i="4"/>
  <c r="L69" i="4" a="1"/>
  <c r="L69" i="4" s="1"/>
  <c r="E69" i="4" a="1"/>
  <c r="E69" i="4" s="1"/>
  <c r="I69" i="4"/>
  <c r="G65" i="4"/>
  <c r="K65" i="4"/>
  <c r="H65" i="4"/>
  <c r="L65" i="4" a="1"/>
  <c r="L65" i="4" s="1"/>
  <c r="E65" i="4" a="1"/>
  <c r="E65" i="4" s="1"/>
  <c r="I65" i="4"/>
  <c r="G61" i="4"/>
  <c r="K61" i="4"/>
  <c r="H61" i="4"/>
  <c r="L61" i="4" a="1"/>
  <c r="L61" i="4" s="1"/>
  <c r="E61" i="4" a="1"/>
  <c r="E61" i="4" s="1"/>
  <c r="I61" i="4"/>
  <c r="G57" i="4"/>
  <c r="K57" i="4"/>
  <c r="H57" i="4"/>
  <c r="L57" i="4" a="1"/>
  <c r="L57" i="4" s="1"/>
  <c r="E57" i="4" a="1"/>
  <c r="E57" i="4" s="1"/>
  <c r="I57" i="4"/>
  <c r="E53" i="4" a="1"/>
  <c r="E53" i="4" s="1"/>
  <c r="F53" i="4"/>
  <c r="K53" i="4"/>
  <c r="H53" i="4"/>
  <c r="L53" i="4" a="1"/>
  <c r="L53" i="4" s="1"/>
  <c r="I53" i="4"/>
  <c r="H49" i="4"/>
  <c r="L49" i="4" a="1"/>
  <c r="L49" i="4" s="1"/>
  <c r="E49" i="4" a="1"/>
  <c r="E49" i="4" s="1"/>
  <c r="I49" i="4"/>
  <c r="F49" i="4"/>
  <c r="J49" i="4"/>
  <c r="G49" i="4"/>
  <c r="K49" i="4"/>
  <c r="H45" i="4"/>
  <c r="L45" i="4" a="1"/>
  <c r="L45" i="4" s="1"/>
  <c r="E45" i="4" a="1"/>
  <c r="E45" i="4" s="1"/>
  <c r="I45" i="4"/>
  <c r="F45" i="4"/>
  <c r="J45" i="4"/>
  <c r="G45" i="4"/>
  <c r="K45" i="4"/>
  <c r="H41" i="4"/>
  <c r="L41" i="4" a="1"/>
  <c r="L41" i="4" s="1"/>
  <c r="E41" i="4" a="1"/>
  <c r="E41" i="4" s="1"/>
  <c r="I41" i="4"/>
  <c r="F41" i="4"/>
  <c r="J41" i="4"/>
  <c r="G41" i="4"/>
  <c r="K41" i="4"/>
  <c r="H37" i="4"/>
  <c r="L37" i="4" a="1"/>
  <c r="L37" i="4" s="1"/>
  <c r="E37" i="4" a="1"/>
  <c r="E37" i="4" s="1"/>
  <c r="I37" i="4"/>
  <c r="F37" i="4"/>
  <c r="J37" i="4"/>
  <c r="G37" i="4"/>
  <c r="K37" i="4"/>
  <c r="H33" i="4"/>
  <c r="L33" i="4" a="1"/>
  <c r="L33" i="4" s="1"/>
  <c r="E33" i="4" a="1"/>
  <c r="E33" i="4" s="1"/>
  <c r="I33" i="4"/>
  <c r="F33" i="4"/>
  <c r="J33" i="4"/>
  <c r="G33" i="4"/>
  <c r="K33" i="4"/>
  <c r="H29" i="4"/>
  <c r="L29" i="4" a="1"/>
  <c r="L29" i="4" s="1"/>
  <c r="E29" i="4" a="1"/>
  <c r="E29" i="4" s="1"/>
  <c r="I29" i="4"/>
  <c r="F29" i="4"/>
  <c r="J29" i="4"/>
  <c r="G29" i="4"/>
  <c r="K29" i="4"/>
  <c r="H25" i="4"/>
  <c r="L25" i="4" a="1"/>
  <c r="L25" i="4" s="1"/>
  <c r="E25" i="4" a="1"/>
  <c r="E25" i="4" s="1"/>
  <c r="I25" i="4"/>
  <c r="F25" i="4"/>
  <c r="J25" i="4"/>
  <c r="G25" i="4"/>
  <c r="K25" i="4"/>
  <c r="F21" i="4"/>
  <c r="J21" i="4"/>
  <c r="G21" i="4"/>
  <c r="K21" i="4"/>
  <c r="H21" i="4"/>
  <c r="L21" i="4" a="1"/>
  <c r="L21" i="4" s="1"/>
  <c r="I21" i="4"/>
  <c r="E17" i="4" a="1"/>
  <c r="E17" i="4" s="1"/>
  <c r="H17" i="4"/>
  <c r="L17" i="4" a="1"/>
  <c r="L17" i="4" s="1"/>
  <c r="I17" i="4"/>
  <c r="F17" i="4"/>
  <c r="J17" i="4"/>
  <c r="K17" i="4"/>
  <c r="E13" i="4" a="1"/>
  <c r="E13" i="4" s="1"/>
  <c r="H13" i="4"/>
  <c r="L13" i="4" a="1"/>
  <c r="L13" i="4" s="1"/>
  <c r="I13" i="4"/>
  <c r="F13" i="4"/>
  <c r="J13" i="4"/>
  <c r="G13" i="4"/>
  <c r="J97" i="4"/>
  <c r="F97" i="4"/>
  <c r="L93" i="4" a="1"/>
  <c r="L93" i="4" s="1"/>
  <c r="H93" i="4"/>
  <c r="L89" i="4" a="1"/>
  <c r="L89" i="4" s="1"/>
  <c r="H89" i="4"/>
  <c r="K85" i="4"/>
  <c r="I129" i="4"/>
  <c r="H86" i="4"/>
  <c r="L86" i="4" a="1"/>
  <c r="L86" i="4" s="1"/>
  <c r="E86" i="4" a="1"/>
  <c r="E86" i="4" s="1"/>
  <c r="I86" i="4"/>
  <c r="G82" i="4"/>
  <c r="K82" i="4"/>
  <c r="H82" i="4"/>
  <c r="L82" i="4" a="1"/>
  <c r="L82" i="4" s="1"/>
  <c r="E82" i="4" a="1"/>
  <c r="E82" i="4" s="1"/>
  <c r="I82" i="4"/>
  <c r="G78" i="4"/>
  <c r="K78" i="4"/>
  <c r="H78" i="4"/>
  <c r="L78" i="4" a="1"/>
  <c r="L78" i="4" s="1"/>
  <c r="E78" i="4" a="1"/>
  <c r="E78" i="4" s="1"/>
  <c r="I78" i="4"/>
  <c r="G74" i="4"/>
  <c r="K74" i="4"/>
  <c r="H74" i="4"/>
  <c r="L74" i="4" a="1"/>
  <c r="L74" i="4" s="1"/>
  <c r="E74" i="4" a="1"/>
  <c r="E74" i="4" s="1"/>
  <c r="I74" i="4"/>
  <c r="G70" i="4"/>
  <c r="K70" i="4"/>
  <c r="H70" i="4"/>
  <c r="L70" i="4" a="1"/>
  <c r="L70" i="4" s="1"/>
  <c r="E70" i="4" a="1"/>
  <c r="E70" i="4" s="1"/>
  <c r="I70" i="4"/>
  <c r="G66" i="4"/>
  <c r="K66" i="4"/>
  <c r="H66" i="4"/>
  <c r="L66" i="4" a="1"/>
  <c r="L66" i="4" s="1"/>
  <c r="E66" i="4" a="1"/>
  <c r="E66" i="4" s="1"/>
  <c r="I66" i="4"/>
  <c r="G62" i="4"/>
  <c r="K62" i="4"/>
  <c r="H62" i="4"/>
  <c r="L62" i="4" a="1"/>
  <c r="L62" i="4" s="1"/>
  <c r="E62" i="4" a="1"/>
  <c r="E62" i="4" s="1"/>
  <c r="I62" i="4"/>
  <c r="G58" i="4"/>
  <c r="K58" i="4"/>
  <c r="H58" i="4"/>
  <c r="L58" i="4" a="1"/>
  <c r="L58" i="4" s="1"/>
  <c r="E58" i="4" a="1"/>
  <c r="E58" i="4" s="1"/>
  <c r="I58" i="4"/>
  <c r="G54" i="4"/>
  <c r="K54" i="4"/>
  <c r="H54" i="4"/>
  <c r="L54" i="4" a="1"/>
  <c r="L54" i="4" s="1"/>
  <c r="E54" i="4" a="1"/>
  <c r="E54" i="4" s="1"/>
  <c r="I54" i="4"/>
  <c r="H50" i="4"/>
  <c r="L50" i="4" a="1"/>
  <c r="L50" i="4" s="1"/>
  <c r="E50" i="4" a="1"/>
  <c r="E50" i="4" s="1"/>
  <c r="I50" i="4"/>
  <c r="F50" i="4"/>
  <c r="J50" i="4"/>
  <c r="G50" i="4"/>
  <c r="H46" i="4"/>
  <c r="L46" i="4" a="1"/>
  <c r="L46" i="4" s="1"/>
  <c r="E46" i="4" a="1"/>
  <c r="E46" i="4" s="1"/>
  <c r="I46" i="4"/>
  <c r="F46" i="4"/>
  <c r="J46" i="4"/>
  <c r="G46" i="4"/>
  <c r="H42" i="4"/>
  <c r="L42" i="4" a="1"/>
  <c r="L42" i="4" s="1"/>
  <c r="E42" i="4" a="1"/>
  <c r="E42" i="4" s="1"/>
  <c r="I42" i="4"/>
  <c r="F42" i="4"/>
  <c r="J42" i="4"/>
  <c r="G42" i="4"/>
  <c r="H38" i="4"/>
  <c r="L38" i="4" a="1"/>
  <c r="L38" i="4" s="1"/>
  <c r="E38" i="4" a="1"/>
  <c r="E38" i="4" s="1"/>
  <c r="I38" i="4"/>
  <c r="F38" i="4"/>
  <c r="J38" i="4"/>
  <c r="G38" i="4"/>
  <c r="H34" i="4"/>
  <c r="L34" i="4" a="1"/>
  <c r="L34" i="4" s="1"/>
  <c r="E34" i="4" a="1"/>
  <c r="E34" i="4" s="1"/>
  <c r="I34" i="4"/>
  <c r="F34" i="4"/>
  <c r="J34" i="4"/>
  <c r="G34" i="4"/>
  <c r="H30" i="4"/>
  <c r="L30" i="4" a="1"/>
  <c r="L30" i="4" s="1"/>
  <c r="E30" i="4" a="1"/>
  <c r="E30" i="4" s="1"/>
  <c r="I30" i="4"/>
  <c r="F30" i="4"/>
  <c r="J30" i="4"/>
  <c r="G30" i="4"/>
  <c r="H26" i="4"/>
  <c r="L26" i="4" a="1"/>
  <c r="L26" i="4" s="1"/>
  <c r="E26" i="4" a="1"/>
  <c r="E26" i="4" s="1"/>
  <c r="I26" i="4"/>
  <c r="F26" i="4"/>
  <c r="J26" i="4"/>
  <c r="G26" i="4"/>
  <c r="F22" i="4"/>
  <c r="J22" i="4"/>
  <c r="G22" i="4"/>
  <c r="K22" i="4"/>
  <c r="H22" i="4"/>
  <c r="L22" i="4" a="1"/>
  <c r="L22" i="4" s="1"/>
  <c r="E22" i="4" a="1"/>
  <c r="E22" i="4" s="1"/>
  <c r="I22" i="4"/>
  <c r="H18" i="4"/>
  <c r="L18" i="4" a="1"/>
  <c r="L18" i="4" s="1"/>
  <c r="E18" i="4" a="1"/>
  <c r="E18" i="4" s="1"/>
  <c r="I18" i="4"/>
  <c r="F18" i="4"/>
  <c r="J18" i="4"/>
  <c r="G18" i="4"/>
  <c r="K18" i="4"/>
  <c r="G14" i="4"/>
  <c r="K14" i="4"/>
  <c r="H14" i="4"/>
  <c r="L14" i="4" a="1"/>
  <c r="L14" i="4" s="1"/>
  <c r="E14" i="4" a="1"/>
  <c r="E14" i="4" s="1"/>
  <c r="I14" i="4"/>
  <c r="F14" i="4"/>
  <c r="J14" i="4"/>
  <c r="K130" i="4"/>
  <c r="G130" i="4"/>
  <c r="L129" i="4" a="1"/>
  <c r="L129" i="4" s="1"/>
  <c r="H129" i="4"/>
  <c r="E129" i="4" a="1"/>
  <c r="E129" i="4" s="1"/>
  <c r="I128" i="4"/>
  <c r="E128" i="4" a="1"/>
  <c r="E128" i="4" s="1"/>
  <c r="J127" i="4"/>
  <c r="F127" i="4"/>
  <c r="K126" i="4"/>
  <c r="G126" i="4"/>
  <c r="I125" i="4"/>
  <c r="K124" i="4"/>
  <c r="G124" i="4"/>
  <c r="I123" i="4"/>
  <c r="K122" i="4"/>
  <c r="G122" i="4"/>
  <c r="I121" i="4"/>
  <c r="K120" i="4"/>
  <c r="G120" i="4"/>
  <c r="I119" i="4"/>
  <c r="K118" i="4"/>
  <c r="G118" i="4"/>
  <c r="I117" i="4"/>
  <c r="K116" i="4"/>
  <c r="G116" i="4"/>
  <c r="I115" i="4"/>
  <c r="K114" i="4"/>
  <c r="G114" i="4"/>
  <c r="I113" i="4"/>
  <c r="K112" i="4"/>
  <c r="G112" i="4"/>
  <c r="I111" i="4"/>
  <c r="K110" i="4"/>
  <c r="G110" i="4"/>
  <c r="I109" i="4"/>
  <c r="K108" i="4"/>
  <c r="G108" i="4"/>
  <c r="I107" i="4"/>
  <c r="K106" i="4"/>
  <c r="G106" i="4"/>
  <c r="I105" i="4"/>
  <c r="K104" i="4"/>
  <c r="G104" i="4"/>
  <c r="I103" i="4"/>
  <c r="K102" i="4"/>
  <c r="G102" i="4"/>
  <c r="I101" i="4"/>
  <c r="K100" i="4"/>
  <c r="G100" i="4"/>
  <c r="I99" i="4"/>
  <c r="K98" i="4"/>
  <c r="G98" i="4"/>
  <c r="I97" i="4"/>
  <c r="K96" i="4"/>
  <c r="G96" i="4"/>
  <c r="K95" i="4"/>
  <c r="G95" i="4"/>
  <c r="K94" i="4"/>
  <c r="G94" i="4"/>
  <c r="K93" i="4"/>
  <c r="G93" i="4"/>
  <c r="K92" i="4"/>
  <c r="G92" i="4"/>
  <c r="K91" i="4"/>
  <c r="G91" i="4"/>
  <c r="K90" i="4"/>
  <c r="G90" i="4"/>
  <c r="K89" i="4"/>
  <c r="G89" i="4"/>
  <c r="K88" i="4"/>
  <c r="G88" i="4"/>
  <c r="J86" i="4"/>
  <c r="J85" i="4"/>
  <c r="F82" i="4"/>
  <c r="F78" i="4"/>
  <c r="F74" i="4"/>
  <c r="F70" i="4"/>
  <c r="F66" i="4"/>
  <c r="F62" i="4"/>
  <c r="F58" i="4"/>
  <c r="F54" i="4"/>
  <c r="G17" i="4"/>
  <c r="J109" i="4"/>
  <c r="F109" i="4"/>
  <c r="J105" i="4"/>
  <c r="F105" i="4"/>
  <c r="J101" i="4"/>
  <c r="F101" i="4"/>
  <c r="H87" i="4"/>
  <c r="L87" i="4" a="1"/>
  <c r="L87" i="4" s="1"/>
  <c r="E87" i="4" a="1"/>
  <c r="E87" i="4" s="1"/>
  <c r="I87" i="4"/>
  <c r="G83" i="4"/>
  <c r="K83" i="4"/>
  <c r="H83" i="4"/>
  <c r="L83" i="4" a="1"/>
  <c r="L83" i="4" s="1"/>
  <c r="E83" i="4" a="1"/>
  <c r="E83" i="4" s="1"/>
  <c r="I83" i="4"/>
  <c r="G79" i="4"/>
  <c r="K79" i="4"/>
  <c r="H79" i="4"/>
  <c r="L79" i="4" a="1"/>
  <c r="L79" i="4" s="1"/>
  <c r="E79" i="4" a="1"/>
  <c r="E79" i="4" s="1"/>
  <c r="I79" i="4"/>
  <c r="G75" i="4"/>
  <c r="K75" i="4"/>
  <c r="H75" i="4"/>
  <c r="L75" i="4" a="1"/>
  <c r="L75" i="4" s="1"/>
  <c r="E75" i="4" a="1"/>
  <c r="E75" i="4" s="1"/>
  <c r="I75" i="4"/>
  <c r="G71" i="4"/>
  <c r="K71" i="4"/>
  <c r="H71" i="4"/>
  <c r="L71" i="4" a="1"/>
  <c r="L71" i="4" s="1"/>
  <c r="E71" i="4" a="1"/>
  <c r="E71" i="4" s="1"/>
  <c r="I71" i="4"/>
  <c r="G67" i="4"/>
  <c r="K67" i="4"/>
  <c r="H67" i="4"/>
  <c r="L67" i="4" a="1"/>
  <c r="L67" i="4" s="1"/>
  <c r="E67" i="4" a="1"/>
  <c r="E67" i="4" s="1"/>
  <c r="I67" i="4"/>
  <c r="G63" i="4"/>
  <c r="K63" i="4"/>
  <c r="H63" i="4"/>
  <c r="L63" i="4" a="1"/>
  <c r="L63" i="4" s="1"/>
  <c r="E63" i="4" a="1"/>
  <c r="E63" i="4" s="1"/>
  <c r="I63" i="4"/>
  <c r="G59" i="4"/>
  <c r="K59" i="4"/>
  <c r="H59" i="4"/>
  <c r="L59" i="4" a="1"/>
  <c r="L59" i="4" s="1"/>
  <c r="E59" i="4" a="1"/>
  <c r="E59" i="4" s="1"/>
  <c r="I59" i="4"/>
  <c r="G55" i="4"/>
  <c r="K55" i="4"/>
  <c r="H55" i="4"/>
  <c r="L55" i="4" a="1"/>
  <c r="L55" i="4" s="1"/>
  <c r="E55" i="4" a="1"/>
  <c r="E55" i="4" s="1"/>
  <c r="I55" i="4"/>
  <c r="H51" i="4"/>
  <c r="L51" i="4" a="1"/>
  <c r="L51" i="4" s="1"/>
  <c r="E51" i="4" a="1"/>
  <c r="E51" i="4" s="1"/>
  <c r="I51" i="4"/>
  <c r="F51" i="4"/>
  <c r="J51" i="4"/>
  <c r="G51" i="4"/>
  <c r="K51" i="4"/>
  <c r="H47" i="4"/>
  <c r="L47" i="4" a="1"/>
  <c r="L47" i="4" s="1"/>
  <c r="E47" i="4" a="1"/>
  <c r="E47" i="4" s="1"/>
  <c r="I47" i="4"/>
  <c r="F47" i="4"/>
  <c r="J47" i="4"/>
  <c r="G47" i="4"/>
  <c r="K47" i="4"/>
  <c r="H43" i="4"/>
  <c r="L43" i="4" a="1"/>
  <c r="L43" i="4" s="1"/>
  <c r="E43" i="4" a="1"/>
  <c r="E43" i="4" s="1"/>
  <c r="I43" i="4"/>
  <c r="F43" i="4"/>
  <c r="J43" i="4"/>
  <c r="G43" i="4"/>
  <c r="K43" i="4"/>
  <c r="H39" i="4"/>
  <c r="L39" i="4" a="1"/>
  <c r="L39" i="4" s="1"/>
  <c r="E39" i="4" a="1"/>
  <c r="E39" i="4" s="1"/>
  <c r="I39" i="4"/>
  <c r="F39" i="4"/>
  <c r="J39" i="4"/>
  <c r="G39" i="4"/>
  <c r="K39" i="4"/>
  <c r="H35" i="4"/>
  <c r="L35" i="4" a="1"/>
  <c r="L35" i="4" s="1"/>
  <c r="E35" i="4" a="1"/>
  <c r="E35" i="4" s="1"/>
  <c r="I35" i="4"/>
  <c r="F35" i="4"/>
  <c r="J35" i="4"/>
  <c r="G35" i="4"/>
  <c r="K35" i="4"/>
  <c r="H31" i="4"/>
  <c r="L31" i="4" a="1"/>
  <c r="L31" i="4" s="1"/>
  <c r="E31" i="4" a="1"/>
  <c r="E31" i="4" s="1"/>
  <c r="I31" i="4"/>
  <c r="F31" i="4"/>
  <c r="J31" i="4"/>
  <c r="G31" i="4"/>
  <c r="K31" i="4"/>
  <c r="H27" i="4"/>
  <c r="L27" i="4" a="1"/>
  <c r="L27" i="4" s="1"/>
  <c r="E27" i="4" a="1"/>
  <c r="E27" i="4" s="1"/>
  <c r="I27" i="4"/>
  <c r="F27" i="4"/>
  <c r="J27" i="4"/>
  <c r="G27" i="4"/>
  <c r="K27" i="4"/>
  <c r="I23" i="4"/>
  <c r="F23" i="4"/>
  <c r="J23" i="4"/>
  <c r="G23" i="4"/>
  <c r="K23" i="4"/>
  <c r="H23" i="4"/>
  <c r="L23" i="4" a="1"/>
  <c r="L23" i="4" s="1"/>
  <c r="G19" i="4"/>
  <c r="K19" i="4"/>
  <c r="E19" i="4" a="1"/>
  <c r="E19" i="4" s="1"/>
  <c r="H19" i="4"/>
  <c r="L19" i="4" a="1"/>
  <c r="L19" i="4" s="1"/>
  <c r="I19" i="4"/>
  <c r="J19" i="4"/>
  <c r="F15" i="4"/>
  <c r="J15" i="4"/>
  <c r="G15" i="4"/>
  <c r="K15" i="4"/>
  <c r="E15" i="4" a="1"/>
  <c r="E15" i="4" s="1"/>
  <c r="H15" i="4"/>
  <c r="L15" i="4" a="1"/>
  <c r="L15" i="4" s="1"/>
  <c r="J130" i="4"/>
  <c r="F130" i="4"/>
  <c r="K129" i="4"/>
  <c r="G129" i="4"/>
  <c r="L128" i="4" a="1"/>
  <c r="L128" i="4" s="1"/>
  <c r="H128" i="4"/>
  <c r="I127" i="4"/>
  <c r="J126" i="4"/>
  <c r="F126" i="4"/>
  <c r="L125" i="4" a="1"/>
  <c r="L125" i="4" s="1"/>
  <c r="H125" i="4"/>
  <c r="E125" i="4" a="1"/>
  <c r="E125" i="4" s="1"/>
  <c r="J124" i="4"/>
  <c r="F124" i="4"/>
  <c r="L123" i="4" a="1"/>
  <c r="L123" i="4" s="1"/>
  <c r="H123" i="4"/>
  <c r="E123" i="4" a="1"/>
  <c r="E123" i="4" s="1"/>
  <c r="J122" i="4"/>
  <c r="F122" i="4"/>
  <c r="L121" i="4" a="1"/>
  <c r="L121" i="4" s="1"/>
  <c r="H121" i="4"/>
  <c r="E121" i="4" a="1"/>
  <c r="E121" i="4" s="1"/>
  <c r="J120" i="4"/>
  <c r="F120" i="4"/>
  <c r="L119" i="4" a="1"/>
  <c r="L119" i="4" s="1"/>
  <c r="H119" i="4"/>
  <c r="E119" i="4" a="1"/>
  <c r="E119" i="4" s="1"/>
  <c r="J118" i="4"/>
  <c r="F118" i="4"/>
  <c r="L117" i="4" a="1"/>
  <c r="L117" i="4" s="1"/>
  <c r="H117" i="4"/>
  <c r="E117" i="4" a="1"/>
  <c r="E117" i="4" s="1"/>
  <c r="J116" i="4"/>
  <c r="F116" i="4"/>
  <c r="L115" i="4" a="1"/>
  <c r="L115" i="4" s="1"/>
  <c r="H115" i="4"/>
  <c r="E115" i="4" a="1"/>
  <c r="E115" i="4" s="1"/>
  <c r="J114" i="4"/>
  <c r="F114" i="4"/>
  <c r="L113" i="4" a="1"/>
  <c r="L113" i="4" s="1"/>
  <c r="H113" i="4"/>
  <c r="E113" i="4" a="1"/>
  <c r="E113" i="4" s="1"/>
  <c r="J112" i="4"/>
  <c r="F112" i="4"/>
  <c r="L111" i="4" a="1"/>
  <c r="L111" i="4" s="1"/>
  <c r="H111" i="4"/>
  <c r="E111" i="4" a="1"/>
  <c r="E111" i="4" s="1"/>
  <c r="J110" i="4"/>
  <c r="F110" i="4"/>
  <c r="L109" i="4" a="1"/>
  <c r="L109" i="4" s="1"/>
  <c r="H109" i="4"/>
  <c r="E109" i="4" a="1"/>
  <c r="E109" i="4" s="1"/>
  <c r="J108" i="4"/>
  <c r="F108" i="4"/>
  <c r="L107" i="4" a="1"/>
  <c r="L107" i="4" s="1"/>
  <c r="H107" i="4"/>
  <c r="E107" i="4" a="1"/>
  <c r="E107" i="4" s="1"/>
  <c r="J106" i="4"/>
  <c r="F106" i="4"/>
  <c r="L105" i="4" a="1"/>
  <c r="L105" i="4" s="1"/>
  <c r="H105" i="4"/>
  <c r="E105" i="4" a="1"/>
  <c r="E105" i="4" s="1"/>
  <c r="J104" i="4"/>
  <c r="F104" i="4"/>
  <c r="L103" i="4" a="1"/>
  <c r="L103" i="4" s="1"/>
  <c r="H103" i="4"/>
  <c r="E103" i="4" a="1"/>
  <c r="E103" i="4" s="1"/>
  <c r="J102" i="4"/>
  <c r="F102" i="4"/>
  <c r="L101" i="4" a="1"/>
  <c r="L101" i="4" s="1"/>
  <c r="H101" i="4"/>
  <c r="E101" i="4" a="1"/>
  <c r="E101" i="4" s="1"/>
  <c r="J100" i="4"/>
  <c r="F100" i="4"/>
  <c r="L99" i="4" a="1"/>
  <c r="L99" i="4" s="1"/>
  <c r="H99" i="4"/>
  <c r="E99" i="4" a="1"/>
  <c r="E99" i="4" s="1"/>
  <c r="J98" i="4"/>
  <c r="F98" i="4"/>
  <c r="L97" i="4" a="1"/>
  <c r="L97" i="4" s="1"/>
  <c r="H97" i="4"/>
  <c r="E97" i="4" a="1"/>
  <c r="E97" i="4" s="1"/>
  <c r="J96" i="4"/>
  <c r="F96" i="4"/>
  <c r="J95" i="4"/>
  <c r="F95" i="4"/>
  <c r="J94" i="4"/>
  <c r="F94" i="4"/>
  <c r="J93" i="4"/>
  <c r="F93" i="4"/>
  <c r="J92" i="4"/>
  <c r="F92" i="4"/>
  <c r="J91" i="4"/>
  <c r="F91" i="4"/>
  <c r="J90" i="4"/>
  <c r="F90" i="4"/>
  <c r="J89" i="4"/>
  <c r="F89" i="4"/>
  <c r="J88" i="4"/>
  <c r="F88" i="4"/>
  <c r="G87" i="4"/>
  <c r="G86" i="4"/>
  <c r="G85" i="4"/>
  <c r="J83" i="4"/>
  <c r="J81" i="4"/>
  <c r="J79" i="4"/>
  <c r="J77" i="4"/>
  <c r="J75" i="4"/>
  <c r="J73" i="4"/>
  <c r="J71" i="4"/>
  <c r="J69" i="4"/>
  <c r="J67" i="4"/>
  <c r="J65" i="4"/>
  <c r="J63" i="4"/>
  <c r="J61" i="4"/>
  <c r="J59" i="4"/>
  <c r="J57" i="4"/>
  <c r="J55" i="4"/>
  <c r="J53" i="4"/>
  <c r="K46" i="4"/>
  <c r="K38" i="4"/>
  <c r="K30" i="4"/>
  <c r="E23" i="4" a="1"/>
  <c r="E23" i="4" s="1"/>
  <c r="I15" i="4"/>
  <c r="J125" i="4"/>
  <c r="F125" i="4"/>
  <c r="J121" i="4"/>
  <c r="F121" i="4"/>
  <c r="J117" i="4"/>
  <c r="F117" i="4"/>
  <c r="J113" i="4"/>
  <c r="F113" i="4"/>
  <c r="G84" i="4"/>
  <c r="K84" i="4"/>
  <c r="H84" i="4"/>
  <c r="L84" i="4" a="1"/>
  <c r="L84" i="4" s="1"/>
  <c r="E84" i="4" a="1"/>
  <c r="E84" i="4" s="1"/>
  <c r="I84" i="4"/>
  <c r="G80" i="4"/>
  <c r="K80" i="4"/>
  <c r="H80" i="4"/>
  <c r="L80" i="4" a="1"/>
  <c r="L80" i="4" s="1"/>
  <c r="E80" i="4" a="1"/>
  <c r="E80" i="4" s="1"/>
  <c r="I80" i="4"/>
  <c r="G76" i="4"/>
  <c r="K76" i="4"/>
  <c r="H76" i="4"/>
  <c r="L76" i="4" a="1"/>
  <c r="L76" i="4" s="1"/>
  <c r="E76" i="4" a="1"/>
  <c r="E76" i="4" s="1"/>
  <c r="I76" i="4"/>
  <c r="G72" i="4"/>
  <c r="K72" i="4"/>
  <c r="H72" i="4"/>
  <c r="L72" i="4" a="1"/>
  <c r="L72" i="4" s="1"/>
  <c r="E72" i="4" a="1"/>
  <c r="E72" i="4" s="1"/>
  <c r="I72" i="4"/>
  <c r="G68" i="4"/>
  <c r="K68" i="4"/>
  <c r="H68" i="4"/>
  <c r="L68" i="4" a="1"/>
  <c r="L68" i="4" s="1"/>
  <c r="E68" i="4" a="1"/>
  <c r="E68" i="4" s="1"/>
  <c r="I68" i="4"/>
  <c r="G64" i="4"/>
  <c r="K64" i="4"/>
  <c r="H64" i="4"/>
  <c r="L64" i="4" a="1"/>
  <c r="L64" i="4" s="1"/>
  <c r="E64" i="4" a="1"/>
  <c r="E64" i="4" s="1"/>
  <c r="I64" i="4"/>
  <c r="G60" i="4"/>
  <c r="K60" i="4"/>
  <c r="H60" i="4"/>
  <c r="L60" i="4" a="1"/>
  <c r="L60" i="4" s="1"/>
  <c r="E60" i="4" a="1"/>
  <c r="E60" i="4" s="1"/>
  <c r="I60" i="4"/>
  <c r="G56" i="4"/>
  <c r="K56" i="4"/>
  <c r="H56" i="4"/>
  <c r="L56" i="4" a="1"/>
  <c r="L56" i="4" s="1"/>
  <c r="E56" i="4" a="1"/>
  <c r="E56" i="4" s="1"/>
  <c r="I56" i="4"/>
  <c r="H52" i="4"/>
  <c r="L52" i="4" a="1"/>
  <c r="L52" i="4" s="1"/>
  <c r="E52" i="4" a="1"/>
  <c r="E52" i="4" s="1"/>
  <c r="I52" i="4"/>
  <c r="F52" i="4"/>
  <c r="J52" i="4"/>
  <c r="G52" i="4"/>
  <c r="H48" i="4"/>
  <c r="L48" i="4" a="1"/>
  <c r="L48" i="4" s="1"/>
  <c r="E48" i="4" a="1"/>
  <c r="E48" i="4" s="1"/>
  <c r="I48" i="4"/>
  <c r="F48" i="4"/>
  <c r="J48" i="4"/>
  <c r="G48" i="4"/>
  <c r="H44" i="4"/>
  <c r="L44" i="4" a="1"/>
  <c r="L44" i="4" s="1"/>
  <c r="E44" i="4" a="1"/>
  <c r="E44" i="4" s="1"/>
  <c r="I44" i="4"/>
  <c r="F44" i="4"/>
  <c r="J44" i="4"/>
  <c r="G44" i="4"/>
  <c r="H40" i="4"/>
  <c r="L40" i="4" a="1"/>
  <c r="L40" i="4" s="1"/>
  <c r="E40" i="4" a="1"/>
  <c r="E40" i="4" s="1"/>
  <c r="I40" i="4"/>
  <c r="F40" i="4"/>
  <c r="J40" i="4"/>
  <c r="G40" i="4"/>
  <c r="H36" i="4"/>
  <c r="L36" i="4" a="1"/>
  <c r="L36" i="4" s="1"/>
  <c r="E36" i="4" a="1"/>
  <c r="E36" i="4" s="1"/>
  <c r="I36" i="4"/>
  <c r="F36" i="4"/>
  <c r="J36" i="4"/>
  <c r="G36" i="4"/>
  <c r="H32" i="4"/>
  <c r="L32" i="4" a="1"/>
  <c r="L32" i="4" s="1"/>
  <c r="E32" i="4" a="1"/>
  <c r="E32" i="4" s="1"/>
  <c r="I32" i="4"/>
  <c r="F32" i="4"/>
  <c r="J32" i="4"/>
  <c r="G32" i="4"/>
  <c r="H28" i="4"/>
  <c r="L28" i="4" a="1"/>
  <c r="L28" i="4" s="1"/>
  <c r="E28" i="4" a="1"/>
  <c r="E28" i="4" s="1"/>
  <c r="I28" i="4"/>
  <c r="F28" i="4"/>
  <c r="J28" i="4"/>
  <c r="G28" i="4"/>
  <c r="H24" i="4"/>
  <c r="L24" i="4" a="1"/>
  <c r="L24" i="4" s="1"/>
  <c r="E24" i="4" a="1"/>
  <c r="E24" i="4" s="1"/>
  <c r="I24" i="4"/>
  <c r="F24" i="4"/>
  <c r="J24" i="4"/>
  <c r="G24" i="4"/>
  <c r="F20" i="4"/>
  <c r="J20" i="4"/>
  <c r="G20" i="4"/>
  <c r="K20" i="4"/>
  <c r="H20" i="4"/>
  <c r="L20" i="4" a="1"/>
  <c r="L20" i="4" s="1"/>
  <c r="E20" i="4" a="1"/>
  <c r="E20" i="4" s="1"/>
  <c r="I20" i="4"/>
  <c r="E16" i="4" a="1"/>
  <c r="E16" i="4" s="1"/>
  <c r="I16" i="4"/>
  <c r="F16" i="4"/>
  <c r="J16" i="4"/>
  <c r="G16" i="4"/>
  <c r="K16" i="4"/>
  <c r="H16" i="4"/>
  <c r="L16" i="4" a="1"/>
  <c r="L16" i="4" s="1"/>
  <c r="E12" i="4" a="1"/>
  <c r="E12" i="4" s="1"/>
  <c r="I12" i="4"/>
  <c r="F12" i="4"/>
  <c r="J12" i="4"/>
  <c r="G12" i="4"/>
  <c r="K12" i="4"/>
  <c r="H12" i="4"/>
  <c r="L12" i="4" a="1"/>
  <c r="L12" i="4" s="1"/>
  <c r="I130" i="4"/>
  <c r="J129" i="4"/>
  <c r="K128" i="4"/>
  <c r="L127" i="4" a="1"/>
  <c r="L127" i="4" s="1"/>
  <c r="H127" i="4"/>
  <c r="K125" i="4"/>
  <c r="K123" i="4"/>
  <c r="K121" i="4"/>
  <c r="K119" i="4"/>
  <c r="K117" i="4"/>
  <c r="K115" i="4"/>
  <c r="K113" i="4"/>
  <c r="K111" i="4"/>
  <c r="K109" i="4"/>
  <c r="K107" i="4"/>
  <c r="K105" i="4"/>
  <c r="K103" i="4"/>
  <c r="K101" i="4"/>
  <c r="K99" i="4"/>
  <c r="K97" i="4"/>
  <c r="I96" i="4"/>
  <c r="I95" i="4"/>
  <c r="I94" i="4"/>
  <c r="I93" i="4"/>
  <c r="I92" i="4"/>
  <c r="I91" i="4"/>
  <c r="I90" i="4"/>
  <c r="I89" i="4"/>
  <c r="I88" i="4"/>
  <c r="F87" i="4"/>
  <c r="F86" i="4"/>
  <c r="F85" i="4"/>
  <c r="F83" i="4"/>
  <c r="F81" i="4"/>
  <c r="F79" i="4"/>
  <c r="F77" i="4"/>
  <c r="F75" i="4"/>
  <c r="F73" i="4"/>
  <c r="F71" i="4"/>
  <c r="F69" i="4"/>
  <c r="F67" i="4"/>
  <c r="F65" i="4"/>
  <c r="F63" i="4"/>
  <c r="F61" i="4"/>
  <c r="F59" i="4"/>
  <c r="F57" i="4"/>
  <c r="F55" i="4"/>
  <c r="K52" i="4"/>
  <c r="K44" i="4"/>
  <c r="K36" i="4"/>
  <c r="K28" i="4"/>
  <c r="E21" i="4" a="1"/>
  <c r="E21" i="4" s="1"/>
  <c r="K13" i="4"/>
  <c r="A463" i="3"/>
  <c r="A439" i="3" s="1"/>
  <c r="A468" i="3"/>
  <c r="A444" i="3" s="1"/>
  <c r="A420" i="3" s="1"/>
  <c r="A396" i="3" s="1"/>
  <c r="A456" i="3"/>
  <c r="A432" i="3" s="1"/>
  <c r="A461" i="3"/>
  <c r="A453" i="3"/>
  <c r="A429" i="3" s="1"/>
  <c r="A433" i="3"/>
  <c r="A415" i="3" s="1"/>
  <c r="A391" i="3" s="1"/>
  <c r="A427" i="3"/>
  <c r="A403" i="3" s="1"/>
  <c r="A379" i="3" s="1"/>
  <c r="A355" i="3" s="1"/>
  <c r="A331" i="3" s="1"/>
  <c r="F12" i="7"/>
  <c r="G12" i="7" s="1"/>
  <c r="A434" i="3"/>
  <c r="A410" i="3" s="1"/>
  <c r="A438" i="3"/>
  <c r="A414" i="3" s="1"/>
  <c r="A377" i="3"/>
  <c r="A353" i="3" s="1"/>
  <c r="A373" i="3"/>
  <c r="A349" i="3" s="1"/>
  <c r="A325" i="3" s="1"/>
  <c r="A175" i="3"/>
  <c r="A151" i="3" s="1"/>
  <c r="A127" i="3" s="1"/>
  <c r="A103" i="3" s="1"/>
  <c r="A79" i="3" s="1"/>
  <c r="A55" i="3" s="1"/>
  <c r="A172" i="3"/>
  <c r="A401" i="3"/>
  <c r="A400" i="3"/>
  <c r="A376" i="3" s="1"/>
  <c r="A352" i="3" s="1"/>
  <c r="A328" i="3" s="1"/>
  <c r="A304" i="3" s="1"/>
  <c r="A280" i="3" s="1"/>
  <c r="A356" i="3"/>
  <c r="A332" i="3" s="1"/>
  <c r="A308" i="3" s="1"/>
  <c r="A284" i="3" s="1"/>
  <c r="A350" i="3"/>
  <c r="A326" i="3" s="1"/>
  <c r="A302" i="3" s="1"/>
  <c r="A402" i="3"/>
  <c r="A404" i="3"/>
  <c r="A380" i="3" s="1"/>
  <c r="A389" i="3"/>
  <c r="A365" i="3" s="1"/>
  <c r="A387" i="3"/>
  <c r="A363" i="3" s="1"/>
  <c r="A339" i="3" s="1"/>
  <c r="A315" i="3" s="1"/>
  <c r="A291" i="3" s="1"/>
  <c r="A267" i="3" s="1"/>
  <c r="A321" i="3"/>
  <c r="A297" i="3" s="1"/>
  <c r="A273" i="3" s="1"/>
  <c r="A329" i="3"/>
  <c r="A305" i="3" s="1"/>
  <c r="A310" i="3"/>
  <c r="A312" i="3"/>
  <c r="A288" i="3" s="1"/>
  <c r="A264" i="3" s="1"/>
  <c r="A240" i="3" s="1"/>
  <c r="A216" i="3" s="1"/>
  <c r="A192" i="3" s="1"/>
  <c r="A416" i="3"/>
  <c r="A392" i="3" s="1"/>
  <c r="A368" i="3" s="1"/>
  <c r="A344" i="3" s="1"/>
  <c r="A419" i="3"/>
  <c r="A447" i="3"/>
  <c r="A423" i="3" s="1"/>
  <c r="A409" i="3"/>
  <c r="A385" i="3" s="1"/>
  <c r="A361" i="3" s="1"/>
  <c r="C8" i="7"/>
  <c r="D8" i="7"/>
  <c r="E141" i="4"/>
  <c r="F141" i="4"/>
  <c r="G141" i="4" s="1"/>
  <c r="C141" i="4" a="1"/>
  <c r="C141" i="4" s="1"/>
  <c r="C137" i="4" a="1"/>
  <c r="C137" i="4" s="1"/>
  <c r="C47" i="7" s="1"/>
  <c r="E137" i="4"/>
  <c r="C143" i="4" a="1"/>
  <c r="C143" i="4" s="1"/>
  <c r="E143" i="4"/>
  <c r="F143" i="4"/>
  <c r="G143" i="4" s="1"/>
  <c r="C139" i="4" a="1"/>
  <c r="C139" i="4" s="1"/>
  <c r="E139" i="4"/>
  <c r="F139" i="4"/>
  <c r="G139" i="4" s="1"/>
  <c r="E8" i="7"/>
  <c r="E144" i="4"/>
  <c r="C144" i="4" a="1"/>
  <c r="C144" i="4" s="1"/>
  <c r="F144" i="4"/>
  <c r="G144" i="4" s="1"/>
  <c r="D144" i="4"/>
  <c r="H144" i="4"/>
  <c r="I144" i="4" s="1"/>
  <c r="E140" i="4"/>
  <c r="C140" i="4" a="1"/>
  <c r="C140" i="4" s="1"/>
  <c r="F140" i="4"/>
  <c r="G140" i="4" s="1"/>
  <c r="D140" i="4"/>
  <c r="H140" i="4"/>
  <c r="I140" i="4" s="1"/>
  <c r="D142" i="4"/>
  <c r="H142" i="4"/>
  <c r="I142" i="4" s="1"/>
  <c r="E142" i="4"/>
  <c r="C142" i="4" a="1"/>
  <c r="C142" i="4" s="1"/>
  <c r="F142" i="4"/>
  <c r="G142" i="4" s="1"/>
  <c r="E138" i="4"/>
  <c r="C138" i="4" a="1"/>
  <c r="C138" i="4" s="1"/>
  <c r="F138" i="4"/>
  <c r="G138" i="4" s="1"/>
  <c r="D138" i="4"/>
  <c r="H138" i="4"/>
  <c r="I138" i="4" s="1"/>
  <c r="C136" i="4" a="1"/>
  <c r="C136" i="4" s="1"/>
  <c r="D136" i="4" s="1"/>
  <c r="H143" i="4"/>
  <c r="I143" i="4" s="1"/>
  <c r="D143" i="4"/>
  <c r="H139" i="4"/>
  <c r="I139" i="4" s="1"/>
  <c r="D139" i="4"/>
  <c r="H141" i="4"/>
  <c r="I141" i="4" s="1"/>
  <c r="D141" i="4"/>
  <c r="H137" i="4"/>
  <c r="I137" i="4" s="1"/>
  <c r="D137" i="4"/>
  <c r="F137" i="4"/>
  <c r="G137" i="4" s="1"/>
  <c r="B47" i="7"/>
  <c r="B46" i="7"/>
  <c r="C39" i="7" a="1"/>
  <c r="C39" i="7" s="1"/>
  <c r="C38" i="7" a="1"/>
  <c r="C38" i="7" s="1"/>
  <c r="D39" i="7"/>
  <c r="C37" i="7"/>
  <c r="D38" i="7"/>
  <c r="F8" i="7"/>
  <c r="B17" i="7"/>
  <c r="D37" i="7"/>
  <c r="I6" i="6" a="1"/>
  <c r="I6" i="6" s="1"/>
  <c r="D6" i="5" a="1"/>
  <c r="D6" i="5" s="1"/>
  <c r="D17" i="7"/>
  <c r="C17" i="7"/>
  <c r="I27" i="5"/>
  <c r="J27" i="5" s="1"/>
  <c r="G27" i="5"/>
  <c r="H27" i="5" s="1"/>
  <c r="J24" i="5" a="1"/>
  <c r="J24" i="5" s="1"/>
  <c r="I24" i="5" a="1"/>
  <c r="I24" i="5" s="1"/>
  <c r="H24" i="5" a="1"/>
  <c r="H24" i="5" s="1"/>
  <c r="G24" i="5" a="1"/>
  <c r="G24" i="5" s="1"/>
  <c r="F24" i="5" a="1"/>
  <c r="F24" i="5" s="1"/>
  <c r="F27" i="5" s="1"/>
  <c r="D24" i="5" a="1"/>
  <c r="D24" i="5" s="1"/>
  <c r="E24" i="5" a="1"/>
  <c r="E24" i="5" s="1"/>
  <c r="E27" i="5" s="1"/>
  <c r="C24" i="5" a="1"/>
  <c r="C24" i="5" s="1"/>
  <c r="O6" i="5" a="1"/>
  <c r="O6" i="5" s="1"/>
  <c r="N6" i="5" a="1"/>
  <c r="N6" i="5" s="1"/>
  <c r="K6" i="5" a="1"/>
  <c r="K6" i="5" s="1"/>
  <c r="J6" i="5" a="1"/>
  <c r="J6" i="5" s="1"/>
  <c r="H6" i="5" a="1"/>
  <c r="H6" i="5" s="1"/>
  <c r="G6" i="5" a="1"/>
  <c r="G6" i="5" s="1"/>
  <c r="E6" i="5" a="1"/>
  <c r="E6" i="5" s="1"/>
  <c r="Q6" i="5" a="1"/>
  <c r="Q6" i="5" s="1"/>
  <c r="C6" i="5" a="1"/>
  <c r="C6" i="5" s="1"/>
  <c r="C6" i="6" a="1"/>
  <c r="C6" i="6" s="1"/>
  <c r="M6" i="6" a="1"/>
  <c r="M6" i="6" s="1"/>
  <c r="L6" i="6" a="1"/>
  <c r="L6" i="6" s="1"/>
  <c r="Q6" i="6" a="1"/>
  <c r="Q6" i="6" s="1"/>
  <c r="P6" i="6" a="1"/>
  <c r="P6" i="6" s="1"/>
  <c r="A405" i="3" l="1"/>
  <c r="A381" i="3" s="1"/>
  <c r="A408" i="3"/>
  <c r="A394" i="3"/>
  <c r="A370" i="3" s="1"/>
  <c r="A346" i="3" s="1"/>
  <c r="A322" i="3" s="1"/>
  <c r="A298" i="3" s="1"/>
  <c r="A274" i="3" s="1"/>
  <c r="A250" i="3" s="1"/>
  <c r="A226" i="3" s="1"/>
  <c r="A202" i="3" s="1"/>
  <c r="A178" i="3" s="1"/>
  <c r="A390" i="3"/>
  <c r="A399" i="3"/>
  <c r="A375" i="3" s="1"/>
  <c r="A351" i="3" s="1"/>
  <c r="A327" i="3" s="1"/>
  <c r="A303" i="3" s="1"/>
  <c r="A395" i="3"/>
  <c r="A371" i="3" s="1"/>
  <c r="A347" i="3" s="1"/>
  <c r="A323" i="3" s="1"/>
  <c r="A299" i="3" s="1"/>
  <c r="A275" i="3" s="1"/>
  <c r="A251" i="3" s="1"/>
  <c r="A227" i="3" s="1"/>
  <c r="A152" i="3"/>
  <c r="A148" i="3"/>
  <c r="A171" i="3"/>
  <c r="A168" i="3"/>
  <c r="A144" i="3" s="1"/>
  <c r="A120" i="3" s="1"/>
  <c r="A96" i="3" s="1"/>
  <c r="A248" i="3"/>
  <c r="A243" i="3"/>
  <c r="A219" i="3" s="1"/>
  <c r="A307" i="3"/>
  <c r="A283" i="3" s="1"/>
  <c r="A259" i="3" s="1"/>
  <c r="A301" i="3"/>
  <c r="A277" i="3" s="1"/>
  <c r="A253" i="3" s="1"/>
  <c r="A256" i="3"/>
  <c r="A249" i="3"/>
  <c r="A378" i="3"/>
  <c r="A354" i="3" s="1"/>
  <c r="A383" i="3"/>
  <c r="A37" i="3"/>
  <c r="A13" i="3" s="1"/>
  <c r="A31" i="3"/>
  <c r="A7" i="3" s="1"/>
  <c r="A300" i="3"/>
  <c r="A276" i="3" s="1"/>
  <c r="A252" i="3" s="1"/>
  <c r="A228" i="3" s="1"/>
  <c r="A286" i="3"/>
  <c r="A372" i="3"/>
  <c r="A367" i="3"/>
  <c r="A343" i="3" s="1"/>
  <c r="A319" i="3" s="1"/>
  <c r="A295" i="3" s="1"/>
  <c r="D145" i="4"/>
  <c r="E136" i="4"/>
  <c r="E145" i="4" s="1"/>
  <c r="F136" i="4"/>
  <c r="H136" i="4"/>
  <c r="C46" i="7"/>
  <c r="E47" i="7"/>
  <c r="D47" i="7"/>
  <c r="P6" i="5" a="1"/>
  <c r="P6" i="5" s="1"/>
  <c r="L6" i="5" a="1"/>
  <c r="L6" i="5" s="1"/>
  <c r="A386" i="3" l="1"/>
  <c r="A384" i="3"/>
  <c r="A360" i="3" s="1"/>
  <c r="A336" i="3" s="1"/>
  <c r="A359" i="3"/>
  <c r="A335" i="3" s="1"/>
  <c r="A311" i="3" s="1"/>
  <c r="A287" i="3" s="1"/>
  <c r="A357" i="3"/>
  <c r="A333" i="3" s="1"/>
  <c r="A309" i="3" s="1"/>
  <c r="A229" i="3"/>
  <c r="A205" i="3" s="1"/>
  <c r="A181" i="3" s="1"/>
  <c r="A225" i="3"/>
  <c r="A201" i="3" s="1"/>
  <c r="A177" i="3" s="1"/>
  <c r="A197" i="3"/>
  <c r="A173" i="3" s="1"/>
  <c r="A149" i="3" s="1"/>
  <c r="A195" i="3"/>
  <c r="A209" i="3"/>
  <c r="A185" i="3" s="1"/>
  <c r="A204" i="3"/>
  <c r="A180" i="3" s="1"/>
  <c r="A233" i="3"/>
  <c r="A232" i="3"/>
  <c r="A208" i="3" s="1"/>
  <c r="A337" i="3"/>
  <c r="A313" i="3" s="1"/>
  <c r="A289" i="3" s="1"/>
  <c r="A265" i="3" s="1"/>
  <c r="A241" i="3" s="1"/>
  <c r="A330" i="3"/>
  <c r="A306" i="3" s="1"/>
  <c r="A281" i="3"/>
  <c r="A279" i="3"/>
  <c r="A255" i="3" s="1"/>
  <c r="A278" i="3"/>
  <c r="A254" i="3" s="1"/>
  <c r="A271" i="3"/>
  <c r="A247" i="3" s="1"/>
  <c r="A223" i="3" s="1"/>
  <c r="I136" i="4"/>
  <c r="H145" i="4"/>
  <c r="I145" i="4" s="1"/>
  <c r="G136" i="4"/>
  <c r="F145" i="4"/>
  <c r="G145" i="4" s="1"/>
  <c r="E48" i="7"/>
  <c r="E46" i="7"/>
  <c r="F46" i="7"/>
  <c r="F47" i="7"/>
  <c r="D48" i="7"/>
  <c r="D46" i="7"/>
  <c r="A270" i="3" l="1"/>
  <c r="A246" i="3" s="1"/>
  <c r="A222" i="3" s="1"/>
  <c r="A198" i="3" s="1"/>
  <c r="A174" i="3" s="1"/>
  <c r="A150" i="3" s="1"/>
  <c r="A126" i="3" s="1"/>
  <c r="A102" i="3" s="1"/>
  <c r="A263" i="3"/>
  <c r="A239" i="3" s="1"/>
  <c r="A215" i="3" s="1"/>
  <c r="A366" i="3"/>
  <c r="A362" i="3"/>
  <c r="A186" i="3"/>
  <c r="A162" i="3" s="1"/>
  <c r="A138" i="3" s="1"/>
  <c r="A184" i="3"/>
  <c r="A153" i="3"/>
  <c r="A154" i="3"/>
  <c r="A130" i="3" s="1"/>
  <c r="A106" i="3" s="1"/>
  <c r="A82" i="3" s="1"/>
  <c r="A58" i="3" s="1"/>
  <c r="A34" i="3" s="1"/>
  <c r="A10" i="3" s="1"/>
  <c r="A257" i="3"/>
  <c r="A260" i="3"/>
  <c r="A161" i="3"/>
  <c r="A137" i="3" s="1"/>
  <c r="A113" i="3" s="1"/>
  <c r="A89" i="3" s="1"/>
  <c r="A65" i="3" s="1"/>
  <c r="A167" i="3"/>
  <c r="A160" i="3"/>
  <c r="A136" i="3" s="1"/>
  <c r="A112" i="3" s="1"/>
  <c r="A88" i="3" s="1"/>
  <c r="A157" i="3"/>
  <c r="A133" i="3" s="1"/>
  <c r="A109" i="3" s="1"/>
  <c r="A85" i="3" s="1"/>
  <c r="A61" i="3" s="1"/>
  <c r="A285" i="3"/>
  <c r="A282" i="3"/>
  <c r="A258" i="3" s="1"/>
  <c r="A125" i="3"/>
  <c r="A101" i="3" s="1"/>
  <c r="A77" i="3" s="1"/>
  <c r="A128" i="3"/>
  <c r="A104" i="3" s="1"/>
  <c r="A80" i="3" s="1"/>
  <c r="A56" i="3" s="1"/>
  <c r="A32" i="3" s="1"/>
  <c r="A203" i="3"/>
  <c r="A179" i="3" s="1"/>
  <c r="A199" i="3"/>
  <c r="A230" i="3"/>
  <c r="A206" i="3" s="1"/>
  <c r="A182" i="3" s="1"/>
  <c r="A158" i="3" s="1"/>
  <c r="A231" i="3"/>
  <c r="A207" i="3" s="1"/>
  <c r="F48" i="7"/>
  <c r="A338" i="3" l="1"/>
  <c r="A341" i="3"/>
  <c r="A317" i="3" s="1"/>
  <c r="A293" i="3" s="1"/>
  <c r="A269" i="3" s="1"/>
  <c r="A245" i="3" s="1"/>
  <c r="A221" i="3" s="1"/>
  <c r="A342" i="3"/>
  <c r="A318" i="3" s="1"/>
  <c r="A294" i="3" s="1"/>
  <c r="A348" i="3"/>
  <c r="A324" i="3" s="1"/>
  <c r="A194" i="3"/>
  <c r="A170" i="3" s="1"/>
  <c r="A146" i="3" s="1"/>
  <c r="A122" i="3" s="1"/>
  <c r="A191" i="3"/>
  <c r="A78" i="3"/>
  <c r="A54" i="3" s="1"/>
  <c r="A83" i="3"/>
  <c r="A59" i="3" s="1"/>
  <c r="A35" i="3" s="1"/>
  <c r="A11" i="3" s="1"/>
  <c r="A234" i="3"/>
  <c r="A235" i="3"/>
  <c r="A211" i="3" s="1"/>
  <c r="A147" i="3"/>
  <c r="A123" i="3" s="1"/>
  <c r="A99" i="3" s="1"/>
  <c r="A143" i="3"/>
  <c r="A119" i="3" s="1"/>
  <c r="A95" i="3" s="1"/>
  <c r="A71" i="3" s="1"/>
  <c r="A47" i="3" s="1"/>
  <c r="A262" i="3"/>
  <c r="A261" i="3"/>
  <c r="A129" i="3"/>
  <c r="A105" i="3" s="1"/>
  <c r="A81" i="3" s="1"/>
  <c r="A57" i="3" s="1"/>
  <c r="A33" i="3" s="1"/>
  <c r="A134" i="3"/>
  <c r="A237" i="3"/>
  <c r="A213" i="3" s="1"/>
  <c r="A189" i="3" s="1"/>
  <c r="A165" i="3" s="1"/>
  <c r="A236" i="3"/>
  <c r="A212" i="3" s="1"/>
  <c r="A188" i="3" s="1"/>
  <c r="A164" i="3" s="1"/>
  <c r="A62" i="3"/>
  <c r="A53" i="3"/>
  <c r="A29" i="3" s="1"/>
  <c r="A5" i="3" s="1"/>
  <c r="A72" i="3"/>
  <c r="A48" i="3" s="1"/>
  <c r="A24" i="3" s="1"/>
  <c r="A64" i="3"/>
  <c r="A40" i="3" s="1"/>
  <c r="A156" i="3"/>
  <c r="A132" i="3" s="1"/>
  <c r="A108" i="3" s="1"/>
  <c r="A155" i="3"/>
  <c r="A131" i="3" s="1"/>
  <c r="A107" i="3" s="1"/>
  <c r="A314" i="3" l="1"/>
  <c r="A290" i="3" s="1"/>
  <c r="A266" i="3" s="1"/>
  <c r="A320" i="3"/>
  <c r="A296" i="3" s="1"/>
  <c r="A272" i="3" s="1"/>
  <c r="A30" i="3"/>
  <c r="A6" i="3" s="1"/>
  <c r="A23" i="3"/>
  <c r="A16" i="3"/>
  <c r="A9" i="3"/>
  <c r="A38" i="3"/>
  <c r="A14" i="3" s="1"/>
  <c r="A41" i="3"/>
  <c r="A190" i="3"/>
  <c r="A166" i="3" s="1"/>
  <c r="A187" i="3"/>
  <c r="A163" i="3" s="1"/>
  <c r="A139" i="3" s="1"/>
  <c r="A115" i="3" s="1"/>
  <c r="A142" i="3"/>
  <c r="A141" i="3"/>
  <c r="A242" i="3"/>
  <c r="A238" i="3"/>
  <c r="A214" i="3" s="1"/>
  <c r="A217" i="3"/>
  <c r="A193" i="3" s="1"/>
  <c r="A169" i="3" s="1"/>
  <c r="A145" i="3" s="1"/>
  <c r="A121" i="3" s="1"/>
  <c r="A97" i="3" s="1"/>
  <c r="A73" i="3" s="1"/>
  <c r="A49" i="3" s="1"/>
  <c r="A25" i="3" s="1"/>
  <c r="A210" i="3"/>
  <c r="A86" i="3"/>
  <c r="A84" i="3"/>
  <c r="A60" i="3" s="1"/>
  <c r="A36" i="3" s="1"/>
  <c r="A12" i="3" s="1"/>
  <c r="A218" i="3" l="1"/>
  <c r="A224" i="3"/>
  <c r="A200" i="3" s="1"/>
  <c r="A22" i="3"/>
  <c r="A17" i="3"/>
  <c r="A118" i="3"/>
  <c r="A94" i="3" s="1"/>
  <c r="A70" i="3" s="1"/>
  <c r="A46" i="3" s="1"/>
  <c r="A124" i="3"/>
  <c r="A110" i="3" l="1"/>
  <c r="A100" i="3"/>
  <c r="A76" i="3" s="1"/>
  <c r="A176" i="3"/>
  <c r="A183" i="3"/>
  <c r="A159" i="3" s="1"/>
  <c r="A140" i="3" l="1"/>
  <c r="A135" i="3"/>
  <c r="A114" i="3" l="1"/>
  <c r="A90" i="3" s="1"/>
  <c r="A66" i="3" s="1"/>
  <c r="A111" i="3"/>
  <c r="A116" i="3"/>
  <c r="A92" i="3" s="1"/>
  <c r="A68" i="3" s="1"/>
  <c r="A44" i="3" s="1"/>
  <c r="A20" i="3" s="1"/>
  <c r="A117" i="3"/>
  <c r="A98" i="3" l="1"/>
  <c r="A93" i="3"/>
  <c r="A69" i="3" s="1"/>
  <c r="A45" i="3" s="1"/>
  <c r="A21" i="3" s="1"/>
  <c r="A91" i="3"/>
  <c r="A67" i="3" s="1"/>
  <c r="A43" i="3" s="1"/>
  <c r="A19" i="3" s="1"/>
  <c r="A87" i="3"/>
  <c r="A63" i="3" s="1"/>
  <c r="A39" i="3" s="1"/>
  <c r="A15" i="3" s="1"/>
  <c r="A42" i="3"/>
  <c r="A18" i="3" s="1"/>
  <c r="A52" i="3"/>
  <c r="A28" i="3" s="1"/>
  <c r="A8" i="3" l="1"/>
  <c r="A4" i="3"/>
  <c r="A74" i="3"/>
  <c r="A50" i="3" s="1"/>
  <c r="A26" i="3" s="1"/>
  <c r="A75" i="3"/>
  <c r="A51" i="3" s="1"/>
  <c r="A27" i="3" s="1"/>
  <c r="E22" i="7" a="1"/>
  <c r="E22" i="7" s="1"/>
  <c r="B30" i="7" a="1"/>
  <c r="B30" i="7" s="1"/>
  <c r="B28" i="7" a="1"/>
  <c r="B28" i="7" s="1"/>
  <c r="G28" i="7" s="1"/>
  <c r="B26" i="7" a="1"/>
  <c r="B26" i="7" s="1"/>
  <c r="B23" i="7" a="1"/>
  <c r="B23" i="7" s="1"/>
  <c r="B24" i="7" a="1"/>
  <c r="B24" i="7" s="1"/>
  <c r="G24" i="7" s="1"/>
  <c r="B25" i="7" a="1"/>
  <c r="B25" i="7" s="1"/>
  <c r="D25" i="7" s="1"/>
  <c r="B27" i="7" a="1"/>
  <c r="B27" i="7" s="1"/>
  <c r="B31" i="7" a="1"/>
  <c r="B31" i="7" s="1"/>
  <c r="B29" i="7" a="1"/>
  <c r="B29" i="7" s="1"/>
  <c r="F29" i="7" s="1"/>
  <c r="C31" i="7" a="1"/>
  <c r="C31" i="7" s="1"/>
  <c r="E27" i="7" a="1"/>
  <c r="E27" i="7" s="1"/>
  <c r="C28" i="7" a="1"/>
  <c r="C28" i="7" s="1"/>
  <c r="C29" i="7" a="1"/>
  <c r="C29" i="7" s="1"/>
  <c r="C24" i="7" a="1"/>
  <c r="C24" i="7" s="1"/>
  <c r="E26" i="7" a="1"/>
  <c r="E26" i="7" s="1"/>
  <c r="E28" i="7" a="1"/>
  <c r="E28" i="7" s="1"/>
  <c r="E25" i="7" a="1"/>
  <c r="E25" i="7" s="1"/>
  <c r="C26" i="7" a="1"/>
  <c r="C26" i="7" s="1"/>
  <c r="C23" i="7" a="1"/>
  <c r="C23" i="7" s="1"/>
  <c r="C27" i="7" a="1"/>
  <c r="C27" i="7" s="1"/>
  <c r="E24" i="7" a="1"/>
  <c r="E24" i="7" s="1"/>
  <c r="E23" i="7" a="1"/>
  <c r="E23" i="7" s="1"/>
  <c r="E31" i="7" a="1"/>
  <c r="E31" i="7" s="1"/>
  <c r="C30" i="7" a="1"/>
  <c r="C30" i="7" s="1"/>
  <c r="C25" i="7" a="1"/>
  <c r="C25" i="7" s="1"/>
  <c r="E30" i="7" a="1"/>
  <c r="E30" i="7" s="1"/>
  <c r="E29" i="7" a="1"/>
  <c r="E29" i="7" s="1"/>
  <c r="C22" i="7" a="1"/>
  <c r="C22" i="7" s="1"/>
  <c r="B22" i="7" a="1"/>
  <c r="B22" i="7" s="1"/>
  <c r="F31" i="7" l="1"/>
  <c r="D31" i="7"/>
  <c r="G31" i="7"/>
  <c r="G22" i="7"/>
  <c r="F22" i="7"/>
  <c r="D22" i="7"/>
  <c r="D27" i="7"/>
  <c r="F27" i="7"/>
  <c r="G27" i="7"/>
  <c r="F23" i="7"/>
  <c r="G23" i="7"/>
  <c r="D23" i="7"/>
  <c r="F30" i="7"/>
  <c r="G30" i="7"/>
  <c r="D30" i="7"/>
  <c r="F26" i="7"/>
  <c r="G26" i="7"/>
  <c r="D26" i="7"/>
  <c r="E32" i="7"/>
  <c r="D29" i="7"/>
  <c r="G29" i="7"/>
  <c r="F25" i="7"/>
  <c r="G25" i="7"/>
  <c r="F24" i="7"/>
  <c r="D24" i="7"/>
  <c r="D28" i="7"/>
  <c r="F28" i="7"/>
  <c r="F32" i="7" l="1"/>
  <c r="G32" i="7"/>
  <c r="F508" i="3"/>
  <c r="H50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<sst xmlns="http://schemas.openxmlformats.org/spreadsheetml/2006/main" count="14687" uniqueCount="2003">
  <si>
    <t>DASHBOARD — CONTROL DE REFACCIONES Y COTIZACIONES 2026</t>
  </si>
  <si>
    <t>Resumen de pedidos, cotizaciones y estado de maquinaria pesada</t>
  </si>
  <si>
    <t>📊 RESUMEN DE PARTIDAS</t>
  </si>
  <si>
    <t>TOTAL PARTIDAS</t>
  </si>
  <si>
    <t>ENTREGADO</t>
  </si>
  <si>
    <t>COTIZANDO</t>
  </si>
  <si>
    <t>EN ALMACÉN</t>
  </si>
  <si>
    <t>CANCELADO</t>
  </si>
  <si>
    <t>PEDIDO</t>
  </si>
  <si>
    <t>piezas solicitadas</t>
  </si>
  <si>
    <t>por entregar</t>
  </si>
  <si>
    <t>🚜 ESTADO DE MAQUINARIA</t>
  </si>
  <si>
    <t>UNIDADES ACTIVAS</t>
  </si>
  <si>
    <t>UNIDADES INACTIVAS</t>
  </si>
  <si>
    <t>UNIDADES DONANTE</t>
  </si>
  <si>
    <t>UNIDADES SINIESTRADAS</t>
  </si>
  <si>
    <t>TOTAL UNIDADES</t>
  </si>
  <si>
    <t>% DISPONIBILIDAD</t>
  </si>
  <si>
    <t>en operación</t>
  </si>
  <si>
    <t>en reparación</t>
  </si>
  <si>
    <t>para refacciones</t>
  </si>
  <si>
    <t>fuera de operación</t>
  </si>
  <si>
    <t>flota total</t>
  </si>
  <si>
    <t>de la flota</t>
  </si>
  <si>
    <t>💰 COMPARATIVO DE COSTOS — PARTIDAS EN COTIZACIÓN (Excluye Servicios de Filtros)</t>
  </si>
  <si>
    <t>MATCO (MXN)</t>
  </si>
  <si>
    <t>HAWTHORNE (USD)</t>
  </si>
  <si>
    <t>CTP (USD)</t>
  </si>
  <si>
    <t>TIPO DE CAMBIO</t>
  </si>
  <si>
    <t>pesos sin IVA</t>
  </si>
  <si>
    <t>dólares</t>
  </si>
  <si>
    <t>capturado en Resumen</t>
  </si>
  <si>
    <t>🔧 MONTOS PARA REPARACIÓN DE UNIDADES INACTIVAS</t>
  </si>
  <si>
    <t>NÚM. ECON.</t>
  </si>
  <si>
    <t>MODELO</t>
  </si>
  <si>
    <t>ESTATUS</t>
  </si>
  <si>
    <t>COSTO MATCO (MXN)</t>
  </si>
  <si>
    <t>COSTO CTP (USD)</t>
  </si>
  <si>
    <t>TOTAL REQUERIDO PARA REPARACIONES</t>
  </si>
  <si>
    <t>📈 RESUMEN COMPARATIVO DE PROVEEDORES</t>
  </si>
  <si>
    <t>PROVEEDOR</t>
  </si>
  <si>
    <t>PARTIDAS COTIZADAS</t>
  </si>
  <si>
    <t>COSTO TOTAL</t>
  </si>
  <si>
    <t>MONEDA</t>
  </si>
  <si>
    <t>MATCO</t>
  </si>
  <si>
    <t>MXN</t>
  </si>
  <si>
    <t>HAWTHORNE</t>
  </si>
  <si>
    <t>USD</t>
  </si>
  <si>
    <t>CTP</t>
  </si>
  <si>
    <t>📌 Los datos se actualizan automáticamente desde las hojas CONTROL y MAQUINARIA. Capture el tipo de cambio en RESUMEN GLOBAL para ver conversiones a MXN.</t>
  </si>
  <si>
    <t>🔧 SERVICIOS DE FILTROS — Costos Operativos (Separados)</t>
  </si>
  <si>
    <t>PARTIDAS</t>
  </si>
  <si>
    <t>MR-01</t>
  </si>
  <si>
    <t>TM-03</t>
  </si>
  <si>
    <t>TOTAL</t>
  </si>
  <si>
    <t>FECHA DE SOLICITUD</t>
  </si>
  <si>
    <t>QUIEN SOLICITA</t>
  </si>
  <si>
    <t>OC</t>
  </si>
  <si>
    <t>REQUISICION</t>
  </si>
  <si>
    <t>FECHA DE REQ</t>
  </si>
  <si>
    <t>ESTATUS DE NUM ECONOMICO</t>
  </si>
  <si>
    <t>NUM ECONOMICO</t>
  </si>
  <si>
    <t>NUMERO DE PARTE</t>
  </si>
  <si>
    <t>DESCRIPCION</t>
  </si>
  <si>
    <t>CANTIDAD SOLICTADA</t>
  </si>
  <si>
    <t>COSTO UNITARIO EN MATCO PESOS</t>
  </si>
  <si>
    <t>COSTO TOTAL SIN IVA PESOS EN MATCO</t>
  </si>
  <si>
    <t>DIAS DE ENTREGA TENTATIVO EN MATCO</t>
  </si>
  <si>
    <t>COSTO UNITARIO DOLARES EN HAWTHORNE</t>
  </si>
  <si>
    <t>COSTO TOTAL DOLARES EN HAWTHORNE</t>
  </si>
  <si>
    <t>DIAS TENTATIVO DE  ENTREGA HAWTHORNE</t>
  </si>
  <si>
    <t>COSTO UNITARIO DOLARES CTP</t>
  </si>
  <si>
    <t>COSTO TOTAL DOLARES CTP</t>
  </si>
  <si>
    <t>DIAS TENTATIVO DE ENTREGA CTP</t>
  </si>
  <si>
    <t>STATUS</t>
  </si>
  <si>
    <t>NUMERO DE COTIZACION</t>
  </si>
  <si>
    <t>FECHA DE ENTREGA</t>
  </si>
  <si>
    <t>EN ESTOCK</t>
  </si>
  <si>
    <t>CANTIDAD EN ESTOCK</t>
  </si>
  <si>
    <t>PEDIDO A PROVEEDOR</t>
  </si>
  <si>
    <t>FECHA DE PEDIDO</t>
  </si>
  <si>
    <t>FECHA TENTATIVA DE ENTREGA</t>
  </si>
  <si>
    <t>QUIEN RECIBE</t>
  </si>
  <si>
    <t>REMISION DE SALIDA</t>
  </si>
  <si>
    <t>COMENTARIOS</t>
  </si>
  <si>
    <t>COMENTARIOS 2</t>
  </si>
  <si>
    <t>TEMA</t>
  </si>
  <si>
    <t>SERGIO</t>
  </si>
  <si>
    <t>QT-08-427805</t>
  </si>
  <si>
    <t>NO</t>
  </si>
  <si>
    <t>SIN EXISTENCIA</t>
  </si>
  <si>
    <t>JAVIER G</t>
  </si>
  <si>
    <t>7X5762</t>
  </si>
  <si>
    <t>COMENTA BENJAMIN QUE YA SE ENTREGO</t>
  </si>
  <si>
    <t>MT-08</t>
  </si>
  <si>
    <t>1P3705</t>
  </si>
  <si>
    <t>SI</t>
  </si>
  <si>
    <t>4C4782 / 2701528</t>
  </si>
  <si>
    <t>QT-08-427516</t>
  </si>
  <si>
    <t>ENTREGADO A BENJAMIN POSIBLE COMPRA CTP</t>
  </si>
  <si>
    <t>SOLICITAR A BENJA COMPRA EN CTP</t>
  </si>
  <si>
    <t>MALETIN DE SELLOS</t>
  </si>
  <si>
    <t>MM-02</t>
  </si>
  <si>
    <t>3F5108</t>
  </si>
  <si>
    <t>SE ENTREGARON SOLO 8 DE 4F3653 VER R-1666</t>
  </si>
  <si>
    <t>4K0367</t>
  </si>
  <si>
    <t>CE-1421</t>
  </si>
  <si>
    <t>MC-04</t>
  </si>
  <si>
    <t>QT-08-427536</t>
  </si>
  <si>
    <t>EDUARDO CHOFER</t>
  </si>
  <si>
    <t>SE ENTREGA EN OBRA</t>
  </si>
  <si>
    <t>PENDIENTE POR RECOGER SERGIO</t>
  </si>
  <si>
    <t>JAVIER</t>
  </si>
  <si>
    <t>ME-23</t>
  </si>
  <si>
    <t>4J8665</t>
  </si>
  <si>
    <t>R-1663</t>
  </si>
  <si>
    <t>9W6092</t>
  </si>
  <si>
    <t>4J9208</t>
  </si>
  <si>
    <t>2J3507</t>
  </si>
  <si>
    <t>ME-03</t>
  </si>
  <si>
    <t>R-1664</t>
  </si>
  <si>
    <t>MT-11</t>
  </si>
  <si>
    <t>4T5502</t>
  </si>
  <si>
    <t>R-1665</t>
  </si>
  <si>
    <t>6Y1204</t>
  </si>
  <si>
    <t>6Y1205</t>
  </si>
  <si>
    <t>DAVID</t>
  </si>
  <si>
    <t>4F3653</t>
  </si>
  <si>
    <t>R-1666</t>
  </si>
  <si>
    <t>ME-32</t>
  </si>
  <si>
    <t>R-1667</t>
  </si>
  <si>
    <t>CE-1423</t>
  </si>
  <si>
    <t>MT-03</t>
  </si>
  <si>
    <t>5P7593</t>
  </si>
  <si>
    <t>QT-08-427384</t>
  </si>
  <si>
    <t>CONFIRMA SERGIO ENTREGA</t>
  </si>
  <si>
    <t>1U1738</t>
  </si>
  <si>
    <t>CE-1416</t>
  </si>
  <si>
    <t>ME-16</t>
  </si>
  <si>
    <t>CHOFER EDUARDO</t>
  </si>
  <si>
    <t>SE ENTREGA A JAVIER</t>
  </si>
  <si>
    <t>ME-28</t>
  </si>
  <si>
    <t>5L8854</t>
  </si>
  <si>
    <t>SE ENTREGA A SERGIO</t>
  </si>
  <si>
    <t>SILENCIADOR</t>
  </si>
  <si>
    <t>9N1941</t>
  </si>
  <si>
    <t>QT-08-427469</t>
  </si>
  <si>
    <t>BENJA</t>
  </si>
  <si>
    <t>ME-14</t>
  </si>
  <si>
    <t>2N2765</t>
  </si>
  <si>
    <t>R-1673</t>
  </si>
  <si>
    <t>2N2766</t>
  </si>
  <si>
    <t>TUBERÍA A</t>
  </si>
  <si>
    <t>1S4295</t>
  </si>
  <si>
    <t>PUMP GR - GEAR FU</t>
  </si>
  <si>
    <t>CE-1417</t>
  </si>
  <si>
    <t>9N2038</t>
  </si>
  <si>
    <t>TDR</t>
  </si>
  <si>
    <t>8T8927</t>
  </si>
  <si>
    <t>QT-08-427546</t>
  </si>
  <si>
    <t>8T5361</t>
  </si>
  <si>
    <t>EN ALMACEN</t>
  </si>
  <si>
    <t>7M0475</t>
  </si>
  <si>
    <t>CE-1418</t>
  </si>
  <si>
    <t>ME-34</t>
  </si>
  <si>
    <t>QT-08-427503</t>
  </si>
  <si>
    <t>SOLICITAN QUE SE ENTREGE DIRECTO EN PUERTA</t>
  </si>
  <si>
    <t>ME-02</t>
  </si>
  <si>
    <t>9J0948</t>
  </si>
  <si>
    <t>QT-08-427650</t>
  </si>
  <si>
    <t>BUJES DE BRONCE</t>
  </si>
  <si>
    <t>5P8245</t>
  </si>
  <si>
    <t>ME-24</t>
  </si>
  <si>
    <t>8T4896</t>
  </si>
  <si>
    <t>5P5588</t>
  </si>
  <si>
    <t>1B3980</t>
  </si>
  <si>
    <t>CONO RODAMIENTO</t>
  </si>
  <si>
    <t xml:space="preserve">3-4 </t>
  </si>
  <si>
    <t>QT-08-427548</t>
  </si>
  <si>
    <t>1B3978</t>
  </si>
  <si>
    <t>COPA DE COJINETE</t>
  </si>
  <si>
    <t>3-4</t>
  </si>
  <si>
    <t>CUBIERTA</t>
  </si>
  <si>
    <t>Sello O ring</t>
  </si>
  <si>
    <t>1U4242</t>
  </si>
  <si>
    <t>TORNILLO AUTOMÁTICO DE CERROJO</t>
  </si>
  <si>
    <t>BENJAMIN</t>
  </si>
  <si>
    <t>CE-1420</t>
  </si>
  <si>
    <t>MX-06</t>
  </si>
  <si>
    <t>QT-08-427531</t>
  </si>
  <si>
    <t>PEDIDO FINCADO. EN ESPERA DE PASAR X EL A SUCURSAL</t>
  </si>
  <si>
    <t>9J0950</t>
  </si>
  <si>
    <t>QT-08-427586</t>
  </si>
  <si>
    <t>PASADO A BENJA</t>
  </si>
  <si>
    <t>9J0931</t>
  </si>
  <si>
    <t>EDUARDO</t>
  </si>
  <si>
    <t>MT-09</t>
  </si>
  <si>
    <t>9W8874</t>
  </si>
  <si>
    <t>QT-08-427569</t>
  </si>
  <si>
    <t>REPETIDO DE 53</t>
  </si>
  <si>
    <t>9W8875</t>
  </si>
  <si>
    <t>5J4773</t>
  </si>
  <si>
    <t>5P8248</t>
  </si>
  <si>
    <t>2J3506</t>
  </si>
  <si>
    <t>SE REPITIO CONCEC</t>
  </si>
  <si>
    <t>BRAZO</t>
  </si>
  <si>
    <t>QT-08-427598</t>
  </si>
  <si>
    <t>SE TOMARON REFACCIONES DEL PEDIDO ESTANCADO DEL MT-02</t>
  </si>
  <si>
    <t>3E6757</t>
  </si>
  <si>
    <t>6V8628</t>
  </si>
  <si>
    <t>MT-07</t>
  </si>
  <si>
    <t>QT-08-427613</t>
  </si>
  <si>
    <t>BUJE DE MAZA</t>
  </si>
  <si>
    <t>7X0343</t>
  </si>
  <si>
    <t>MP-03</t>
  </si>
  <si>
    <t>2S2923</t>
  </si>
  <si>
    <t>RETENEDOR</t>
  </si>
  <si>
    <t>0</t>
  </si>
  <si>
    <t>QT-08-427611</t>
  </si>
  <si>
    <t>COMPRESOR DE AIRE</t>
  </si>
  <si>
    <t>EMPAQUE</t>
  </si>
  <si>
    <t>8F4994</t>
  </si>
  <si>
    <t>Sello de labio</t>
  </si>
  <si>
    <t>CE-1424</t>
  </si>
  <si>
    <t>MT-02</t>
  </si>
  <si>
    <t>QT-08-427595</t>
  </si>
  <si>
    <t>PABLO</t>
  </si>
  <si>
    <t>PABLO PUBLICA</t>
  </si>
  <si>
    <t>SENSOR DE TEMPERATURA</t>
  </si>
  <si>
    <t>ENCHUFE DE CONECTOR</t>
  </si>
  <si>
    <t>9X3402</t>
  </si>
  <si>
    <t>QT-08-430945</t>
  </si>
  <si>
    <t>LOCAL</t>
  </si>
  <si>
    <t>KIT DE SELLOS PARA PISTONES</t>
  </si>
  <si>
    <t>MT-05</t>
  </si>
  <si>
    <t>10R1267</t>
  </si>
  <si>
    <t>QT-08-427753</t>
  </si>
  <si>
    <t>CATERPILLAR</t>
  </si>
  <si>
    <t>EDUARDO TORRES</t>
  </si>
  <si>
    <t>R-1685</t>
  </si>
  <si>
    <t>INYECTORES</t>
  </si>
  <si>
    <t>MT-13</t>
  </si>
  <si>
    <t>6H3957</t>
  </si>
  <si>
    <t>QT-08-428290</t>
  </si>
  <si>
    <t>SERGIO MENCIONA QUE SE CANCELA, ESTA FUNCIONANDO BIEN LA UNIDAD</t>
  </si>
  <si>
    <t>DESGASTE EN PZAS DEL POSTENFRIADOR</t>
  </si>
  <si>
    <t>5P9597</t>
  </si>
  <si>
    <t>MT-01</t>
  </si>
  <si>
    <t>8P0058</t>
  </si>
  <si>
    <t>QT-08-427760</t>
  </si>
  <si>
    <t>ACTP</t>
  </si>
  <si>
    <t>COTIZANDO BENJAMIN</t>
  </si>
  <si>
    <t>REPARACION DE TRANSMISION Y CONVERTIDOR</t>
  </si>
  <si>
    <t>SELLADO DE JUNTA TÓRICA</t>
  </si>
  <si>
    <t>CE-1442</t>
  </si>
  <si>
    <t>9M9647</t>
  </si>
  <si>
    <t>JOSE EDUARDO</t>
  </si>
  <si>
    <t>5P9519</t>
  </si>
  <si>
    <t>6L9284</t>
  </si>
  <si>
    <t>6V3965</t>
  </si>
  <si>
    <t>5P7815</t>
  </si>
  <si>
    <t>6L9965</t>
  </si>
  <si>
    <t>INTEGRAL DE LA GUARNIGA</t>
  </si>
  <si>
    <t>6V3250</t>
  </si>
  <si>
    <t>6J2419</t>
  </si>
  <si>
    <t>8M4432</t>
  </si>
  <si>
    <t>8M5661</t>
  </si>
  <si>
    <t>6F0156</t>
  </si>
  <si>
    <t>JUNTA-CTP [FC]</t>
  </si>
  <si>
    <t>9F3788</t>
  </si>
  <si>
    <t>3P3321</t>
  </si>
  <si>
    <t>8P4617</t>
  </si>
  <si>
    <t>5M6187</t>
  </si>
  <si>
    <t>9M1503</t>
  </si>
  <si>
    <t>8M5266</t>
  </si>
  <si>
    <t>6I9255</t>
  </si>
  <si>
    <t>3P2792</t>
  </si>
  <si>
    <t>1P9261</t>
  </si>
  <si>
    <t>6Y3484</t>
  </si>
  <si>
    <t>VÁLVULA GP-MODULATI</t>
  </si>
  <si>
    <t>5P6721</t>
  </si>
  <si>
    <t>6J3473</t>
  </si>
  <si>
    <t>9W6991</t>
  </si>
  <si>
    <t>5P3150</t>
  </si>
  <si>
    <t>3P2794</t>
  </si>
  <si>
    <t>3P2793</t>
  </si>
  <si>
    <t>8E8304</t>
  </si>
  <si>
    <t>5M6126</t>
  </si>
  <si>
    <t>7G4817</t>
  </si>
  <si>
    <t>5M7925</t>
  </si>
  <si>
    <t>9W9856</t>
  </si>
  <si>
    <t>8E2729</t>
  </si>
  <si>
    <t>BOLA RODAMIENTO</t>
  </si>
  <si>
    <t>METAL DEL ANILLO DE SELLADO</t>
  </si>
  <si>
    <t>2-4</t>
  </si>
  <si>
    <t>3S2708</t>
  </si>
  <si>
    <t>5P6254</t>
  </si>
  <si>
    <t>8M4390</t>
  </si>
  <si>
    <t>2D5658</t>
  </si>
  <si>
    <t>BOLA SPL DE RODAMIENTO</t>
  </si>
  <si>
    <t>8L2786</t>
  </si>
  <si>
    <t>3D8241</t>
  </si>
  <si>
    <t>8E8994</t>
  </si>
  <si>
    <t>1S9799</t>
  </si>
  <si>
    <t>6V1196</t>
  </si>
  <si>
    <t>3P0653</t>
  </si>
  <si>
    <t>6V5553</t>
  </si>
  <si>
    <t>6V9176</t>
  </si>
  <si>
    <t>DISCO</t>
  </si>
  <si>
    <t>1T0610</t>
  </si>
  <si>
    <t>SENSOR DE VELOCIDAD</t>
  </si>
  <si>
    <t>9M5894</t>
  </si>
  <si>
    <t>6F8146</t>
  </si>
  <si>
    <t>2S4078</t>
  </si>
  <si>
    <t>6V5188</t>
  </si>
  <si>
    <t>6L5359</t>
  </si>
  <si>
    <t>4J0524</t>
  </si>
  <si>
    <t>SPLI DE BOLA DE RODAMIENTO</t>
  </si>
  <si>
    <t>4J0520</t>
  </si>
  <si>
    <t>4J0527</t>
  </si>
  <si>
    <t>1P3708</t>
  </si>
  <si>
    <t>SEAL O RING NEGRO</t>
  </si>
  <si>
    <t>6L1651</t>
  </si>
  <si>
    <t>3D2824</t>
  </si>
  <si>
    <t>5P4889</t>
  </si>
  <si>
    <t>5P0840</t>
  </si>
  <si>
    <t>5D5957</t>
  </si>
  <si>
    <t>SEAL</t>
  </si>
  <si>
    <t>8J4351</t>
  </si>
  <si>
    <t>9M7539</t>
  </si>
  <si>
    <t>5H7153</t>
  </si>
  <si>
    <t>JUNTA-CTP</t>
  </si>
  <si>
    <t>5F8000</t>
  </si>
  <si>
    <t>3J7354</t>
  </si>
  <si>
    <t>3J1907</t>
  </si>
  <si>
    <t>6V8398</t>
  </si>
  <si>
    <t>3K0360</t>
  </si>
  <si>
    <t>5K9090</t>
  </si>
  <si>
    <t>8M4986</t>
  </si>
  <si>
    <t>8M4992</t>
  </si>
  <si>
    <t>8C3101</t>
  </si>
  <si>
    <t>7M8485</t>
  </si>
  <si>
    <t>8</t>
  </si>
  <si>
    <t>9W6612</t>
  </si>
  <si>
    <t>ME-08</t>
  </si>
  <si>
    <t>3G0034</t>
  </si>
  <si>
    <t>TRUNION</t>
  </si>
  <si>
    <t>7J4983</t>
  </si>
  <si>
    <t>1S5576</t>
  </si>
  <si>
    <t>MT-06</t>
  </si>
  <si>
    <t>20R2932</t>
  </si>
  <si>
    <t>ARBOL DE LEVAS</t>
  </si>
  <si>
    <t>QT-08-427838</t>
  </si>
  <si>
    <t>BENJAMIN CARDENAS COMENTA QUE EL LLEVA ESTA COT</t>
  </si>
  <si>
    <t>REPARACION DE MOTOR</t>
  </si>
  <si>
    <t>20R2931</t>
  </si>
  <si>
    <t>Cojinete de manguito con diámetro interior de 5,10 mm</t>
  </si>
  <si>
    <t>Camisa de inyector con diámetro exterior de 38,52 mm</t>
  </si>
  <si>
    <t xml:space="preserve">
Junta tórica de TFEP 80A de 2,62 x 34,59 mm</t>
  </si>
  <si>
    <t>9X7430</t>
  </si>
  <si>
    <t xml:space="preserve">Junta tórica de FKM de 1,4 x 25,63 mm, dureza 90A
</t>
  </si>
  <si>
    <t xml:space="preserve">Junta tórica de FKM de 2,62 x 126,67 mm, dureza 75A
</t>
  </si>
  <si>
    <t>5E8771</t>
  </si>
  <si>
    <t xml:space="preserve">
Junta tórica de 120,32 mm de diámetro interior</t>
  </si>
  <si>
    <t>Perno de seguridad con cabeza hexagonal de 1/4"-20 x 1"</t>
  </si>
  <si>
    <t>Junta tórica de 151,99 mm de diámetro interior</t>
  </si>
  <si>
    <t>Junta tórica de FKM 75A de 3,53 x 202,79 mm</t>
  </si>
  <si>
    <t>Sello / Empaque</t>
  </si>
  <si>
    <t xml:space="preserve">
Kit de instalación de culata para motor monocilíndrico</t>
  </si>
  <si>
    <t>5-6</t>
  </si>
  <si>
    <t>Kit de juntas para el enfriador de aceite y las líneas</t>
  </si>
  <si>
    <t>Kit de juntas para camisa de cilindro individual</t>
  </si>
  <si>
    <t>JUNTA DE KIT SING C</t>
  </si>
  <si>
    <t>Kit de juntas para bloque y cárter de aceite – Estructura inferior central</t>
  </si>
  <si>
    <t>Cojinete de biela de 104,90 mm de diámetro exterior</t>
  </si>
  <si>
    <t>Cojinete de bancada de cobre-plomo con respaldo de acero y diámetro exterior de 131,29 mm</t>
  </si>
  <si>
    <t>10R5457</t>
  </si>
  <si>
    <t>biela reacondicionada</t>
  </si>
  <si>
    <t xml:space="preserve">
Bulón de pistón de 59,975 mm de diámetro</t>
  </si>
  <si>
    <t>Retén de pasador de 2 mm de grosor</t>
  </si>
  <si>
    <t xml:space="preserve">Pistón de acero con diámetro máximo de falda de 137,06 mm
</t>
  </si>
  <si>
    <t>Anillo de aceite de pistón con diámetro de calibración de 137 mm</t>
  </si>
  <si>
    <t>Anillo de pistón superior de 137,16 mm de diámetro exterior</t>
  </si>
  <si>
    <t>Anillo intermedio de pistón para diámetro de calibre de 137 mm</t>
  </si>
  <si>
    <t>Camisa de bloque de cilindros con diámetro interior de 137,185 mm</t>
  </si>
  <si>
    <t>9L5854</t>
  </si>
  <si>
    <t>Banda de relleno de 130,175 mm de diámetro interior</t>
  </si>
  <si>
    <t xml:space="preserve">
Junta tórica de 141 mm de diámetro interior</t>
  </si>
  <si>
    <t>Junta tórica de 140,2 mm de diámetro interior</t>
  </si>
  <si>
    <t>30R0004</t>
  </si>
  <si>
    <t>Inyector de combustible remanufacturado</t>
  </si>
  <si>
    <t>8S9191</t>
  </si>
  <si>
    <t>Perno de cabeza hexagonal de 3/8"-16 x 4"</t>
  </si>
  <si>
    <t>20R3319</t>
  </si>
  <si>
    <t>Balancín de inyector unitario remanufacturado</t>
  </si>
  <si>
    <t>20R3317</t>
  </si>
  <si>
    <t>Balancín de válvula remanufacturado</t>
  </si>
  <si>
    <t>20R3318</t>
  </si>
  <si>
    <t xml:space="preserve">
Balancín de válvula remanufacturado</t>
  </si>
  <si>
    <t>CE-1469</t>
  </si>
  <si>
    <t>MM-04</t>
  </si>
  <si>
    <t>QT-08-425403</t>
  </si>
  <si>
    <t>VALVULAS DE ALIVIO</t>
  </si>
  <si>
    <t>10R4577</t>
  </si>
  <si>
    <t>COMENTA SERGIO 04-06-26 QE SIEMPRE NO</t>
  </si>
  <si>
    <t>MX-04</t>
  </si>
  <si>
    <t>QT-08-427845</t>
  </si>
  <si>
    <t>ENTREGADO A JAVIER</t>
  </si>
  <si>
    <t>FUGA DE ACEITE HIDRAULICO SWING</t>
  </si>
  <si>
    <t>CE-1437</t>
  </si>
  <si>
    <t>ME-30</t>
  </si>
  <si>
    <t>QT-08-427856</t>
  </si>
  <si>
    <t>MATERIAL ENTREGADO</t>
  </si>
  <si>
    <t>VALVULA SOLENOIDE DE PISTON DE CARGA</t>
  </si>
  <si>
    <t>CE-1464</t>
  </si>
  <si>
    <t>ME-31</t>
  </si>
  <si>
    <t>QT-08-427857</t>
  </si>
  <si>
    <t>MATERIAL IGUAL QUE EL DE ME-30</t>
  </si>
  <si>
    <t>CE-1450</t>
  </si>
  <si>
    <t>QT-08-428058</t>
  </si>
  <si>
    <t>JOSE EDUARDO LO TRAE DE MATCO</t>
  </si>
  <si>
    <t>repetido 42</t>
  </si>
  <si>
    <t>CE-1453</t>
  </si>
  <si>
    <t>QT-08-428115</t>
  </si>
  <si>
    <t>PEDIDO SOLICITADO POR SERGIO PARA MANGUERAS</t>
  </si>
  <si>
    <t>MANGUERAS</t>
  </si>
  <si>
    <t>8S8221</t>
  </si>
  <si>
    <t>3S7116</t>
  </si>
  <si>
    <t>4J0522</t>
  </si>
  <si>
    <t>jeje</t>
  </si>
  <si>
    <t>CORRECCION DE FUGA DE ACEITE DE TRANSMISION</t>
  </si>
  <si>
    <t>CE-1451</t>
  </si>
  <si>
    <t>QT-08-428028</t>
  </si>
  <si>
    <t>SERGIO RECIBIO EL SABADO</t>
  </si>
  <si>
    <t>CE-1452</t>
  </si>
  <si>
    <t>QT-08-428050</t>
  </si>
  <si>
    <t>ADAPTADOR Y MANGUERA PARA PERNO DE RIPPER</t>
  </si>
  <si>
    <t>6V9000</t>
  </si>
  <si>
    <t>4J5477</t>
  </si>
  <si>
    <t>CE-1554</t>
  </si>
  <si>
    <t>ME-29</t>
  </si>
  <si>
    <t>1R0732</t>
  </si>
  <si>
    <t>QT-08-428077</t>
  </si>
  <si>
    <t>SERVICIO</t>
  </si>
  <si>
    <t>1R0716</t>
  </si>
  <si>
    <t>1R0749</t>
  </si>
  <si>
    <t>6I2508</t>
  </si>
  <si>
    <t>6I2507</t>
  </si>
  <si>
    <t>CE-1455</t>
  </si>
  <si>
    <t>ME-27</t>
  </si>
  <si>
    <t>QT-08-428078</t>
  </si>
  <si>
    <t>1R1808</t>
  </si>
  <si>
    <t>1R0773</t>
  </si>
  <si>
    <t>CE-1456</t>
  </si>
  <si>
    <t>ME-01</t>
  </si>
  <si>
    <t>QT-08-428079</t>
  </si>
  <si>
    <t>1R0719</t>
  </si>
  <si>
    <t>CE-1457</t>
  </si>
  <si>
    <t>QT-08-428080</t>
  </si>
  <si>
    <t>9M2341</t>
  </si>
  <si>
    <t>CE-1459</t>
  </si>
  <si>
    <t>QT-08-428083</t>
  </si>
  <si>
    <t>CE-1460</t>
  </si>
  <si>
    <t>MAQUINARIA</t>
  </si>
  <si>
    <t>QT-08-428085</t>
  </si>
  <si>
    <t>6I2506</t>
  </si>
  <si>
    <t>6I2505</t>
  </si>
  <si>
    <t>CE-1461</t>
  </si>
  <si>
    <t>QT-08-428086</t>
  </si>
  <si>
    <t>CE-1462</t>
  </si>
  <si>
    <t>ME-20</t>
  </si>
  <si>
    <t>QT-08-428089</t>
  </si>
  <si>
    <t>6i2508</t>
  </si>
  <si>
    <t>CE-1463</t>
  </si>
  <si>
    <t>PENDIENTE DE RECIBIR DE MATCO</t>
  </si>
  <si>
    <t>GAVILANES</t>
  </si>
  <si>
    <t>JAVIER GAETA RECIBE</t>
  </si>
  <si>
    <t>CE-1470</t>
  </si>
  <si>
    <t>ENTREGADA EN OBRA</t>
  </si>
  <si>
    <t>ABRAZADERA</t>
  </si>
  <si>
    <t>0R7927</t>
  </si>
  <si>
    <t>QT-08-428041</t>
  </si>
  <si>
    <t>ENTREGADO A SERGIO</t>
  </si>
  <si>
    <t>CORRECCION MOTOR FAN MC-04</t>
  </si>
  <si>
    <t>jueves, 28 de mayo de 2026</t>
  </si>
  <si>
    <t>CE-1432</t>
  </si>
  <si>
    <t>6T4949</t>
  </si>
  <si>
    <t>QT-08-427858</t>
  </si>
  <si>
    <t>PEDIDO POR MIGUEL FLORES</t>
  </si>
  <si>
    <t>INTERRUPTOR</t>
  </si>
  <si>
    <t>martes, 02 de junio de 2026</t>
  </si>
  <si>
    <t>CE-1483</t>
  </si>
  <si>
    <t>MC-02</t>
  </si>
  <si>
    <t>QT-08-428388</t>
  </si>
  <si>
    <t>EDUARDO LA ENTREGO EN LOMAS DEL VALLE</t>
  </si>
  <si>
    <t>CORREGIR POLEA LOCA</t>
  </si>
  <si>
    <t>CE-1477</t>
  </si>
  <si>
    <t>QT-08-428370</t>
  </si>
  <si>
    <t>ENTREGADO A TALLER</t>
  </si>
  <si>
    <t>CE-1478</t>
  </si>
  <si>
    <t>QT-08-428367</t>
  </si>
  <si>
    <t>CE-1479</t>
  </si>
  <si>
    <t>QT-08-428365</t>
  </si>
  <si>
    <t>CE-1484</t>
  </si>
  <si>
    <t>ME-17</t>
  </si>
  <si>
    <t>QT-08-427583</t>
  </si>
  <si>
    <t>SELLOS</t>
  </si>
  <si>
    <t>CE-1489</t>
  </si>
  <si>
    <t>ME-21</t>
  </si>
  <si>
    <t>QT-08-428460</t>
  </si>
  <si>
    <t>4568469</t>
  </si>
  <si>
    <t>CE-1490</t>
  </si>
  <si>
    <t>QT-08-428457</t>
  </si>
  <si>
    <t>3E8700</t>
  </si>
  <si>
    <t>QT-08-428565</t>
  </si>
  <si>
    <t>PENDIENTE DE ENTREGAR A SERGIO</t>
  </si>
  <si>
    <t>QT-08-428566</t>
  </si>
  <si>
    <t>ME-26</t>
  </si>
  <si>
    <t>QT-08-428593</t>
  </si>
  <si>
    <t>UNIDEPSA</t>
  </si>
  <si>
    <t>CHUMACERAS DE COMPUERTA</t>
  </si>
  <si>
    <t>7X0388</t>
  </si>
  <si>
    <t>KINO</t>
  </si>
  <si>
    <t>CE-1523</t>
  </si>
  <si>
    <t>QT-08-428595</t>
  </si>
  <si>
    <t>SELLOS DE ELEMENTOS DE BOMBA DE INYECCION</t>
  </si>
  <si>
    <t>8H9204</t>
  </si>
  <si>
    <t>8T5287</t>
  </si>
  <si>
    <t>8S2244</t>
  </si>
  <si>
    <t>10R7434</t>
  </si>
  <si>
    <t>Bomba de pistones Cat® Reman</t>
  </si>
  <si>
    <t>QT-08-428601</t>
  </si>
  <si>
    <t>DISPONIBLE EN MATCO CREDITO CERRADO</t>
  </si>
  <si>
    <t>BOMBA HIDRAULICO DE FAN 2141097</t>
  </si>
  <si>
    <t>3 juntas tóricas de NBR de 130 mm y 70 A</t>
  </si>
  <si>
    <t>CE-1522</t>
  </si>
  <si>
    <t>QT-08-428607</t>
  </si>
  <si>
    <t>JUSTIN</t>
  </si>
  <si>
    <t>ENTREGADO EN PUERTA</t>
  </si>
  <si>
    <t>SELLOS DE BANCO DE VALVULAS RIPPER Y BOMBEO</t>
  </si>
  <si>
    <t>8L2777</t>
  </si>
  <si>
    <t>6E0382</t>
  </si>
  <si>
    <t>6E0381</t>
  </si>
  <si>
    <t>4J0528</t>
  </si>
  <si>
    <t>3J5552</t>
  </si>
  <si>
    <t>1H5728</t>
  </si>
  <si>
    <t>SELLO</t>
  </si>
  <si>
    <t>4J0523</t>
  </si>
  <si>
    <t>2M9780</t>
  </si>
  <si>
    <t>6V4253</t>
  </si>
  <si>
    <t>8F6711</t>
  </si>
  <si>
    <t>4J7533</t>
  </si>
  <si>
    <t>6J3134</t>
  </si>
  <si>
    <t>5H6005</t>
  </si>
  <si>
    <t>6K6307</t>
  </si>
  <si>
    <t>4K1388</t>
  </si>
  <si>
    <t>6V8397</t>
  </si>
  <si>
    <t>PEDIDO A MATCO</t>
  </si>
  <si>
    <t>1P3704</t>
  </si>
  <si>
    <t>2H6338</t>
  </si>
  <si>
    <t>6V8260</t>
  </si>
  <si>
    <t>CE-1531</t>
  </si>
  <si>
    <t>QT-08-428882</t>
  </si>
  <si>
    <t>SE ENTREGA 1 A JAVIER POR SOL DE JAVIER. EL OTRO LLEGO DE MATCO.</t>
  </si>
  <si>
    <t>CORRECCION DE FUGA DE ACEITE HIDRAULICO POR PISTONES DE DIRECCION</t>
  </si>
  <si>
    <t>QT-08-428892</t>
  </si>
  <si>
    <t>SE SOL PARA ENTREGA INMEDIATA</t>
  </si>
  <si>
    <t>REMPLAZO MEDIDOR DE ACEITE DE MOTOR</t>
  </si>
  <si>
    <t>QT-08-428946</t>
  </si>
  <si>
    <t>SERGIO CANCELA LA COMPRA</t>
  </si>
  <si>
    <t>ABRAZADERA Y SELLOS</t>
  </si>
  <si>
    <t>2H2665</t>
  </si>
  <si>
    <t>8N2368</t>
  </si>
  <si>
    <t>QT-08-428893</t>
  </si>
  <si>
    <t>ALMACEN</t>
  </si>
  <si>
    <t>EN ALMACEN SE ENTREGA A JAVIER</t>
  </si>
  <si>
    <t>PROTECTOR ESCUDO</t>
  </si>
  <si>
    <t>2H3755</t>
  </si>
  <si>
    <t>9M1974</t>
  </si>
  <si>
    <t>8N2258</t>
  </si>
  <si>
    <t>CE-1532</t>
  </si>
  <si>
    <t>QT-08-428900</t>
  </si>
  <si>
    <t>ENTREGA EN PUERTA</t>
  </si>
  <si>
    <t>FILTRO HIDRAULICO</t>
  </si>
  <si>
    <t>PEND COT DE MATCO</t>
  </si>
  <si>
    <t>FILTRO NO LO TIENE MATCO</t>
  </si>
  <si>
    <t>CE-1535</t>
  </si>
  <si>
    <t>PEND ENTREGA, NO HAY CREDITO</t>
  </si>
  <si>
    <t>FILTROS</t>
  </si>
  <si>
    <t>Pasador de articulación de 76,2 mm de diámetro exterior</t>
  </si>
  <si>
    <t>QT-08-428947</t>
  </si>
  <si>
    <t>COTIZADO EN MATCO, HAWT Y CTP ACTP</t>
  </si>
  <si>
    <t>REVISAR CON BENJAMIN AVANCE DE LA COMPRA</t>
  </si>
  <si>
    <t>DAÑO EN LA CAMA DE RIPPER</t>
  </si>
  <si>
    <t>Adaptador recto de cabeza hexagonal 1-1/4-12-2A x 7/16-20-2B</t>
  </si>
  <si>
    <t>4T3522</t>
  </si>
  <si>
    <t xml:space="preserve">Arandela de 3 mm de grosor
</t>
  </si>
  <si>
    <t>codo/junta/sello</t>
  </si>
  <si>
    <t>9R6776</t>
  </si>
  <si>
    <t>MANGUERA A</t>
  </si>
  <si>
    <t>TORNILLO HEX</t>
  </si>
  <si>
    <t xml:space="preserve">Arandela  </t>
  </si>
  <si>
    <t>CE-1562</t>
  </si>
  <si>
    <t>TRACTOPARTES</t>
  </si>
  <si>
    <t>SE LOCALIZA EN APYMSA Y EN TDR NO SE PUEDE GENERAR LA COMPRA POR FALTA DE CREDITO</t>
  </si>
  <si>
    <t>MOTOR DE ARRANQUE</t>
  </si>
  <si>
    <t>4J9058</t>
  </si>
  <si>
    <t>QT-08-429039</t>
  </si>
  <si>
    <t>5P8250</t>
  </si>
  <si>
    <t>8E4539</t>
  </si>
  <si>
    <t>8E4540</t>
  </si>
  <si>
    <t>3535065 / 6195170</t>
  </si>
  <si>
    <t>Junta del cárter de aceite</t>
  </si>
  <si>
    <t>QT-08-430792</t>
  </si>
  <si>
    <t>PARA CORRECCION DE FUGA DE ACEITE POR EMPAQUE DE CARTER</t>
  </si>
  <si>
    <t>4N7266</t>
  </si>
  <si>
    <t>Junta de la carcasa del motor</t>
  </si>
  <si>
    <t>7W0845</t>
  </si>
  <si>
    <t>DA305523</t>
  </si>
  <si>
    <t>JUSTIN LO COMPRO, CONFIRMA SERGIO</t>
  </si>
  <si>
    <t>BALERO PARA REPARACION DEL COMPRESOR DEL A/C</t>
  </si>
  <si>
    <t>QT-08-429129</t>
  </si>
  <si>
    <t>SE CRUZA Y SE ENTREGA A SERGIO</t>
  </si>
  <si>
    <t>BOMBA HIDRAULICA</t>
  </si>
  <si>
    <t>Bolsa de aire</t>
  </si>
  <si>
    <t>QT-08-430794</t>
  </si>
  <si>
    <t>DAÑO DE LA BOLSA DE AIRE</t>
  </si>
  <si>
    <t>MM-03</t>
  </si>
  <si>
    <t>8W8346</t>
  </si>
  <si>
    <t xml:space="preserve">Piñón de transmisión final de 76 x 23 dientes
</t>
  </si>
  <si>
    <t>10-12</t>
  </si>
  <si>
    <t>QT-08-429229</t>
  </si>
  <si>
    <t>BENJAMIN 8D2154</t>
  </si>
  <si>
    <t>PARTES DE MANDOS FINALES Y FRENOS</t>
  </si>
  <si>
    <t>8D2311</t>
  </si>
  <si>
    <t>Sello de labio con diámetro exterior de 152,58 mm</t>
  </si>
  <si>
    <t>8D4771</t>
  </si>
  <si>
    <t>Junta tórica de goma</t>
  </si>
  <si>
    <t>Anillo de desgaste de pistón de 393,95 mm de diámetro exterior</t>
  </si>
  <si>
    <t>BENJAMIN CAMBIA A5T7135</t>
  </si>
  <si>
    <t>6G3208</t>
  </si>
  <si>
    <t xml:space="preserve">Arandela de empuje con diámetro interior de 395,12 mm
</t>
  </si>
  <si>
    <t>9K1171</t>
  </si>
  <si>
    <t xml:space="preserve">Cojinete de copa con diámetro exterior de 182,56 mm
</t>
  </si>
  <si>
    <t>8D2256</t>
  </si>
  <si>
    <t>Rodamiento de rodillos cónicos</t>
  </si>
  <si>
    <t>9K1172</t>
  </si>
  <si>
    <t>123.83mm Tapered Roller Cone Bearing</t>
  </si>
  <si>
    <t>BENJAMIN 0S1571</t>
  </si>
  <si>
    <t>8D2161</t>
  </si>
  <si>
    <t>COJINETE</t>
  </si>
  <si>
    <t>SEAL-LIP T</t>
  </si>
  <si>
    <t>BENJAMIN 6V8385</t>
  </si>
  <si>
    <t>2G9794</t>
  </si>
  <si>
    <t>2G9792</t>
  </si>
  <si>
    <t>2G9796</t>
  </si>
  <si>
    <t>6Y7917</t>
  </si>
  <si>
    <t>DISCO DE FRICCION</t>
  </si>
  <si>
    <t>BENJAMIN 2G9911 FM1413</t>
  </si>
  <si>
    <t>8D1648</t>
  </si>
  <si>
    <t>DISC</t>
  </si>
  <si>
    <t>BENJAMIN FM1456P</t>
  </si>
  <si>
    <t>8D1643</t>
  </si>
  <si>
    <t>9G5313</t>
  </si>
  <si>
    <t>BENJAMIN 7M0481 9W6669</t>
  </si>
  <si>
    <t>8S9076</t>
  </si>
  <si>
    <t>Sello</t>
  </si>
  <si>
    <t>8S9075</t>
  </si>
  <si>
    <t>SEAL G</t>
  </si>
  <si>
    <t>2S6403</t>
  </si>
  <si>
    <t>RESORTE</t>
  </si>
  <si>
    <t>9U2919</t>
  </si>
  <si>
    <t>1B4043</t>
  </si>
  <si>
    <t>Rodamiento de rodillos cónicos de 104,78 mm</t>
  </si>
  <si>
    <t>2-3</t>
  </si>
  <si>
    <t>1B3937</t>
  </si>
  <si>
    <t>8W8347</t>
  </si>
  <si>
    <t>Piñón motriz</t>
  </si>
  <si>
    <t>BENJAMIN 8D1654</t>
  </si>
  <si>
    <t>2D6507</t>
  </si>
  <si>
    <t>2R0098</t>
  </si>
  <si>
    <t>8D1636</t>
  </si>
  <si>
    <t>SHIM</t>
  </si>
  <si>
    <t>8D1637</t>
  </si>
  <si>
    <t>8D9015</t>
  </si>
  <si>
    <t>6G1556</t>
  </si>
  <si>
    <t>TUBO AS</t>
  </si>
  <si>
    <t>1P8362</t>
  </si>
  <si>
    <t>8D3556</t>
  </si>
  <si>
    <t>6D9157</t>
  </si>
  <si>
    <t>8D3557</t>
  </si>
  <si>
    <t>7F8267</t>
  </si>
  <si>
    <t>9F1399</t>
  </si>
  <si>
    <t>Sello O-Ring</t>
  </si>
  <si>
    <t>8D4675</t>
  </si>
  <si>
    <t>Pasador de articulación</t>
  </si>
  <si>
    <t>1K7081</t>
  </si>
  <si>
    <t>Arandela plana de acero M30</t>
  </si>
  <si>
    <t>7K9204</t>
  </si>
  <si>
    <t>Sello de pasador para eje de 57,15 mm de diámetro</t>
  </si>
  <si>
    <t>BENJAMIN 9D6584</t>
  </si>
  <si>
    <t>8D8704</t>
  </si>
  <si>
    <t>Cojinete de deslizamiento (buje)</t>
  </si>
  <si>
    <t>9M2421</t>
  </si>
  <si>
    <t>Arandela plana de acero M18 ID</t>
  </si>
  <si>
    <t>3B4512</t>
  </si>
  <si>
    <t>Arandela de seguridad para soporte de techo</t>
  </si>
  <si>
    <t>1B0964</t>
  </si>
  <si>
    <t xml:space="preserve">Perno de cabeza hexagonal de 3/4"-10 x 2 1/8"
</t>
  </si>
  <si>
    <t>6J2797</t>
  </si>
  <si>
    <t>5J5402</t>
  </si>
  <si>
    <t>1H8128</t>
  </si>
  <si>
    <t xml:space="preserve">SELLO  </t>
  </si>
  <si>
    <t>2K6830</t>
  </si>
  <si>
    <t xml:space="preserve">ANILLO  </t>
  </si>
  <si>
    <t>BENJAMIN 2253281</t>
  </si>
  <si>
    <t xml:space="preserve">Conjunto de sello </t>
  </si>
  <si>
    <t>BENJAMIN CAMBIA A 5J3620</t>
  </si>
  <si>
    <t>BENJAMIN CAMBIA A 5J0964 1672312</t>
  </si>
  <si>
    <t>ME-09</t>
  </si>
  <si>
    <t>QT-08-430795</t>
  </si>
  <si>
    <t>ENCENDIDO BAJA PRESION DE ACEITE</t>
  </si>
  <si>
    <t>A FIRMA</t>
  </si>
  <si>
    <t>SENSOR</t>
  </si>
  <si>
    <t>9S8002</t>
  </si>
  <si>
    <t>$ -</t>
  </si>
  <si>
    <t>6V5597</t>
  </si>
  <si>
    <t>QT-08-429338</t>
  </si>
  <si>
    <t>PREPARADO PEDIDO PARA RECOLECCION</t>
  </si>
  <si>
    <t>BANCO HIDRAULICO</t>
  </si>
  <si>
    <t>4D3107</t>
  </si>
  <si>
    <t>5P3863</t>
  </si>
  <si>
    <t>CE-1565</t>
  </si>
  <si>
    <t>QT-08-429335</t>
  </si>
  <si>
    <t>CE-1566</t>
  </si>
  <si>
    <t>QT-08-429336</t>
  </si>
  <si>
    <t>CE-1582</t>
  </si>
  <si>
    <t>ME-35</t>
  </si>
  <si>
    <t>9L6639</t>
  </si>
  <si>
    <t>QT-08-429573</t>
  </si>
  <si>
    <t>BANDAS</t>
  </si>
  <si>
    <t>QT-08-429599</t>
  </si>
  <si>
    <t>BANDA</t>
  </si>
  <si>
    <t>CE-1587</t>
  </si>
  <si>
    <t>QT-08-429595</t>
  </si>
  <si>
    <t>ENTREGA PENDIENTE POR CREDITO CERRADO</t>
  </si>
  <si>
    <t>9D6889</t>
  </si>
  <si>
    <t>EJE MOTRIZ</t>
  </si>
  <si>
    <t>7B0368</t>
  </si>
  <si>
    <t>5P1137</t>
  </si>
  <si>
    <t>QT-08-429766</t>
  </si>
  <si>
    <t>SOLICITADO A MATCO. PENDIENTE DE RECOGER</t>
  </si>
  <si>
    <t>MC-03</t>
  </si>
  <si>
    <t>9V3812/ 3948234</t>
  </si>
  <si>
    <t>QT-08-429785</t>
  </si>
  <si>
    <t>9V4319</t>
  </si>
  <si>
    <t>6B6684</t>
  </si>
  <si>
    <t>3H7654</t>
  </si>
  <si>
    <t>9V3811</t>
  </si>
  <si>
    <t>CE-1612</t>
  </si>
  <si>
    <t>QT-08-429608</t>
  </si>
  <si>
    <t>CE-1609</t>
  </si>
  <si>
    <t>QT-08-429786</t>
  </si>
  <si>
    <t>FILTROS HIDRAULICOS</t>
  </si>
  <si>
    <t>CE-1619</t>
  </si>
  <si>
    <t>RONDANA</t>
  </si>
  <si>
    <t>QT-08-429837</t>
  </si>
  <si>
    <t>SE ENTREGO SOLO 1 CRUCETA</t>
  </si>
  <si>
    <t>CRUCETAS</t>
  </si>
  <si>
    <t>3 de las 5 crucetas estan disponibles 
la tornilleria y las 2 faltantes la consigo de 2 a 3 dias habiles</t>
  </si>
  <si>
    <t>SE COMPARTIO CON FELIPE</t>
  </si>
  <si>
    <t>Bomba de agua (Reman)</t>
  </si>
  <si>
    <t>COMPUESTO RODAMIENTO</t>
  </si>
  <si>
    <t>LAVADORA FUERTE</t>
  </si>
  <si>
    <t>LAVADORA DE CERRADURAS</t>
  </si>
  <si>
    <t>QT-08-429865</t>
  </si>
  <si>
    <t>SOLICIADOS POR MECANICO MIGUEL FLORES</t>
  </si>
  <si>
    <t>REPARACION DE BOMBA DE ACEITE</t>
  </si>
  <si>
    <t>7W5435</t>
  </si>
  <si>
    <t>Adaptador de boquilla de combustible para culata de 40 mm</t>
  </si>
  <si>
    <t>RECOTIZAR CON MATCO KIT DE SELLOS, TRAERO, MEDIO Y FRONTAL. 29-06-26</t>
  </si>
  <si>
    <t>4N7253</t>
  </si>
  <si>
    <t>4N8734 / 0R9449</t>
  </si>
  <si>
    <t>Bomba de aceite de motor remanufacturada</t>
  </si>
  <si>
    <t>9H0846</t>
  </si>
  <si>
    <t>3P8845</t>
  </si>
  <si>
    <t>Cojinete de manguito con diámetro exterior de 225,791 mm</t>
  </si>
  <si>
    <t>QT-08-429932</t>
  </si>
  <si>
    <t>COTIZAR BENJAMIN, REV ALMACEN</t>
  </si>
  <si>
    <t>PARA CORRECCION JUEGO EN BARRA PIVOTE POR BUJES DESGASTADOS</t>
  </si>
  <si>
    <t>6Y0210</t>
  </si>
  <si>
    <t>2P1692</t>
  </si>
  <si>
    <t>7G9709</t>
  </si>
  <si>
    <t>4D4508</t>
  </si>
  <si>
    <t>8T0208</t>
  </si>
  <si>
    <t>COJINETE DE MANGA</t>
  </si>
  <si>
    <t>5P1979</t>
  </si>
  <si>
    <t>7T4145</t>
  </si>
  <si>
    <t>QT-08-430196</t>
  </si>
  <si>
    <t>COMPRADO EN USA</t>
  </si>
  <si>
    <t>CONJUNTO DE TAPON DE RADIADOR</t>
  </si>
  <si>
    <t>MP-01</t>
  </si>
  <si>
    <t>3G5880</t>
  </si>
  <si>
    <t>QT-08-430197</t>
  </si>
  <si>
    <t>DESCONTINUADO</t>
  </si>
  <si>
    <t>PROBLEMAS DE PASO DE ACEITE HIDRAULICO A LA TRANSMISION</t>
  </si>
  <si>
    <t>3G5877</t>
  </si>
  <si>
    <t>EJE DE SELLO Y PIVOTE</t>
  </si>
  <si>
    <t>3G1812</t>
  </si>
  <si>
    <t>QT-08-430224</t>
  </si>
  <si>
    <t>CORRECCION PASO DE ACEITE HIDRAULICO A TRANSMISION</t>
  </si>
  <si>
    <t>4W7062</t>
  </si>
  <si>
    <t>ADAPTADOR</t>
  </si>
  <si>
    <t>8N0879</t>
  </si>
  <si>
    <t>7C7752</t>
  </si>
  <si>
    <t>4L8337</t>
  </si>
  <si>
    <t>5P2755</t>
  </si>
  <si>
    <t>7N8629</t>
  </si>
  <si>
    <t>4N1151</t>
  </si>
  <si>
    <t>1P0436</t>
  </si>
  <si>
    <t>ESCUDO</t>
  </si>
  <si>
    <t>2M5173</t>
  </si>
  <si>
    <t>0R9449</t>
  </si>
  <si>
    <t>8M5260</t>
  </si>
  <si>
    <t>7W8904</t>
  </si>
  <si>
    <t>20R0965</t>
  </si>
  <si>
    <t>8J4110</t>
  </si>
  <si>
    <t>8N1622</t>
  </si>
  <si>
    <t>8N1620</t>
  </si>
  <si>
    <t>6E5952</t>
  </si>
  <si>
    <t>TRACK GRP</t>
  </si>
  <si>
    <t>5P5678</t>
  </si>
  <si>
    <t>8C5196</t>
  </si>
  <si>
    <t>QT-08-430199</t>
  </si>
  <si>
    <t>SE TIENEN 2 EN STOCK PENDEINTES DE PEDIDO DE BENJA LOS OTROS 2</t>
  </si>
  <si>
    <t>SE SOLICITAN 4 A MATCO 29-06-26</t>
  </si>
  <si>
    <t>CORRECCION DESGASTE EN PERNOS DE BUGGIES CANDADOS ETC</t>
  </si>
  <si>
    <t>EN STOCK, SE PASA A SERGIO</t>
  </si>
  <si>
    <t>8C6913</t>
  </si>
  <si>
    <t>7X0386 / 2993436</t>
  </si>
  <si>
    <t>7T9309 / 311299</t>
  </si>
  <si>
    <t>SE TIENEN 3 PZAS. LAS OTRAS SE PASAN A BENJAMIN PARA PEDIDO</t>
  </si>
  <si>
    <t>27-06-26 SE ENTREGAN 5 MAS A SERGIO PENDEINTES 4// 29-06-26 SE PIDEN 4 A MATCO</t>
  </si>
  <si>
    <t>QT-08-430200</t>
  </si>
  <si>
    <t>STOCK</t>
  </si>
  <si>
    <t>SE TENIAN EN STOCK</t>
  </si>
  <si>
    <t>CUCHILLAS Y TORNILLERIA</t>
  </si>
  <si>
    <t>4N5795</t>
  </si>
  <si>
    <t>QT-08-430201</t>
  </si>
  <si>
    <t>CORRECCION DE FUGA DE REFRIGERANTE POR AFTERCOOLER</t>
  </si>
  <si>
    <t>4N1848</t>
  </si>
  <si>
    <t>4N4307</t>
  </si>
  <si>
    <t>7C0307</t>
  </si>
  <si>
    <t>5P7128</t>
  </si>
  <si>
    <t>8N0878</t>
  </si>
  <si>
    <t>CE-1634</t>
  </si>
  <si>
    <t>MA-GEO127</t>
  </si>
  <si>
    <t>JOVITA</t>
  </si>
  <si>
    <t>SOLICITA EDUARDO COMPRAS PARA TALLER LA PUERTA0</t>
  </si>
  <si>
    <t>2423360/5417108</t>
  </si>
  <si>
    <t>QT-08-430582</t>
  </si>
  <si>
    <t>PENDIENTE PASAR X EL EDUARDO CHOFER</t>
  </si>
  <si>
    <t>MAGUERA DE TURBO Y BANDA DE ALTERNADOR</t>
  </si>
  <si>
    <t>LIN-CILINDRO DE LÍNEA</t>
  </si>
  <si>
    <t>6I2431</t>
  </si>
  <si>
    <t>QT-08-430585</t>
  </si>
  <si>
    <t>ENTREGADO A MATCO PARA COTIZACION</t>
  </si>
  <si>
    <t>SE REPITE EN OTRA SOLICITUD</t>
  </si>
  <si>
    <t>MP-04</t>
  </si>
  <si>
    <t>8J1923</t>
  </si>
  <si>
    <t>QT-08-430584</t>
  </si>
  <si>
    <t>CORRECCION DE RETARDADOR</t>
  </si>
  <si>
    <t>8J1925</t>
  </si>
  <si>
    <t>EMPAQUE DE TURBO</t>
  </si>
  <si>
    <t>QT-08-430586</t>
  </si>
  <si>
    <t>RECIVE JAVIER</t>
  </si>
  <si>
    <t>EMPAQUES DE LA TAPA DE DISTRIBUCION</t>
  </si>
  <si>
    <t>5M2894</t>
  </si>
  <si>
    <t>0T0055</t>
  </si>
  <si>
    <t>9M3695</t>
  </si>
  <si>
    <t>QT-08-430583</t>
  </si>
  <si>
    <t>TORNILLOS DE FILTRO DE AIRE</t>
  </si>
  <si>
    <t>F436 1/4</t>
  </si>
  <si>
    <t>TORNILLERIA ´PASA SERGIO</t>
  </si>
  <si>
    <t>TORNILLERIA</t>
  </si>
  <si>
    <t>TUERC 3/4 -10 NC</t>
  </si>
  <si>
    <t>TORN NC 3/4 10X6</t>
  </si>
  <si>
    <t>TORN NC 3/4 10X8</t>
  </si>
  <si>
    <t>TM-01</t>
  </si>
  <si>
    <t>3-93-2162</t>
  </si>
  <si>
    <t>HERGOSA</t>
  </si>
  <si>
    <t>SERGIO PASA POR ELLA</t>
  </si>
  <si>
    <t>FABRICACION DE MANGUERA SEGÚN MUESTRA</t>
  </si>
  <si>
    <t>QT-08-430458</t>
  </si>
  <si>
    <t>SE ENTEGA TALLER</t>
  </si>
  <si>
    <t>KIT DE REPARACIÓN</t>
  </si>
  <si>
    <t>CÁMARA DE JUNTAS</t>
  </si>
  <si>
    <t>PENDIENTE DE COTIZACION DE MANUEL</t>
  </si>
  <si>
    <t>SERVICIO DE FILTROS</t>
  </si>
  <si>
    <t>SEAL (MEDIDOR)</t>
  </si>
  <si>
    <t>1R1804</t>
  </si>
  <si>
    <t>7W2326</t>
  </si>
  <si>
    <t>PENDIENTE DE RECOGER EN MATCO</t>
  </si>
  <si>
    <t>ME-05</t>
  </si>
  <si>
    <t>QT-08-431100</t>
  </si>
  <si>
    <t>COTIZACION PASA A PEDIDO CON MITCH</t>
  </si>
  <si>
    <t>RS3509</t>
  </si>
  <si>
    <t>RS3508</t>
  </si>
  <si>
    <t>1R0722</t>
  </si>
  <si>
    <t>6T0988</t>
  </si>
  <si>
    <t>6T5068</t>
  </si>
  <si>
    <t>6I2501</t>
  </si>
  <si>
    <t>6I2502</t>
  </si>
  <si>
    <t>1R0777</t>
  </si>
  <si>
    <t>ASSY DE CAÑA</t>
  </si>
  <si>
    <t>FILTRO DE ELEMENTO</t>
  </si>
  <si>
    <t>FILTRO  MOTOR</t>
  </si>
  <si>
    <t>QT-08-431042</t>
  </si>
  <si>
    <t>NAZARIO</t>
  </si>
  <si>
    <t xml:space="preserve">PEDIDO </t>
  </si>
  <si>
    <t>Y REVISAR COT CON TRACTOZONE</t>
  </si>
  <si>
    <t>FILTRO DE AIRE DE CABINA</t>
  </si>
  <si>
    <t>REVISAR PEDIDO CON MITCH</t>
  </si>
  <si>
    <t>1R0739</t>
  </si>
  <si>
    <t>Perno / Seguro</t>
  </si>
  <si>
    <t>QT-08-431352</t>
  </si>
  <si>
    <t>P550519</t>
  </si>
  <si>
    <t>2S1285</t>
  </si>
  <si>
    <t>FILTRO</t>
  </si>
  <si>
    <t>PA1615</t>
  </si>
  <si>
    <t>Cordón O-Ring</t>
  </si>
  <si>
    <t>3I1145</t>
  </si>
  <si>
    <t>PENDIENTE CTIZACION DE TRACTOZONE</t>
  </si>
  <si>
    <t>P553000</t>
  </si>
  <si>
    <t>RS2863</t>
  </si>
  <si>
    <t>MT-04</t>
  </si>
  <si>
    <t>6V8121</t>
  </si>
  <si>
    <t>QT-08-431041</t>
  </si>
  <si>
    <t>REQUERIMIENTO DE PARTES PARA ARMADO DE DIFERENCIAL Y PLANETARIOS DE LA TRANSMISION</t>
  </si>
  <si>
    <t>3T1783 / 2K5133</t>
  </si>
  <si>
    <t>SE ENCOTNRO LA REFACCION EN ALMACEN. SE ENTREGA A SERGIO</t>
  </si>
  <si>
    <t>BUJE GRANDE</t>
  </si>
  <si>
    <t>QT-08-426964</t>
  </si>
  <si>
    <t>BALEROS DEL ROL EJECTOR</t>
  </si>
  <si>
    <t>3J4776</t>
  </si>
  <si>
    <t>1B3953</t>
  </si>
  <si>
    <t>1B3955</t>
  </si>
  <si>
    <t>Sello / Tapón</t>
  </si>
  <si>
    <t>CONICACIÓN DE COPA</t>
  </si>
  <si>
    <t>5S7379</t>
  </si>
  <si>
    <t>8W2032</t>
  </si>
  <si>
    <t>TUERCA DE SEGURIDAD</t>
  </si>
  <si>
    <t>QT-08-430929</t>
  </si>
  <si>
    <t>ESPERAND COT DE MANUEL 29-06-26</t>
  </si>
  <si>
    <t>ENVIADO A MATCO PARA COTIZACION</t>
  </si>
  <si>
    <t>4W1432</t>
  </si>
  <si>
    <t>PZA DESCONTINUADA</t>
  </si>
  <si>
    <t>Tren de rodaje con orugas de 610 mm de ancho</t>
  </si>
  <si>
    <t>10-15</t>
  </si>
  <si>
    <t>QT-08-430802</t>
  </si>
  <si>
    <t>REPARACION DE TRANSITO Y BARRA PIVOTE</t>
  </si>
  <si>
    <t>Grupo de rodillos de rodaje</t>
  </si>
  <si>
    <t>6T1140</t>
  </si>
  <si>
    <t>BOLT</t>
  </si>
  <si>
    <t>5P8249</t>
  </si>
  <si>
    <t>Arandela plana de acero con diámetro interior de 7/8"</t>
  </si>
  <si>
    <t>Cartucho del conjunto de pasador del bogie</t>
  </si>
  <si>
    <t>PIN A</t>
  </si>
  <si>
    <t>Roller Guard de centro corto</t>
  </si>
  <si>
    <t>1D4608</t>
  </si>
  <si>
    <t>Perno de cabeza hexagonal de 3/4-10</t>
  </si>
  <si>
    <t>8T4994</t>
  </si>
  <si>
    <t>Arandela plana de acero con diámetro interior de 3/4"</t>
  </si>
  <si>
    <t>8S4755</t>
  </si>
  <si>
    <t>tornillo de cabeza hexagonal de 1"-14 x 1 1/2"</t>
  </si>
  <si>
    <t>7T5419</t>
  </si>
  <si>
    <t>Almohadilla elástica de suspensión del bogie</t>
  </si>
  <si>
    <t>Grupo de rodillos locos</t>
  </si>
  <si>
    <t>9X7505</t>
  </si>
  <si>
    <t>Sello de la barra ecualizadora de 131,92 mm de diámetro exterior</t>
  </si>
  <si>
    <t>Rótula esférica autoalineable</t>
  </si>
  <si>
    <t>5L4751</t>
  </si>
  <si>
    <t>CONSERVACIÓN DEL ANILLO</t>
  </si>
  <si>
    <t>Junta tórica de 316,86 mm de diámetro interior</t>
  </si>
  <si>
    <t>9P7053</t>
  </si>
  <si>
    <t>Placa de empuje de 212 mm de diámetro interior</t>
  </si>
  <si>
    <t xml:space="preserve">Retén para eje de pivote con diámetro interior de 247,4 mm
</t>
  </si>
  <si>
    <t>208.465mm Outside Diameter Sleeve Bearing</t>
  </si>
  <si>
    <t>192.4mm Outside Diameter Sleeve Bearing</t>
  </si>
  <si>
    <t>sello</t>
  </si>
  <si>
    <t>1P9254</t>
  </si>
  <si>
    <t>Anillo de retención interno de 229,64 mm de diámetro exterior</t>
  </si>
  <si>
    <t>2K4472</t>
  </si>
  <si>
    <t>8T9389</t>
  </si>
  <si>
    <t>TORNILLO DE SEGMENTO</t>
  </si>
  <si>
    <t>8T4223</t>
  </si>
  <si>
    <t>7X0328</t>
  </si>
  <si>
    <t>Arandela plana de acero M12 ID</t>
  </si>
  <si>
    <t>Segmento de vía</t>
  </si>
  <si>
    <t>7T1248</t>
  </si>
  <si>
    <t>tornillo de segmento</t>
  </si>
  <si>
    <t>7H3609</t>
  </si>
  <si>
    <t>Tuerca de riel</t>
  </si>
  <si>
    <t>3G9598</t>
  </si>
  <si>
    <t>buje</t>
  </si>
  <si>
    <t>8E6752</t>
  </si>
  <si>
    <t>8W3925</t>
  </si>
  <si>
    <t>QT-08-430789</t>
  </si>
  <si>
    <t>SE PASA A MITCH PARA PEDIDO</t>
  </si>
  <si>
    <t>BISAGRAS DE PUERTA DE CABINA</t>
  </si>
  <si>
    <t>5T5317</t>
  </si>
  <si>
    <t>8T4205</t>
  </si>
  <si>
    <t>4M5281</t>
  </si>
  <si>
    <t>3S1356</t>
  </si>
  <si>
    <t>QT-08-430788</t>
  </si>
  <si>
    <t>SE ENTREGAN A JAVIER</t>
  </si>
  <si>
    <t>TORNILLOS DE SEGMENTOS</t>
  </si>
  <si>
    <t>3S1349</t>
  </si>
  <si>
    <t>7T1243</t>
  </si>
  <si>
    <t>TUERCA, PISTA</t>
  </si>
  <si>
    <t>1H1023</t>
  </si>
  <si>
    <t>TORNILLO DE TRACK</t>
  </si>
  <si>
    <t>QT-08-430743</t>
  </si>
  <si>
    <t>ESPERANDO FIRMA</t>
  </si>
  <si>
    <t>ACTUADOR PILOTO</t>
  </si>
  <si>
    <t>TORNILLO MAESTRO</t>
  </si>
  <si>
    <t>LINK AS 44 LIN</t>
  </si>
  <si>
    <t>QT-08-430744</t>
  </si>
  <si>
    <t>TURBOCOMPRESOR PARA RECUPERACION DE REFACCIONES DEL ME-11 A CARGO DE MUGUEL FLORES</t>
  </si>
  <si>
    <t>0R5749</t>
  </si>
  <si>
    <t>SUBIDO A FIRMAS</t>
  </si>
  <si>
    <t>5P8221</t>
  </si>
  <si>
    <t>QT-08-430843</t>
  </si>
  <si>
    <t>CADENA COMPLETA</t>
  </si>
  <si>
    <t>7T1000</t>
  </si>
  <si>
    <t>MX-05</t>
  </si>
  <si>
    <t>1S4446</t>
  </si>
  <si>
    <t>QT-08-430859</t>
  </si>
  <si>
    <t>TORNILLERIA PARA TRACK</t>
  </si>
  <si>
    <t>1S4445</t>
  </si>
  <si>
    <t>5P8432 / 2H2665</t>
  </si>
  <si>
    <t>SELLOS ENTREGADOS A MECANICO POR MEDIO DE SERGIO</t>
  </si>
  <si>
    <t>1A5576</t>
  </si>
  <si>
    <t>ENTREGAR A SERGIO</t>
  </si>
  <si>
    <t>MX-03</t>
  </si>
  <si>
    <t>3B8489</t>
  </si>
  <si>
    <t>PERNO Y BUJE DE PISTON</t>
  </si>
  <si>
    <t>8T4123</t>
  </si>
  <si>
    <t>9X4597 /1661496</t>
  </si>
  <si>
    <t>QT-08-430998</t>
  </si>
  <si>
    <t>2366275 / 2417342</t>
  </si>
  <si>
    <t>8T4780</t>
  </si>
  <si>
    <t>QT-08-431000</t>
  </si>
  <si>
    <t>BANCO DE TRANSMISION</t>
  </si>
  <si>
    <t>8M4437</t>
  </si>
  <si>
    <t>PED FIRMAS PARA PASAR A SERGIO EN MATCO</t>
  </si>
  <si>
    <t>8M5248</t>
  </si>
  <si>
    <t>8S5575</t>
  </si>
  <si>
    <t>PENDIENTE FIRMAS</t>
  </si>
  <si>
    <t>5F7054</t>
  </si>
  <si>
    <t>5M9548</t>
  </si>
  <si>
    <t>BANCO TRANSMISION INFERIOR</t>
  </si>
  <si>
    <t>4M2381</t>
  </si>
  <si>
    <t>6T3177</t>
  </si>
  <si>
    <t>8M6402</t>
  </si>
  <si>
    <t>6T5409</t>
  </si>
  <si>
    <t>3T9920</t>
  </si>
  <si>
    <t>8P5058</t>
  </si>
  <si>
    <t>BANCO TRANSMISION SUPERIOR</t>
  </si>
  <si>
    <t>9p0683</t>
  </si>
  <si>
    <t>QT-08-431094</t>
  </si>
  <si>
    <t>7G5453</t>
  </si>
  <si>
    <t>7T0570</t>
  </si>
  <si>
    <t>7G5450 / 9W7410</t>
  </si>
  <si>
    <t>7T0571</t>
  </si>
  <si>
    <t>7T5720</t>
  </si>
  <si>
    <t>QT-08-430893</t>
  </si>
  <si>
    <t>SOLICITADO A MITCH PEDIDO, MANDAR A MATCO</t>
  </si>
  <si>
    <t>CORRECCION DE FUGA DE GASES DE ESCAPE</t>
  </si>
  <si>
    <t>ARNÉS AS</t>
  </si>
  <si>
    <t>7N7559</t>
  </si>
  <si>
    <t>4H9541</t>
  </si>
  <si>
    <t>9M4849</t>
  </si>
  <si>
    <t>QT-08-431113</t>
  </si>
  <si>
    <t>ARNES DE CABLES</t>
  </si>
  <si>
    <t>QT-08-431063</t>
  </si>
  <si>
    <t>BOBINAS</t>
  </si>
  <si>
    <t>FUGA DE ACEITE HIDRAULICO Y DAÑO EN RODILLOS GUIA DE EJECTOR</t>
  </si>
  <si>
    <t>7K5449</t>
  </si>
  <si>
    <t>7K5448</t>
  </si>
  <si>
    <t>PARA CORRECCION DE PROBLEMAS DEL CONTROL DE IMPLEMENTOS</t>
  </si>
  <si>
    <t>COMPARATIVO DE COTIZACIÓN DE REFACCIONES — 2026</t>
  </si>
  <si>
    <t>TIPO DE CAMBIO DEL DÍA (MXN/USD):</t>
  </si>
  <si>
    <t>⬅  Captura aquí el tipo de cambio del día</t>
  </si>
  <si>
    <t>RESUMEN GLOBAL — PARTIDAS EN COTIZACIÓN (Excluye Servicios de Filtros)</t>
  </si>
  <si>
    <t>Unidades con pedidos</t>
  </si>
  <si>
    <t>Pedidos en cotización</t>
  </si>
  <si>
    <t>Partidas totales</t>
  </si>
  <si>
    <t>Partidas con
costo MATCO</t>
  </si>
  <si>
    <t>Sin precio MATCO</t>
  </si>
  <si>
    <t>Partidas cotizadas
HAWTHORNE</t>
  </si>
  <si>
    <t>Partidas cotizadas
CTP</t>
  </si>
  <si>
    <t>RESUMEN POR UNIDAD ECONÓMICA (Excluye Servicios de Filtros)</t>
  </si>
  <si>
    <t>NÚM.
ECON.</t>
  </si>
  <si>
    <t>FAMILIA / MODELO</t>
  </si>
  <si>
    <t>PEDIDOS</t>
  </si>
  <si>
    <t>COSTO MATCO
(MXN s/IVA)</t>
  </si>
  <si>
    <t>COSTO HAWTHORNE
(USD)</t>
  </si>
  <si>
    <t>HAWTHORNE
EN MXN *</t>
  </si>
  <si>
    <t>COSTO CTP
(USD)</t>
  </si>
  <si>
    <t>CTP
EN MXN *</t>
  </si>
  <si>
    <t>DÍAS
MATCO</t>
  </si>
  <si>
    <t>Los costos de MATCO están expresados en PESOS MXN. Los costos de HAWTHORNE y CTP están en USD y se actualizan según el tipo de cambio del día.</t>
  </si>
  <si>
    <t>📌 SERVICIOS DE FILTROS — Costos Operativos (Separados de Reparaciones Mayores)</t>
  </si>
  <si>
    <t>HAWTHORNE MXN *</t>
  </si>
  <si>
    <t>CTP MXN *</t>
  </si>
  <si>
    <t>TOTAL FILTROS</t>
  </si>
  <si>
    <t>* Los servicios de filtros se muestran por separado ya que son costos operativos recurrentes, no reparaciones mayores de las unidades.</t>
  </si>
  <si>
    <t>COMPARATIVO DETALLADO POR UNIDAD Y PEDIDO — PARTIDAS EN COTIZACIÓN (Excluye Servicios de Filtros)</t>
  </si>
  <si>
    <t>TIPO DE CAMBIO:</t>
  </si>
  <si>
    <t>⬅  Se toma del tipo de cambio capturado en el Resumen Ejecutivo</t>
  </si>
  <si>
    <t>IDENTIFICACIÓN</t>
  </si>
  <si>
    <t>MATCO (MXN s/IVA)</t>
  </si>
  <si>
    <t>HAWTHORNE (USD/MXN)</t>
  </si>
  <si>
    <t>CTP (USD/MXN)</t>
  </si>
  <si>
    <t>TEMA / PEDIDO</t>
  </si>
  <si>
    <t>DÍAS ENT.</t>
  </si>
  <si>
    <t>COSTO UNIT. MXN</t>
  </si>
  <si>
    <t>TOTAL MXN</t>
  </si>
  <si>
    <t>COSTO UNIT. USD</t>
  </si>
  <si>
    <t>TOTAL USD</t>
  </si>
  <si>
    <t>TOTAL MXN *</t>
  </si>
  <si>
    <t>📌 SERVICIOS DE FILTROS — Costos Operativos por Unidad (Separados de Reparaciones Mayores)</t>
  </si>
  <si>
    <t>PEDIDO / TEMA</t>
  </si>
  <si>
    <t>TOTAL MATCO (MXN)</t>
  </si>
  <si>
    <t>TOTAL HAWTHORNE (USD)</t>
  </si>
  <si>
    <t>TOTAL CTP (USD)</t>
  </si>
  <si>
    <t>DETALLE DE PARTIDAS EN COTIZACIÓN — COMPARATIVO DE PRECIOS</t>
  </si>
  <si>
    <t>NÚM.ECON.</t>
  </si>
  <si>
    <t>NÚM. PARTE</t>
  </si>
  <si>
    <t>DESCRIPCIÓN</t>
  </si>
  <si>
    <t>CANT.</t>
  </si>
  <si>
    <t>UNIT. MXN</t>
  </si>
  <si>
    <t>DÍAS</t>
  </si>
  <si>
    <t>UNIT. USD</t>
  </si>
  <si>
    <t>NO. ECO.</t>
  </si>
  <si>
    <t>FAMILIA</t>
  </si>
  <si>
    <t>MARCA</t>
  </si>
  <si>
    <t>OBRA</t>
  </si>
  <si>
    <t>OPERADOR</t>
  </si>
  <si>
    <t>OBSERVACIONES</t>
  </si>
  <si>
    <t>FECHA INACTIVACION</t>
  </si>
  <si>
    <t>ENTREGA DE PARTES</t>
  </si>
  <si>
    <t>FECHA ACTIVACION</t>
  </si>
  <si>
    <t>ENCARGADO</t>
  </si>
  <si>
    <t>AVANCE</t>
  </si>
  <si>
    <t>TRACTOR</t>
  </si>
  <si>
    <t>D9T</t>
  </si>
  <si>
    <t>TALLER COSTA DORADA</t>
  </si>
  <si>
    <t>INACTIVA</t>
  </si>
  <si>
    <t>TRANSMICION, BARRA PIBOTE, TREN DE RODAJE, BARRA MUELLE</t>
  </si>
  <si>
    <t>ET, SV, BC</t>
  </si>
  <si>
    <t>Seguimiento</t>
  </si>
  <si>
    <t>SV comenta que se enviara a taller costa dorada para su desarmado y reparacion</t>
  </si>
  <si>
    <t>ET comenta que ya se encuentra en taller costa dorada pero no se desarmara hasta que esten suministradas todas las refacciones</t>
  </si>
  <si>
    <t>SV comenta que entregara listado de partes hoy</t>
  </si>
  <si>
    <t>SR comenta que se entrego un listado preliminar para iniciar con las cotizaciones</t>
  </si>
  <si>
    <t>PASEO LAS BRISAS</t>
  </si>
  <si>
    <t>ANGEL DIAZ</t>
  </si>
  <si>
    <t>ACTIVA</t>
  </si>
  <si>
    <t>ET, BC, SV</t>
  </si>
  <si>
    <t>ET comenta que se tiene un avance del 80% de armado (reparacion completa)</t>
  </si>
  <si>
    <t>ET comenta que se activo el 21/01/2026 solo en espera de la cama del ripper para mandarlo a obra, por lo pronto esta en pintura</t>
  </si>
  <si>
    <t>BC comenta que el martes 03/02/2026 llega a Tj</t>
  </si>
  <si>
    <t>ET comenta que ya se cuenta con la cama del ripper y se le metera mano para acondicionarla y dejarla en condiciones de trabajo</t>
  </si>
  <si>
    <t>ET comenta que ya llego el shock blok y refacciones, se encuentra en armado de motor</t>
  </si>
  <si>
    <t>SV comenta que continua en armado ya se monto cabeza, se recalibra y se cierra la parte superior</t>
  </si>
  <si>
    <t>SV comenta que esta en espera del suministro del convertidor, ya se tiene armado el motor para montar</t>
  </si>
  <si>
    <t>LOS OLIVOS</t>
  </si>
  <si>
    <t>JOSE CARDENAS</t>
  </si>
  <si>
    <t>PUERTO NUEVO 2</t>
  </si>
  <si>
    <t>ET comenta que de MATCO ingresara a taller costa dorada para instalacion de sellos de la barra pibote</t>
  </si>
  <si>
    <t>ET comenta que el 16/10/2025 entrego el tractor MATCO y se instalaron los sellos de la barra pibote en taller costa dorada el 21/10/2025 y se envio a vistas de puerto nuevo 2</t>
  </si>
  <si>
    <t>ET comenta que se activo hoy por el tema de la fuga del hidraulico</t>
  </si>
  <si>
    <t>ET comenta que se continua trabajando con la soldadura en la cama de ripper</t>
  </si>
  <si>
    <t>ET comenta que se activo el viernes 06</t>
  </si>
  <si>
    <t>D9R</t>
  </si>
  <si>
    <t>TALLER LAS PUERTAS</t>
  </si>
  <si>
    <t>PROBLEMAS CON TRANSMICION</t>
  </si>
  <si>
    <t>ET, SV</t>
  </si>
  <si>
    <t>LAS PUERTAS 2</t>
  </si>
  <si>
    <t>SV comenta que se trabajara hoy en la instalacion de Track derecho en espera de refacciones de MATCO para la instalacion del track izquierdo</t>
  </si>
  <si>
    <t>ET comenta que se activa hoy al medio dia</t>
  </si>
  <si>
    <t>SV comenta que ya se desarmo y se encuentra en espera que maquinado entregue el housing y MATCO entrega de refacciones</t>
  </si>
  <si>
    <t>SV comenta que hoy se enviaron las refacciones de maquinado para su instalacion</t>
  </si>
  <si>
    <t>SV comenta que se activo el equipo el sabado 14/02/2026</t>
  </si>
  <si>
    <t>SV comenta que hoy enviara listado preliminar de refacciones</t>
  </si>
  <si>
    <t>SR comenta que ya se tiene cotizado el listado aprox 11k dlls en espera de autorizacion de BC</t>
  </si>
  <si>
    <t>JORGE JARA</t>
  </si>
  <si>
    <t>ET comenta que el avance en el desarmado del motor va al 95%, se tiene una nueva cotizacion $78,250 dlls por el motor completo</t>
  </si>
  <si>
    <t>ET comenta que se lleva un 70% de la reparacion del motor</t>
  </si>
  <si>
    <t>BC comenta que hoy entregara las refacciones que tiene en bodega y verificar que es lo que falta para conseguirlo</t>
  </si>
  <si>
    <t>SV comenta que hoy se termina y se saca a prueba</t>
  </si>
  <si>
    <t>SV comenta que se probo y se presento problemas en mantener la velocidad, por lo que se tomo la decisión de enviarlo a taller costa dorada</t>
  </si>
  <si>
    <t>ET comenta que se activo el lunes 13/04/2026 y se envio a la puerta 2</t>
  </si>
  <si>
    <t>D10T</t>
  </si>
  <si>
    <t>CABEZAS</t>
  </si>
  <si>
    <t>ET comenta que esta en proceso de desarmado para sacar listado de partes, se le quitara el zanco y dados de faldon para activar el MT07. SR comenta que los dados le llegan hoy, el lunes llega la tornilleria y chumaceras, finales de proxima semana le llega el zanco</t>
  </si>
  <si>
    <t>SR comenta que los dados se regresaron a maquinado por que estaba mal echo el trabajo y ayer los entregaron nuevamente, la tornilleria y chumaceras ayer llegaron a la bodega de USA y el zanco esta semana da respuesta ya que Benjamin trae el tema</t>
  </si>
  <si>
    <t>SV comenta que ya se entregaron las chumaceras y se enviaron a las puertas, en espera de perno que quedo en maquinado, esta pendiente abrir el motor para revisar la valvula dañada y pasar listado</t>
  </si>
  <si>
    <t>FUGAS DE HIDRAULICO</t>
  </si>
  <si>
    <t>BC comenta que las partes de la cama de riper ya las tiene en Bodega de Costa Dorada y ET comenta que sigue en espera de pago de poder liberar las refacciones de MATCO.</t>
  </si>
  <si>
    <t>ET comenta que ya se esta trabajando con la reparacion del motor, ya se tienen las refacciones de la primer lista 80%</t>
  </si>
  <si>
    <t>ET comenta que la reparacion de motor lleba un avance del 90% (falta carrileria, bujes de cama de riper)</t>
  </si>
  <si>
    <t>ET comenta que la reparacion de motor ya esta al 100%. (Falta la carrileria y bujes de cama de riper)</t>
  </si>
  <si>
    <t>BC comenta que ya se cuenta con las refacciones en taller, SV comenta que se programara la instalacion.</t>
  </si>
  <si>
    <t>ET comenta que se tomaron las cadenas nuevas para ponerselas al MT06</t>
  </si>
  <si>
    <t>BC comenta que esta en espera del pago a MATCO para que liberen las cadenas</t>
  </si>
  <si>
    <t>ET comenta que ya llegaron las cadenas, SV comenta que se esta trabajando en instalacion de bujes de cama de riper y radiador</t>
  </si>
  <si>
    <t>ET comenta que ya esta armado y se le pondra faldon y zanco del MT06 para activarlo mañana</t>
  </si>
  <si>
    <t>SV comenta que esta en revision ya que el equipo frontal no funciona adecuadamente</t>
  </si>
  <si>
    <t>D11R</t>
  </si>
  <si>
    <t>JESUS PRADO</t>
  </si>
  <si>
    <t>ET comenta que sigue en espera de pago de poder liberar las refacciones de MATCO.</t>
  </si>
  <si>
    <t>ET comenta que ya se cuenta con las refacciones (pernos, bujes y sellos de cadena), SV comenta que se trabajara en sacar los pernos para empezar reparacion.</t>
  </si>
  <si>
    <t>ET comenta que se trabajo en la instalacion del lado derecho y  falta el izquierdo</t>
  </si>
  <si>
    <t>ET pendiente que lleguen las cadenas, BC comenta que falta liberar pago</t>
  </si>
  <si>
    <t>ET comenta que esta en reparacion el convertidor</t>
  </si>
  <si>
    <t>SV comenta que se estan instalando pernos de buggy y rueda guia</t>
  </si>
  <si>
    <t>ET comenta que le falta 1 perno de buggy y unos sellos de convertidor. SR comenta que el lunes le llegan los sellos</t>
  </si>
  <si>
    <t>SR comenta que esta en proceso de cotizacion el perno y candados, los sellos si llegaron y se armo el convertidor. ET comenta que hoy se monta el vonvertidor</t>
  </si>
  <si>
    <t>SV comenta que ya se instalo el convertidor, se trabajara en la instalacion de zapatas lado izquierdo primero.</t>
  </si>
  <si>
    <t>D6T</t>
  </si>
  <si>
    <t>SAUL JARA</t>
  </si>
  <si>
    <t>MT-10</t>
  </si>
  <si>
    <t>D8</t>
  </si>
  <si>
    <t>SINIESTRADO</t>
  </si>
  <si>
    <t>EN MATCO</t>
  </si>
  <si>
    <t>ET</t>
  </si>
  <si>
    <t>ET comenta que se esta en espera de la asistencia de MATCO para valorar el daño y poderlo movilizar a OTAY</t>
  </si>
  <si>
    <t>ET comenta que ya se movilizo la unidad a los patios de MATCO en espera de la valoracion de daños</t>
  </si>
  <si>
    <t>Se tuvo reunion con MATCO y la aseguradora en oficinas de GEO el 03/02/2026 para ver el tema del equipo que se rentara en sustitucion mientras se repara el MT10, Julian Osuna comenta que el proximo 18/02/2026 entregara el dictamen de la evaluacion de los daños</t>
  </si>
  <si>
    <t>ET comenta que Felix le esta dando seguimiento con la aseguradora ya que por parte de MATCO ya contamos con la cotizacion $268k dlls</t>
  </si>
  <si>
    <t>ET comenta que hoy se envia presupuesto de maniobras realizadas en traslado del equipo a MATCO para que Felix lo anexe a la carta de reclamacion hacia la aseguradora</t>
  </si>
  <si>
    <t>ET comenta que se envio presupuesto y a su vez Felix envio la carta de reclamo a MATCO, SR comenta que hoy envia OC a MATCO para que ellos le den tramite al pedido de partes</t>
  </si>
  <si>
    <t>SR comenta que se envio la OC a MATCO. ET comenta que MATCO ya solicito el listado de partes y estan trabajando en el armado con lo que se tiene</t>
  </si>
  <si>
    <t>MATCO comenta que llevan un avance del 20% en la reparacion de motor, conforme van llegando partes, van armando</t>
  </si>
  <si>
    <t>CASA BLANCA</t>
  </si>
  <si>
    <t>SIDRONIO ORTIZ</t>
  </si>
  <si>
    <t>MT-12</t>
  </si>
  <si>
    <t>DONANTE</t>
  </si>
  <si>
    <t>NO SE REPARARA</t>
  </si>
  <si>
    <t>ET comenta que se usara para partes de todos lo tractores D9</t>
  </si>
  <si>
    <t>GABRIEL BOLAÑOS</t>
  </si>
  <si>
    <t>RMT-02</t>
  </si>
  <si>
    <t>PERNOS DE LA CADENA IZQUIERDA</t>
  </si>
  <si>
    <t>MX-01</t>
  </si>
  <si>
    <t>EXCAVADORA</t>
  </si>
  <si>
    <t>320 CL</t>
  </si>
  <si>
    <t>TRABAJO DE TORNO PARA SACAR COSTO</t>
  </si>
  <si>
    <t>BC</t>
  </si>
  <si>
    <t>BC comenta que hoy manda a recoger el HOUSING de bomba al torno</t>
  </si>
  <si>
    <t xml:space="preserve">BC comenta que ya se encuentra el HOUSING en Bodega de Costa Dorada y hoy entrega las partes a ET se revisan para saber si hace falta algo. </t>
  </si>
  <si>
    <t xml:space="preserve">BC nuevamente comenta que ya se encuentra el HOUSING en Bodega de Costa Dorada y hoy entrega las partes a ET se revisan para saber si hace falta algo. </t>
  </si>
  <si>
    <t>ET comenta que no se le ha metido mano por otras prioridades</t>
  </si>
  <si>
    <t>MX-02</t>
  </si>
  <si>
    <t>325 BL</t>
  </si>
  <si>
    <t>CARLOS VIRGEN</t>
  </si>
  <si>
    <t>ET,BC</t>
  </si>
  <si>
    <t>ELITE 2</t>
  </si>
  <si>
    <t>FALTA OPERADOR</t>
  </si>
  <si>
    <t>EN ESPERA</t>
  </si>
  <si>
    <t>ET, BC</t>
  </si>
  <si>
    <t>ET se compromete a enviar requisicion hoy para posterior compra</t>
  </si>
  <si>
    <t>ET comenta que ya tiene cotizacion de partes ($12,000 dlls) y generara la requisicion hoy para posterior compra.</t>
  </si>
  <si>
    <t>ET comenta que esta en espera de pago de poder liberar las refacciones de MATCO.</t>
  </si>
  <si>
    <t>ET comenta que se activo el 16/01/2026</t>
  </si>
  <si>
    <t>345 B</t>
  </si>
  <si>
    <t>FUGA DE MANDOS DE ZUING</t>
  </si>
  <si>
    <t>385 BL</t>
  </si>
  <si>
    <t>PERNO Y SELLOS DE ESLABON Y SELLOS DE PISTON TENSOR</t>
  </si>
  <si>
    <t>ET comenta que ya tiene cotizacion ($900 dlls) y ya se mando comprar.</t>
  </si>
  <si>
    <t>SV comenta que se mando a fabricar la herramienta necesaria para la colocacion y se esta en espera de que maquinado la entregue falta templar.</t>
  </si>
  <si>
    <t>SV comenta que ya se cuenta con la herramienta solo en espera de programar personal ya que se atienden otras prioridades</t>
  </si>
  <si>
    <t>330 GC</t>
  </si>
  <si>
    <t>ALAMAR</t>
  </si>
  <si>
    <t>ANTONIO ORTEGA</t>
  </si>
  <si>
    <t>ESCREPA</t>
  </si>
  <si>
    <t>631 E</t>
  </si>
  <si>
    <t>TALLER PUERTO NUEVO 2</t>
  </si>
  <si>
    <t>INCENDIADA</t>
  </si>
  <si>
    <t>ET comenta que ya se cuenta con las refacciones y se programa iniciar con la reparacion el proximo lunes</t>
  </si>
  <si>
    <t>SV comenta que ya se termino con la reparacion y esta en el proceso de prueba ya que tiene problema en la reversa</t>
  </si>
  <si>
    <t>SV comenta que ya se puso el lado derecho, hoy se termina de armar</t>
  </si>
  <si>
    <t>ET comenta que se activo el martes 17/02/2026</t>
  </si>
  <si>
    <t>ET comenta que se solicitaron los inyectores y se manejara como yuca en puerto nuevo</t>
  </si>
  <si>
    <t>ET comenta que ya se enviaron los inyectores para su instalacion</t>
  </si>
  <si>
    <t>ET comenta que se activo el viernes 10/04/2026</t>
  </si>
  <si>
    <t>ET comenta que se revisara para evaluar los daños causados por el incendio y se hace listado de refacciones</t>
  </si>
  <si>
    <t>ET comenta que no se a podido atacar por tema de otras prioridades</t>
  </si>
  <si>
    <t>SILLA DE ARTICULACION QUEBRADA</t>
  </si>
  <si>
    <t>SV</t>
  </si>
  <si>
    <t>SV comenta que estan haciendo limpieza para empezar a desarmar</t>
  </si>
  <si>
    <t xml:space="preserve">SV comenta que se encuentra en proceso de desarmado </t>
  </si>
  <si>
    <t>ET comenta que no se termino de desarmar por que salieron otras prioridades, pero ya cuenta con la silla en sitio</t>
  </si>
  <si>
    <t>ME-04</t>
  </si>
  <si>
    <t>621 G</t>
  </si>
  <si>
    <t>ET comenta que no se reparara</t>
  </si>
  <si>
    <t>ANGEL RODRIGUEZ</t>
  </si>
  <si>
    <t xml:space="preserve">ET comenta que ya se sacaron de MATCO  las refacciones para la reparacion ayer 14/10/25. </t>
  </si>
  <si>
    <t>ET comenta que ya se esta trabajando en la reparacion del motor con un avance del 80%.</t>
  </si>
  <si>
    <t>ET comenta que ya se termino con la reparacion y hoy se manda a montar.</t>
  </si>
  <si>
    <t>ET comenta que ya se tiene activa a partir de hoy</t>
  </si>
  <si>
    <t>SV comenta que se esta revisando ya que causo daño en el banco de valvulas y se quedo varada en tramo se requiere mover a taller</t>
  </si>
  <si>
    <t>ME-07</t>
  </si>
  <si>
    <t>631 D</t>
  </si>
  <si>
    <t>MOTOR DAÑADO</t>
  </si>
  <si>
    <t>ET comenta que ya se cuenta con cotizacion, en espera de pago.</t>
  </si>
  <si>
    <t>ET comenta que por atender otras priodirades no se a atacado ni al suminstro de refacciones</t>
  </si>
  <si>
    <t>TUBO DE ESCAPE</t>
  </si>
  <si>
    <t>ET comenta que ya se cuenta con el 50% de la reparacion.</t>
  </si>
  <si>
    <t>ET comenta que se activo el equipo el viernes</t>
  </si>
  <si>
    <t>SV comenta que se esta trabajando para que quede activa hoy</t>
  </si>
  <si>
    <t>SV comenta que desde el pasado jueves 11/12/2025 se activo</t>
  </si>
  <si>
    <t>ET comenta que se activo el martes 10 del banco de valvulas</t>
  </si>
  <si>
    <t>SV comenta que se enviara nuevamente al electrico Javier Medina ya que trae problemas de combustible.</t>
  </si>
  <si>
    <t>SV comenta que se encuentra activa desde el 31/10/25</t>
  </si>
  <si>
    <t>ET comenta que esta en espera de los sellos, SR comenta que hoy manda la OC a MATCO</t>
  </si>
  <si>
    <t>SV comenta que esta incompleta su solicitud, la termina y la envia para su cotizacion</t>
  </si>
  <si>
    <t>SV comenta que esta completa la solicitud solo en espera que se la suministren, pendiente sellos</t>
  </si>
  <si>
    <t>ME-10</t>
  </si>
  <si>
    <t>ME-11</t>
  </si>
  <si>
    <t>MOTOR Y TRANSMICION DAÑADOS</t>
  </si>
  <si>
    <t>BC, ET, SV</t>
  </si>
  <si>
    <t>SV comenta que se esta armando el motor con un avance de 60% y este se instalara a la ME23</t>
  </si>
  <si>
    <t>SV comenta que se esta armando el motor con un avance de 95% y este se instalara a la ME23</t>
  </si>
  <si>
    <t>ET comenta que esta en reparacion el motor que se le asignara</t>
  </si>
  <si>
    <t>ET comenta que esta en espera del suministro de vielas</t>
  </si>
  <si>
    <t>ME-12</t>
  </si>
  <si>
    <t>BC comenta que ya se tienen las refacciones en USA en espera de importacion.</t>
  </si>
  <si>
    <t xml:space="preserve">BC comenta que ya se cuenta con las lumbreras en almacen de costa dorada, SV revisara para sacarlas </t>
  </si>
  <si>
    <t>ET comenta que ya se tiene el material en sitio para la instalacion</t>
  </si>
  <si>
    <t>ET comenta que se activo el lunes</t>
  </si>
  <si>
    <t>ME-13</t>
  </si>
  <si>
    <t>ET comenta que se comprara una llanta nueva</t>
  </si>
  <si>
    <t>ME-15</t>
  </si>
  <si>
    <t>CAMBIO DE TRANSMICION Y MOTOR</t>
  </si>
  <si>
    <t>ET comenta que ya se cuenta con la cotizacion de ambas reparaciones, en espera de pago.</t>
  </si>
  <si>
    <t>TALLER LOS OLIVOS</t>
  </si>
  <si>
    <t>RODOLFO DE LOS SANTOS</t>
  </si>
  <si>
    <t>EN REVISION POR EXCESO DE HUMO</t>
  </si>
  <si>
    <t>ET comenta que le falta material electrico sensores y bobinas, ya solicitados a BC</t>
  </si>
  <si>
    <t>ET comenta que esta en espera de material y refacciones solicitadas, BC entregara lo que tiene en almacen</t>
  </si>
  <si>
    <t>ET comenta que se estan instalando las partes que entregaron</t>
  </si>
  <si>
    <t>ET comenta que ya se arranco, en espera del servicio para sacarla a probar</t>
  </si>
  <si>
    <t>ME-18</t>
  </si>
  <si>
    <t>ME-19</t>
  </si>
  <si>
    <t>TRANSMICION DAÑADA</t>
  </si>
  <si>
    <t>BC comenta que ya e tienen las refacciones en bodega de costa dorada</t>
  </si>
  <si>
    <t>ET comenta que ya se tiene las refacciones y un avance de 40%</t>
  </si>
  <si>
    <t>ET comenta que no se pudo atacar por otras prioridades</t>
  </si>
  <si>
    <t>BC comenta que se surtio la reparacion de la transmicion y SV comenta que se utilizo en la ME01</t>
  </si>
  <si>
    <t>BC comenta que ya tiene el listado de refacciones nuevamente para comprarlas</t>
  </si>
  <si>
    <t>SR comenta que se encuentra en proceso de cotizacion</t>
  </si>
  <si>
    <t>SR comenta que ya tiene ubicadas las partes solo en espera de autorizacion de BC para la compra</t>
  </si>
  <si>
    <t>ANTONIO ENCINAS</t>
  </si>
  <si>
    <t>SV comenta que se activo de la fuga de aceite hidraulico el 08/10/25</t>
  </si>
  <si>
    <t>ET comenta que hoy se activa al medio dia del motor de arranque</t>
  </si>
  <si>
    <t>ME-22</t>
  </si>
  <si>
    <t>FRANCISCO LOMELI</t>
  </si>
  <si>
    <t>SV comenta que enviara al electrico a revisar el arnes</t>
  </si>
  <si>
    <t>SV comenta que se activo de la falla electrica el viernes 19/12/2025</t>
  </si>
  <si>
    <t>JAVIER DOMINGUEZ</t>
  </si>
  <si>
    <t>ET comenta que se esta instalando el motor y que para el proximo martes queda activa</t>
  </si>
  <si>
    <t>ET comenta que se activo el martes 09/12/2025</t>
  </si>
  <si>
    <t>NORBERTO RODRIGUEZ</t>
  </si>
  <si>
    <t>ME-25</t>
  </si>
  <si>
    <t>621 E</t>
  </si>
  <si>
    <t>MOISES HERNANDEZ</t>
  </si>
  <si>
    <t>ET comenta que se esta trabajando en ello</t>
  </si>
  <si>
    <t>ET comenta que esta en espera que lleguen las cuchillas</t>
  </si>
  <si>
    <t>ET comenta que se activo el lunes 16/02/2026</t>
  </si>
  <si>
    <t>SV comenta que no se a atendido por otras prioridades</t>
  </si>
  <si>
    <t>NELSON GARCIA</t>
  </si>
  <si>
    <t>SV comenta que no se a desarmado por que salieron otras prioridades.</t>
  </si>
  <si>
    <t>ET comenta que se lleva un 70% de avance en la reparacion</t>
  </si>
  <si>
    <t>ET comenta que se lleva un 85% de avance en la reparacion</t>
  </si>
  <si>
    <t>ET comenta que esta en espera de la polea ya que el avance de reparacion es de 92%</t>
  </si>
  <si>
    <t>ET comenta que se activo el martes 14/04/2026</t>
  </si>
  <si>
    <t>JOSE RAMIREZ</t>
  </si>
  <si>
    <t>ET comenta que se esta trabajando en soldadura en espera de los empaques.</t>
  </si>
  <si>
    <t>BC comenta que ya cuenta con los empaques de manifuel y cotizando los sellos y mangueras.</t>
  </si>
  <si>
    <t>BC comenta que ya hoy entrega el manifuel el torno y ET comenta que hoy se terminan los trabajos de soldadura.</t>
  </si>
  <si>
    <t>SV comenta que se esta instalando el maniful y reempacado de cilindro de cajon</t>
  </si>
  <si>
    <t>SV comenta que se activo el viernes</t>
  </si>
  <si>
    <t>SV comenta que se reparara arnes de banco de valvulas para montarlo y se pidio el joystik</t>
  </si>
  <si>
    <t>ET comenta que se activo el miercoles 15/04/2026</t>
  </si>
  <si>
    <t>ELOY PACHECO</t>
  </si>
  <si>
    <t>ET hoy se terminan los trabajos de soldadura y mañana se instalan herramienta de corte para liberarla.</t>
  </si>
  <si>
    <t>ET comenta que se activo el equipo el vienres</t>
  </si>
  <si>
    <t>ET comenta que hoy se entrega a medio dia</t>
  </si>
  <si>
    <t>SV comenta que esta torcido el bastago, se revisara en costa dorada si tenemos uno que le sea compatible</t>
  </si>
  <si>
    <t>SV comenta que ya se envio piston y se monto, quedando pendiente bujes de ganzo, se solicitaron en espera de suministro</t>
  </si>
  <si>
    <t>ET comenta que ayer se activo</t>
  </si>
  <si>
    <t>ALFREDO JARA</t>
  </si>
  <si>
    <t>BC comenta que hoy en la tarde la entrega</t>
  </si>
  <si>
    <t>ET comenta que se activo desde el miercoles 10/12/2025</t>
  </si>
  <si>
    <t>SV comenta que ya se instalo el selector de cambios y se esta revisando el banco de valvulas, salio a prueba hoy</t>
  </si>
  <si>
    <t>SV comenta que se activo el viernes 06 del selector de cambio</t>
  </si>
  <si>
    <t>TALLER PASEO LAS BRISAS</t>
  </si>
  <si>
    <t>ET comenta que se activo el jueves de la manguera hidraulica</t>
  </si>
  <si>
    <t>BENITO DE LA CRUZ</t>
  </si>
  <si>
    <t>ET comenta que se activo el pasado sabado</t>
  </si>
  <si>
    <t>FELIX CASTRO</t>
  </si>
  <si>
    <t>ET comenta que no trae equipo de corte, ocupa un par de llantas y se sigue revisando</t>
  </si>
  <si>
    <t>ME-33</t>
  </si>
  <si>
    <t>DAÑO EN TRANSMICION</t>
  </si>
  <si>
    <t>SV, BC</t>
  </si>
  <si>
    <t>SV comenta que se le hicieron pruebas y salio transmicion dañada, en espera de suministro de refacciones ya se paso el listado de partes</t>
  </si>
  <si>
    <t>BC comenta que ya cuenta con la requisicion de las partes para suministro</t>
  </si>
  <si>
    <t>SR comenta que ya cuenta con la cotizacion un total de 38k dlls, hara comparativa</t>
  </si>
  <si>
    <t>SR comenta que ya cuenta con la comparativa y en espera que BC autorice la compra</t>
  </si>
  <si>
    <t>CHRISTIAN NUÑO</t>
  </si>
  <si>
    <t>ET comenta quese esta en espera de los arnes, ya se solicitaron a BC</t>
  </si>
  <si>
    <t>ET comenta que ya se enviaron los arnes y seguros para su instalacion</t>
  </si>
  <si>
    <t>ET comenta que salieron 4 inyectores dañados y se solicitaron</t>
  </si>
  <si>
    <t>ET comenta que salieron 2 inyectores mas dañados en total 6, ya se encuentran solicitados, SR comenta que ya se tiene cotizacion por parte de MATCO $ 182,000.00 y hara comparativa con proveedores de USA</t>
  </si>
  <si>
    <t>TORNAPIPA</t>
  </si>
  <si>
    <t>631 B</t>
  </si>
  <si>
    <t>MARTIN LOPEZ</t>
  </si>
  <si>
    <t>SV comenta que quemo el arnes principal</t>
  </si>
  <si>
    <t>SV comenta que se activo el miercoles 10/12/2025</t>
  </si>
  <si>
    <t>BC comenta que la pieza se mando a torno y no encuentran el tipo de material con el que fue fabricado para poder soldar</t>
  </si>
  <si>
    <t>ET comenta que ya se cuenta con la cotizacion para dar de alta a proveedor y subirla a pago</t>
  </si>
  <si>
    <t>SR comenta que ya se dio de alta al proveedor y se ingresara a la programacion de pagos</t>
  </si>
  <si>
    <t xml:space="preserve">SR comenta que el torno TOLEDO ya inicio con el trabajo </t>
  </si>
  <si>
    <t>SR comenta que ya se tiene la pieza lista en el torno en espera de pago para su liberacion, se ingreso a programacion</t>
  </si>
  <si>
    <t>MP-02</t>
  </si>
  <si>
    <t>FUGA POR SALIDA DE RETARDADOR</t>
  </si>
  <si>
    <t>BC, SV</t>
  </si>
  <si>
    <t>ET comenta que se tiene cotizacion por $50,000 se metera a programacion de pagos</t>
  </si>
  <si>
    <t>ET comenta que se activo el jueves 11/12/2025</t>
  </si>
  <si>
    <t>ABELARDO GUZMAN</t>
  </si>
  <si>
    <t>ET comenta que ya se instalo la bomba y solo se esta trabajando en soldadura.</t>
  </si>
  <si>
    <t>627 B</t>
  </si>
  <si>
    <t>BOMBA DE AGUA</t>
  </si>
  <si>
    <t>ET comenta que ya se terminaron los trabajos de soldadura quedando activa.</t>
  </si>
  <si>
    <t>SV comenta que se esta trabajando en la bomba de riego</t>
  </si>
  <si>
    <t>ET comenta que ya se tiene cotizado el motor en $25,000 y se metera en programacion</t>
  </si>
  <si>
    <t>BC comenta que las espreas llegan el proximo martes 10/02/2026, SV comenta que se le pondra una cuña como seguro a la palanca de la toma de fuerza</t>
  </si>
  <si>
    <t>ET comenta que se activo el martes 10 de la instalacion de espreas y la manguera hidraulica</t>
  </si>
  <si>
    <t>MC-01</t>
  </si>
  <si>
    <t>TRACTOCOMPACTADOR</t>
  </si>
  <si>
    <t>815 F</t>
  </si>
  <si>
    <t>LUIS VILLASEÑOR</t>
  </si>
  <si>
    <t>ET comenta que se lleva un avance del 30%</t>
  </si>
  <si>
    <t>ET comenta que se lleva un avance del 50% en los tacones</t>
  </si>
  <si>
    <t>SV comenta que hacen falta crucetas y se esta trabajando en armado de guardas y volante</t>
  </si>
  <si>
    <t>ET comenta que se encuentra en revision y pintura ya listo de lo mecanico</t>
  </si>
  <si>
    <t>ET comenta que ya se trajo de Olivos a Taller para empezar a desarmar y poder hacer listado de partes</t>
  </si>
  <si>
    <t>ET comenta que ya se desarmo y se envio listado de partes.</t>
  </si>
  <si>
    <t>ET comenta que se lleva un avance del 80% de la reparacion</t>
  </si>
  <si>
    <t>ADRIAN RODALES</t>
  </si>
  <si>
    <t>ET comenta que ya se pidieron las partes en espera de que se consigan</t>
  </si>
  <si>
    <t xml:space="preserve">ET comenta que ya se tiene activo </t>
  </si>
  <si>
    <t>825 C</t>
  </si>
  <si>
    <t>CRUCETA Y FLECHA</t>
  </si>
  <si>
    <t>SV comenta que se esta trabajando con los tacones y limpiadores</t>
  </si>
  <si>
    <t>SV comenta que se activo ayer</t>
  </si>
  <si>
    <t>ET comenta que se activo hoy</t>
  </si>
  <si>
    <t>825 G</t>
  </si>
  <si>
    <t>DIEGO MONDRAGON</t>
  </si>
  <si>
    <t>BC comenta que el jueves 09/10/25 entrega perno</t>
  </si>
  <si>
    <t>ET consigue cotizacion hoy y quedariamos en espera de pago ($1547 dlls)</t>
  </si>
  <si>
    <t>BC comenta que ya se tienen las refacciones en bodega de costa dorada</t>
  </si>
  <si>
    <t>SV comenta que se revisara el motor ya que el que se le puso es tractocamion y no tiene fuerza</t>
  </si>
  <si>
    <t>SV comenta que ya mejoro la aceleracion y desplazamiento, se trabaja en ajuste de pedal y cabina para terminar y probarlo</t>
  </si>
  <si>
    <t>ET comenta que se sacara a prueba ya se mejoro la aceleracion</t>
  </si>
  <si>
    <t>SV comenta que se solicitaron las refacciones el vierne 30/01/2026</t>
  </si>
  <si>
    <t>ET comenta que se activo el miercoles 18/02/2026</t>
  </si>
  <si>
    <t>SV comenta que esta en espera de suministro de nitrogeno</t>
  </si>
  <si>
    <t>BC comenta que ya cuenta con el nitrogeno en almacen</t>
  </si>
  <si>
    <t>SV comenta que esta instalando el kit de sellos al acumulador pero sigue en espera del tanque de nitrogeno</t>
  </si>
  <si>
    <t>ET comenta que se cargo el nitrogeno se probo y presento calentamiento la transmicion, ayer se enviaron filtros y aceites para rellenar y hacer pruebas</t>
  </si>
  <si>
    <t>ET comenta que hoy sale a prueba, se le cambio aceite y filtros de transmicion, y se hizo limpieza a banco de valvulas</t>
  </si>
  <si>
    <t>MC-05</t>
  </si>
  <si>
    <t>815 B</t>
  </si>
  <si>
    <t>CONVERTIDOR. EN ESPERA DE HACER LISTADO DE PARTES</t>
  </si>
  <si>
    <t>ET comenta que aun no se desarma para hacer listado de partes</t>
  </si>
  <si>
    <t>ET comenta que ya se cuenta con el convertidor en almacen, se programa la instalacion</t>
  </si>
  <si>
    <t>ET comenta que el convertidor que surtieron no es compatible con el equipo, SR contactara al proveedor para devolucion y seguir buscando</t>
  </si>
  <si>
    <t>SR comenta que no tuvo oportunidad de contactar al proveedor, mañana hara contacto para ver tema de devolucion</t>
  </si>
  <si>
    <t>ET comenta que el proveedor ya mando pedir el convertidor correcto, hoy por la tarde nos da respuesta de la fecha de entrega</t>
  </si>
  <si>
    <t>MC-06</t>
  </si>
  <si>
    <t>DANIEL DE LA RIVA</t>
  </si>
  <si>
    <t>MCF-01</t>
  </si>
  <si>
    <t>CARGADOR FRONTAL</t>
  </si>
  <si>
    <t>950 GC</t>
  </si>
  <si>
    <t>RETROEXCAVADORA</t>
  </si>
  <si>
    <t>CIELO</t>
  </si>
  <si>
    <t>EFREN RUIZ</t>
  </si>
  <si>
    <t>BC, ET</t>
  </si>
  <si>
    <t>ET comenta que hoy entregan el radiador y se instala mañana</t>
  </si>
  <si>
    <t>ET que ya se tiene activo el equipo desde el 09/10/25</t>
  </si>
  <si>
    <t>MR-02</t>
  </si>
  <si>
    <t>ANDARES SANTA FE</t>
  </si>
  <si>
    <t>JAIME GOVEA</t>
  </si>
  <si>
    <t>MR-03</t>
  </si>
  <si>
    <t>CASE</t>
  </si>
  <si>
    <t>ET comenta que aun no se ataca por no ser prioridad.</t>
  </si>
  <si>
    <t>ET comenta que no se a desarmado por que salieron otras prioridades.</t>
  </si>
  <si>
    <t>ET comenta que se activo el equipo el lunes 22/12/2025</t>
  </si>
  <si>
    <t>ET comenta que se pedira la valvula y pueda funcionar el equipo trasero</t>
  </si>
  <si>
    <t xml:space="preserve">ET comenta que hoy enviara la requisicion nuevamenta para su compra </t>
  </si>
  <si>
    <t>ET comenta que enviara la requisicion</t>
  </si>
  <si>
    <t>MM-01</t>
  </si>
  <si>
    <t>MOTOCONFORMADORA</t>
  </si>
  <si>
    <t>130 G</t>
  </si>
  <si>
    <t>BC comenta que hoy hace entrega del chicote</t>
  </si>
  <si>
    <t>ET comenta que mañana la activa si hoy le entregan el chicote</t>
  </si>
  <si>
    <t>SANTORINI</t>
  </si>
  <si>
    <t>ET comenta que se activo del chicote, cayo por fuga de agua y hoy quedo activa.</t>
  </si>
  <si>
    <t>ET comenta que se activo de la flecha el lunes 22/12/2025</t>
  </si>
  <si>
    <t>ET comenta que esta en proceso de desarmado para dar diagnostico y hacer pedido de refacciones</t>
  </si>
  <si>
    <t>ET comenta que ya se envio listado de refacciones, SR comenta que hoy envia OC a MATCO para que suministren de 2 a 3 dias</t>
  </si>
  <si>
    <t>ET comenta que llegaron unas refacciones pero aun faltan partes, SR comenta que mañana llegan los soportes</t>
  </si>
  <si>
    <t>12 G</t>
  </si>
  <si>
    <t>OSCAR MENDEZ</t>
  </si>
  <si>
    <t>ENCINO SOLO</t>
  </si>
  <si>
    <t>ET comenta que los rabajos de soldadura del circulo ya quedaron listos, solo en espera de sellos.</t>
  </si>
  <si>
    <t>BC comenta que los sellos los ordeno en HAWTHORNE el dia 07/10/25 a las 4pm y le llegan el 09/10/25</t>
  </si>
  <si>
    <t>ET que ya se tiene activo el equipo desde el 10/10/25</t>
  </si>
  <si>
    <t>ET comenta que ya se activo el equipo ayer, se le cambio espiga izquierda delantera (se quebro el 16/10/25)</t>
  </si>
  <si>
    <t>TALLER LOMAS DEL VALLE</t>
  </si>
  <si>
    <t>ET comenta que esta en torno la barra de direccion y la entregan mañana</t>
  </si>
  <si>
    <t>ET comenta que esta en proceso de armado para activarla proximo lunes</t>
  </si>
  <si>
    <t>SV comenta que mañana se activa</t>
  </si>
  <si>
    <t>16 G</t>
  </si>
  <si>
    <t>TRANSMICION EN REVISION</t>
  </si>
  <si>
    <t>ET comenta que ya se esta cotizando las refacciones, para hacer requisicion y posterior compra.</t>
  </si>
  <si>
    <t>ET comenta que solo falta cambiarle cuchillas y gavilanes</t>
  </si>
  <si>
    <t>16 M</t>
  </si>
  <si>
    <t>ET, BC, SV, SR</t>
  </si>
  <si>
    <t>ET comenta que ya se esta trabajando en la instalacion con un avance del 90%</t>
  </si>
  <si>
    <t>ET comenta que solo esta en espera de radiador y marcadores fisicos, BC comenta que proxima semana entrega el radiador y marcadores, estara en trabajo de pintura</t>
  </si>
  <si>
    <t>ET comenta que  se movera a taller costa dorada para su atencion, SV comenta que ya se hizo la solicitud de refacciones, SR comenta que hoy la cotiza para hacer comparativa junto con la bomba hidraulica</t>
  </si>
  <si>
    <t>ET comenta que llego la bomba hidraulica y se instalo, pendiente suministro de refacciones. SR comenta que ya tiene las partes en almacen para entrega.</t>
  </si>
  <si>
    <t>SV comenta que se instalo la valvula, se probo y continuo la falla en direccion, se solicitaron valvulas de alivio y el tanque hidraulico</t>
  </si>
  <si>
    <t>RMM-01</t>
  </si>
  <si>
    <t>140K</t>
  </si>
  <si>
    <t>HERIBERTO TERRAZAS</t>
  </si>
  <si>
    <t>MV-01</t>
  </si>
  <si>
    <t>VIBROCOMPACTADOR</t>
  </si>
  <si>
    <t>CS533</t>
  </si>
  <si>
    <t>SAHARA</t>
  </si>
  <si>
    <t>SV comenta que enviara al electrico Javier Medina a revisarlo y ver de que se trata el problema</t>
  </si>
  <si>
    <t>SV comenta que se activo ayer martes</t>
  </si>
  <si>
    <t>SV comenta que se programa instalacion ya que se cuenta en almacen con el arranque</t>
  </si>
  <si>
    <t>SV comenta que ya se instalo en arranque, se quito radiador para darle servicio</t>
  </si>
  <si>
    <t>ET comenta que se instalo el radiador y el motor de arranque pero no funciono se hablara con el proveedor para el tema del cambio de arranque.</t>
  </si>
  <si>
    <t>ET comenta que se activo el viernes</t>
  </si>
  <si>
    <t>MV-02</t>
  </si>
  <si>
    <t>SV comenta que se activo el jueves</t>
  </si>
  <si>
    <t>MV-03</t>
  </si>
  <si>
    <t>CS11GC</t>
  </si>
  <si>
    <t>MN-01</t>
  </si>
  <si>
    <t>MINICARGADOR</t>
  </si>
  <si>
    <t>CV-01</t>
  </si>
  <si>
    <t>CAMION VOLTEO</t>
  </si>
  <si>
    <t>7 M3</t>
  </si>
  <si>
    <t>ARMANDO ROCHA</t>
  </si>
  <si>
    <t>ET comenta que hoy enviara a un mecanico para instalar soporte de motor y manguera de turbo, ya se tienen en taller las refacciones.</t>
  </si>
  <si>
    <t>ET comenta que ya se tiene activo el equipo desde el 09/10/25</t>
  </si>
  <si>
    <t>ET comenta que se le cambiara el diferencial de una de las mulitas que llegaron</t>
  </si>
  <si>
    <t>ET comenta que ya se instalo el diferencial y queda activo hoy</t>
  </si>
  <si>
    <t>CV-02</t>
  </si>
  <si>
    <t>11 M3</t>
  </si>
  <si>
    <t>OSCAR CASSAL</t>
  </si>
  <si>
    <t>ET comenta que se esta trabajando en el armado de la transmicion</t>
  </si>
  <si>
    <t>ET comenta que ya se tiene lista la reparacion en taller externo solo en espera de pago.</t>
  </si>
  <si>
    <t>ET comenta que se mando a reparar la transmicion a taller externo</t>
  </si>
  <si>
    <t>ET comenta que se activo el martes 03/02/2026</t>
  </si>
  <si>
    <t>CV-03</t>
  </si>
  <si>
    <t>9 M3</t>
  </si>
  <si>
    <t>ANGEL PATRON</t>
  </si>
  <si>
    <t>VISTAS DEL RIO</t>
  </si>
  <si>
    <t>BC comenta que no que no lo tubo el proveedor pero que ya lo encontro y llega mañana</t>
  </si>
  <si>
    <t>BC comenta que hoy llega el motor de arranque y ET programara la instalacion</t>
  </si>
  <si>
    <t>ET comenta que se activo el lunes 13/04/2026</t>
  </si>
  <si>
    <t>CV-05</t>
  </si>
  <si>
    <t>BC comenta que esta en espera de paqueteria ya que se retrazo</t>
  </si>
  <si>
    <t>BC comenta que se esta en espera de la herramienta para la extraccion de los capuchones</t>
  </si>
  <si>
    <t>BC comenta que se pidio la bomba de transferencia y en espera de que llegue</t>
  </si>
  <si>
    <t>ET comenta que ya se termino la reparacion de los inyectores solo en espera del servicio</t>
  </si>
  <si>
    <t>PI-01</t>
  </si>
  <si>
    <t>CAMION PIPA</t>
  </si>
  <si>
    <t>5,000 LTS</t>
  </si>
  <si>
    <t>JONATHAN GUTIERREZ</t>
  </si>
  <si>
    <t>BC comenta que por falta de pago no a podido suministrar el material. ET comenta que se esta cotizando tanque de 10,000 lts para esta unidad</t>
  </si>
  <si>
    <t>ET comenta que el proceso de pintura se lleva un avance del 50%</t>
  </si>
  <si>
    <t>PI-02</t>
  </si>
  <si>
    <t>PINTURA</t>
  </si>
  <si>
    <t>ET comenta que se esta pintando, al igual se esta cotizando tanque de 10,000 lts para esta unidad</t>
  </si>
  <si>
    <t>ET comenta que ya quedo listo el rompeolas, en proceso de pintura</t>
  </si>
  <si>
    <t>PI-03</t>
  </si>
  <si>
    <t>14,000 LTS</t>
  </si>
  <si>
    <t>ET comenta que el diferencial ya se esta instalando y en la reparacion general se cuenta con un avance del 30%</t>
  </si>
  <si>
    <t>ET comenta que el diferencial ya se esta instalando y en la reparacion general se cuenta con un avance del 70%</t>
  </si>
  <si>
    <t>ET comenta que ya se tiene terminada la reparacion, solo se esta en espera de que llegue el sistema de riego</t>
  </si>
  <si>
    <t>ET comenta que ya se activo el miercoles 04/02/2026 solo pendiente pintura</t>
  </si>
  <si>
    <t>PI-04</t>
  </si>
  <si>
    <t>ET comenta que ya se cuenta con cotizacion solo en espera de pago ($8000 dlls) se metera en programacion</t>
  </si>
  <si>
    <t>ET comenta que ya se instalo el motor, solo en espera de sistema de riego y pintura</t>
  </si>
  <si>
    <t>BC comenta que por falta de pago no a podido suministrar el material</t>
  </si>
  <si>
    <t>ET comenta que se le hara cambio de cabina por una de las mulitas.</t>
  </si>
  <si>
    <t>PI-05</t>
  </si>
  <si>
    <t>20,000 LTS</t>
  </si>
  <si>
    <t>CARROCERIA Y PINTURA</t>
  </si>
  <si>
    <t>ET comenta que se arreglaron frenos y carroceria de la volcadura, hoy se encuentra en taller externo de muelles y falta faro frontal y direccional.</t>
  </si>
  <si>
    <t>PI-06</t>
  </si>
  <si>
    <t>MARIO LOERA</t>
  </si>
  <si>
    <t>PULMON DE AIRE</t>
  </si>
  <si>
    <t>ET comenta que ya se reparo el chasis quebrado y solo se esta reajustando todo.</t>
  </si>
  <si>
    <t>ET comenta que ya se activo miercoles</t>
  </si>
  <si>
    <t>PI-07</t>
  </si>
  <si>
    <t>17,000 LTS</t>
  </si>
  <si>
    <t>SISTEMA DE RIEGO, TAMBORES, BALATAS Y LLANTAS</t>
  </si>
  <si>
    <t>ET comenta que ya secontaba con el material pero se utilizo para activar otros equipos como las tornapipas.</t>
  </si>
  <si>
    <t>BC comenta que ya se tiene de nuevo en programacion de pago.</t>
  </si>
  <si>
    <t>BC comenta que por falta de pago no a podido suministrar el material (tambores, balatas y llantas)</t>
  </si>
  <si>
    <t>PI-08</t>
  </si>
  <si>
    <t>HERIBERTO TERRAZAS JR</t>
  </si>
  <si>
    <t>BC comenta que se tiene en programacion en espera de pago</t>
  </si>
  <si>
    <t>ET comenta que el ECM ya quedo instalado, solo en espera del sistema de riego</t>
  </si>
  <si>
    <t>ET comenta que el martes se pago al proveedor, en espera del suministro</t>
  </si>
  <si>
    <t>ET comenta que hace falta por suministrar 2 aspersores y 3 valvulas, llego un 70% de lo solicitado. KG comenta que revisara con el proveedor el faltante</t>
  </si>
  <si>
    <t>ET comenta que ya llego el resto del material solicitado. Se programa instalacion. Avance 80% para su entrega</t>
  </si>
  <si>
    <t>PI-09</t>
  </si>
  <si>
    <t>10,000 LTS</t>
  </si>
  <si>
    <t>ERNESTO LOERA</t>
  </si>
  <si>
    <t>ET comenta que esta en proceso de armado para sacar a prueba, se hizo estandar.</t>
  </si>
  <si>
    <t>ET comenta que se activo desde el viernes reparacion general 90% (en espera de bomba, flecha y todo el sistema de riego)</t>
  </si>
  <si>
    <t>ET comenta que ya se instalo el sistema de riego solo en espera de la bomba y flecha</t>
  </si>
  <si>
    <t>PI-10</t>
  </si>
  <si>
    <t>CMX-01</t>
  </si>
  <si>
    <t>PLANTA DE CONCRETO MOVIL</t>
  </si>
  <si>
    <t>BC-01</t>
  </si>
  <si>
    <t>BOMBA DE CONCRETO</t>
  </si>
  <si>
    <t>CRC-03</t>
  </si>
  <si>
    <t>CAMION REVOLVEDOR</t>
  </si>
  <si>
    <t>7 MTS</t>
  </si>
  <si>
    <t>CRC-04</t>
  </si>
  <si>
    <t>PALANCA DE CAMBIOS</t>
  </si>
  <si>
    <t>CRC-05</t>
  </si>
  <si>
    <t>TC-01</t>
  </si>
  <si>
    <t>TRACTOCAMION</t>
  </si>
  <si>
    <t>T2000</t>
  </si>
  <si>
    <t>CARLOS VALENCIA</t>
  </si>
  <si>
    <t>TC-02</t>
  </si>
  <si>
    <t>TRANSTAR</t>
  </si>
  <si>
    <t>ECM, FLECHA, ARNES, FOCOS, TAPICERIA</t>
  </si>
  <si>
    <t>ET comenta que ya se tiene cotizado solo en espera de pago. Se tendra que recotizar por el tiempo que ya a transcurrido.</t>
  </si>
  <si>
    <t>ET comenta que esta en espera del ECM</t>
  </si>
  <si>
    <t>BC comenta que ya se tiene la cotizacion del ECM y se metera a programacion de pago</t>
  </si>
  <si>
    <t>SR comenta esta semana se ingresara a la programacion</t>
  </si>
  <si>
    <t>SV comenta que mandara a Mauricio con SR para hacer listado nuevamente y darle seguimiento</t>
  </si>
  <si>
    <t>ET comenta que ya no es necesario el ECM ya que se habilitara de una de las mulitas que llegaron.</t>
  </si>
  <si>
    <t>TC-03</t>
  </si>
  <si>
    <t>MACK</t>
  </si>
  <si>
    <t>ET comenta que por otras prioridades no se a atendido</t>
  </si>
  <si>
    <t>ET comenta que se habilitara de una de las mulitas que llegaron.</t>
  </si>
  <si>
    <t>TC-04</t>
  </si>
  <si>
    <t>CASCADIA</t>
  </si>
  <si>
    <t>RICARDO PUSIAN</t>
  </si>
  <si>
    <t>BC comenta que hoy se suministra y ET programa su instalacion</t>
  </si>
  <si>
    <t>TC-05</t>
  </si>
  <si>
    <t>MULITA</t>
  </si>
  <si>
    <t>TC-06</t>
  </si>
  <si>
    <t>INTERNATIONAL</t>
  </si>
  <si>
    <t>MARIMBA</t>
  </si>
  <si>
    <t>MAURO YAÑEZ</t>
  </si>
  <si>
    <t>TM-02</t>
  </si>
  <si>
    <t>PETERBILT</t>
  </si>
  <si>
    <t>ENSENADA</t>
  </si>
  <si>
    <t>DETENIDA</t>
  </si>
  <si>
    <t>KENWORTH</t>
  </si>
  <si>
    <t>ANTONIO OROZCO</t>
  </si>
  <si>
    <t>TM-04</t>
  </si>
  <si>
    <t>CABEZAL DE AIRE DE MOTOR</t>
  </si>
  <si>
    <t>TM-05</t>
  </si>
  <si>
    <t>TEODORO TORRES</t>
  </si>
  <si>
    <t>ET comenta que esta en espera de todo el equipo para despachar insumos, ya esta solicitado y BC comenta que esta en espera de pago</t>
  </si>
  <si>
    <t>BC comenta que ya se encuentra lo solicitado en almacen y ET programa su instalacion</t>
  </si>
  <si>
    <t>ET comenta que 2 pistolas de aceite no funcionaron y la pistola de grasa no tiene como sujetarla, SR comenta que hara el cambio con el proveedor</t>
  </si>
  <si>
    <t>SR comenta que las pistolas son compradas en USA y esta viendo el tema del cambio, sin embargo ya las tiene cotizadas aquí mismo y queda en espera de autorizacion por parte de BC para la combra</t>
  </si>
  <si>
    <t>ET comenta que se activo ayer</t>
  </si>
  <si>
    <t>TM-06</t>
  </si>
  <si>
    <t>BC comenta que para el 22 de abril nos suministra el material para despachar insumos</t>
  </si>
  <si>
    <t>SR comenta que tiene la cotizacion de todo y esta en espera de autorizacion de BC para la compra</t>
  </si>
  <si>
    <t>GR-01</t>
  </si>
  <si>
    <t>GRUA</t>
  </si>
  <si>
    <t>ROJA</t>
  </si>
  <si>
    <t>FMC LINK-BELT</t>
  </si>
  <si>
    <t>JORGE MAYORQUIN</t>
  </si>
  <si>
    <t>ET comenta que esta en espera de suministro de los sellos de los cilindros maestros</t>
  </si>
  <si>
    <t>ET comenta que se programa al llantero para revision de calipers</t>
  </si>
  <si>
    <t>ET comenta que solo esta en espera de suministro de aceite hidraulico por falta de pago</t>
  </si>
  <si>
    <t>ET comenta que sigue en espera de aceite hidraulico ya que el que han suministrado se a usado en equipos en operación</t>
  </si>
  <si>
    <t>GR-02</t>
  </si>
  <si>
    <t>GRUA TITAN</t>
  </si>
  <si>
    <t>FORD</t>
  </si>
  <si>
    <t>CABLE</t>
  </si>
  <si>
    <t>ET comenta que se le colocara cabina de una de las mulitas que llegaron</t>
  </si>
  <si>
    <t>CGP-01</t>
  </si>
  <si>
    <t>CAMION GRUA PERFORADOR</t>
  </si>
  <si>
    <t>TEREX</t>
  </si>
  <si>
    <t>VILLA PARAISO</t>
  </si>
  <si>
    <t>JOAN VIERA</t>
  </si>
  <si>
    <t>BC comenta que el motor aun se encuentra en trabajo de torno</t>
  </si>
  <si>
    <t>BC comenta que el torno no trabajo en semana santa y mañana nos da noticias</t>
  </si>
  <si>
    <t>ET comenta que salio dañado el chicote de la perforadora y se solicito</t>
  </si>
  <si>
    <t>SR comenta que ya se tienen ubicadas las partes para el motor hidraulico en TDR pero no hay credito para liberarlas</t>
  </si>
  <si>
    <t>BAR-01</t>
  </si>
  <si>
    <t>BARREDORA</t>
  </si>
  <si>
    <t>ET comenta que no se atacado por que han salido mas prioridades.</t>
  </si>
  <si>
    <t>BC comenta que se envio el motor al proveedor para ver si tiene reparacion o se pide uno nuevo</t>
  </si>
  <si>
    <t>BC comenta que esta en reparacion la bomba</t>
  </si>
  <si>
    <t>BC comenta que falta una valvula para la reparacion</t>
  </si>
  <si>
    <t>SR comenta que sigue en busca de la valvula</t>
  </si>
  <si>
    <t>TA-01</t>
  </si>
  <si>
    <t>TANQUE DE AGUA</t>
  </si>
  <si>
    <t>NEGRO</t>
  </si>
  <si>
    <t>30,000 LTS</t>
  </si>
  <si>
    <t>TA-02</t>
  </si>
  <si>
    <t>BLANCO</t>
  </si>
  <si>
    <t>25,000 LTS</t>
  </si>
  <si>
    <t>LLANTAS Y DETALLES DE SOLDADURA</t>
  </si>
  <si>
    <t>ET comenta que por el momento no se esta trabajando en el, ya que se tiene de prioridad el TA03 Y el TA04, tampoco se tiene requisicion por no ser prioritario en la operación actual.</t>
  </si>
  <si>
    <t>ET comenta que se movio a taller de costa dorada para empezar con su reparacion</t>
  </si>
  <si>
    <t>TA-03</t>
  </si>
  <si>
    <t>TANQUE DE AGUA ALUMINIO</t>
  </si>
  <si>
    <t>ET comenta que ya se termino con trabajos de soldadura, solo en proceso de armado.</t>
  </si>
  <si>
    <t>TA-04</t>
  </si>
  <si>
    <t>45,000 LTS</t>
  </si>
  <si>
    <t>CM-01</t>
  </si>
  <si>
    <t>CAMA BAJA</t>
  </si>
  <si>
    <t>AMARILLA</t>
  </si>
  <si>
    <t>CM-02</t>
  </si>
  <si>
    <t>AZUL</t>
  </si>
  <si>
    <t>WITZCO</t>
  </si>
  <si>
    <t>CM-03</t>
  </si>
  <si>
    <t>CM-04</t>
  </si>
  <si>
    <t>JEEP</t>
  </si>
  <si>
    <t>DOLLY</t>
  </si>
  <si>
    <t>FRENOS, BUJES, BALATAS Y SOLDADURA BALANCIN, FALTA SACAR COSTOS</t>
  </si>
  <si>
    <t>BC comenta que no se a atacado ya que han salido otras prioridades.</t>
  </si>
  <si>
    <t xml:space="preserve">ET comenta que hoy se entrega nuevamente listado de refacciones </t>
  </si>
  <si>
    <t>ET comenta que ya se hizo entrega de listado, se suministro cableado, en espera de focos, cable 7 hilos y tablones. SR comenta que le dara seguimiento</t>
  </si>
  <si>
    <t>SR comenta que se entrego todo lo solicitado solo queda pendiente los tablones</t>
  </si>
  <si>
    <t>SR comenta que se subio a programacion de pago los tablones</t>
  </si>
  <si>
    <t>MB-01</t>
  </si>
  <si>
    <t>MOTOBOMBA</t>
  </si>
  <si>
    <t>PERKIN</t>
  </si>
  <si>
    <t>LUIS ORTEGA</t>
  </si>
  <si>
    <t>MB-02</t>
  </si>
  <si>
    <t>MB-03</t>
  </si>
  <si>
    <t>COPLE PARA BANDA</t>
  </si>
  <si>
    <t>CL-01</t>
  </si>
  <si>
    <t>CAMION DE LAVADO</t>
  </si>
  <si>
    <t>TORNILLERIA DE ACCESORIOS DE MOTOR, FLECHA DE DIFERENCIAL, CILINDRO MAESTRO DE CLUTCH, 1 RIN, 1 LLANTA, TAPICERIA Y PINTURA</t>
  </si>
  <si>
    <t>ET comenta que no se a atacado por que han salido otras prioridades.</t>
  </si>
  <si>
    <t>ET comenta que se colocara cabina de GR-02</t>
  </si>
  <si>
    <t>HT-01</t>
  </si>
  <si>
    <t>HIDROTRACK</t>
  </si>
  <si>
    <t>SANDVIK</t>
  </si>
  <si>
    <t>DC700</t>
  </si>
  <si>
    <t>SAMUEL CHOLICO</t>
  </si>
  <si>
    <t>RCR-01</t>
  </si>
  <si>
    <t>CRIBA</t>
  </si>
  <si>
    <t>EXTEC</t>
  </si>
  <si>
    <t>2 CAMAS</t>
  </si>
  <si>
    <t>RESUMEN ACTUALIZADO AL 01/07/2026</t>
  </si>
  <si>
    <t>EQUIPO</t>
  </si>
  <si>
    <t>C/OPERADOR</t>
  </si>
  <si>
    <t>S/OPERADOR</t>
  </si>
  <si>
    <t xml:space="preserve">TRACTOR </t>
  </si>
  <si>
    <t>BOMBA TELESCOPICA</t>
  </si>
  <si>
    <t xml:space="preserve">CAMION REVOLVEDOR </t>
  </si>
  <si>
    <t>SINIESTRO</t>
  </si>
  <si>
    <t>REP. GRANDE</t>
  </si>
  <si>
    <t>REP. SENCILLA</t>
  </si>
  <si>
    <t>ASISTENTES</t>
  </si>
  <si>
    <t>NOMBRE</t>
  </si>
  <si>
    <t>PUESTO</t>
  </si>
  <si>
    <t>FIRMA</t>
  </si>
  <si>
    <t>KARLA GARCIA</t>
  </si>
  <si>
    <t>AUX DE COMPRAS</t>
  </si>
  <si>
    <t>COSTO HAWTHORNE (USD)</t>
  </si>
  <si>
    <t>JUEGO DE SELLOS</t>
  </si>
  <si>
    <t xml:space="preserve">RETEN
</t>
  </si>
  <si>
    <t>CONO DE COJINETE</t>
  </si>
  <si>
    <t>TAZA DE COJINETE</t>
  </si>
  <si>
    <t>EMPAQUETADURA</t>
  </si>
  <si>
    <t>2086090 / 6023152</t>
  </si>
  <si>
    <t>CONTROL GP</t>
  </si>
  <si>
    <t>1-4</t>
  </si>
  <si>
    <t>QT-08-431235</t>
  </si>
  <si>
    <t>PEDIDO POR BENJAMIN EN HAWTHORNE</t>
  </si>
  <si>
    <t>TUERCA</t>
  </si>
  <si>
    <t>RODAMIENTO</t>
  </si>
  <si>
    <t>BALERO</t>
  </si>
  <si>
    <t>C.D</t>
  </si>
  <si>
    <t>1-2</t>
  </si>
  <si>
    <t>5P9504 / 1J2860</t>
  </si>
  <si>
    <t>5P9505 / 1J4757</t>
  </si>
  <si>
    <t>3-5</t>
  </si>
  <si>
    <t>SE PASA A BENJAMIN PARA DECISION DE COMPRA</t>
  </si>
  <si>
    <t>QT-08-431494</t>
  </si>
  <si>
    <t>COTIZACION ENTREGADA A BENJAMIN 06-07-26</t>
  </si>
  <si>
    <t>Junta de 0,8 mm de espesor para conductos de refrigeración del motor</t>
  </si>
  <si>
    <t>COMPRESOR</t>
  </si>
  <si>
    <t>0R2901 / 7E7739</t>
  </si>
  <si>
    <t>JUNTA DE MONTAJE</t>
  </si>
  <si>
    <t>REVISANDO CON BENJA SI LO PIDIO A PROVEEDOR</t>
  </si>
  <si>
    <t>5P0599</t>
  </si>
  <si>
    <t>5P1270</t>
  </si>
  <si>
    <t>MANGUERA</t>
  </si>
  <si>
    <t>Cojinete de manguito con diámetro exterior de 192,4 mm</t>
  </si>
  <si>
    <t>BUJE</t>
  </si>
  <si>
    <t>Perno de cabeza hexagonal de 3/8"-16 x 2 3/4"</t>
  </si>
  <si>
    <t>Acoplamiento de codo de escape de 52 mm de espesor</t>
  </si>
  <si>
    <t>Junta de cárter de aceite de 0,8 mm de grosor</t>
  </si>
  <si>
    <t>Tuerca de seguridad cónica de 3/8"-16</t>
  </si>
  <si>
    <t>40mm Cylinder Head Fuel Nozzle Adapter</t>
  </si>
  <si>
    <t>Reman Engine Oil Pump</t>
  </si>
  <si>
    <t>Guía de la varilla de nivel de aceite</t>
  </si>
  <si>
    <t>9-14</t>
  </si>
  <si>
    <t>sellos</t>
  </si>
  <si>
    <t>7C8388 / 2W0521</t>
  </si>
  <si>
    <t>Indicador de varilla</t>
  </si>
  <si>
    <t> Bomba de transferencia de combustible Cat® Reman 3408/3412</t>
  </si>
  <si>
    <t>CD</t>
  </si>
  <si>
    <t>BOMBA DE CEBADO</t>
  </si>
  <si>
    <t>ADAPTADOR DE TUBO DE AIRE</t>
  </si>
  <si>
    <t>Pinza para el tubo del sillín</t>
  </si>
  <si>
    <t>Escudo del múltiple de escape de 5 mm de espesor</t>
  </si>
  <si>
    <t>Protector de material aislante</t>
  </si>
  <si>
    <t>Empaquetadura del turbocompresor Cat® de 1,92 mm de grosor</t>
  </si>
  <si>
    <t>Kit de sellos de la bomba de engranajes</t>
  </si>
  <si>
    <t>Empaquetadura de cámara de culata de cilindro de 4,8 mm de grosor</t>
  </si>
  <si>
    <t>Sello de cinta del motor</t>
  </si>
  <si>
    <t>Junta Tórica de Diámetro Interior de 53,64 mm</t>
  </si>
  <si>
    <t>FILTRO P550115</t>
  </si>
  <si>
    <t xml:space="preserve">FILTRO DE AIRE   </t>
  </si>
  <si>
    <t>* Las columnas 'EN MXN' se calculan automáticamente multiplicando el precio USD por el tipo de cambio capturado. Si no hay tipo de cambio o no hay costo USD, aparece '—'.</t>
  </si>
  <si>
    <t>0330695</t>
  </si>
  <si>
    <t>4M5283</t>
  </si>
  <si>
    <t xml:space="preserve">CORREA </t>
  </si>
  <si>
    <t>ARANDELA</t>
  </si>
  <si>
    <t>SCREW FLAT</t>
  </si>
  <si>
    <t>TORNILLO</t>
  </si>
  <si>
    <t>BISAGRA</t>
  </si>
  <si>
    <t xml:space="preserve">PERNO </t>
  </si>
  <si>
    <t>INSTALACION DE BISAGRAS PARA PUERTA DE CABINA</t>
  </si>
  <si>
    <t xml:space="preserve">MANGUERA </t>
  </si>
  <si>
    <t>2470272</t>
  </si>
  <si>
    <t xml:space="preserve">MEDIDOR DE NIVEL </t>
  </si>
  <si>
    <t>MEDIDOR DE NIVEL</t>
  </si>
  <si>
    <t>Costo total MATCO
(MXN s/IVA)</t>
  </si>
  <si>
    <t>Costo total HAWTHORNE
(USD)</t>
  </si>
  <si>
    <t>Costo total CTP
(USD)</t>
  </si>
  <si>
    <t xml:space="preserve">TUERCA </t>
  </si>
  <si>
    <t>5K1770</t>
  </si>
  <si>
    <t>2H3928</t>
  </si>
  <si>
    <t>1P4110</t>
  </si>
  <si>
    <t>9S8789</t>
  </si>
  <si>
    <t>9P4251</t>
  </si>
  <si>
    <t>9M6193</t>
  </si>
  <si>
    <t>RN0R5011</t>
  </si>
  <si>
    <t>CARGO REMAN</t>
  </si>
  <si>
    <t>N0R5016</t>
  </si>
  <si>
    <t>4M9592</t>
  </si>
  <si>
    <t>5B1952</t>
  </si>
  <si>
    <t>4S8724</t>
  </si>
  <si>
    <t>3892007</t>
  </si>
  <si>
    <t>8E8300</t>
  </si>
  <si>
    <t>8E8307</t>
  </si>
  <si>
    <t>9W4662</t>
  </si>
  <si>
    <t>2157639</t>
  </si>
  <si>
    <t>6V7477</t>
  </si>
  <si>
    <t>8C5378</t>
  </si>
  <si>
    <t>159799</t>
  </si>
  <si>
    <t>2K2939</t>
  </si>
  <si>
    <t>4F7390</t>
  </si>
  <si>
    <t>4F9029</t>
  </si>
  <si>
    <t>5D7523</t>
  </si>
  <si>
    <t>7G1594</t>
  </si>
  <si>
    <t>7G6373</t>
  </si>
  <si>
    <t>9H3360</t>
  </si>
  <si>
    <t>8C5383</t>
  </si>
  <si>
    <t>1J9671</t>
  </si>
  <si>
    <t>3308196</t>
  </si>
  <si>
    <t>3464897</t>
  </si>
  <si>
    <t>3618205</t>
  </si>
  <si>
    <t>4511493</t>
  </si>
  <si>
    <t>5P6718</t>
  </si>
  <si>
    <t>6T5133</t>
  </si>
  <si>
    <t>6V3683</t>
  </si>
  <si>
    <t>8M4988</t>
  </si>
  <si>
    <t>8M5127</t>
  </si>
  <si>
    <t>8M5250</t>
  </si>
  <si>
    <t>8M8283</t>
  </si>
  <si>
    <t>8M8515</t>
  </si>
  <si>
    <t>8M8544</t>
  </si>
  <si>
    <t>0619458</t>
  </si>
  <si>
    <t>2M1309</t>
  </si>
  <si>
    <t>3F5792</t>
  </si>
  <si>
    <t>3J0634</t>
  </si>
  <si>
    <t>6D1004</t>
  </si>
  <si>
    <t>6F0711</t>
  </si>
  <si>
    <t>6T5612</t>
  </si>
  <si>
    <t>6T5613</t>
  </si>
  <si>
    <t>8T1643</t>
  </si>
  <si>
    <t>8T4876</t>
  </si>
  <si>
    <t>8T4877</t>
  </si>
  <si>
    <t>1S6481</t>
  </si>
  <si>
    <t>1T1356</t>
  </si>
  <si>
    <t>1T1597</t>
  </si>
  <si>
    <t>1T1599</t>
  </si>
  <si>
    <t>3S1279</t>
  </si>
  <si>
    <t>8T4878</t>
  </si>
  <si>
    <t>5B5947</t>
  </si>
  <si>
    <t>8M4431</t>
  </si>
  <si>
    <t>8M4987</t>
  </si>
  <si>
    <t>8M5010</t>
  </si>
  <si>
    <t>8M5254</t>
  </si>
  <si>
    <t>8M8281</t>
  </si>
  <si>
    <t>2131304</t>
  </si>
  <si>
    <t>2S2978</t>
  </si>
  <si>
    <t>3H1816</t>
  </si>
  <si>
    <t>9M1975</t>
  </si>
  <si>
    <t>1T0651</t>
  </si>
  <si>
    <t>1T1078</t>
  </si>
  <si>
    <t>1T1079</t>
  </si>
  <si>
    <t>1T0767</t>
  </si>
  <si>
    <t>1T0649</t>
  </si>
  <si>
    <t>1T0648</t>
  </si>
  <si>
    <t>1T1347</t>
  </si>
  <si>
    <t>1T0657</t>
  </si>
  <si>
    <t>1T0901</t>
  </si>
  <si>
    <t>1T0680</t>
  </si>
  <si>
    <t>1T0679</t>
  </si>
  <si>
    <t>1T0662</t>
  </si>
  <si>
    <t>1T0665</t>
  </si>
  <si>
    <t>1T0762</t>
  </si>
  <si>
    <t>1T0647</t>
  </si>
  <si>
    <t>1T0686</t>
  </si>
  <si>
    <t>1T0655</t>
  </si>
  <si>
    <t>1495986</t>
  </si>
  <si>
    <t>8B7789</t>
  </si>
  <si>
    <t>ELEMENT AS</t>
  </si>
  <si>
    <t>JUNTA</t>
  </si>
  <si>
    <t>JUNTAS</t>
  </si>
  <si>
    <t>CILINDRO</t>
  </si>
  <si>
    <t>PLATE CLUTCH</t>
  </si>
  <si>
    <t>CARGO REMANENTE RN0R5011</t>
  </si>
  <si>
    <t>CARGO REMANENTE N0R5016</t>
  </si>
  <si>
    <t>DISC-FRICTIO</t>
  </si>
  <si>
    <t>ARANDELA P</t>
  </si>
  <si>
    <t>BEARING KIT</t>
  </si>
  <si>
    <t>KIT GASKET</t>
  </si>
  <si>
    <t>JUNTA CAUC</t>
  </si>
  <si>
    <t>SEAL-O-RING</t>
  </si>
  <si>
    <t>SEAL-FUEL SY</t>
  </si>
  <si>
    <t>EMPAQUE HU</t>
  </si>
  <si>
    <t>RETEN</t>
  </si>
  <si>
    <t>ESPACIADOR</t>
  </si>
  <si>
    <t>EMPAQUES</t>
  </si>
  <si>
    <t>GASKET</t>
  </si>
  <si>
    <t>ANILLO</t>
  </si>
  <si>
    <t>GASKET KIT</t>
  </si>
  <si>
    <t>MAZA</t>
  </si>
  <si>
    <t>PERNOS</t>
  </si>
  <si>
    <t>PLACA</t>
  </si>
  <si>
    <t>IMPULSOR</t>
  </si>
  <si>
    <t>PASADORES</t>
  </si>
  <si>
    <t>TURBINA</t>
  </si>
  <si>
    <t>PISTA</t>
  </si>
  <si>
    <t>STATOR-CONVE</t>
  </si>
  <si>
    <t>CANDADO</t>
  </si>
  <si>
    <t>5-7</t>
  </si>
  <si>
    <t>QT-08-431641</t>
  </si>
  <si>
    <t>PARTES PARA REPARACION DE TRANSMISION</t>
  </si>
  <si>
    <t>REP 431641</t>
  </si>
  <si>
    <t>DÍAS ENT.
(APROX.)</t>
  </si>
  <si>
    <t>QT-08-431651</t>
  </si>
  <si>
    <t>PEDIDO CANCELADO, PASADO EL 27-06</t>
  </si>
  <si>
    <t>7G3435</t>
  </si>
  <si>
    <t>ENGRANE</t>
  </si>
  <si>
    <t>QT-08-431699</t>
  </si>
  <si>
    <t>Costo equivalente en MXN</t>
  </si>
  <si>
    <t>Proveedor</t>
  </si>
  <si>
    <t>Costo 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</si>
</sst>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dd/mm/yyyy;@"/>
    <numFmt numFmtId="166" formatCode="dd/mm/yy;@"/>
    <numFmt numFmtId="167" formatCode="\$#,##0.00"/>
    <numFmt numFmtId="169" formatCode="&quot;$&quot;#,##0.00"/>
    <numFmt numFmtId="170" formatCode="&quot;$&quot;#,##0.00&quot; MXN/USD&quot;"/>
    <numFmt numFmtId="171" formatCode="&quot;$&quot;#,##0.00&quot; USD&quot;"/>
    <numFmt numFmtId="172" formatCode="_-[$$-80A]* #,##0.00_-;\-[$$-80A]* #,##0.00_-;_-[$$-80A]* &quot;-&quot;??_-;_-@_-"/>
    <numFmt numFmtId="173" formatCode="&quot;$&quot;#,##0.00\ &quot;USD&quot;"/>
    <numFmt numFmtId="174" formatCode="dd/mm/yyyy"/>
  </numFmts>
  <fonts count="80" x14ac:knownFonts="1">
    <font>
      <sz val="11"/>
      <color theme="1"/>
      <name val="Aptos Narrow"/>
      <family val="2"/>
      <scheme val="minor"/>
    </font>
    <font>
      <sz val="11"/>
      <color theme="0"/>
      <name val="Abadi"/>
      <family val="2"/>
    </font>
    <font>
      <sz val="11"/>
      <name val="Abadi"/>
      <family val="2"/>
    </font>
    <font>
      <sz val="10"/>
      <color theme="1"/>
      <name val="Abadi"/>
      <family val="2"/>
    </font>
    <font>
      <sz val="10"/>
      <color rgb="FF006100"/>
      <name val="Abadi"/>
      <family val="2"/>
    </font>
    <font>
      <sz val="11"/>
      <color theme="1"/>
      <name val="Abadi"/>
      <family val="2"/>
    </font>
    <font>
      <sz val="10"/>
      <color rgb="FF9C5700"/>
      <name val="Abadi"/>
      <family val="2"/>
    </font>
    <font>
      <b/>
      <sz val="10"/>
      <color theme="1"/>
      <name val="Abadi"/>
      <family val="2"/>
    </font>
    <font>
      <sz val="10"/>
      <color rgb="FF9C0006"/>
      <name val="Abadi"/>
      <family val="2"/>
    </font>
    <font>
      <sz val="10"/>
      <color rgb="FFF2F2F2"/>
      <name val="Abadi"/>
      <family val="2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61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B1F23"/>
      <name val="Arial"/>
      <family val="2"/>
    </font>
    <font>
      <b/>
      <sz val="13"/>
      <color rgb="FFFFFFFF"/>
      <name val="Arial"/>
      <family val="2"/>
    </font>
    <font>
      <b/>
      <sz val="11"/>
      <color rgb="FF7D6608"/>
      <name val="Arial"/>
      <family val="2"/>
    </font>
    <font>
      <i/>
      <sz val="8"/>
      <color rgb="FFB7950B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9"/>
      <color rgb="FF7D6608"/>
      <name val="Arial"/>
      <family val="2"/>
    </font>
    <font>
      <sz val="9"/>
      <color rgb="FFB7950B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AAAAAA"/>
      <name val="Arial"/>
      <family val="2"/>
    </font>
    <font>
      <b/>
      <sz val="20"/>
      <color rgb="FFFFFFFF"/>
      <name val="Aptos Narrow"/>
      <family val="2"/>
      <scheme val="minor"/>
    </font>
    <font>
      <sz val="11"/>
      <color rgb="FF888888"/>
      <name val="Aptos Narrow"/>
      <family val="2"/>
      <scheme val="minor"/>
    </font>
    <font>
      <b/>
      <sz val="14"/>
      <color rgb="FFFFD700"/>
      <name val="Aptos Narrow"/>
      <family val="2"/>
      <scheme val="minor"/>
    </font>
    <font>
      <sz val="9"/>
      <color rgb="FFAAAAAA"/>
      <name val="Aptos Narrow"/>
      <family val="2"/>
      <scheme val="minor"/>
    </font>
    <font>
      <b/>
      <sz val="28"/>
      <color rgb="FFFFFFFF"/>
      <name val="Aptos Narrow"/>
      <family val="2"/>
      <scheme val="minor"/>
    </font>
    <font>
      <sz val="9"/>
      <color rgb="FF666666"/>
      <name val="Aptos Narrow"/>
      <family val="2"/>
      <scheme val="minor"/>
    </font>
    <font>
      <b/>
      <sz val="28"/>
      <color rgb="FF28A745"/>
      <name val="Aptos Narrow"/>
      <family val="2"/>
      <scheme val="minor"/>
    </font>
    <font>
      <b/>
      <sz val="28"/>
      <color rgb="FFFFC107"/>
      <name val="Aptos Narrow"/>
      <family val="2"/>
      <scheme val="minor"/>
    </font>
    <font>
      <b/>
      <sz val="28"/>
      <color rgb="FF17A2B8"/>
      <name val="Aptos Narrow"/>
      <family val="2"/>
      <scheme val="minor"/>
    </font>
    <font>
      <b/>
      <sz val="28"/>
      <color rgb="FFDC3545"/>
      <name val="Aptos Narrow"/>
      <family val="2"/>
      <scheme val="minor"/>
    </font>
    <font>
      <b/>
      <sz val="28"/>
      <color rgb="FFFF8C00"/>
      <name val="Aptos Narrow"/>
      <family val="2"/>
      <scheme val="minor"/>
    </font>
    <font>
      <b/>
      <sz val="22"/>
      <color rgb="FF4A90D9"/>
      <name val="Aptos Narrow"/>
      <family val="2"/>
      <scheme val="minor"/>
    </font>
    <font>
      <b/>
      <sz val="22"/>
      <color rgb="FF28A745"/>
      <name val="Aptos Narrow"/>
      <family val="2"/>
      <scheme val="minor"/>
    </font>
    <font>
      <b/>
      <sz val="22"/>
      <color rgb="FFFF8C00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10"/>
      <color rgb="FFDC3545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22"/>
      <color rgb="FFDC3545"/>
      <name val="Aptos Narrow"/>
      <family val="2"/>
      <scheme val="minor"/>
    </font>
    <font>
      <b/>
      <sz val="22"/>
      <color rgb="FF17A2B8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i/>
      <sz val="9"/>
      <color rgb="FF666666"/>
      <name val="Arial"/>
      <family val="2"/>
    </font>
    <font>
      <b/>
      <sz val="9"/>
      <color rgb="FFFFFFFF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8"/>
      <color rgb="FF000000"/>
      <name val="Arial"/>
      <family val="2"/>
    </font>
    <font>
      <sz val="11"/>
      <color rgb="FF000000"/>
      <name val="Calibri"/>
      <family val="2"/>
      <charset val="1"/>
    </font>
    <font>
      <i/>
      <sz val="8"/>
      <color rgb="FF000000"/>
      <name val="Arial"/>
      <family val="2"/>
    </font>
    <font>
      <b/>
      <sz val="8"/>
      <color theme="0"/>
      <name val="Arial"/>
      <family val="2"/>
    </font>
    <font>
      <b/>
      <i/>
      <sz val="8"/>
      <color theme="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CC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rgb="FF1B1F23"/>
        <bgColor rgb="FF2E3840"/>
      </patternFill>
    </fill>
    <fill>
      <patternFill patternType="solid">
        <fgColor rgb="FFFFFFFF"/>
        <bgColor rgb="FFFDFEFE"/>
      </patternFill>
    </fill>
    <fill>
      <patternFill patternType="solid">
        <fgColor rgb="FFFFF2CC"/>
        <bgColor rgb="FFFDEBD0"/>
      </patternFill>
    </fill>
    <fill>
      <patternFill patternType="solid">
        <fgColor rgb="FF2C3E50"/>
        <bgColor rgb="FF2E3840"/>
      </patternFill>
    </fill>
    <fill>
      <patternFill patternType="solid">
        <fgColor rgb="FF1A5276"/>
        <bgColor rgb="FF2C3E50"/>
      </patternFill>
    </fill>
    <fill>
      <patternFill patternType="solid">
        <fgColor rgb="FF1A6B3A"/>
        <bgColor rgb="FF1A5276"/>
      </patternFill>
    </fill>
    <fill>
      <patternFill patternType="solid">
        <fgColor rgb="FF784212"/>
        <bgColor rgb="FF922B21"/>
      </patternFill>
    </fill>
    <fill>
      <patternFill patternType="solid">
        <fgColor rgb="FF1E1E1E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DFEFE"/>
        <bgColor indexed="64"/>
      </patternFill>
    </fill>
    <fill>
      <patternFill patternType="solid">
        <fgColor rgb="FFD5DBD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</fills>
  <borders count="8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C0006"/>
      </bottom>
      <diagonal/>
    </border>
    <border>
      <left style="medium">
        <color rgb="FFCCCCCC"/>
      </left>
      <right style="medium">
        <color rgb="FF9C0006"/>
      </right>
      <top style="medium">
        <color rgb="FFCCCCCC"/>
      </top>
      <bottom style="medium">
        <color rgb="FF9C000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thick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rgb="FFFFD966"/>
      </left>
      <right style="medium">
        <color rgb="FFFFD966"/>
      </right>
      <top style="medium">
        <color rgb="FFFFD966"/>
      </top>
      <bottom style="medium">
        <color rgb="FFFFD9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ck">
        <color rgb="FF4A90D9"/>
      </left>
      <right/>
      <top/>
      <bottom/>
      <diagonal/>
    </border>
    <border>
      <left style="thick">
        <color rgb="FF28A745"/>
      </left>
      <right/>
      <top/>
      <bottom/>
      <diagonal/>
    </border>
    <border>
      <left style="thick">
        <color rgb="FFFFC107"/>
      </left>
      <right/>
      <top/>
      <bottom/>
      <diagonal/>
    </border>
    <border>
      <left style="thick">
        <color rgb="FF17A2B8"/>
      </left>
      <right/>
      <top/>
      <bottom/>
      <diagonal/>
    </border>
    <border>
      <left style="thick">
        <color rgb="FFDC3545"/>
      </left>
      <right/>
      <top/>
      <bottom/>
      <diagonal/>
    </border>
    <border>
      <left style="thick">
        <color rgb="FFFF8C00"/>
      </left>
      <right/>
      <top/>
      <bottom/>
      <diagonal/>
    </border>
    <border>
      <left style="thick">
        <color rgb="FF6C757D"/>
      </left>
      <right/>
      <top/>
      <bottom/>
      <diagonal/>
    </border>
    <border>
      <left/>
      <right/>
      <top style="thin">
        <color rgb="FF444444"/>
      </top>
      <bottom/>
      <diagonal/>
    </border>
    <border>
      <left/>
      <right/>
      <top/>
      <bottom style="thin">
        <color rgb="FF444444"/>
      </bottom>
      <diagonal/>
    </border>
    <border>
      <left style="thin">
        <color rgb="FF444444"/>
      </left>
      <right/>
      <top style="thin">
        <color rgb="FF444444"/>
      </top>
      <bottom/>
      <diagonal/>
    </border>
    <border>
      <left style="thin">
        <color rgb="FF444444"/>
      </left>
      <right/>
      <top/>
      <bottom/>
      <diagonal/>
    </border>
    <border>
      <left style="thin">
        <color rgb="FF444444"/>
      </left>
      <right/>
      <top/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 style="thin">
        <color rgb="FF444444"/>
      </right>
      <top/>
      <bottom/>
      <diagonal/>
    </border>
    <border>
      <left/>
      <right style="thin">
        <color rgb="FF444444"/>
      </right>
      <top/>
      <bottom style="thin">
        <color rgb="FF444444"/>
      </bottom>
      <diagonal/>
    </border>
    <border>
      <left style="thick">
        <color rgb="FF28A745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9C000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 style="thin">
        <color rgb="FF7F7F7F"/>
      </top>
      <bottom style="thin">
        <color auto="1"/>
      </bottom>
      <diagonal/>
    </border>
  </borders>
  <cellStyleXfs count="5">
    <xf numFmtId="0" fontId="0" fillId="0" borderId="0"/>
    <xf numFmtId="0" fontId="11" fillId="5" borderId="0" applyNumberFormat="0" applyBorder="0" applyAlignment="0" applyProtection="0"/>
    <xf numFmtId="164" fontId="10" fillId="0" borderId="0" applyFont="0" applyFill="0" applyBorder="0" applyAlignment="0" applyProtection="0"/>
    <xf numFmtId="0" fontId="22" fillId="0" borderId="0"/>
    <xf numFmtId="44" fontId="10" fillId="0" borderId="0" applyFont="0" applyFill="0" applyBorder="0" applyAlignment="0" applyProtection="0"/>
  </cellStyleXfs>
  <cellXfs count="454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4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165" fontId="1" fillId="0" borderId="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3" fillId="0" borderId="9" xfId="0" applyFont="1" applyBorder="1"/>
    <xf numFmtId="164" fontId="3" fillId="0" borderId="9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164" fontId="5" fillId="0" borderId="0" xfId="0" applyNumberFormat="1" applyFont="1"/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/>
    </xf>
    <xf numFmtId="49" fontId="5" fillId="0" borderId="0" xfId="0" applyNumberFormat="1" applyFont="1"/>
    <xf numFmtId="0" fontId="12" fillId="0" borderId="0" xfId="0" applyFont="1"/>
    <xf numFmtId="0" fontId="12" fillId="8" borderId="0" xfId="0" applyFont="1" applyFill="1"/>
    <xf numFmtId="0" fontId="12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13" fillId="8" borderId="13" xfId="0" applyFont="1" applyFill="1" applyBorder="1" applyAlignment="1">
      <alignment horizontal="center"/>
    </xf>
    <xf numFmtId="0" fontId="13" fillId="8" borderId="13" xfId="0" applyFont="1" applyFill="1" applyBorder="1"/>
    <xf numFmtId="0" fontId="13" fillId="8" borderId="0" xfId="0" applyFont="1" applyFill="1" applyAlignment="1">
      <alignment horizontal="center"/>
    </xf>
    <xf numFmtId="0" fontId="13" fillId="8" borderId="0" xfId="0" applyFont="1" applyFill="1"/>
    <xf numFmtId="0" fontId="14" fillId="8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20" xfId="0" applyFont="1" applyBorder="1" applyAlignment="1">
      <alignment horizontal="center"/>
    </xf>
    <xf numFmtId="0" fontId="14" fillId="12" borderId="20" xfId="0" applyFont="1" applyFill="1" applyBorder="1" applyAlignment="1">
      <alignment horizontal="center"/>
    </xf>
    <xf numFmtId="0" fontId="14" fillId="13" borderId="20" xfId="0" applyFont="1" applyFill="1" applyBorder="1" applyAlignment="1">
      <alignment horizontal="center"/>
    </xf>
    <xf numFmtId="0" fontId="14" fillId="7" borderId="20" xfId="0" applyFont="1" applyFill="1" applyBorder="1" applyAlignment="1">
      <alignment horizontal="center"/>
    </xf>
    <xf numFmtId="0" fontId="13" fillId="8" borderId="21" xfId="0" applyFont="1" applyFill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/>
    <xf numFmtId="0" fontId="13" fillId="8" borderId="26" xfId="0" applyFont="1" applyFill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30" xfId="0" applyFont="1" applyBorder="1"/>
    <xf numFmtId="0" fontId="13" fillId="0" borderId="26" xfId="0" applyFont="1" applyBorder="1" applyAlignment="1">
      <alignment horizontal="center"/>
    </xf>
    <xf numFmtId="0" fontId="13" fillId="0" borderId="31" xfId="0" applyFont="1" applyBorder="1"/>
    <xf numFmtId="0" fontId="13" fillId="8" borderId="32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34" xfId="0" applyFont="1" applyBorder="1"/>
    <xf numFmtId="0" fontId="13" fillId="8" borderId="11" xfId="0" applyFont="1" applyFill="1" applyBorder="1" applyAlignment="1">
      <alignment horizontal="center"/>
    </xf>
    <xf numFmtId="0" fontId="13" fillId="8" borderId="33" xfId="0" applyFont="1" applyFill="1" applyBorder="1" applyAlignment="1">
      <alignment horizontal="center"/>
    </xf>
    <xf numFmtId="0" fontId="13" fillId="8" borderId="35" xfId="0" applyFont="1" applyFill="1" applyBorder="1" applyAlignment="1">
      <alignment horizontal="center"/>
    </xf>
    <xf numFmtId="0" fontId="13" fillId="8" borderId="36" xfId="0" applyFont="1" applyFill="1" applyBorder="1" applyAlignment="1">
      <alignment horizontal="center"/>
    </xf>
    <xf numFmtId="0" fontId="13" fillId="8" borderId="37" xfId="0" applyFont="1" applyFill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8" xfId="0" applyFont="1" applyBorder="1"/>
    <xf numFmtId="0" fontId="14" fillId="14" borderId="39" xfId="0" applyFont="1" applyFill="1" applyBorder="1" applyAlignment="1">
      <alignment horizontal="center"/>
    </xf>
    <xf numFmtId="0" fontId="15" fillId="15" borderId="39" xfId="1" applyFont="1" applyFill="1" applyBorder="1" applyAlignment="1">
      <alignment horizontal="center"/>
    </xf>
    <xf numFmtId="0" fontId="15" fillId="5" borderId="39" xfId="1" applyFont="1" applyBorder="1" applyAlignment="1">
      <alignment horizontal="center"/>
    </xf>
    <xf numFmtId="0" fontId="14" fillId="7" borderId="39" xfId="0" applyFont="1" applyFill="1" applyBorder="1" applyAlignment="1">
      <alignment horizontal="center"/>
    </xf>
    <xf numFmtId="0" fontId="13" fillId="8" borderId="0" xfId="0" applyFont="1" applyFill="1" applyAlignment="1">
      <alignment horizontal="left"/>
    </xf>
    <xf numFmtId="0" fontId="16" fillId="16" borderId="0" xfId="0" applyFont="1" applyFill="1" applyAlignment="1">
      <alignment horizontal="center"/>
    </xf>
    <xf numFmtId="0" fontId="16" fillId="16" borderId="0" xfId="0" applyFont="1" applyFill="1" applyAlignment="1">
      <alignment horizontal="center" vertical="center"/>
    </xf>
    <xf numFmtId="0" fontId="12" fillId="17" borderId="40" xfId="0" applyFont="1" applyFill="1" applyBorder="1"/>
    <xf numFmtId="0" fontId="12" fillId="17" borderId="41" xfId="0" applyFont="1" applyFill="1" applyBorder="1"/>
    <xf numFmtId="0" fontId="12" fillId="17" borderId="42" xfId="0" applyFont="1" applyFill="1" applyBorder="1"/>
    <xf numFmtId="0" fontId="12" fillId="18" borderId="43" xfId="0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17" fillId="8" borderId="44" xfId="0" applyFont="1" applyFill="1" applyBorder="1" applyAlignment="1">
      <alignment horizontal="center" vertical="center"/>
    </xf>
    <xf numFmtId="0" fontId="12" fillId="8" borderId="40" xfId="0" applyFont="1" applyFill="1" applyBorder="1"/>
    <xf numFmtId="0" fontId="12" fillId="8" borderId="41" xfId="0" applyFont="1" applyFill="1" applyBorder="1"/>
    <xf numFmtId="0" fontId="12" fillId="8" borderId="42" xfId="0" applyFont="1" applyFill="1" applyBorder="1"/>
    <xf numFmtId="0" fontId="18" fillId="8" borderId="44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8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14" fontId="12" fillId="19" borderId="0" xfId="0" applyNumberFormat="1" applyFont="1" applyFill="1" applyAlignment="1">
      <alignment horizontal="center" vertical="center"/>
    </xf>
    <xf numFmtId="0" fontId="12" fillId="19" borderId="0" xfId="0" applyFont="1" applyFill="1" applyAlignment="1">
      <alignment vertical="center"/>
    </xf>
    <xf numFmtId="14" fontId="12" fillId="19" borderId="0" xfId="0" applyNumberFormat="1" applyFont="1" applyFill="1" applyAlignment="1">
      <alignment horizontal="center" vertical="center" wrapText="1"/>
    </xf>
    <xf numFmtId="0" fontId="12" fillId="19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2" fillId="8" borderId="46" xfId="0" applyFont="1" applyFill="1" applyBorder="1" applyAlignment="1">
      <alignment horizontal="center" vertical="center"/>
    </xf>
    <xf numFmtId="0" fontId="12" fillId="14" borderId="42" xfId="0" applyFont="1" applyFill="1" applyBorder="1"/>
    <xf numFmtId="14" fontId="19" fillId="9" borderId="0" xfId="0" applyNumberFormat="1" applyFont="1" applyFill="1" applyAlignment="1">
      <alignment horizontal="left" vertical="center" wrapText="1"/>
    </xf>
    <xf numFmtId="0" fontId="20" fillId="12" borderId="44" xfId="0" applyFont="1" applyFill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8" borderId="40" xfId="0" applyFont="1" applyFill="1" applyBorder="1" applyAlignment="1">
      <alignment vertical="center"/>
    </xf>
    <xf numFmtId="0" fontId="12" fillId="8" borderId="41" xfId="0" applyFont="1" applyFill="1" applyBorder="1" applyAlignment="1">
      <alignment vertical="center"/>
    </xf>
    <xf numFmtId="0" fontId="12" fillId="14" borderId="42" xfId="0" applyFont="1" applyFill="1" applyBorder="1" applyAlignment="1">
      <alignment vertical="center"/>
    </xf>
    <xf numFmtId="0" fontId="19" fillId="7" borderId="0" xfId="0" applyFont="1" applyFill="1" applyAlignment="1">
      <alignment horizontal="left"/>
    </xf>
    <xf numFmtId="0" fontId="17" fillId="8" borderId="44" xfId="0" applyFont="1" applyFill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4" xfId="0" applyFont="1" applyBorder="1"/>
    <xf numFmtId="0" fontId="12" fillId="0" borderId="48" xfId="0" applyFont="1" applyBorder="1" applyAlignment="1">
      <alignment horizontal="center"/>
    </xf>
    <xf numFmtId="0" fontId="12" fillId="0" borderId="48" xfId="0" applyFont="1" applyBorder="1"/>
    <xf numFmtId="0" fontId="12" fillId="8" borderId="48" xfId="0" applyFont="1" applyFill="1" applyBorder="1" applyAlignment="1">
      <alignment horizontal="center"/>
    </xf>
    <xf numFmtId="0" fontId="12" fillId="0" borderId="47" xfId="0" applyFont="1" applyBorder="1" applyAlignment="1">
      <alignment vertical="center"/>
    </xf>
    <xf numFmtId="0" fontId="12" fillId="8" borderId="47" xfId="0" applyFont="1" applyFill="1" applyBorder="1" applyAlignment="1">
      <alignment horizontal="center" vertical="center"/>
    </xf>
    <xf numFmtId="0" fontId="12" fillId="0" borderId="44" xfId="0" applyFont="1" applyBorder="1" applyAlignment="1">
      <alignment vertical="center"/>
    </xf>
    <xf numFmtId="0" fontId="12" fillId="0" borderId="4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2" fillId="0" borderId="12" xfId="0" applyFont="1" applyBorder="1"/>
    <xf numFmtId="0" fontId="12" fillId="8" borderId="12" xfId="0" applyFont="1" applyFill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8" borderId="44" xfId="0" applyFont="1" applyFill="1" applyBorder="1" applyAlignment="1">
      <alignment horizontal="center"/>
    </xf>
    <xf numFmtId="14" fontId="12" fillId="0" borderId="44" xfId="0" applyNumberFormat="1" applyFont="1" applyBorder="1" applyAlignment="1">
      <alignment horizontal="center"/>
    </xf>
    <xf numFmtId="14" fontId="12" fillId="0" borderId="44" xfId="0" applyNumberFormat="1" applyFont="1" applyBorder="1"/>
    <xf numFmtId="0" fontId="12" fillId="0" borderId="47" xfId="0" applyFont="1" applyBorder="1"/>
    <xf numFmtId="0" fontId="12" fillId="8" borderId="47" xfId="0" applyFont="1" applyFill="1" applyBorder="1" applyAlignment="1">
      <alignment horizontal="center"/>
    </xf>
    <xf numFmtId="0" fontId="12" fillId="10" borderId="40" xfId="0" applyFont="1" applyFill="1" applyBorder="1"/>
    <xf numFmtId="0" fontId="12" fillId="10" borderId="41" xfId="0" applyFont="1" applyFill="1" applyBorder="1"/>
    <xf numFmtId="0" fontId="12" fillId="10" borderId="42" xfId="0" applyFont="1" applyFill="1" applyBorder="1"/>
    <xf numFmtId="0" fontId="21" fillId="10" borderId="45" xfId="0" applyFont="1" applyFill="1" applyBorder="1"/>
    <xf numFmtId="0" fontId="21" fillId="10" borderId="0" xfId="0" applyFont="1" applyFill="1" applyAlignment="1">
      <alignment horizontal="center"/>
    </xf>
    <xf numFmtId="0" fontId="12" fillId="0" borderId="48" xfId="0" applyFont="1" applyBorder="1" applyAlignment="1">
      <alignment horizontal="center" vertical="center"/>
    </xf>
    <xf numFmtId="0" fontId="12" fillId="18" borderId="45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2" fillId="0" borderId="48" xfId="0" applyFont="1" applyBorder="1" applyAlignment="1">
      <alignment horizontal="center" vertical="center" wrapText="1"/>
    </xf>
    <xf numFmtId="0" fontId="12" fillId="0" borderId="48" xfId="0" applyFont="1" applyBorder="1" applyAlignment="1">
      <alignment vertical="center"/>
    </xf>
    <xf numFmtId="14" fontId="12" fillId="0" borderId="47" xfId="0" applyNumberFormat="1" applyFont="1" applyBorder="1" applyAlignment="1">
      <alignment horizontal="center"/>
    </xf>
    <xf numFmtId="0" fontId="12" fillId="7" borderId="44" xfId="0" applyFont="1" applyFill="1" applyBorder="1"/>
    <xf numFmtId="0" fontId="12" fillId="8" borderId="49" xfId="0" applyFont="1" applyFill="1" applyBorder="1" applyAlignment="1">
      <alignment horizontal="center"/>
    </xf>
    <xf numFmtId="0" fontId="12" fillId="18" borderId="45" xfId="0" applyFont="1" applyFill="1" applyBorder="1" applyAlignment="1">
      <alignment horizontal="center"/>
    </xf>
    <xf numFmtId="0" fontId="12" fillId="9" borderId="44" xfId="0" applyFont="1" applyFill="1" applyBorder="1"/>
    <xf numFmtId="0" fontId="12" fillId="7" borderId="47" xfId="0" applyFont="1" applyFill="1" applyBorder="1"/>
    <xf numFmtId="0" fontId="18" fillId="8" borderId="44" xfId="0" applyFont="1" applyFill="1" applyBorder="1" applyAlignment="1">
      <alignment horizontal="center"/>
    </xf>
    <xf numFmtId="0" fontId="18" fillId="8" borderId="12" xfId="0" applyFont="1" applyFill="1" applyBorder="1" applyAlignment="1">
      <alignment horizontal="center"/>
    </xf>
    <xf numFmtId="0" fontId="12" fillId="8" borderId="49" xfId="0" applyFont="1" applyFill="1" applyBorder="1" applyAlignment="1">
      <alignment horizontal="center" vertical="center"/>
    </xf>
    <xf numFmtId="0" fontId="12" fillId="14" borderId="41" xfId="0" applyFont="1" applyFill="1" applyBorder="1"/>
    <xf numFmtId="14" fontId="12" fillId="0" borderId="47" xfId="0" applyNumberFormat="1" applyFont="1" applyBorder="1"/>
    <xf numFmtId="0" fontId="12" fillId="7" borderId="50" xfId="0" applyFont="1" applyFill="1" applyBorder="1"/>
    <xf numFmtId="0" fontId="12" fillId="0" borderId="46" xfId="0" applyFont="1" applyBorder="1" applyAlignment="1">
      <alignment horizontal="center"/>
    </xf>
    <xf numFmtId="0" fontId="12" fillId="0" borderId="45" xfId="0" applyFont="1" applyBorder="1"/>
    <xf numFmtId="0" fontId="12" fillId="0" borderId="49" xfId="0" applyFont="1" applyBorder="1" applyAlignment="1">
      <alignment horizontal="center"/>
    </xf>
    <xf numFmtId="0" fontId="12" fillId="8" borderId="52" xfId="0" applyFont="1" applyFill="1" applyBorder="1" applyAlignment="1">
      <alignment horizontal="center"/>
    </xf>
    <xf numFmtId="0" fontId="12" fillId="7" borderId="43" xfId="0" applyFont="1" applyFill="1" applyBorder="1"/>
    <xf numFmtId="0" fontId="20" fillId="12" borderId="0" xfId="0" applyFont="1" applyFill="1" applyAlignment="1">
      <alignment horizontal="center" vertical="center"/>
    </xf>
    <xf numFmtId="0" fontId="18" fillId="8" borderId="49" xfId="0" applyFont="1" applyFill="1" applyBorder="1" applyAlignment="1">
      <alignment horizontal="center"/>
    </xf>
    <xf numFmtId="0" fontId="21" fillId="10" borderId="43" xfId="0" applyFont="1" applyFill="1" applyBorder="1"/>
    <xf numFmtId="0" fontId="12" fillId="0" borderId="52" xfId="0" applyFont="1" applyBorder="1" applyAlignment="1">
      <alignment horizontal="center"/>
    </xf>
    <xf numFmtId="0" fontId="12" fillId="7" borderId="45" xfId="0" applyFont="1" applyFill="1" applyBorder="1"/>
    <xf numFmtId="0" fontId="12" fillId="9" borderId="43" xfId="0" applyFont="1" applyFill="1" applyBorder="1"/>
    <xf numFmtId="0" fontId="19" fillId="11" borderId="0" xfId="0" applyFont="1" applyFill="1" applyAlignment="1">
      <alignment horizontal="center" vertical="center"/>
    </xf>
    <xf numFmtId="0" fontId="17" fillId="8" borderId="49" xfId="0" applyFont="1" applyFill="1" applyBorder="1" applyAlignment="1">
      <alignment horizontal="center"/>
    </xf>
    <xf numFmtId="0" fontId="17" fillId="8" borderId="53" xfId="0" applyFont="1" applyFill="1" applyBorder="1" applyAlignment="1">
      <alignment horizontal="center"/>
    </xf>
    <xf numFmtId="0" fontId="17" fillId="8" borderId="52" xfId="0" applyFont="1" applyFill="1" applyBorder="1" applyAlignment="1">
      <alignment horizontal="center"/>
    </xf>
    <xf numFmtId="0" fontId="18" fillId="8" borderId="52" xfId="0" applyFont="1" applyFill="1" applyBorder="1" applyAlignment="1">
      <alignment horizontal="center"/>
    </xf>
    <xf numFmtId="0" fontId="12" fillId="9" borderId="45" xfId="0" applyFont="1" applyFill="1" applyBorder="1"/>
    <xf numFmtId="0" fontId="18" fillId="0" borderId="0" xfId="0" applyFont="1" applyAlignment="1">
      <alignment horizontal="center"/>
    </xf>
    <xf numFmtId="14" fontId="12" fillId="0" borderId="48" xfId="0" applyNumberFormat="1" applyFont="1" applyBorder="1" applyAlignment="1">
      <alignment horizontal="center"/>
    </xf>
    <xf numFmtId="0" fontId="17" fillId="8" borderId="0" xfId="0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14" fontId="12" fillId="19" borderId="0" xfId="0" applyNumberFormat="1" applyFont="1" applyFill="1" applyAlignment="1">
      <alignment horizontal="center"/>
    </xf>
    <xf numFmtId="0" fontId="12" fillId="19" borderId="0" xfId="0" applyFont="1" applyFill="1"/>
    <xf numFmtId="0" fontId="12" fillId="19" borderId="0" xfId="0" applyFont="1" applyFill="1" applyAlignment="1">
      <alignment horizontal="center"/>
    </xf>
    <xf numFmtId="0" fontId="13" fillId="20" borderId="0" xfId="0" applyFont="1" applyFill="1" applyAlignment="1">
      <alignment horizontal="center"/>
    </xf>
    <xf numFmtId="0" fontId="12" fillId="9" borderId="43" xfId="0" applyFont="1" applyFill="1" applyBorder="1" applyAlignment="1">
      <alignment horizontal="left"/>
    </xf>
    <xf numFmtId="0" fontId="12" fillId="9" borderId="45" xfId="0" applyFont="1" applyFill="1" applyBorder="1" applyAlignment="1">
      <alignment horizontal="left"/>
    </xf>
    <xf numFmtId="0" fontId="12" fillId="0" borderId="53" xfId="0" applyFont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2" fillId="8" borderId="47" xfId="0" applyFont="1" applyFill="1" applyBorder="1"/>
    <xf numFmtId="0" fontId="13" fillId="0" borderId="0" xfId="0" applyFont="1" applyAlignment="1">
      <alignment vertical="center"/>
    </xf>
    <xf numFmtId="0" fontId="13" fillId="8" borderId="0" xfId="0" applyFont="1" applyFill="1" applyAlignment="1">
      <alignment vertical="center"/>
    </xf>
    <xf numFmtId="164" fontId="16" fillId="16" borderId="57" xfId="2" applyFont="1" applyFill="1" applyBorder="1" applyAlignment="1">
      <alignment horizontal="center" vertical="center" wrapText="1"/>
    </xf>
    <xf numFmtId="164" fontId="16" fillId="16" borderId="58" xfId="2" applyFont="1" applyFill="1" applyBorder="1" applyAlignment="1">
      <alignment horizontal="center" vertical="center" wrapText="1"/>
    </xf>
    <xf numFmtId="0" fontId="16" fillId="16" borderId="58" xfId="0" applyFont="1" applyFill="1" applyBorder="1" applyAlignment="1">
      <alignment horizontal="center" vertical="center" wrapText="1"/>
    </xf>
    <xf numFmtId="0" fontId="16" fillId="16" borderId="57" xfId="0" applyFont="1" applyFill="1" applyBorder="1" applyAlignment="1">
      <alignment horizontal="center" vertical="center"/>
    </xf>
    <xf numFmtId="0" fontId="16" fillId="16" borderId="58" xfId="0" applyFont="1" applyFill="1" applyBorder="1" applyAlignment="1">
      <alignment horizontal="center" vertical="center"/>
    </xf>
    <xf numFmtId="2" fontId="16" fillId="16" borderId="57" xfId="0" applyNumberFormat="1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49" fontId="1" fillId="4" borderId="7" xfId="0" applyNumberFormat="1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/>
    </xf>
    <xf numFmtId="49" fontId="1" fillId="2" borderId="7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3" fillId="21" borderId="0" xfId="3" applyFont="1" applyFill="1"/>
    <xf numFmtId="0" fontId="24" fillId="21" borderId="0" xfId="3" applyFont="1" applyFill="1"/>
    <xf numFmtId="0" fontId="23" fillId="0" borderId="0" xfId="3" applyFont="1"/>
    <xf numFmtId="0" fontId="24" fillId="0" borderId="0" xfId="3" applyFont="1"/>
    <xf numFmtId="0" fontId="22" fillId="21" borderId="0" xfId="3" applyFill="1"/>
    <xf numFmtId="0" fontId="22" fillId="0" borderId="0" xfId="3"/>
    <xf numFmtId="167" fontId="29" fillId="23" borderId="59" xfId="3" applyNumberFormat="1" applyFont="1" applyFill="1" applyBorder="1" applyAlignment="1">
      <alignment horizontal="center" vertical="center" wrapText="1"/>
    </xf>
    <xf numFmtId="0" fontId="31" fillId="21" borderId="60" xfId="3" applyFont="1" applyFill="1" applyBorder="1" applyAlignment="1">
      <alignment horizontal="center" vertical="center" wrapText="1"/>
    </xf>
    <xf numFmtId="0" fontId="31" fillId="25" borderId="60" xfId="3" applyFont="1" applyFill="1" applyBorder="1" applyAlignment="1">
      <alignment horizontal="center" vertical="center" wrapText="1"/>
    </xf>
    <xf numFmtId="0" fontId="31" fillId="26" borderId="60" xfId="3" applyFont="1" applyFill="1" applyBorder="1" applyAlignment="1">
      <alignment horizontal="center" vertical="center" wrapText="1"/>
    </xf>
    <xf numFmtId="0" fontId="31" fillId="27" borderId="60" xfId="3" applyFont="1" applyFill="1" applyBorder="1" applyAlignment="1">
      <alignment horizontal="center" vertical="center" wrapText="1"/>
    </xf>
    <xf numFmtId="167" fontId="29" fillId="23" borderId="0" xfId="3" applyNumberFormat="1" applyFont="1" applyFill="1" applyAlignment="1">
      <alignment horizontal="center" vertical="center" wrapText="1"/>
    </xf>
    <xf numFmtId="169" fontId="0" fillId="0" borderId="0" xfId="0" applyNumberFormat="1"/>
    <xf numFmtId="44" fontId="3" fillId="0" borderId="1" xfId="4" applyFont="1" applyBorder="1" applyAlignment="1">
      <alignment horizontal="center"/>
    </xf>
    <xf numFmtId="44" fontId="3" fillId="0" borderId="9" xfId="4" applyFont="1" applyBorder="1" applyAlignment="1">
      <alignment horizontal="center"/>
    </xf>
    <xf numFmtId="44" fontId="3" fillId="0" borderId="10" xfId="4" applyFont="1" applyBorder="1" applyAlignment="1">
      <alignment horizontal="center"/>
    </xf>
    <xf numFmtId="44" fontId="0" fillId="0" borderId="0" xfId="4" applyFont="1"/>
    <xf numFmtId="167" fontId="33" fillId="23" borderId="59" xfId="3" applyNumberFormat="1" applyFont="1" applyFill="1" applyBorder="1" applyAlignment="1">
      <alignment horizontal="center" vertical="center" wrapText="1"/>
    </xf>
    <xf numFmtId="0" fontId="0" fillId="28" borderId="0" xfId="0" applyFill="1"/>
    <xf numFmtId="0" fontId="40" fillId="28" borderId="0" xfId="0" applyFont="1" applyFill="1"/>
    <xf numFmtId="0" fontId="43" fillId="29" borderId="61" xfId="0" applyFont="1" applyFill="1" applyBorder="1"/>
    <xf numFmtId="0" fontId="43" fillId="29" borderId="62" xfId="0" applyFont="1" applyFill="1" applyBorder="1"/>
    <xf numFmtId="0" fontId="43" fillId="29" borderId="63" xfId="0" applyFont="1" applyFill="1" applyBorder="1"/>
    <xf numFmtId="0" fontId="43" fillId="29" borderId="64" xfId="0" applyFont="1" applyFill="1" applyBorder="1"/>
    <xf numFmtId="0" fontId="43" fillId="29" borderId="65" xfId="0" applyFont="1" applyFill="1" applyBorder="1"/>
    <xf numFmtId="0" fontId="43" fillId="29" borderId="66" xfId="0" applyFont="1" applyFill="1" applyBorder="1"/>
    <xf numFmtId="0" fontId="43" fillId="29" borderId="67" xfId="0" applyFont="1" applyFill="1" applyBorder="1"/>
    <xf numFmtId="0" fontId="53" fillId="30" borderId="68" xfId="0" applyFont="1" applyFill="1" applyBorder="1" applyAlignment="1">
      <alignment horizontal="center"/>
    </xf>
    <xf numFmtId="169" fontId="54" fillId="29" borderId="0" xfId="0" applyNumberFormat="1" applyFont="1" applyFill="1"/>
    <xf numFmtId="0" fontId="53" fillId="30" borderId="70" xfId="0" applyFont="1" applyFill="1" applyBorder="1" applyAlignment="1">
      <alignment horizontal="center"/>
    </xf>
    <xf numFmtId="0" fontId="53" fillId="30" borderId="73" xfId="0" applyFont="1" applyFill="1" applyBorder="1" applyAlignment="1">
      <alignment horizontal="center"/>
    </xf>
    <xf numFmtId="0" fontId="54" fillId="29" borderId="0" xfId="0" applyFont="1" applyFill="1" applyAlignment="1">
      <alignment horizontal="center"/>
    </xf>
    <xf numFmtId="0" fontId="54" fillId="29" borderId="69" xfId="0" applyFont="1" applyFill="1" applyBorder="1" applyAlignment="1">
      <alignment horizontal="center"/>
    </xf>
    <xf numFmtId="169" fontId="54" fillId="29" borderId="69" xfId="0" applyNumberFormat="1" applyFont="1" applyFill="1" applyBorder="1"/>
    <xf numFmtId="0" fontId="53" fillId="29" borderId="71" xfId="0" applyFont="1" applyFill="1" applyBorder="1"/>
    <xf numFmtId="0" fontId="53" fillId="29" borderId="72" xfId="0" applyFont="1" applyFill="1" applyBorder="1"/>
    <xf numFmtId="0" fontId="54" fillId="29" borderId="74" xfId="0" applyFont="1" applyFill="1" applyBorder="1" applyAlignment="1">
      <alignment horizontal="center"/>
    </xf>
    <xf numFmtId="0" fontId="54" fillId="29" borderId="75" xfId="0" applyFont="1" applyFill="1" applyBorder="1" applyAlignment="1">
      <alignment horizontal="center"/>
    </xf>
    <xf numFmtId="0" fontId="0" fillId="28" borderId="0" xfId="0" applyFill="1" applyAlignment="1">
      <alignment horizontal="center" vertical="center"/>
    </xf>
    <xf numFmtId="0" fontId="42" fillId="29" borderId="61" xfId="0" applyFont="1" applyFill="1" applyBorder="1" applyAlignment="1">
      <alignment horizontal="center" vertical="center"/>
    </xf>
    <xf numFmtId="0" fontId="44" fillId="29" borderId="62" xfId="0" applyFont="1" applyFill="1" applyBorder="1" applyAlignment="1">
      <alignment horizontal="center" vertical="center"/>
    </xf>
    <xf numFmtId="0" fontId="45" fillId="29" borderId="63" xfId="0" applyFont="1" applyFill="1" applyBorder="1" applyAlignment="1">
      <alignment horizontal="center" vertical="center"/>
    </xf>
    <xf numFmtId="0" fontId="46" fillId="29" borderId="64" xfId="0" applyFont="1" applyFill="1" applyBorder="1" applyAlignment="1">
      <alignment horizontal="center" vertical="center"/>
    </xf>
    <xf numFmtId="0" fontId="47" fillId="29" borderId="65" xfId="0" applyFont="1" applyFill="1" applyBorder="1" applyAlignment="1">
      <alignment horizontal="center" vertical="center"/>
    </xf>
    <xf numFmtId="0" fontId="48" fillId="29" borderId="6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1" fillId="29" borderId="61" xfId="0" applyFont="1" applyFill="1" applyBorder="1" applyAlignment="1">
      <alignment horizontal="center" vertical="center"/>
    </xf>
    <xf numFmtId="0" fontId="41" fillId="29" borderId="62" xfId="0" applyFont="1" applyFill="1" applyBorder="1" applyAlignment="1">
      <alignment horizontal="center" vertical="center"/>
    </xf>
    <xf numFmtId="0" fontId="41" fillId="29" borderId="63" xfId="0" applyFont="1" applyFill="1" applyBorder="1" applyAlignment="1">
      <alignment horizontal="center" vertical="center"/>
    </xf>
    <xf numFmtId="0" fontId="41" fillId="29" borderId="64" xfId="0" applyFont="1" applyFill="1" applyBorder="1" applyAlignment="1">
      <alignment horizontal="center" vertical="center"/>
    </xf>
    <xf numFmtId="0" fontId="41" fillId="29" borderId="65" xfId="0" applyFont="1" applyFill="1" applyBorder="1" applyAlignment="1">
      <alignment horizontal="center" vertical="center"/>
    </xf>
    <xf numFmtId="0" fontId="41" fillId="29" borderId="66" xfId="0" applyFont="1" applyFill="1" applyBorder="1" applyAlignment="1">
      <alignment horizontal="center" vertical="center"/>
    </xf>
    <xf numFmtId="0" fontId="41" fillId="29" borderId="67" xfId="0" applyFont="1" applyFill="1" applyBorder="1" applyAlignment="1">
      <alignment horizontal="center" vertical="center"/>
    </xf>
    <xf numFmtId="44" fontId="49" fillId="29" borderId="61" xfId="4" applyFont="1" applyFill="1" applyBorder="1" applyAlignment="1">
      <alignment horizontal="center" vertical="center"/>
    </xf>
    <xf numFmtId="44" fontId="50" fillId="29" borderId="62" xfId="4" applyFont="1" applyFill="1" applyBorder="1" applyAlignment="1">
      <alignment horizontal="center" vertical="center"/>
    </xf>
    <xf numFmtId="44" fontId="51" fillId="29" borderId="66" xfId="4" applyFont="1" applyFill="1" applyBorder="1" applyAlignment="1">
      <alignment horizontal="center" vertical="center"/>
    </xf>
    <xf numFmtId="170" fontId="52" fillId="29" borderId="67" xfId="0" applyNumberFormat="1" applyFont="1" applyFill="1" applyBorder="1" applyAlignment="1">
      <alignment horizontal="center" vertical="center"/>
    </xf>
    <xf numFmtId="0" fontId="56" fillId="29" borderId="76" xfId="0" applyFont="1" applyFill="1" applyBorder="1" applyAlignment="1">
      <alignment horizontal="center" wrapText="1"/>
    </xf>
    <xf numFmtId="0" fontId="56" fillId="29" borderId="11" xfId="0" applyFont="1" applyFill="1" applyBorder="1" applyAlignment="1">
      <alignment horizontal="center" wrapText="1"/>
    </xf>
    <xf numFmtId="0" fontId="59" fillId="28" borderId="11" xfId="0" applyFont="1" applyFill="1" applyBorder="1" applyAlignment="1">
      <alignment horizontal="center" wrapText="1"/>
    </xf>
    <xf numFmtId="0" fontId="57" fillId="32" borderId="76" xfId="0" applyFont="1" applyFill="1" applyBorder="1" applyAlignment="1">
      <alignment horizontal="center" vertical="center" wrapText="1"/>
    </xf>
    <xf numFmtId="0" fontId="57" fillId="32" borderId="11" xfId="0" applyFont="1" applyFill="1" applyBorder="1" applyAlignment="1">
      <alignment horizontal="center" vertical="center" wrapText="1"/>
    </xf>
    <xf numFmtId="0" fontId="58" fillId="32" borderId="11" xfId="0" applyFont="1" applyFill="1" applyBorder="1" applyAlignment="1">
      <alignment horizontal="center" vertical="center" wrapText="1"/>
    </xf>
    <xf numFmtId="0" fontId="50" fillId="29" borderId="76" xfId="0" applyFont="1" applyFill="1" applyBorder="1" applyAlignment="1">
      <alignment horizontal="center" vertical="center"/>
    </xf>
    <xf numFmtId="0" fontId="60" fillId="29" borderId="11" xfId="0" applyFont="1" applyFill="1" applyBorder="1" applyAlignment="1">
      <alignment horizontal="center" vertical="center"/>
    </xf>
    <xf numFmtId="0" fontId="52" fillId="29" borderId="11" xfId="0" applyFont="1" applyFill="1" applyBorder="1" applyAlignment="1">
      <alignment horizontal="center" vertical="center"/>
    </xf>
    <xf numFmtId="0" fontId="62" fillId="31" borderId="11" xfId="0" applyFont="1" applyFill="1" applyBorder="1" applyAlignment="1">
      <alignment horizontal="center" vertical="center"/>
    </xf>
    <xf numFmtId="9" fontId="62" fillId="31" borderId="11" xfId="0" applyNumberFormat="1" applyFont="1" applyFill="1" applyBorder="1" applyAlignment="1">
      <alignment horizontal="center" vertical="center"/>
    </xf>
    <xf numFmtId="0" fontId="63" fillId="28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49" fontId="61" fillId="29" borderId="11" xfId="0" applyNumberFormat="1" applyFont="1" applyFill="1" applyBorder="1" applyAlignment="1">
      <alignment horizontal="center" vertical="center"/>
    </xf>
    <xf numFmtId="172" fontId="3" fillId="0" borderId="1" xfId="0" applyNumberFormat="1" applyFont="1" applyBorder="1" applyAlignment="1">
      <alignment horizontal="center"/>
    </xf>
    <xf numFmtId="0" fontId="14" fillId="8" borderId="13" xfId="0" applyFont="1" applyFill="1" applyBorder="1" applyAlignment="1">
      <alignment horizontal="center"/>
    </xf>
    <xf numFmtId="0" fontId="64" fillId="34" borderId="13" xfId="0" applyFont="1" applyFill="1" applyBorder="1" applyAlignment="1">
      <alignment horizontal="center"/>
    </xf>
    <xf numFmtId="169" fontId="64" fillId="34" borderId="13" xfId="0" applyNumberFormat="1" applyFont="1" applyFill="1" applyBorder="1" applyAlignment="1">
      <alignment horizontal="center"/>
    </xf>
    <xf numFmtId="44" fontId="64" fillId="34" borderId="13" xfId="4" applyFont="1" applyFill="1" applyBorder="1" applyAlignment="1">
      <alignment horizontal="center"/>
    </xf>
    <xf numFmtId="0" fontId="64" fillId="35" borderId="77" xfId="0" applyFont="1" applyFill="1" applyBorder="1"/>
    <xf numFmtId="169" fontId="64" fillId="35" borderId="77" xfId="0" applyNumberFormat="1" applyFont="1" applyFill="1" applyBorder="1"/>
    <xf numFmtId="171" fontId="64" fillId="35" borderId="77" xfId="0" applyNumberFormat="1" applyFont="1" applyFill="1" applyBorder="1"/>
    <xf numFmtId="0" fontId="53" fillId="32" borderId="11" xfId="0" applyFont="1" applyFill="1" applyBorder="1" applyAlignment="1">
      <alignment horizontal="center" vertical="center" wrapText="1"/>
    </xf>
    <xf numFmtId="0" fontId="54" fillId="29" borderId="11" xfId="0" applyFont="1" applyFill="1" applyBorder="1"/>
    <xf numFmtId="0" fontId="55" fillId="29" borderId="11" xfId="0" applyFont="1" applyFill="1" applyBorder="1" applyAlignment="1">
      <alignment horizontal="center"/>
    </xf>
    <xf numFmtId="169" fontId="54" fillId="29" borderId="11" xfId="0" applyNumberFormat="1" applyFont="1" applyFill="1" applyBorder="1" applyAlignment="1">
      <alignment horizontal="right"/>
    </xf>
    <xf numFmtId="173" fontId="54" fillId="29" borderId="11" xfId="0" applyNumberFormat="1" applyFont="1" applyFill="1" applyBorder="1" applyAlignment="1">
      <alignment horizontal="right"/>
    </xf>
    <xf numFmtId="0" fontId="67" fillId="39" borderId="11" xfId="0" applyFont="1" applyFill="1" applyBorder="1"/>
    <xf numFmtId="169" fontId="68" fillId="39" borderId="11" xfId="0" applyNumberFormat="1" applyFont="1" applyFill="1" applyBorder="1" applyAlignment="1">
      <alignment horizontal="right"/>
    </xf>
    <xf numFmtId="173" fontId="68" fillId="39" borderId="11" xfId="0" applyNumberFormat="1" applyFont="1" applyFill="1" applyBorder="1" applyAlignment="1">
      <alignment horizontal="right"/>
    </xf>
    <xf numFmtId="0" fontId="69" fillId="39" borderId="11" xfId="0" applyFont="1" applyFill="1" applyBorder="1"/>
    <xf numFmtId="0" fontId="53" fillId="32" borderId="78" xfId="0" applyFont="1" applyFill="1" applyBorder="1" applyAlignment="1">
      <alignment horizontal="center" vertical="center" wrapText="1"/>
    </xf>
    <xf numFmtId="0" fontId="54" fillId="29" borderId="78" xfId="0" applyFont="1" applyFill="1" applyBorder="1" applyAlignment="1">
      <alignment horizontal="left"/>
    </xf>
    <xf numFmtId="3" fontId="55" fillId="29" borderId="78" xfId="0" applyNumberFormat="1" applyFont="1" applyFill="1" applyBorder="1" applyAlignment="1">
      <alignment horizontal="right"/>
    </xf>
    <xf numFmtId="169" fontId="54" fillId="29" borderId="78" xfId="0" applyNumberFormat="1" applyFont="1" applyFill="1" applyBorder="1" applyAlignment="1">
      <alignment horizontal="right"/>
    </xf>
    <xf numFmtId="173" fontId="54" fillId="29" borderId="78" xfId="0" applyNumberFormat="1" applyFont="1" applyFill="1" applyBorder="1" applyAlignment="1">
      <alignment horizontal="right"/>
    </xf>
    <xf numFmtId="0" fontId="70" fillId="40" borderId="78" xfId="0" applyFont="1" applyFill="1" applyBorder="1"/>
    <xf numFmtId="0" fontId="71" fillId="40" borderId="78" xfId="0" applyFont="1" applyFill="1" applyBorder="1"/>
    <xf numFmtId="0" fontId="67" fillId="39" borderId="11" xfId="0" applyFont="1" applyFill="1" applyBorder="1" applyAlignment="1">
      <alignment horizontal="left"/>
    </xf>
    <xf numFmtId="3" fontId="67" fillId="39" borderId="11" xfId="0" applyNumberFormat="1" applyFont="1" applyFill="1" applyBorder="1" applyAlignment="1">
      <alignment horizontal="right"/>
    </xf>
    <xf numFmtId="14" fontId="3" fillId="0" borderId="9" xfId="0" applyNumberFormat="1" applyFont="1" applyBorder="1" applyAlignment="1">
      <alignment horizontal="center" vertical="center"/>
    </xf>
    <xf numFmtId="0" fontId="38" fillId="31" borderId="0" xfId="0" applyFont="1" applyFill="1" applyAlignment="1">
      <alignment horizontal="left" vertical="center"/>
    </xf>
    <xf numFmtId="0" fontId="39" fillId="28" borderId="0" xfId="0" applyFont="1" applyFill="1" applyAlignment="1">
      <alignment horizontal="left"/>
    </xf>
    <xf numFmtId="0" fontId="67" fillId="39" borderId="11" xfId="0" applyFont="1" applyFill="1" applyBorder="1"/>
    <xf numFmtId="0" fontId="56" fillId="28" borderId="0" xfId="0" applyFont="1" applyFill="1" applyAlignment="1">
      <alignment wrapText="1"/>
    </xf>
    <xf numFmtId="0" fontId="65" fillId="33" borderId="0" xfId="0" applyFont="1" applyFill="1" applyAlignment="1">
      <alignment horizontal="left"/>
    </xf>
    <xf numFmtId="0" fontId="0" fillId="33" borderId="0" xfId="0" applyFill="1" applyAlignment="1">
      <alignment horizontal="left"/>
    </xf>
    <xf numFmtId="0" fontId="26" fillId="21" borderId="0" xfId="3" applyFont="1" applyFill="1" applyAlignment="1">
      <alignment horizontal="center" vertical="center" wrapText="1"/>
    </xf>
    <xf numFmtId="0" fontId="27" fillId="22" borderId="0" xfId="3" applyFont="1" applyFill="1" applyAlignment="1">
      <alignment horizontal="right" vertical="center"/>
    </xf>
    <xf numFmtId="0" fontId="34" fillId="0" borderId="0" xfId="3" applyFont="1" applyAlignment="1">
      <alignment horizontal="left" vertical="center"/>
    </xf>
    <xf numFmtId="0" fontId="26" fillId="24" borderId="0" xfId="3" applyFont="1" applyFill="1" applyAlignment="1">
      <alignment horizontal="center" vertical="center" wrapText="1"/>
    </xf>
    <xf numFmtId="0" fontId="56" fillId="0" borderId="0" xfId="0" applyFont="1"/>
    <xf numFmtId="0" fontId="0" fillId="0" borderId="0" xfId="0"/>
    <xf numFmtId="0" fontId="28" fillId="21" borderId="0" xfId="3" applyFont="1" applyFill="1" applyAlignment="1">
      <alignment horizontal="center" vertical="center" wrapText="1"/>
    </xf>
    <xf numFmtId="0" fontId="27" fillId="0" borderId="0" xfId="3" applyFont="1" applyAlignment="1">
      <alignment horizontal="right" vertical="center"/>
    </xf>
    <xf numFmtId="0" fontId="30" fillId="0" borderId="0" xfId="3" applyFont="1" applyAlignment="1">
      <alignment horizontal="left" vertical="center"/>
    </xf>
    <xf numFmtId="0" fontId="26" fillId="25" borderId="0" xfId="3" applyFont="1" applyFill="1" applyAlignment="1">
      <alignment horizontal="center" vertical="center" wrapText="1"/>
    </xf>
    <xf numFmtId="0" fontId="26" fillId="26" borderId="0" xfId="3" applyFont="1" applyFill="1" applyAlignment="1">
      <alignment horizontal="center" vertical="center" wrapText="1"/>
    </xf>
    <xf numFmtId="0" fontId="26" fillId="27" borderId="0" xfId="3" applyFont="1" applyFill="1" applyAlignment="1">
      <alignment horizontal="center" vertical="center" wrapText="1"/>
    </xf>
    <xf numFmtId="0" fontId="25" fillId="21" borderId="0" xfId="3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45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51" xfId="0" applyFont="1" applyBorder="1" applyAlignment="1">
      <alignment horizontal="left" vertical="center" wrapText="1"/>
    </xf>
    <xf numFmtId="164" fontId="16" fillId="16" borderId="56" xfId="2" applyFont="1" applyFill="1" applyBorder="1" applyAlignment="1">
      <alignment horizontal="center" vertical="center" wrapText="1"/>
    </xf>
    <xf numFmtId="164" fontId="16" fillId="16" borderId="55" xfId="2" applyFont="1" applyFill="1" applyBorder="1" applyAlignment="1">
      <alignment horizontal="center" vertical="center" wrapText="1"/>
    </xf>
    <xf numFmtId="164" fontId="16" fillId="16" borderId="54" xfId="2" applyFont="1" applyFill="1" applyBorder="1" applyAlignment="1">
      <alignment horizontal="center" vertical="center" wrapText="1"/>
    </xf>
    <xf numFmtId="14" fontId="13" fillId="8" borderId="0" xfId="0" applyNumberFormat="1" applyFont="1" applyFill="1" applyAlignment="1">
      <alignment horizontal="center"/>
    </xf>
    <xf numFmtId="0" fontId="14" fillId="14" borderId="19" xfId="0" applyFont="1" applyFill="1" applyBorder="1" applyAlignment="1">
      <alignment horizontal="center" vertical="center"/>
    </xf>
    <xf numFmtId="0" fontId="14" fillId="14" borderId="18" xfId="0" applyFont="1" applyFill="1" applyBorder="1" applyAlignment="1">
      <alignment horizontal="center" vertical="center"/>
    </xf>
    <xf numFmtId="0" fontId="14" fillId="14" borderId="17" xfId="0" applyFont="1" applyFill="1" applyBorder="1" applyAlignment="1">
      <alignment horizontal="center" vertical="center"/>
    </xf>
    <xf numFmtId="0" fontId="14" fillId="14" borderId="16" xfId="0" applyFont="1" applyFill="1" applyBorder="1" applyAlignment="1">
      <alignment horizontal="center" vertical="center"/>
    </xf>
    <xf numFmtId="0" fontId="14" fillId="14" borderId="15" xfId="0" applyFont="1" applyFill="1" applyBorder="1" applyAlignment="1">
      <alignment horizontal="center" vertical="center"/>
    </xf>
    <xf numFmtId="0" fontId="14" fillId="14" borderId="14" xfId="0" applyFont="1" applyFill="1" applyBorder="1" applyAlignment="1">
      <alignment horizontal="center" vertical="center"/>
    </xf>
    <xf numFmtId="0" fontId="14" fillId="8" borderId="19" xfId="0" applyFont="1" applyFill="1" applyBorder="1" applyAlignment="1">
      <alignment horizontal="center" vertical="center"/>
    </xf>
    <xf numFmtId="0" fontId="14" fillId="8" borderId="18" xfId="0" applyFont="1" applyFill="1" applyBorder="1" applyAlignment="1">
      <alignment horizontal="center" vertical="center"/>
    </xf>
    <xf numFmtId="0" fontId="14" fillId="8" borderId="17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/>
    </xf>
    <xf numFmtId="0" fontId="12" fillId="0" borderId="0" xfId="0" applyFont="1" applyAlignment="1">
      <alignment horizontal="left" wrapText="1"/>
    </xf>
    <xf numFmtId="0" fontId="12" fillId="0" borderId="45" xfId="0" applyFont="1" applyBorder="1" applyAlignment="1">
      <alignment horizontal="left" wrapText="1"/>
    </xf>
    <xf numFmtId="0" fontId="3" fillId="0" borderId="4" xfId="0" applyFont="1" applyFill="1" applyBorder="1" applyAlignment="1">
      <alignment horizontal="center"/>
    </xf>
    <xf numFmtId="174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/>
    </xf>
    <xf numFmtId="174" fontId="3" fillId="0" borderId="9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9" xfId="0" applyFont="1" applyFill="1" applyBorder="1" applyAlignment="1"/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49" fontId="3" fillId="0" borderId="8" xfId="0" applyNumberFormat="1" applyFont="1" applyFill="1" applyBorder="1" applyAlignment="1">
      <alignment horizontal="center"/>
    </xf>
    <xf numFmtId="164" fontId="3" fillId="0" borderId="9" xfId="0" applyNumberFormat="1" applyFont="1" applyFill="1" applyBorder="1" applyAlignment="1">
      <alignment horizontal="center"/>
    </xf>
    <xf numFmtId="0" fontId="3" fillId="0" borderId="9" xfId="0" applyNumberFormat="1" applyFont="1" applyFill="1" applyBorder="1" applyAlignment="1">
      <alignment horizontal="center"/>
    </xf>
    <xf numFmtId="165" fontId="3" fillId="0" borderId="9" xfId="0" applyNumberFormat="1" applyFont="1" applyFill="1" applyBorder="1" applyAlignment="1">
      <alignment horizontal="center"/>
    </xf>
    <xf numFmtId="166" fontId="3" fillId="0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7" fillId="0" borderId="0" xfId="3" applyFont="1" applyAlignment="1">
      <alignment horizontal="left" vertical="center" wrapText="1"/>
    </xf>
    <xf numFmtId="0" fontId="24" fillId="0" borderId="0" xfId="3" applyFont="1" applyAlignment="1">
      <alignment wrapText="1"/>
    </xf>
    <xf numFmtId="0" fontId="0" fillId="0" borderId="0" xfId="0" applyAlignment="1">
      <alignment wrapText="1"/>
    </xf>
    <xf numFmtId="0" fontId="0" fillId="36" borderId="11" xfId="0" applyFill="1" applyBorder="1" applyAlignment="1">
      <alignment horizontal="center" wrapText="1"/>
    </xf>
    <xf numFmtId="1" fontId="0" fillId="36" borderId="11" xfId="0" applyNumberFormat="1" applyFill="1" applyBorder="1" applyAlignment="1">
      <alignment wrapText="1"/>
    </xf>
    <xf numFmtId="169" fontId="0" fillId="36" borderId="11" xfId="0" applyNumberFormat="1" applyFill="1" applyBorder="1" applyAlignment="1">
      <alignment wrapText="1"/>
    </xf>
    <xf numFmtId="0" fontId="0" fillId="37" borderId="11" xfId="0" applyFill="1" applyBorder="1" applyAlignment="1">
      <alignment horizontal="center" wrapText="1"/>
    </xf>
    <xf numFmtId="1" fontId="0" fillId="37" borderId="11" xfId="0" applyNumberFormat="1" applyFill="1" applyBorder="1" applyAlignment="1">
      <alignment wrapText="1"/>
    </xf>
    <xf numFmtId="169" fontId="0" fillId="37" borderId="11" xfId="0" applyNumberFormat="1" applyFill="1" applyBorder="1" applyAlignment="1">
      <alignment wrapText="1"/>
    </xf>
    <xf numFmtId="0" fontId="64" fillId="38" borderId="11" xfId="0" applyFont="1" applyFill="1" applyBorder="1" applyAlignment="1">
      <alignment horizontal="center" wrapText="1"/>
    </xf>
    <xf numFmtId="1" fontId="64" fillId="38" borderId="11" xfId="0" applyNumberFormat="1" applyFont="1" applyFill="1" applyBorder="1" applyAlignment="1">
      <alignment wrapText="1"/>
    </xf>
    <xf numFmtId="169" fontId="64" fillId="38" borderId="11" xfId="0" applyNumberFormat="1" applyFont="1" applyFill="1" applyBorder="1" applyAlignment="1">
      <alignment wrapText="1"/>
    </xf>
    <xf numFmtId="0" fontId="66" fillId="0" borderId="0" xfId="0" applyFont="1" applyAlignment="1">
      <alignment wrapText="1"/>
    </xf>
    <xf numFmtId="3" fontId="36" fillId="41" borderId="78" xfId="3" applyNumberFormat="1" applyFont="1" applyFill="1" applyBorder="1" applyAlignment="1">
      <alignment horizontal="right" vertical="center" wrapText="1"/>
    </xf>
    <xf numFmtId="3" fontId="35" fillId="41" borderId="78" xfId="3" applyNumberFormat="1" applyFont="1" applyFill="1" applyBorder="1" applyAlignment="1">
      <alignment horizontal="right" vertical="center" wrapText="1"/>
    </xf>
    <xf numFmtId="169" fontId="36" fillId="41" borderId="78" xfId="3" applyNumberFormat="1" applyFont="1" applyFill="1" applyBorder="1" applyAlignment="1">
      <alignment horizontal="right" vertical="center" wrapText="1"/>
    </xf>
    <xf numFmtId="173" fontId="35" fillId="41" borderId="78" xfId="3" applyNumberFormat="1" applyFont="1" applyFill="1" applyBorder="1" applyAlignment="1">
      <alignment horizontal="right" vertical="center" wrapText="1"/>
    </xf>
    <xf numFmtId="169" fontId="35" fillId="41" borderId="78" xfId="3" applyNumberFormat="1" applyFont="1" applyFill="1" applyBorder="1" applyAlignment="1">
      <alignment horizontal="right" vertical="center" wrapText="1"/>
    </xf>
    <xf numFmtId="0" fontId="26" fillId="32" borderId="78" xfId="3" applyFont="1" applyFill="1" applyBorder="1" applyAlignment="1">
      <alignment horizontal="center" vertical="center" wrapText="1"/>
    </xf>
    <xf numFmtId="0" fontId="36" fillId="41" borderId="78" xfId="3" applyNumberFormat="1" applyFont="1" applyFill="1" applyBorder="1" applyAlignment="1">
      <alignment horizontal="left" vertical="center" wrapText="1"/>
    </xf>
    <xf numFmtId="0" fontId="35" fillId="41" borderId="78" xfId="3" applyNumberFormat="1" applyFont="1" applyFill="1" applyBorder="1" applyAlignment="1">
      <alignment horizontal="left" vertical="center" wrapText="1"/>
    </xf>
    <xf numFmtId="0" fontId="35" fillId="41" borderId="78" xfId="3" applyNumberFormat="1" applyFont="1" applyFill="1" applyBorder="1" applyAlignment="1">
      <alignment horizontal="left" vertical="center"/>
    </xf>
    <xf numFmtId="0" fontId="0" fillId="0" borderId="0" xfId="0" applyNumberFormat="1"/>
    <xf numFmtId="3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0" fontId="59" fillId="41" borderId="0" xfId="0" applyFont="1" applyFill="1" applyAlignment="1">
      <alignment wrapText="1"/>
    </xf>
    <xf numFmtId="0" fontId="72" fillId="41" borderId="0" xfId="3" applyFont="1" applyFill="1" applyAlignment="1">
      <alignment horizontal="left" vertical="center" wrapText="1"/>
    </xf>
    <xf numFmtId="0" fontId="68" fillId="39" borderId="0" xfId="0" applyFont="1" applyFill="1" applyAlignment="1">
      <alignment horizontal="left" wrapText="1"/>
    </xf>
    <xf numFmtId="0" fontId="67" fillId="39" borderId="0" xfId="0" applyFont="1" applyFill="1" applyAlignment="1">
      <alignment horizontal="left" wrapText="1"/>
    </xf>
    <xf numFmtId="0" fontId="58" fillId="32" borderId="0" xfId="0" applyFont="1" applyFill="1" applyAlignment="1">
      <alignment horizontal="center" wrapText="1"/>
    </xf>
    <xf numFmtId="14" fontId="3" fillId="0" borderId="10" xfId="0" applyNumberFormat="1" applyFont="1" applyFill="1" applyBorder="1" applyAlignment="1">
      <alignment horizontal="center"/>
    </xf>
    <xf numFmtId="14" fontId="3" fillId="0" borderId="9" xfId="0" applyNumberFormat="1" applyFont="1" applyFill="1" applyBorder="1" applyAlignment="1">
      <alignment horizontal="center" vertical="center"/>
    </xf>
    <xf numFmtId="0" fontId="73" fillId="32" borderId="78" xfId="3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31" fillId="32" borderId="60" xfId="3" applyFont="1" applyFill="1" applyBorder="1" applyAlignment="1">
      <alignment horizontal="center" vertical="center" wrapText="1"/>
    </xf>
    <xf numFmtId="0" fontId="75" fillId="41" borderId="78" xfId="3" applyFont="1" applyFill="1" applyBorder="1" applyAlignment="1">
      <alignment horizontal="left" vertical="center" wrapText="1"/>
    </xf>
    <xf numFmtId="0" fontId="32" fillId="41" borderId="78" xfId="3" applyFont="1" applyFill="1" applyBorder="1" applyAlignment="1">
      <alignment horizontal="left" vertical="center" wrapText="1"/>
    </xf>
    <xf numFmtId="0" fontId="32" fillId="41" borderId="78" xfId="3" applyFont="1" applyFill="1" applyBorder="1" applyAlignment="1">
      <alignment horizontal="left" vertical="center"/>
    </xf>
    <xf numFmtId="3" fontId="32" fillId="41" borderId="78" xfId="3" applyNumberFormat="1" applyFont="1" applyFill="1" applyBorder="1" applyAlignment="1">
      <alignment horizontal="right" vertical="center" wrapText="1"/>
    </xf>
    <xf numFmtId="169" fontId="32" fillId="41" borderId="78" xfId="3" applyNumberFormat="1" applyFont="1" applyFill="1" applyBorder="1" applyAlignment="1">
      <alignment horizontal="right" vertical="center" wrapText="1"/>
    </xf>
    <xf numFmtId="169" fontId="75" fillId="41" borderId="78" xfId="3" applyNumberFormat="1" applyFont="1" applyFill="1" applyBorder="1" applyAlignment="1">
      <alignment horizontal="right" vertical="center" wrapText="1"/>
    </xf>
    <xf numFmtId="0" fontId="32" fillId="41" borderId="78" xfId="3" applyNumberFormat="1" applyFont="1" applyFill="1" applyBorder="1" applyAlignment="1">
      <alignment horizontal="center" vertical="center" wrapText="1"/>
    </xf>
    <xf numFmtId="169" fontId="32" fillId="41" borderId="78" xfId="4" applyNumberFormat="1" applyFont="1" applyFill="1" applyBorder="1" applyAlignment="1">
      <alignment horizontal="right" vertical="center" wrapText="1"/>
    </xf>
    <xf numFmtId="169" fontId="75" fillId="41" borderId="78" xfId="4" applyNumberFormat="1" applyFont="1" applyFill="1" applyBorder="1" applyAlignment="1">
      <alignment horizontal="right" vertical="center" wrapText="1"/>
    </xf>
    <xf numFmtId="0" fontId="76" fillId="41" borderId="78" xfId="3" applyFont="1" applyFill="1" applyBorder="1" applyAlignment="1">
      <alignment horizontal="left" vertical="center"/>
    </xf>
    <xf numFmtId="3" fontId="76" fillId="41" borderId="78" xfId="3" applyNumberFormat="1" applyFont="1" applyFill="1" applyBorder="1" applyAlignment="1">
      <alignment horizontal="right" vertical="center"/>
    </xf>
    <xf numFmtId="169" fontId="76" fillId="41" borderId="78" xfId="3" applyNumberFormat="1" applyFont="1" applyFill="1" applyBorder="1" applyAlignment="1">
      <alignment horizontal="right" vertical="center"/>
    </xf>
    <xf numFmtId="0" fontId="76" fillId="41" borderId="78" xfId="3" applyNumberFormat="1" applyFont="1" applyFill="1" applyBorder="1" applyAlignment="1">
      <alignment horizontal="center" vertical="center"/>
    </xf>
    <xf numFmtId="0" fontId="77" fillId="41" borderId="78" xfId="3" applyFont="1" applyFill="1" applyBorder="1" applyAlignment="1">
      <alignment horizontal="left" vertical="center" wrapText="1"/>
    </xf>
    <xf numFmtId="3" fontId="77" fillId="41" borderId="78" xfId="3" applyNumberFormat="1" applyFont="1" applyFill="1" applyBorder="1" applyAlignment="1">
      <alignment horizontal="right" vertical="center" wrapText="1"/>
    </xf>
    <xf numFmtId="169" fontId="77" fillId="41" borderId="78" xfId="3" applyNumberFormat="1" applyFont="1" applyFill="1" applyBorder="1" applyAlignment="1">
      <alignment horizontal="right" vertical="center" wrapText="1"/>
    </xf>
    <xf numFmtId="0" fontId="77" fillId="41" borderId="78" xfId="3" applyNumberFormat="1" applyFont="1" applyFill="1" applyBorder="1" applyAlignment="1">
      <alignment horizontal="center" vertical="center" wrapText="1"/>
    </xf>
    <xf numFmtId="0" fontId="31" fillId="32" borderId="78" xfId="3" applyFont="1" applyFill="1" applyBorder="1" applyAlignment="1">
      <alignment horizontal="center" vertical="center" wrapText="1"/>
    </xf>
    <xf numFmtId="0" fontId="75" fillId="41" borderId="78" xfId="3" applyFont="1" applyFill="1" applyBorder="1" applyAlignment="1">
      <alignment horizontal="center" wrapText="1"/>
    </xf>
    <xf numFmtId="0" fontId="78" fillId="31" borderId="78" xfId="3" applyFont="1" applyFill="1" applyBorder="1" applyAlignment="1">
      <alignment horizontal="center" wrapText="1"/>
    </xf>
    <xf numFmtId="0" fontId="78" fillId="31" borderId="78" xfId="3" applyFont="1" applyFill="1" applyBorder="1" applyAlignment="1">
      <alignment horizontal="center"/>
    </xf>
    <xf numFmtId="0" fontId="79" fillId="31" borderId="78" xfId="3" applyFont="1" applyFill="1" applyBorder="1" applyAlignment="1">
      <alignment horizontal="center" wrapText="1"/>
    </xf>
    <xf numFmtId="0" fontId="32" fillId="41" borderId="78" xfId="3" applyFont="1" applyFill="1" applyBorder="1" applyAlignment="1">
      <alignment horizontal="center" wrapText="1"/>
    </xf>
    <xf numFmtId="0" fontId="32" fillId="41" borderId="78" xfId="3" applyFont="1" applyFill="1" applyBorder="1" applyAlignment="1">
      <alignment horizontal="left" vertical="top"/>
    </xf>
    <xf numFmtId="0" fontId="58" fillId="32" borderId="78" xfId="0" applyFont="1" applyFill="1" applyBorder="1"/>
    <xf numFmtId="0" fontId="0" fillId="0" borderId="78" xfId="0" applyBorder="1"/>
    <xf numFmtId="169" fontId="0" fillId="0" borderId="78" xfId="0" applyNumberFormat="1" applyBorder="1"/>
    <xf numFmtId="3" fontId="36" fillId="39" borderId="80" xfId="3" applyNumberFormat="1" applyFont="1" applyFill="1" applyBorder="1" applyAlignment="1">
      <alignment horizontal="center" vertical="center" wrapText="1"/>
    </xf>
    <xf numFmtId="169" fontId="36" fillId="39" borderId="80" xfId="3" applyNumberFormat="1" applyFont="1" applyFill="1" applyBorder="1" applyAlignment="1">
      <alignment horizontal="center" vertical="center" wrapText="1"/>
    </xf>
    <xf numFmtId="173" fontId="36" fillId="39" borderId="80" xfId="3" applyNumberFormat="1" applyFont="1" applyFill="1" applyBorder="1" applyAlignment="1">
      <alignment horizontal="center" vertical="center" wrapText="1"/>
    </xf>
    <xf numFmtId="3" fontId="74" fillId="39" borderId="80" xfId="3" applyNumberFormat="1" applyFont="1" applyFill="1" applyBorder="1" applyAlignment="1">
      <alignment horizontal="center" vertical="center"/>
    </xf>
    <xf numFmtId="0" fontId="24" fillId="0" borderId="81" xfId="3" applyFont="1" applyBorder="1"/>
    <xf numFmtId="0" fontId="74" fillId="42" borderId="81" xfId="3" applyFont="1" applyFill="1" applyBorder="1" applyAlignment="1">
      <alignment horizontal="right"/>
    </xf>
    <xf numFmtId="169" fontId="74" fillId="42" borderId="81" xfId="3" applyNumberFormat="1" applyFont="1" applyFill="1" applyBorder="1" applyAlignment="1">
      <alignment horizontal="center"/>
    </xf>
  </cellXfs>
  <cellStyles count="5">
    <cellStyle name="Bueno" xfId="1" builtinId="26"/>
    <cellStyle name="Moneda" xfId="4" builtinId="4"/>
    <cellStyle name="Moneda 2" xfId="2" xr:uid="{6FEC6837-D97C-48D4-BBD3-5E2951F81CB9}"/>
    <cellStyle name="Normal" xfId="0" builtinId="0"/>
    <cellStyle name="Normal 2" xfId="3" xr:uid="{762276E4-A7B6-4B8C-AC83-78B1542E1840}"/>
  </cellStyles>
  <dxfs count="4522">
    <dxf>
      <font>
        <color rgb="FF9C0006"/>
      </font>
    </dxf>
    <dxf>
      <font>
        <color theme="9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FFC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indexed="64"/>
          <bgColor rgb="FFFFFFFF"/>
        </patternFill>
      </fill>
    </dxf>
    <dxf>
      <font>
        <color rgb="FFFF0000"/>
      </font>
      <fill>
        <patternFill patternType="solid">
          <fgColor indexed="64"/>
          <bgColor rgb="FFFFFFFF"/>
        </patternFill>
      </fill>
    </dxf>
    <dxf>
      <font>
        <color rgb="FF008000"/>
      </font>
      <fill>
        <patternFill patternType="solid">
          <fgColor indexed="64"/>
          <bgColor rgb="FFFFFFFF"/>
        </patternFill>
      </fill>
    </dxf>
    <dxf>
      <font>
        <color rgb="FFFF0000"/>
      </font>
      <fill>
        <patternFill patternType="solid">
          <fgColor indexed="64"/>
          <bgColor rgb="FFFFFFFF"/>
        </patternFill>
      </fill>
    </dxf>
    <dxf>
      <font>
        <color rgb="FF008000"/>
      </font>
      <fill>
        <patternFill patternType="solid">
          <fgColor indexed="64"/>
          <bgColor rgb="FFFFFFFF"/>
        </patternFill>
      </fill>
    </dxf>
    <dxf>
      <font>
        <color rgb="FFFF0000"/>
      </font>
      <fill>
        <patternFill patternType="solid">
          <fgColor indexed="64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4" tint="0.39994506668294322"/>
        </patternFill>
      </fill>
    </dxf>
    <dxf>
      <font>
        <color rgb="FF9C0006"/>
      </font>
    </dxf>
    <dxf>
      <font>
        <color theme="9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m/d/yyyy"/>
      <alignment horizontal="center" vertical="center" textRotation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74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comparativos en MXN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'RESUMEN GLOBAL'!$O$5</c:f>
              <c:strCache>
                <c:ptCount val="1"/>
                <c:pt idx="0">
                  <c:v>Costo MXN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GLOBAL'!$N$6:$N$8</c:f>
              <c:strCache>
                <c:ptCount val="3"/>
                <c:pt idx="0">
                  <c:v>MATCO</c:v>
                </c:pt>
                <c:pt idx="1">
                  <c:v>HAWTHORNE</c:v>
                </c:pt>
                <c:pt idx="2">
                  <c:v>CTP</c:v>
                </c:pt>
              </c:strCache>
            </c:strRef>
          </c:cat>
          <c:val>
            <c:numRef>
              <c:f>'RESUMEN GLOBAL'!$O$6:$O$8</c:f>
              <c:numCache>
                <c:formatCode>"$"#,##0.00</c:formatCode>
                <c:ptCount val="3"/>
                <c:pt idx="0">
                  <c:v>6047671.97000001</c:v>
                </c:pt>
                <c:pt idx="1">
                  <c:v>3253984.9599999995</c:v>
                </c:pt>
                <c:pt idx="2">
                  <c:v>392865.92000000004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8-4338-8970-0152B308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8166336"/>
        <c:axId val="1396598624"/>
      </c:barChart>
      <c:catAx>
        <c:axId val="1118166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Proveedor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96598624"/>
        <c:crosses val="autoZero"/>
        <c:auto val="1"/>
        <c:lblAlgn val="ctr"/>
        <c:lblOffset val="100"/>
        <c:noMultiLvlLbl val="0"/>
      </c:catAx>
      <c:valAx>
        <c:axId val="13965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Costo equivalente MXN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8166336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114300</xdr:colOff>
      <xdr:row>0</xdr:row>
      <xdr:rowOff>114300</xdr:rowOff>
    </xdr:from>
    <xdr:to>
      <xdr:col>24</xdr:col>
      <xdr:colOff>47625</xdr:colOff>
      <xdr:row>8</xdr:row>
      <xdr:rowOff>285750</xdr:rowOff>
    </xdr:to>
    <xdr:graphicFrame macro="">
      <xdr:nvGraphicFramePr>
        <xdr:cNvPr id="2" name="Grafica Costos Proveedores MXN">
          <a:extLst>
            <a:ext uri="{FF2B5EF4-FFF2-40B4-BE49-F238E27FC236}">
              <a16:creationId xmlns:a16="http://schemas.microsoft.com/office/drawing/2014/main" id="{00A2B404-8F83-ED22-D220-2CFD46A46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371930</xdr:colOff>
      <xdr:row>0</xdr:row>
      <xdr:rowOff>0</xdr:rowOff>
    </xdr:from>
    <xdr:ext cx="2318884" cy="707937"/>
    <xdr:pic>
      <xdr:nvPicPr>
        <xdr:cNvPr id="2" name="Imagen 1">
          <a:extLst>
            <a:ext uri="{FF2B5EF4-FFF2-40B4-BE49-F238E27FC236}">
              <a16:creationId xmlns:a16="http://schemas.microsoft.com/office/drawing/2014/main" id="{09F56028-9816-497F-836C-AE1D83F2D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630" y="78468"/>
          <a:ext cx="2318884" cy="707937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D24241-F0B9-4139-AC14-D4C01D032BDB}" name="Tabla3" displayName="Tabla3" ref="A1:AG1327" totalsRowShown="0" headerRowDxfId="4521" dataDxfId="4519" headerRowBorderDxfId="4520" tableBorderDxfId="4518" totalsRowBorderDxfId="4517">
  <autoFilter ref="A1:AG1327" xr:uid="{15D24241-F0B9-4139-AC14-D4C01D032BDB}"/>
  <tableColumns count="33">
    <tableColumn id="1" xr3:uid="{3AE1863A-6D4B-40F7-BFD3-E175BD4FE308}" name="PEDIDO" dataDxfId="4516"/>
    <tableColumn id="2" xr3:uid="{5AD82588-5D08-496D-8461-D285D494A06B}" name="FECHA DE SOLICITUD" dataDxfId="4515"/>
    <tableColumn id="3" xr3:uid="{34A679AE-0B6C-406A-9763-E522B4D5C7E5}" name="QUIEN SOLICITA" dataDxfId="4514"/>
    <tableColumn id="4" xr3:uid="{E740A945-97DD-400F-8AB0-F385457A1877}" name="OC" dataDxfId="4513"/>
    <tableColumn id="5" xr3:uid="{746C9724-2E42-48F8-87CA-1A72B7A348FA}" name="REQUISICION" dataDxfId="4512"/>
    <tableColumn id="6" xr3:uid="{AB655571-632E-4C47-928E-C88AFCABBDBF}" name="FECHA DE REQ" dataDxfId="4511"/>
    <tableColumn id="29" xr3:uid="{8A49C664-5EAF-4628-8ED3-2865D905DD8A}" name="ESTATUS DE NUM ECONOMICO" dataDxfId="4510"/>
    <tableColumn id="7" xr3:uid="{BF37CE58-B286-47A9-ACC6-B77117B25297}" name="NUM ECONOMICO" dataDxfId="4509"/>
    <tableColumn id="8" xr3:uid="{0EEED08A-4998-4D4E-9882-FF6435FC125A}" name="NUMERO DE PARTE" dataDxfId="4508"/>
    <tableColumn id="35" xr3:uid="{8015957B-D4FD-408A-97CB-3CD76893F406}" name="DESCRIPCION" dataDxfId="4507"/>
    <tableColumn id="9" xr3:uid="{40695FB8-A393-4E7F-BE67-D3D3754D7CE8}" name="CANTIDAD SOLICTADA" dataDxfId="4506"/>
    <tableColumn id="10" xr3:uid="{395B2A1F-0636-4DA4-A819-B7AFB2ACB304}" name="COSTO UNITARIO EN MATCO PESOS" dataDxfId="4505"/>
    <tableColumn id="11" xr3:uid="{B31F2F8F-E78F-41E5-AB59-3725EBC9AA5B}" name="COSTO TOTAL SIN IVA PESOS EN MATCO" dataDxfId="4504">
      <calculatedColumnFormula>+L2*K2</calculatedColumnFormula>
    </tableColumn>
    <tableColumn id="37" xr3:uid="{0F111579-FC7C-4F30-9F7E-B4AEF6F9DA88}" name="DIAS DE ENTREGA TENTATIVO EN MATCO" dataDxfId="4503"/>
    <tableColumn id="12" xr3:uid="{8A24C9C4-C25B-405F-A3D3-681FCAA3148E}" name="COSTO UNITARIO DOLARES EN HAWTHORNE" dataDxfId="4502"/>
    <tableColumn id="13" xr3:uid="{2CD335F7-EB93-468D-AF14-91683AF2DA2C}" name="COSTO TOTAL DOLARES EN HAWTHORNE" dataDxfId="4501">
      <calculatedColumnFormula>Tabla3[[#This Row],[COSTO UNITARIO DOLARES EN HAWTHORNE]]*Tabla3[[#This Row],[CANTIDAD SOLICTADA]]</calculatedColumnFormula>
    </tableColumn>
    <tableColumn id="36" xr3:uid="{FA438343-6B40-45EF-B913-31D13A9DFC1D}" name="DIAS TENTATIVO DE  ENTREGA HAWTHORNE" dataDxfId="4500"/>
    <tableColumn id="40" xr3:uid="{0FF3BB34-16B6-4A92-866B-C0975DFBA5DB}" name="COSTO UNITARIO DOLARES CTP" dataDxfId="4499" dataCellStyle="Moneda"/>
    <tableColumn id="39" xr3:uid="{6D552C52-C6F0-4CA6-8833-3DFE84783067}" name="COSTO TOTAL DOLARES CTP" dataDxfId="4498" dataCellStyle="Moneda">
      <calculatedColumnFormula>+Tabla3[[#This Row],[COSTO UNITARIO DOLARES CTP]]*Tabla3[[#This Row],[CANTIDAD SOLICTADA]]</calculatedColumnFormula>
    </tableColumn>
    <tableColumn id="38" xr3:uid="{E55B35F8-5863-4588-8C8A-24B5FBA18F38}" name="DIAS TENTATIVO DE ENTREGA CTP" dataDxfId="4497"/>
    <tableColumn id="15" xr3:uid="{89A94024-0E3A-4DAE-8F5E-8381B8DAE0E4}" name="STATUS" dataDxfId="4496"/>
    <tableColumn id="16" xr3:uid="{A659C6D1-7C79-41F2-8A55-B92FAB3FA72A}" name="NUMERO DE COTIZACION" dataDxfId="4495"/>
    <tableColumn id="17" xr3:uid="{CAEE3AD3-7596-4C5C-BB7C-623D98C06B61}" name="FECHA DE ENTREGA" dataDxfId="4494"/>
    <tableColumn id="18" xr3:uid="{D170CB25-E4DC-4B2D-B943-8C2C9C8F65FF}" name="EN ESTOCK" dataDxfId="4493"/>
    <tableColumn id="19" xr3:uid="{19409C5E-69B1-483D-BA4E-5B278BA23FD5}" name="CANTIDAD EN ESTOCK" dataDxfId="4492"/>
    <tableColumn id="21" xr3:uid="{C3BF09F5-8DE0-4AC6-98A2-30F9F8475DF6}" name="PEDIDO A PROVEEDOR" dataDxfId="4491"/>
    <tableColumn id="22" xr3:uid="{621F3163-63A1-496D-A082-D09078CF2C7B}" name="FECHA DE PEDIDO" dataDxfId="4490"/>
    <tableColumn id="23" xr3:uid="{6A7168C2-76F9-4506-A462-F3D341C85D88}" name="FECHA TENTATIVA DE ENTREGA" dataDxfId="4489"/>
    <tableColumn id="24" xr3:uid="{6ADFE0B6-AAB5-460E-9268-2FC5D75BC0F4}" name="QUIEN RECIBE" dataDxfId="4488"/>
    <tableColumn id="25" xr3:uid="{28AF3F5D-5AC1-45AE-8375-E5FE5B9E964F}" name="REMISION DE SALIDA" dataDxfId="4487"/>
    <tableColumn id="26" xr3:uid="{EDEC1983-84E0-4F27-9ECE-98B390B7D1A7}" name="COMENTARIOS" dataDxfId="4486"/>
    <tableColumn id="41" xr3:uid="{FD811A56-92C2-42D0-AA03-A9C1E2AC2C18}" name="COMENTARIOS 2" dataDxfId="4485"/>
    <tableColumn id="27" xr3:uid="{129B7564-096A-4B2F-AA89-07515CE1AD3E}" name="TEMA" dataDxfId="4484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fdmartinez@geoingenieros.com.mx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mailto:svillafuerte@geoingenieros.com.mx" TargetMode="External"/><Relationship Id="rId7" Type="http://schemas.openxmlformats.org/officeDocument/2006/relationships/hyperlink" Target="mailto:cmarquez@geoingenieros.com.mx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gvalenzuela@geoingenieros.com.mx" TargetMode="External"/><Relationship Id="rId1" Type="http://schemas.openxmlformats.org/officeDocument/2006/relationships/hyperlink" Target="mailto:vcervantes@vivelabaja.com" TargetMode="External"/><Relationship Id="rId6" Type="http://schemas.openxmlformats.org/officeDocument/2006/relationships/hyperlink" Target="mailto:igonzalez@geoingenieros.com.mx" TargetMode="External"/><Relationship Id="rId11" Type="http://schemas.openxmlformats.org/officeDocument/2006/relationships/hyperlink" Target="mailto:kgarcia@geoingenieros.com.mx" TargetMode="External"/><Relationship Id="rId5" Type="http://schemas.openxmlformats.org/officeDocument/2006/relationships/hyperlink" Target="mailto:etorres@geoingenieros.com.mx" TargetMode="External"/><Relationship Id="rId10" Type="http://schemas.openxmlformats.org/officeDocument/2006/relationships/hyperlink" Target="mailto:saromero@costaerense.com.mx" TargetMode="External"/><Relationship Id="rId4" Type="http://schemas.openxmlformats.org/officeDocument/2006/relationships/hyperlink" Target="mailto:bserrano@geoingenieros.com.mx" TargetMode="External"/><Relationship Id="rId9" Type="http://schemas.openxmlformats.org/officeDocument/2006/relationships/hyperlink" Target="mailto:falvarez@geoingenieros,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64A5-FFB6-46AA-969A-A97988E65F3A}">
  <dimension ref="A1:Z50"/>
  <sheetViews>
    <sheetView topLeftCell="A3" workbookViewId="0">
      <selection activeCell="B24" sqref="B24"/>
    </sheetView>
  </sheetViews>
  <sheetFormatPr baseColWidth="10" defaultColWidth="9.140625" defaultRowHeight="15" x14ac:dyDescent="0.25"/>
  <cols>
    <col min="1" max="1" width="2.85546875" customWidth="1"/>
    <col min="2" max="2" width="64.7109375" customWidth="1"/>
    <col min="3" max="3" width="26" bestFit="1" customWidth="1"/>
    <col min="4" max="4" width="23.85546875" bestFit="1" customWidth="1"/>
    <col min="5" max="5" width="29.28515625" bestFit="1" customWidth="1"/>
    <col min="6" max="6" width="16.7109375" bestFit="1" customWidth="1"/>
    <col min="7" max="7" width="18.140625" bestFit="1" customWidth="1"/>
    <col min="8" max="8" width="2.85546875" customWidth="1"/>
  </cols>
  <sheetData>
    <row r="1" spans="1:26" x14ac:dyDescent="0.25">
      <c r="A1" s="234"/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</row>
    <row r="2" spans="1:26" ht="26.25" x14ac:dyDescent="0.25">
      <c r="A2" s="234"/>
      <c r="B2" s="314" t="s">
        <v>0</v>
      </c>
      <c r="C2" s="314"/>
      <c r="D2" s="314"/>
      <c r="E2" s="314"/>
      <c r="F2" s="314"/>
      <c r="G2" s="31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</row>
    <row r="3" spans="1:26" x14ac:dyDescent="0.25">
      <c r="A3" s="234"/>
      <c r="B3" s="315" t="s">
        <v>1</v>
      </c>
      <c r="C3" s="315"/>
      <c r="D3" s="315"/>
      <c r="E3" s="315"/>
      <c r="F3" s="315"/>
      <c r="G3" s="315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</row>
    <row r="4" spans="1:26" x14ac:dyDescent="0.25">
      <c r="A4" s="234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</row>
    <row r="5" spans="1:26" ht="18.75" x14ac:dyDescent="0.3">
      <c r="A5" s="234"/>
      <c r="B5" s="235" t="s">
        <v>2</v>
      </c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</row>
    <row r="6" spans="1:26" s="261" customFormat="1" x14ac:dyDescent="0.25">
      <c r="A6" s="254"/>
      <c r="B6" s="262" t="s">
        <v>3</v>
      </c>
      <c r="C6" s="263" t="s">
        <v>4</v>
      </c>
      <c r="D6" s="264" t="s">
        <v>5</v>
      </c>
      <c r="E6" s="265" t="s">
        <v>6</v>
      </c>
      <c r="F6" s="266" t="s">
        <v>7</v>
      </c>
      <c r="G6" s="267" t="s">
        <v>8</v>
      </c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</row>
    <row r="7" spans="1:26" s="261" customFormat="1" ht="36" x14ac:dyDescent="0.25">
      <c r="A7" s="254"/>
      <c r="B7" s="255">
        <f>ROWS(Tabla3[PEDIDO])</f>
        <v>1326</v>
      </c>
      <c r="C7" s="256">
        <f>COUNTIF(Tabla3[STATUS],"ENTREGADO")</f>
        <v>478</v>
      </c>
      <c r="D7" s="257">
        <f>COUNTIFS(Tabla3[STATUS],"COTIZANDO",Tabla3[TEMA],"&lt;&gt;SERVICIO DE FILTROS")</f>
        <v>704</v>
      </c>
      <c r="E7" s="258">
        <f>COUNTIF(Tabla3[STATUS],"EN ALMACEN")</f>
        <v>50</v>
      </c>
      <c r="F7" s="259">
        <f>COUNTIF(Tabla3[STATUS],"CANCELADO")</f>
        <v>31</v>
      </c>
      <c r="G7" s="260">
        <f>COUNTIF(Tabla3[STATUS],"PEDIDO")</f>
        <v>58</v>
      </c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</row>
    <row r="8" spans="1:26" x14ac:dyDescent="0.25">
      <c r="A8" s="234"/>
      <c r="B8" s="236" t="s">
        <v>9</v>
      </c>
      <c r="C8" s="237" t="str">
        <f>TEXT(C7/B7,"0%")&amp;" del total"</f>
        <v>36% del total</v>
      </c>
      <c r="D8" s="238" t="str">
        <f>TEXT(D7/B7,"0%")&amp;" del total"</f>
        <v>53% del total</v>
      </c>
      <c r="E8" s="239" t="str">
        <f>TEXT(E7/B7,"0%")&amp;" del total"</f>
        <v>4% del total</v>
      </c>
      <c r="F8" s="240" t="str">
        <f>TEXT(F7/B7,"0%")&amp;" del total"</f>
        <v>2% del total</v>
      </c>
      <c r="G8" s="241" t="s">
        <v>10</v>
      </c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</row>
    <row r="9" spans="1:26" x14ac:dyDescent="0.25">
      <c r="A9" s="234"/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</row>
    <row r="10" spans="1:26" ht="18.75" x14ac:dyDescent="0.3">
      <c r="A10" s="234"/>
      <c r="B10" s="235" t="s">
        <v>11</v>
      </c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</row>
    <row r="11" spans="1:26" s="261" customFormat="1" x14ac:dyDescent="0.25">
      <c r="A11" s="254"/>
      <c r="B11" s="276" t="s">
        <v>12</v>
      </c>
      <c r="C11" s="277" t="s">
        <v>13</v>
      </c>
      <c r="D11" s="277" t="s">
        <v>14</v>
      </c>
      <c r="E11" s="277" t="s">
        <v>15</v>
      </c>
      <c r="F11" s="278" t="s">
        <v>16</v>
      </c>
      <c r="G11" s="278" t="s">
        <v>17</v>
      </c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</row>
    <row r="12" spans="1:26" s="285" customFormat="1" ht="28.5" x14ac:dyDescent="0.25">
      <c r="A12" s="284"/>
      <c r="B12" s="279">
        <f>COUNTIFS(MAQUINARIA!$B$3:$B$655,"&lt;&gt;",MAQUINARIA!$B$3:$B$655,"&lt;&gt;Seguimiento",MAQUINARIA!$H$3:$H$655,"ACTIVA")</f>
        <v>81</v>
      </c>
      <c r="C12" s="280">
        <f>COUNTIFS(MAQUINARIA!$B$3:$B$655,"&lt;&gt;",MAQUINARIA!$B$3:$B$655,"&lt;&gt;Seguimiento",MAQUINARIA!$H$3:$H$655,"INACTIVA")</f>
        <v>38</v>
      </c>
      <c r="D12" s="281">
        <f>COUNTIFS(MAQUINARIA!$B$3:$B$655,"&lt;&gt;",MAQUINARIA!$B$3:$B$655,"&lt;&gt;Seguimiento",MAQUINARIA!$H$3:$H$655,"DONANTE")</f>
        <v>5</v>
      </c>
      <c r="E12" s="286">
        <f>COUNTIFS(MAQUINARIA!$B$3:$B$655,"&lt;&gt;",MAQUINARIA!$B$3:$B$655,"&lt;&gt;Seguimiento",MAQUINARIA!$H$3:$H$655,"SINIESTRADO")</f>
        <v>2</v>
      </c>
      <c r="F12" s="282">
        <f>SUM(B12:E12)</f>
        <v>126</v>
      </c>
      <c r="G12" s="283">
        <f>IF(F12&gt;0,B12/F12,0)</f>
        <v>0.6428571428571429</v>
      </c>
      <c r="H12" s="284"/>
      <c r="I12" s="284"/>
      <c r="J12" s="284"/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spans="1:26" x14ac:dyDescent="0.25">
      <c r="A13" s="234"/>
      <c r="B13" s="273" t="s">
        <v>18</v>
      </c>
      <c r="C13" s="274" t="s">
        <v>19</v>
      </c>
      <c r="D13" s="274" t="s">
        <v>20</v>
      </c>
      <c r="E13" s="274" t="s">
        <v>21</v>
      </c>
      <c r="F13" s="275" t="s">
        <v>22</v>
      </c>
      <c r="G13" s="275" t="s">
        <v>23</v>
      </c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</row>
    <row r="14" spans="1:26" x14ac:dyDescent="0.25">
      <c r="A14" s="234"/>
      <c r="B14" s="234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</row>
    <row r="15" spans="1:26" ht="18.75" x14ac:dyDescent="0.3">
      <c r="A15" s="234"/>
      <c r="B15" s="235" t="s">
        <v>24</v>
      </c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</row>
    <row r="16" spans="1:26" s="261" customFormat="1" x14ac:dyDescent="0.25">
      <c r="A16" s="254"/>
      <c r="B16" s="262" t="s">
        <v>25</v>
      </c>
      <c r="C16" s="263" t="s">
        <v>26</v>
      </c>
      <c r="D16" s="267" t="s">
        <v>27</v>
      </c>
      <c r="E16" s="268" t="s">
        <v>28</v>
      </c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</row>
    <row r="17" spans="1:26" s="261" customFormat="1" ht="28.5" x14ac:dyDescent="0.25">
      <c r="A17" s="254"/>
      <c r="B17" s="269">
        <f>SUMIFS(Tabla3[COSTO TOTAL SIN IVA PESOS EN MATCO],Tabla3[STATUS],"COTIZANDO",Tabla3[TEMA],"&lt;&gt;SERVICIO DE FILTROS")</f>
        <v>6047671.97000001</v>
      </c>
      <c r="C17" s="270">
        <f>SUMIFS(Tabla3[COSTO TOTAL DOLARES EN HAWTHORNE],Tabla3[STATUS],"COTIZANDO",Tabla3[TEMA],"&lt;&gt;SERVICIO DE FILTROS")</f>
        <v>191410.87999999998</v>
      </c>
      <c r="D17" s="271">
        <f>SUMIFS(Tabla3[COSTO TOTAL DOLARES CTP],Tabla3[STATUS],"COTIZANDO",Tabla3[TEMA],"&lt;&gt;SERVICIO DE FILTROS")</f>
        <v>23109.760000000002</v>
      </c>
      <c r="E17" s="272" t="str">
        <f>IF('RESUMEN GLOBAL'!E3="","$0.00 MXN/USD","$"&amp;TEXT('RESUMEN GLOBAL'!E3,"#,##0.00")&amp;" MXN/USD")</f>
        <v>$17.00 MXN/USD</v>
      </c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</row>
    <row r="18" spans="1:26" x14ac:dyDescent="0.25">
      <c r="A18" s="234"/>
      <c r="B18" s="236" t="s">
        <v>29</v>
      </c>
      <c r="C18" s="237" t="s">
        <v>30</v>
      </c>
      <c r="D18" s="241" t="s">
        <v>30</v>
      </c>
      <c r="E18" s="242" t="s">
        <v>31</v>
      </c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</row>
    <row r="19" spans="1:26" x14ac:dyDescent="0.25">
      <c r="A19" s="234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</row>
    <row r="20" spans="1:26" ht="18.75" x14ac:dyDescent="0.3">
      <c r="A20" s="234"/>
      <c r="B20" s="303" t="s">
        <v>32</v>
      </c>
      <c r="C20" s="300"/>
      <c r="D20" s="300"/>
      <c r="E20" s="300"/>
      <c r="F20" s="300"/>
      <c r="G20" s="300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</row>
    <row r="21" spans="1:26" ht="45" x14ac:dyDescent="0.25">
      <c r="A21" s="234"/>
      <c r="B21" s="295" t="s">
        <v>33</v>
      </c>
      <c r="C21" s="295" t="s">
        <v>34</v>
      </c>
      <c r="D21" s="295" t="s">
        <v>35</v>
      </c>
      <c r="E21" s="295" t="s">
        <v>36</v>
      </c>
      <c r="F21" s="295" t="s">
        <v>37</v>
      </c>
      <c r="G21" s="278" t="s">
        <v>1797</v>
      </c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</row>
    <row r="22" spans="1:26" x14ac:dyDescent="0.25">
      <c r="A22" s="234"/>
      <c r="B22" s="296" t="str" cm="1">
        <f t="array" ref="B22">IFERROR(INDEX(_xlfn._xlws.FILTER('RESUMEN GLOBAL'!B12:B25,'RESUMEN GLOBAL'!C12:C25="INACTIVA"),1),"")</f>
        <v>CL-01</v>
      </c>
      <c r="C22" s="296" t="str" cm="1">
        <f t="array" ref="C22">IFERROR(INDEX(_xlfn._xlws.FILTER('RESUMEN GLOBAL'!D12:D25,'RESUMEN GLOBAL'!C12:C25="INACTIVA"),1),"")</f>
        <v>CAMION DE LAVADO 650</v>
      </c>
      <c r="D22" s="297" t="str">
        <f t="shared" ref="D22:D31" si="0">IF(B22&lt;&gt;"","INACTIVA","")</f>
        <v>INACTIVA</v>
      </c>
      <c r="E22" s="298" cm="1">
        <f t="array" ref="E22">IFERROR(INDEX(_xlfn._xlws.FILTER('RESUMEN GLOBAL'!G12:G25,'RESUMEN GLOBAL'!C12:C25="INACTIVA"),1),0)</f>
        <v>0</v>
      </c>
      <c r="F22" s="299">
        <f>IF(B22="",0,IFERROR(_xlfn.NUMBERVALUE(SUBSTITUTE(SUBSTITUTE(_xlfn.XLOOKUP(B22,'RESUMEN GLOBAL'!$B$12:$B$25,'RESUMEN GLOBAL'!$J$12:$J$25)," USD",""),"$",""),".",","),0))</f>
        <v>0</v>
      </c>
      <c r="G22" s="299">
        <f>IF(B22="",0,IFERROR(_xlfn.NUMBERVALUE(SUBSTITUTE(SUBSTITUTE(_xlfn.XLOOKUP(B22,'RESUMEN GLOBAL'!$B$12:$B$25,'RESUMEN GLOBAL'!$H$12:$H$25)," USD",""),"$",""),".",","),0))</f>
        <v>0</v>
      </c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</row>
    <row r="23" spans="1:26" x14ac:dyDescent="0.25">
      <c r="A23" s="234"/>
      <c r="B23" s="296" t="str" cm="1">
        <f t="array" ref="B23">IFERROR(INDEX(_xlfn._xlws.FILTER('RESUMEN GLOBAL'!B12:B25,'RESUMEN GLOBAL'!C12:C25="INACTIVA"),2),"")</f>
        <v>CM-04</v>
      </c>
      <c r="C23" s="296" t="str" cm="1">
        <f t="array" ref="C23">IFERROR(INDEX(_xlfn._xlws.FILTER('RESUMEN GLOBAL'!D12:D25,'RESUMEN GLOBAL'!C12:C25="INACTIVA"),2),"")</f>
        <v>CAMA BAJA DOLLY</v>
      </c>
      <c r="D23" s="297" t="str">
        <f t="shared" si="0"/>
        <v>INACTIVA</v>
      </c>
      <c r="E23" s="298" cm="1">
        <f t="array" ref="E23">IFERROR(INDEX(_xlfn._xlws.FILTER('RESUMEN GLOBAL'!G12:G25,'RESUMEN GLOBAL'!C12:C25="INACTIVA"),2),0)</f>
        <v>0</v>
      </c>
      <c r="F23" s="299">
        <f>IF(B23="",0,IFERROR(_xlfn.NUMBERVALUE(SUBSTITUTE(SUBSTITUTE(_xlfn.XLOOKUP(B23,'RESUMEN GLOBAL'!$B$12:$B$25,'RESUMEN GLOBAL'!$J$12:$J$25)," USD",""),"$",""),".",","),0))</f>
        <v>0</v>
      </c>
      <c r="G23" s="299">
        <f>IF(B23="",0,IFERROR(_xlfn.NUMBERVALUE(SUBSTITUTE(SUBSTITUTE(_xlfn.XLOOKUP(B23,'RESUMEN GLOBAL'!$B$12:$B$25,'RESUMEN GLOBAL'!$H$12:$H$25)," USD",""),"$",""),".",","),0))</f>
        <v>0</v>
      </c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</row>
    <row r="24" spans="1:26" x14ac:dyDescent="0.25">
      <c r="A24" s="234"/>
      <c r="B24" s="296" t="str" cm="1">
        <f t="array" ref="B24">IFERROR(INDEX(_xlfn._xlws.FILTER('RESUMEN GLOBAL'!B12:B25,'RESUMEN GLOBAL'!C12:C25="INACTIVA"),3),"")</f>
        <v>CRC-04</v>
      </c>
      <c r="C24" s="296" t="str" cm="1">
        <f t="array" ref="C24">IFERROR(INDEX(_xlfn._xlws.FILTER('RESUMEN GLOBAL'!D12:D25,'RESUMEN GLOBAL'!C12:C25="INACTIVA"),3),"")</f>
        <v>CAMION REVOLVEDOR 7 MTS</v>
      </c>
      <c r="D24" s="297" t="str">
        <f t="shared" si="0"/>
        <v>INACTIVA</v>
      </c>
      <c r="E24" s="298" cm="1">
        <f t="array" ref="E24">IFERROR(INDEX(_xlfn._xlws.FILTER('RESUMEN GLOBAL'!G12:G25,'RESUMEN GLOBAL'!C12:C25="INACTIVA"),3),0)</f>
        <v>0</v>
      </c>
      <c r="F24" s="299">
        <f>IF(B24="",0,IFERROR(_xlfn.NUMBERVALUE(SUBSTITUTE(SUBSTITUTE(_xlfn.XLOOKUP(B24,'RESUMEN GLOBAL'!$B$12:$B$25,'RESUMEN GLOBAL'!$J$12:$J$25)," USD",""),"$",""),".",","),0))</f>
        <v>0</v>
      </c>
      <c r="G24" s="299">
        <f>IF(B24="",0,IFERROR(_xlfn.NUMBERVALUE(SUBSTITUTE(SUBSTITUTE(_xlfn.XLOOKUP(B24,'RESUMEN GLOBAL'!$B$12:$B$25,'RESUMEN GLOBAL'!$H$12:$H$25)," USD",""),"$",""),".",","),0))</f>
        <v>0</v>
      </c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</row>
    <row r="25" spans="1:26" x14ac:dyDescent="0.25">
      <c r="A25" s="234"/>
      <c r="B25" s="296" t="str" cm="1">
        <f t="array" ref="B25">IFERROR(INDEX(_xlfn._xlws.FILTER('RESUMEN GLOBAL'!B12:B25,'RESUMEN GLOBAL'!C12:C25="INACTIVA"),4),"")</f>
        <v/>
      </c>
      <c r="C25" s="296" t="str" cm="1">
        <f t="array" ref="C25">IFERROR(INDEX(_xlfn._xlws.FILTER('RESUMEN GLOBAL'!D12:D25,'RESUMEN GLOBAL'!C12:C25="INACTIVA"),4),"")</f>
        <v/>
      </c>
      <c r="D25" s="297" t="str">
        <f t="shared" si="0"/>
        <v/>
      </c>
      <c r="E25" s="298" cm="1">
        <f t="array" ref="E25">IFERROR(INDEX(_xlfn._xlws.FILTER('RESUMEN GLOBAL'!G12:G25,'RESUMEN GLOBAL'!C12:C25="INACTIVA"),4),0)</f>
        <v>0</v>
      </c>
      <c r="F25" s="299">
        <f>IF(B25="",0,IFERROR(_xlfn.NUMBERVALUE(SUBSTITUTE(SUBSTITUTE(_xlfn.XLOOKUP(B25,'RESUMEN GLOBAL'!$B$12:$B$25,'RESUMEN GLOBAL'!$J$12:$J$25)," USD",""),"$",""),".",","),0))</f>
        <v>0</v>
      </c>
      <c r="G25" s="299">
        <f>IF(B25="",0,IFERROR(_xlfn.NUMBERVALUE(SUBSTITUTE(SUBSTITUTE(_xlfn.XLOOKUP(B25,'RESUMEN GLOBAL'!$B$12:$B$25,'RESUMEN GLOBAL'!$H$12:$H$25)," USD",""),"$",""),".",","),0))</f>
        <v>0</v>
      </c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</row>
    <row r="26" spans="1:26" x14ac:dyDescent="0.25">
      <c r="A26" s="234"/>
      <c r="B26" s="296" t="str" cm="1">
        <f t="array" ref="B26">IFERROR(INDEX(_xlfn._xlws.FILTER('RESUMEN GLOBAL'!B12:B25,'RESUMEN GLOBAL'!C12:C25="INACTIVA"),5),"")</f>
        <v/>
      </c>
      <c r="C26" s="296" t="str" cm="1">
        <f t="array" ref="C26">IFERROR(INDEX(_xlfn._xlws.FILTER('RESUMEN GLOBAL'!D12:D25,'RESUMEN GLOBAL'!C12:C25="INACTIVA"),5),"")</f>
        <v/>
      </c>
      <c r="D26" s="297" t="str">
        <f t="shared" si="0"/>
        <v/>
      </c>
      <c r="E26" s="298" cm="1">
        <f t="array" ref="E26">IFERROR(INDEX(_xlfn._xlws.FILTER('RESUMEN GLOBAL'!G12:G25,'RESUMEN GLOBAL'!C12:C25="INACTIVA"),5),0)</f>
        <v>0</v>
      </c>
      <c r="F26" s="299">
        <f>IF(B26="",0,IFERROR(_xlfn.NUMBERVALUE(SUBSTITUTE(SUBSTITUTE(_xlfn.XLOOKUP(B26,'RESUMEN GLOBAL'!$B$12:$B$25,'RESUMEN GLOBAL'!$J$12:$J$25)," USD",""),"$",""),".",","),0))</f>
        <v>0</v>
      </c>
      <c r="G26" s="299">
        <f>IF(B26="",0,IFERROR(_xlfn.NUMBERVALUE(SUBSTITUTE(SUBSTITUTE(_xlfn.XLOOKUP(B26,'RESUMEN GLOBAL'!$B$12:$B$25,'RESUMEN GLOBAL'!$H$12:$H$25)," USD",""),"$",""),".",","),0))</f>
        <v>0</v>
      </c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</row>
    <row r="27" spans="1:26" x14ac:dyDescent="0.25">
      <c r="A27" s="234"/>
      <c r="B27" s="296" t="str" cm="1">
        <f t="array" ref="B27">IFERROR(INDEX(_xlfn._xlws.FILTER('RESUMEN GLOBAL'!B12:B25,'RESUMEN GLOBAL'!C12:C25="INACTIVA"),6),"")</f>
        <v/>
      </c>
      <c r="C27" s="296" t="str" cm="1">
        <f t="array" ref="C27">IFERROR(INDEX(_xlfn._xlws.FILTER('RESUMEN GLOBAL'!D12:D25,'RESUMEN GLOBAL'!C12:C25="INACTIVA"),6),"")</f>
        <v/>
      </c>
      <c r="D27" s="297" t="str">
        <f t="shared" si="0"/>
        <v/>
      </c>
      <c r="E27" s="298" cm="1">
        <f t="array" ref="E27">IFERROR(INDEX(_xlfn._xlws.FILTER('RESUMEN GLOBAL'!G12:G25,'RESUMEN GLOBAL'!C12:C25="INACTIVA"),6),0)</f>
        <v>0</v>
      </c>
      <c r="F27" s="299">
        <f>IF(B27="",0,IFERROR(_xlfn.NUMBERVALUE(SUBSTITUTE(SUBSTITUTE(_xlfn.XLOOKUP(B27,'RESUMEN GLOBAL'!$B$12:$B$25,'RESUMEN GLOBAL'!$J$12:$J$25)," USD",""),"$",""),".",","),0))</f>
        <v>0</v>
      </c>
      <c r="G27" s="299">
        <f>IF(B27="",0,IFERROR(_xlfn.NUMBERVALUE(SUBSTITUTE(SUBSTITUTE(_xlfn.XLOOKUP(B27,'RESUMEN GLOBAL'!$B$12:$B$25,'RESUMEN GLOBAL'!$H$12:$H$25)," USD",""),"$",""),".",","),0))</f>
        <v>0</v>
      </c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</row>
    <row r="28" spans="1:26" x14ac:dyDescent="0.25">
      <c r="A28" s="234"/>
      <c r="B28" s="296" t="str" cm="1">
        <f t="array" ref="B28">IFERROR(INDEX(_xlfn._xlws.FILTER('RESUMEN GLOBAL'!B12:B25,'RESUMEN GLOBAL'!C12:C25="INACTIVA"),7),"")</f>
        <v/>
      </c>
      <c r="C28" s="296" t="str" cm="1">
        <f t="array" ref="C28">IFERROR(INDEX(_xlfn._xlws.FILTER('RESUMEN GLOBAL'!D12:D25,'RESUMEN GLOBAL'!C12:C25="INACTIVA"),7),"")</f>
        <v/>
      </c>
      <c r="D28" s="297" t="str">
        <f t="shared" si="0"/>
        <v/>
      </c>
      <c r="E28" s="298" cm="1">
        <f t="array" ref="E28">IFERROR(INDEX(_xlfn._xlws.FILTER('RESUMEN GLOBAL'!G12:G25,'RESUMEN GLOBAL'!C12:C25="INACTIVA"),7),0)</f>
        <v>0</v>
      </c>
      <c r="F28" s="299">
        <f>IF(B28="",0,IFERROR(_xlfn.NUMBERVALUE(SUBSTITUTE(SUBSTITUTE(_xlfn.XLOOKUP(B28,'RESUMEN GLOBAL'!$B$12:$B$25,'RESUMEN GLOBAL'!$J$12:$J$25)," USD",""),"$",""),".",","),0))</f>
        <v>0</v>
      </c>
      <c r="G28" s="299">
        <f>IF(B28="",0,IFERROR(_xlfn.NUMBERVALUE(SUBSTITUTE(SUBSTITUTE(_xlfn.XLOOKUP(B28,'RESUMEN GLOBAL'!$B$12:$B$25,'RESUMEN GLOBAL'!$H$12:$H$25)," USD",""),"$",""),".",","),0))</f>
        <v>0</v>
      </c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</row>
    <row r="29" spans="1:26" x14ac:dyDescent="0.25">
      <c r="A29" s="234"/>
      <c r="B29" s="296" t="str" cm="1">
        <f t="array" ref="B29">IFERROR(INDEX(_xlfn._xlws.FILTER('RESUMEN GLOBAL'!B12:B25,'RESUMEN GLOBAL'!C12:C25="INACTIVA"),8),"")</f>
        <v/>
      </c>
      <c r="C29" s="296" t="str" cm="1">
        <f t="array" ref="C29">IFERROR(INDEX(_xlfn._xlws.FILTER('RESUMEN GLOBAL'!D12:D25,'RESUMEN GLOBAL'!C12:C25="INACTIVA"),8),"")</f>
        <v/>
      </c>
      <c r="D29" s="297" t="str">
        <f t="shared" si="0"/>
        <v/>
      </c>
      <c r="E29" s="298" cm="1">
        <f t="array" ref="E29">IFERROR(INDEX(_xlfn._xlws.FILTER('RESUMEN GLOBAL'!G12:G25,'RESUMEN GLOBAL'!C12:C25="INACTIVA"),8),0)</f>
        <v>0</v>
      </c>
      <c r="F29" s="299">
        <f>IF(B29="",0,IFERROR(_xlfn.NUMBERVALUE(SUBSTITUTE(SUBSTITUTE(_xlfn.XLOOKUP(B29,'RESUMEN GLOBAL'!$B$12:$B$25,'RESUMEN GLOBAL'!$J$12:$J$25)," USD",""),"$",""),".",","),0))</f>
        <v>0</v>
      </c>
      <c r="G29" s="299">
        <f>IF(B29="",0,IFERROR(_xlfn.NUMBERVALUE(SUBSTITUTE(SUBSTITUTE(_xlfn.XLOOKUP(B29,'RESUMEN GLOBAL'!$B$12:$B$25,'RESUMEN GLOBAL'!$H$12:$H$25)," USD",""),"$",""),".",","),0))</f>
        <v>0</v>
      </c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</row>
    <row r="30" spans="1:26" x14ac:dyDescent="0.25">
      <c r="A30" s="234"/>
      <c r="B30" s="296" t="str" cm="1">
        <f t="array" ref="B30">IFERROR(INDEX(_xlfn._xlws.FILTER('RESUMEN GLOBAL'!B12:B25,'RESUMEN GLOBAL'!C12:C25="INACTIVA"),9),"")</f>
        <v/>
      </c>
      <c r="C30" s="296" t="str" cm="1">
        <f t="array" ref="C30">IFERROR(INDEX(_xlfn._xlws.FILTER('RESUMEN GLOBAL'!D12:D25,'RESUMEN GLOBAL'!C12:C25="INACTIVA"),9),"")</f>
        <v/>
      </c>
      <c r="D30" s="297" t="str">
        <f t="shared" si="0"/>
        <v/>
      </c>
      <c r="E30" s="298" cm="1">
        <f t="array" ref="E30">IFERROR(INDEX(_xlfn._xlws.FILTER('RESUMEN GLOBAL'!G12:G25,'RESUMEN GLOBAL'!C12:C25="INACTIVA"),9),0)</f>
        <v>0</v>
      </c>
      <c r="F30" s="299">
        <f>IF(B30="",0,IFERROR(_xlfn.NUMBERVALUE(SUBSTITUTE(SUBSTITUTE(_xlfn.XLOOKUP(B30,'RESUMEN GLOBAL'!$B$12:$B$25,'RESUMEN GLOBAL'!$J$12:$J$25)," USD",""),"$",""),".",","),0))</f>
        <v>0</v>
      </c>
      <c r="G30" s="299">
        <f>IF(B30="",0,IFERROR(_xlfn.NUMBERVALUE(SUBSTITUTE(SUBSTITUTE(_xlfn.XLOOKUP(B30,'RESUMEN GLOBAL'!$B$12:$B$25,'RESUMEN GLOBAL'!$H$12:$H$25)," USD",""),"$",""),".",","),0))</f>
        <v>0</v>
      </c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</row>
    <row r="31" spans="1:26" x14ac:dyDescent="0.25">
      <c r="A31" s="234"/>
      <c r="B31" s="296" t="str" cm="1">
        <f t="array" ref="B31">IFERROR(INDEX(_xlfn._xlws.FILTER('RESUMEN GLOBAL'!B12:B25,'RESUMEN GLOBAL'!C12:C25="INACTIVA"),10),"")</f>
        <v/>
      </c>
      <c r="C31" s="296" t="str" cm="1">
        <f t="array" ref="C31">IFERROR(INDEX(_xlfn._xlws.FILTER('RESUMEN GLOBAL'!D12:D25,'RESUMEN GLOBAL'!C12:C25="INACTIVA"),10),"")</f>
        <v/>
      </c>
      <c r="D31" s="297" t="str">
        <f t="shared" si="0"/>
        <v/>
      </c>
      <c r="E31" s="298" cm="1">
        <f t="array" ref="E31">IFERROR(INDEX(_xlfn._xlws.FILTER('RESUMEN GLOBAL'!G12:G25,'RESUMEN GLOBAL'!C12:C25="INACTIVA"),10),0)</f>
        <v>0</v>
      </c>
      <c r="F31" s="299">
        <f>IF(B31="",0,IFERROR(_xlfn.NUMBERVALUE(SUBSTITUTE(SUBSTITUTE(_xlfn.XLOOKUP(B31,'RESUMEN GLOBAL'!$B$12:$B$25,'RESUMEN GLOBAL'!$J$12:$J$25)," USD",""),"$",""),".",","),0))</f>
        <v>0</v>
      </c>
      <c r="G31" s="299">
        <f>IF(B31="",0,IFERROR(_xlfn.NUMBERVALUE(SUBSTITUTE(SUBSTITUTE(_xlfn.XLOOKUP(B31,'RESUMEN GLOBAL'!$B$12:$B$25,'RESUMEN GLOBAL'!$H$12:$H$25)," USD",""),"$",""),".",","),0))</f>
        <v>0</v>
      </c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</row>
    <row r="32" spans="1:26" ht="15.75" x14ac:dyDescent="0.25">
      <c r="A32" s="234"/>
      <c r="B32" s="316" t="s">
        <v>38</v>
      </c>
      <c r="C32" s="316"/>
      <c r="D32" s="316"/>
      <c r="E32" s="301">
        <f>SUM(E22:E31)</f>
        <v>0</v>
      </c>
      <c r="F32" s="302">
        <f>SUM(F22:F31)</f>
        <v>0</v>
      </c>
      <c r="G32" s="302">
        <f>SUM(G22:G31)</f>
        <v>0</v>
      </c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</row>
    <row r="33" spans="1:26" x14ac:dyDescent="0.25">
      <c r="A33" s="234"/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</row>
    <row r="34" spans="1:26" x14ac:dyDescent="0.25">
      <c r="A34" s="234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</row>
    <row r="35" spans="1:26" ht="18.75" x14ac:dyDescent="0.3">
      <c r="A35" s="234"/>
      <c r="B35" s="235" t="s">
        <v>39</v>
      </c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</row>
    <row r="36" spans="1:26" x14ac:dyDescent="0.25">
      <c r="A36" s="234"/>
      <c r="B36" s="245" t="s">
        <v>40</v>
      </c>
      <c r="C36" s="243" t="s">
        <v>41</v>
      </c>
      <c r="D36" s="243" t="s">
        <v>42</v>
      </c>
      <c r="E36" s="246" t="s">
        <v>43</v>
      </c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</row>
    <row r="37" spans="1:26" x14ac:dyDescent="0.25">
      <c r="A37" s="234"/>
      <c r="B37" s="250" t="s">
        <v>44</v>
      </c>
      <c r="C37" s="247">
        <f>COUNTIFS(Tabla3[STATUS],"COTIZANDO",Tabla3[COSTO TOTAL SIN IVA PESOS EN MATCO],"&gt;0")</f>
        <v>703</v>
      </c>
      <c r="D37" s="244">
        <f>SUMIF(Tabla3[STATUS],"COTIZANDO",Tabla3[COSTO TOTAL SIN IVA PESOS EN MATCO])</f>
        <v>6049092.5200000107</v>
      </c>
      <c r="E37" s="252" t="s">
        <v>45</v>
      </c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</row>
    <row r="38" spans="1:26" x14ac:dyDescent="0.25">
      <c r="A38" s="234"/>
      <c r="B38" s="250" t="s">
        <v>46</v>
      </c>
      <c r="C38" s="247" cm="1">
        <f t="array" ref="C38">SUMPRODUCT((Tabla3[STATUS]="COTIZANDO")*(Tabla3[COSTO TOTAL DOLARES EN HAWTHORNE]&gt;0)*1)</f>
        <v>190</v>
      </c>
      <c r="D38" s="244">
        <f>SUMIF(Tabla3[STATUS],"COTIZANDO",Tabla3[COSTO TOTAL DOLARES EN HAWTHORNE])</f>
        <v>191410.87999999998</v>
      </c>
      <c r="E38" s="252" t="s">
        <v>47</v>
      </c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</row>
    <row r="39" spans="1:26" x14ac:dyDescent="0.25">
      <c r="A39" s="234"/>
      <c r="B39" s="251" t="s">
        <v>48</v>
      </c>
      <c r="C39" s="248" cm="1">
        <f t="array" ref="C39">SUMPRODUCT((Tabla3[STATUS]="COTIZANDO")*(Tabla3[COSTO TOTAL DOLARES CTP]&gt;0)*1)</f>
        <v>153</v>
      </c>
      <c r="D39" s="249">
        <f>SUMIF(Tabla3[STATUS],"COTIZANDO",Tabla3[COSTO TOTAL DOLARES CTP])</f>
        <v>23109.760000000002</v>
      </c>
      <c r="E39" s="253" t="s">
        <v>47</v>
      </c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</row>
    <row r="40" spans="1:26" x14ac:dyDescent="0.25">
      <c r="A40" s="234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</row>
    <row r="41" spans="1:26" x14ac:dyDescent="0.25">
      <c r="A41" s="234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</row>
    <row r="42" spans="1:26" x14ac:dyDescent="0.25">
      <c r="A42" s="234"/>
      <c r="B42" s="317" t="s">
        <v>49</v>
      </c>
      <c r="C42" s="317"/>
      <c r="D42" s="317"/>
      <c r="E42" s="317"/>
      <c r="F42" s="317"/>
      <c r="G42" s="317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</row>
    <row r="43" spans="1:26" x14ac:dyDescent="0.25">
      <c r="A43" s="234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</row>
    <row r="44" spans="1:26" ht="18.75" x14ac:dyDescent="0.3">
      <c r="A44" s="234"/>
      <c r="B44" s="309" t="s">
        <v>50</v>
      </c>
      <c r="C44" s="310"/>
      <c r="D44" s="310"/>
      <c r="E44" s="310"/>
      <c r="F44" s="310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</row>
    <row r="45" spans="1:26" x14ac:dyDescent="0.25">
      <c r="A45" s="234"/>
      <c r="B45" s="304" t="s">
        <v>33</v>
      </c>
      <c r="C45" s="304" t="s">
        <v>8</v>
      </c>
      <c r="D45" s="304" t="s">
        <v>51</v>
      </c>
      <c r="E45" s="304" t="s">
        <v>25</v>
      </c>
      <c r="F45" s="304" t="s">
        <v>27</v>
      </c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</row>
    <row r="46" spans="1:26" x14ac:dyDescent="0.25">
      <c r="A46" s="234"/>
      <c r="B46" s="305" t="str">
        <f>'RESUMEN GLOBAL'!B136</f>
        <v>TM-03</v>
      </c>
      <c r="C46" s="305" t="str">
        <f>'RESUMEN GLOBAL'!C136</f>
        <v>Pedido 119</v>
      </c>
      <c r="D46" s="306">
        <f>'RESUMEN GLOBAL'!D136</f>
        <v>5</v>
      </c>
      <c r="E46" s="307">
        <f>'RESUMEN GLOBAL'!E136</f>
        <v>1420.55</v>
      </c>
      <c r="F46" s="308">
        <f>'RESUMEN GLOBAL'!H136</f>
        <v>0</v>
      </c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</row>
    <row r="47" spans="1:26" x14ac:dyDescent="0.25">
      <c r="A47" s="234"/>
      <c r="B47" s="305" t="str">
        <f>'RESUMEN GLOBAL'!B137</f>
        <v/>
      </c>
      <c r="C47" s="305" t="str">
        <f>'RESUMEN GLOBAL'!C137</f>
        <v/>
      </c>
      <c r="D47" s="306" t="str">
        <f>'RESUMEN GLOBAL'!D137</f>
        <v/>
      </c>
      <c r="E47" s="307" t="str">
        <f>'RESUMEN GLOBAL'!E137</f>
        <v/>
      </c>
      <c r="F47" s="308" t="str">
        <f>'RESUMEN GLOBAL'!H137</f>
        <v/>
      </c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</row>
    <row r="48" spans="1:26" ht="15.75" x14ac:dyDescent="0.25">
      <c r="A48" s="234"/>
      <c r="B48" s="311" t="str">
        <f>'RESUMEN GLOBAL'!B145</f>
        <v>TOTAL FILTROS</v>
      </c>
      <c r="C48" s="311"/>
      <c r="D48" s="312">
        <f>'RESUMEN GLOBAL'!D145</f>
        <v>5</v>
      </c>
      <c r="E48" s="301">
        <f>'RESUMEN GLOBAL'!E145</f>
        <v>1420.55</v>
      </c>
      <c r="F48" s="302">
        <f>'RESUMEN GLOBAL'!H145</f>
        <v>0</v>
      </c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</row>
    <row r="49" spans="1:26" x14ac:dyDescent="0.25">
      <c r="A49" s="234"/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</row>
    <row r="50" spans="1:26" x14ac:dyDescent="0.25">
      <c r="A50" s="234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</row>
  </sheetData>
  <mergeCells count="4">
    <mergeCell ref="B2:G2"/>
    <mergeCell ref="B3:G3"/>
    <mergeCell ref="B32:D32"/>
    <mergeCell ref="B42:G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594C-4952-44AC-B755-9C4BD4163B64}">
  <dimension ref="A1:XFD1327"/>
  <sheetViews>
    <sheetView showGridLines="0" topLeftCell="E1" zoomScale="80" zoomScaleNormal="80" workbookViewId="0">
      <pane ySplit="1" topLeftCell="A265" activePane="bottomLeft" state="frozen"/>
      <selection pane="bottomLeft" activeCell="H372" sqref="H372"/>
    </sheetView>
  </sheetViews>
  <sheetFormatPr baseColWidth="10" defaultColWidth="11.42578125" defaultRowHeight="15" x14ac:dyDescent="0.25"/>
  <cols>
    <col min="1" max="1" width="14.140625" style="15" customWidth="1"/>
    <col min="2" max="2" width="22.140625" style="15" customWidth="1"/>
    <col min="3" max="3" width="17.5703125" style="15" customWidth="1"/>
    <col min="4" max="4" width="9.42578125" style="15" customWidth="1"/>
    <col min="5" max="5" width="10.42578125" style="39" customWidth="1"/>
    <col min="6" max="6" width="16.42578125" style="210" customWidth="1"/>
    <col min="7" max="7" width="16.42578125" style="39" customWidth="1"/>
    <col min="8" max="8" width="19.7109375" style="15" customWidth="1"/>
    <col min="9" max="9" width="19.7109375" style="44" customWidth="1"/>
    <col min="10" max="10" width="28.7109375" style="210" customWidth="1"/>
    <col min="11" max="11" width="17.5703125" style="15" customWidth="1"/>
    <col min="12" max="12" width="18.140625" style="37" customWidth="1"/>
    <col min="13" max="13" width="21.42578125" style="37" customWidth="1"/>
    <col min="14" max="14" width="21.42578125" style="44" customWidth="1"/>
    <col min="15" max="16" width="17.85546875" style="15" hidden="1" customWidth="1"/>
    <col min="17" max="17" width="17.85546875" style="44" hidden="1" customWidth="1"/>
    <col min="18" max="19" width="17.85546875" style="15" hidden="1" customWidth="1"/>
    <col min="20" max="20" width="17.85546875" style="44" hidden="1" customWidth="1"/>
    <col min="21" max="21" width="20" style="15" customWidth="1"/>
    <col min="22" max="22" width="21.28515625" style="39" customWidth="1"/>
    <col min="23" max="23" width="17.140625" style="38" customWidth="1"/>
    <col min="24" max="24" width="16.7109375" style="39" bestFit="1" customWidth="1"/>
    <col min="25" max="25" width="23.28515625" style="39" customWidth="1"/>
    <col min="26" max="26" width="18.28515625" style="39" customWidth="1"/>
    <col min="27" max="27" width="17.140625" style="39" customWidth="1"/>
    <col min="28" max="28" width="23" style="39" customWidth="1"/>
    <col min="29" max="29" width="15.85546875" style="39" customWidth="1"/>
    <col min="30" max="30" width="22.28515625" style="39" customWidth="1"/>
    <col min="31" max="31" width="40.7109375" style="39" customWidth="1"/>
    <col min="32" max="32" width="27.140625" style="39" customWidth="1"/>
    <col min="33" max="33" width="40.140625" style="39" customWidth="1"/>
    <col min="34" max="16384" width="11.42578125" style="15"/>
  </cols>
  <sheetData>
    <row r="1" spans="1:33" s="7" customFormat="1" ht="60.75" thickBot="1" x14ac:dyDescent="0.3">
      <c r="A1" s="1" t="s">
        <v>8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40" t="s">
        <v>62</v>
      </c>
      <c r="J1" s="2" t="s">
        <v>63</v>
      </c>
      <c r="K1" s="2" t="s">
        <v>64</v>
      </c>
      <c r="L1" s="3" t="s">
        <v>65</v>
      </c>
      <c r="M1" s="3" t="s">
        <v>66</v>
      </c>
      <c r="N1" s="206" t="s">
        <v>67</v>
      </c>
      <c r="O1" s="4" t="s">
        <v>68</v>
      </c>
      <c r="P1" s="4" t="s">
        <v>69</v>
      </c>
      <c r="Q1" s="209" t="s">
        <v>70</v>
      </c>
      <c r="R1" s="5" t="s">
        <v>71</v>
      </c>
      <c r="S1" s="5" t="s">
        <v>72</v>
      </c>
      <c r="T1" s="207" t="s">
        <v>73</v>
      </c>
      <c r="U1" s="2" t="s">
        <v>74</v>
      </c>
      <c r="V1" s="2" t="s">
        <v>75</v>
      </c>
      <c r="W1" s="6" t="s">
        <v>76</v>
      </c>
      <c r="X1" s="2" t="s">
        <v>77</v>
      </c>
      <c r="Y1" s="2" t="s">
        <v>78</v>
      </c>
      <c r="Z1" s="2" t="s">
        <v>79</v>
      </c>
      <c r="AA1" s="2" t="s">
        <v>80</v>
      </c>
      <c r="AB1" s="2" t="s">
        <v>81</v>
      </c>
      <c r="AC1" s="2" t="s">
        <v>82</v>
      </c>
      <c r="AD1" s="2" t="s">
        <v>83</v>
      </c>
      <c r="AE1" s="2" t="s">
        <v>84</v>
      </c>
      <c r="AF1" s="2" t="s">
        <v>85</v>
      </c>
      <c r="AG1" s="2" t="s">
        <v>86</v>
      </c>
    </row>
    <row r="2" spans="1:33" ht="15.75" thickBot="1" x14ac:dyDescent="0.3">
      <c r="A2" s="8">
        <v>1</v>
      </c>
      <c r="B2" s="9">
        <v>46163</v>
      </c>
      <c r="C2" s="10" t="s">
        <v>87</v>
      </c>
      <c r="D2" s="11"/>
      <c r="E2" s="16">
        <v>16</v>
      </c>
      <c r="F2" s="9">
        <v>46171</v>
      </c>
      <c r="G2" s="212" t="str">
        <f>IFERROR(VLOOKUP(Tabla3[[#This Row],[NUM ECONOMICO]],MAQUINARIA!B:H,7,0), " MAQ")</f>
        <v>ACTIVA</v>
      </c>
      <c r="H2" s="214" t="s">
        <v>52</v>
      </c>
      <c r="I2" s="41">
        <v>5917178</v>
      </c>
      <c r="J2" s="10"/>
      <c r="K2" s="10">
        <v>2</v>
      </c>
      <c r="L2" s="12"/>
      <c r="M2" s="13">
        <f>+L2*K2</f>
        <v>0</v>
      </c>
      <c r="N2" s="41"/>
      <c r="O2" s="10"/>
      <c r="P2" s="10">
        <f>Tabla3[[#This Row],[COSTO UNITARIO DOLARES EN HAWTHORNE]]*Tabla3[[#This Row],[CANTIDAD SOLICTADA]]</f>
        <v>0</v>
      </c>
      <c r="Q2" s="41"/>
      <c r="R2" s="229"/>
      <c r="S2" s="229">
        <f>+Tabla3[[#This Row],[COSTO UNITARIO DOLARES CTP]]*Tabla3[[#This Row],[CANTIDAD SOLICTADA]]</f>
        <v>0</v>
      </c>
      <c r="T2" s="41"/>
      <c r="U2" s="14" t="s">
        <v>4</v>
      </c>
      <c r="V2" s="8" t="s">
        <v>88</v>
      </c>
      <c r="W2" s="9">
        <v>46170</v>
      </c>
      <c r="X2" s="10" t="s">
        <v>89</v>
      </c>
      <c r="Y2" s="10" t="s">
        <v>90</v>
      </c>
      <c r="Z2" s="16" t="s">
        <v>44</v>
      </c>
      <c r="AA2" s="25">
        <v>46167</v>
      </c>
      <c r="AB2" s="25">
        <v>46170</v>
      </c>
      <c r="AC2" s="16" t="s">
        <v>91</v>
      </c>
      <c r="AD2" s="16"/>
      <c r="AE2" s="16"/>
      <c r="AF2" s="16"/>
      <c r="AG2" s="21"/>
    </row>
    <row r="3" spans="1:33" ht="15.75" thickBot="1" x14ac:dyDescent="0.3">
      <c r="A3" s="8">
        <v>1</v>
      </c>
      <c r="B3" s="9">
        <v>46163</v>
      </c>
      <c r="C3" s="10" t="s">
        <v>87</v>
      </c>
      <c r="D3" s="11"/>
      <c r="E3" s="16">
        <v>16</v>
      </c>
      <c r="F3" s="9">
        <v>46171</v>
      </c>
      <c r="G3" s="212" t="str">
        <f>IFERROR(VLOOKUP(Tabla3[[#This Row],[NUM ECONOMICO]],MAQUINARIA!B:H,7,0), " MAQ")</f>
        <v>ACTIVA</v>
      </c>
      <c r="H3" s="214" t="s">
        <v>52</v>
      </c>
      <c r="I3" s="41">
        <v>1218167</v>
      </c>
      <c r="J3" s="10"/>
      <c r="K3" s="10">
        <v>2</v>
      </c>
      <c r="L3" s="12"/>
      <c r="M3" s="13">
        <f t="shared" ref="M3:M65" si="0">+L3*K3</f>
        <v>0</v>
      </c>
      <c r="N3" s="41"/>
      <c r="O3" s="10"/>
      <c r="P3" s="10">
        <f>Tabla3[[#This Row],[COSTO UNITARIO DOLARES EN HAWTHORNE]]*Tabla3[[#This Row],[CANTIDAD SOLICTADA]]</f>
        <v>0</v>
      </c>
      <c r="Q3" s="41"/>
      <c r="R3" s="229"/>
      <c r="S3" s="229">
        <f>+Tabla3[[#This Row],[COSTO UNITARIO DOLARES CTP]]*Tabla3[[#This Row],[CANTIDAD SOLICTADA]]</f>
        <v>0</v>
      </c>
      <c r="T3" s="41"/>
      <c r="U3" s="14" t="s">
        <v>4</v>
      </c>
      <c r="V3" s="8" t="s">
        <v>88</v>
      </c>
      <c r="W3" s="9">
        <v>46170</v>
      </c>
      <c r="X3" s="10" t="s">
        <v>89</v>
      </c>
      <c r="Y3" s="10" t="s">
        <v>90</v>
      </c>
      <c r="Z3" s="16" t="s">
        <v>44</v>
      </c>
      <c r="AA3" s="25">
        <v>46167</v>
      </c>
      <c r="AB3" s="25">
        <v>46170</v>
      </c>
      <c r="AC3" s="16" t="s">
        <v>91</v>
      </c>
      <c r="AD3" s="16"/>
      <c r="AE3" s="16"/>
      <c r="AF3" s="16"/>
      <c r="AG3" s="21"/>
    </row>
    <row r="4" spans="1:33" ht="15.75" thickBot="1" x14ac:dyDescent="0.3">
      <c r="A4" s="8">
        <v>1</v>
      </c>
      <c r="B4" s="9">
        <v>46163</v>
      </c>
      <c r="C4" s="10" t="s">
        <v>87</v>
      </c>
      <c r="D4" s="11"/>
      <c r="E4" s="16">
        <v>16</v>
      </c>
      <c r="F4" s="9">
        <v>46171</v>
      </c>
      <c r="G4" s="212" t="str">
        <f>IFERROR(VLOOKUP(Tabla3[[#This Row],[NUM ECONOMICO]],MAQUINARIA!B:H,7,0), " MAQ")</f>
        <v>ACTIVA</v>
      </c>
      <c r="H4" s="214" t="s">
        <v>52</v>
      </c>
      <c r="I4" s="41">
        <v>4364462</v>
      </c>
      <c r="J4" s="10"/>
      <c r="K4" s="10">
        <v>2</v>
      </c>
      <c r="L4" s="12"/>
      <c r="M4" s="13">
        <f t="shared" si="0"/>
        <v>0</v>
      </c>
      <c r="N4" s="41"/>
      <c r="O4" s="10"/>
      <c r="P4" s="10">
        <f>Tabla3[[#This Row],[COSTO UNITARIO DOLARES EN HAWTHORNE]]*Tabla3[[#This Row],[CANTIDAD SOLICTADA]]</f>
        <v>0</v>
      </c>
      <c r="Q4" s="41"/>
      <c r="R4" s="229"/>
      <c r="S4" s="229">
        <f>+Tabla3[[#This Row],[COSTO UNITARIO DOLARES CTP]]*Tabla3[[#This Row],[CANTIDAD SOLICTADA]]</f>
        <v>0</v>
      </c>
      <c r="T4" s="41"/>
      <c r="U4" s="14" t="s">
        <v>4</v>
      </c>
      <c r="V4" s="8" t="s">
        <v>88</v>
      </c>
      <c r="W4" s="9">
        <v>46170</v>
      </c>
      <c r="X4" s="10" t="s">
        <v>89</v>
      </c>
      <c r="Y4" s="10" t="s">
        <v>90</v>
      </c>
      <c r="Z4" s="16" t="s">
        <v>44</v>
      </c>
      <c r="AA4" s="25">
        <v>46167</v>
      </c>
      <c r="AB4" s="25">
        <v>46170</v>
      </c>
      <c r="AC4" s="16" t="s">
        <v>91</v>
      </c>
      <c r="AD4" s="16"/>
      <c r="AE4" s="16"/>
      <c r="AF4" s="16"/>
      <c r="AG4" s="21"/>
    </row>
    <row r="5" spans="1:33" ht="15.75" thickBot="1" x14ac:dyDescent="0.3">
      <c r="A5" s="8">
        <v>1</v>
      </c>
      <c r="B5" s="9">
        <v>46163</v>
      </c>
      <c r="C5" s="10" t="s">
        <v>87</v>
      </c>
      <c r="D5" s="11"/>
      <c r="E5" s="16">
        <v>16</v>
      </c>
      <c r="F5" s="9">
        <v>46171</v>
      </c>
      <c r="G5" s="212" t="str">
        <f>IFERROR(VLOOKUP(Tabla3[[#This Row],[NUM ECONOMICO]],MAQUINARIA!B:H,7,0), " MAQ")</f>
        <v>ACTIVA</v>
      </c>
      <c r="H5" s="214" t="s">
        <v>52</v>
      </c>
      <c r="I5" s="41" t="s">
        <v>92</v>
      </c>
      <c r="J5" s="10"/>
      <c r="K5" s="10">
        <v>1</v>
      </c>
      <c r="L5" s="12"/>
      <c r="M5" s="13">
        <f t="shared" si="0"/>
        <v>0</v>
      </c>
      <c r="N5" s="41"/>
      <c r="O5" s="10"/>
      <c r="P5" s="10">
        <f>Tabla3[[#This Row],[COSTO UNITARIO DOLARES EN HAWTHORNE]]*Tabla3[[#This Row],[CANTIDAD SOLICTADA]]</f>
        <v>0</v>
      </c>
      <c r="Q5" s="41"/>
      <c r="R5" s="229"/>
      <c r="S5" s="229">
        <f>+Tabla3[[#This Row],[COSTO UNITARIO DOLARES CTP]]*Tabla3[[#This Row],[CANTIDAD SOLICTADA]]</f>
        <v>0</v>
      </c>
      <c r="T5" s="41"/>
      <c r="U5" s="14" t="s">
        <v>4</v>
      </c>
      <c r="V5" s="8" t="s">
        <v>88</v>
      </c>
      <c r="W5" s="9">
        <v>46170</v>
      </c>
      <c r="X5" s="10" t="s">
        <v>89</v>
      </c>
      <c r="Y5" s="10" t="s">
        <v>90</v>
      </c>
      <c r="Z5" s="16" t="s">
        <v>44</v>
      </c>
      <c r="AA5" s="25">
        <v>46167</v>
      </c>
      <c r="AB5" s="25">
        <v>46170</v>
      </c>
      <c r="AC5" s="16" t="s">
        <v>91</v>
      </c>
      <c r="AD5" s="16"/>
      <c r="AE5" s="16"/>
      <c r="AF5" s="16"/>
      <c r="AG5" s="21"/>
    </row>
    <row r="6" spans="1:33" ht="15.75" thickBot="1" x14ac:dyDescent="0.3">
      <c r="A6" s="8">
        <v>1</v>
      </c>
      <c r="B6" s="9">
        <v>46163</v>
      </c>
      <c r="C6" s="10" t="s">
        <v>87</v>
      </c>
      <c r="D6" s="11"/>
      <c r="E6" s="16">
        <v>16</v>
      </c>
      <c r="F6" s="9">
        <v>46171</v>
      </c>
      <c r="G6" s="212" t="str">
        <f>IFERROR(VLOOKUP(Tabla3[[#This Row],[NUM ECONOMICO]],MAQUINARIA!B:H,7,0), " MAQ")</f>
        <v>ACTIVA</v>
      </c>
      <c r="H6" s="214" t="s">
        <v>52</v>
      </c>
      <c r="I6" s="41">
        <v>4826731</v>
      </c>
      <c r="J6" s="10"/>
      <c r="K6" s="10">
        <v>8</v>
      </c>
      <c r="L6" s="12"/>
      <c r="M6" s="13">
        <f t="shared" si="0"/>
        <v>0</v>
      </c>
      <c r="N6" s="41"/>
      <c r="O6" s="10"/>
      <c r="P6" s="10">
        <f>Tabla3[[#This Row],[COSTO UNITARIO DOLARES EN HAWTHORNE]]*Tabla3[[#This Row],[CANTIDAD SOLICTADA]]</f>
        <v>0</v>
      </c>
      <c r="Q6" s="41"/>
      <c r="R6" s="229"/>
      <c r="S6" s="229">
        <f>+Tabla3[[#This Row],[COSTO UNITARIO DOLARES CTP]]*Tabla3[[#This Row],[CANTIDAD SOLICTADA]]</f>
        <v>0</v>
      </c>
      <c r="T6" s="41"/>
      <c r="U6" s="14" t="s">
        <v>4</v>
      </c>
      <c r="V6" s="8" t="s">
        <v>88</v>
      </c>
      <c r="W6" s="9">
        <v>46170</v>
      </c>
      <c r="X6" s="10" t="s">
        <v>89</v>
      </c>
      <c r="Y6" s="10" t="s">
        <v>90</v>
      </c>
      <c r="Z6" s="16" t="s">
        <v>44</v>
      </c>
      <c r="AA6" s="25">
        <v>46167</v>
      </c>
      <c r="AB6" s="25">
        <v>46170</v>
      </c>
      <c r="AC6" s="16" t="s">
        <v>91</v>
      </c>
      <c r="AD6" s="16"/>
      <c r="AE6" s="16"/>
      <c r="AF6" s="16"/>
      <c r="AG6" s="21"/>
    </row>
    <row r="7" spans="1:33" ht="15.75" thickBot="1" x14ac:dyDescent="0.3">
      <c r="A7" s="8">
        <v>1</v>
      </c>
      <c r="B7" s="9">
        <v>46163</v>
      </c>
      <c r="C7" s="10" t="s">
        <v>87</v>
      </c>
      <c r="D7" s="11"/>
      <c r="E7" s="16">
        <v>16</v>
      </c>
      <c r="F7" s="9">
        <v>46171</v>
      </c>
      <c r="G7" s="212" t="str">
        <f>IFERROR(VLOOKUP(Tabla3[[#This Row],[NUM ECONOMICO]],MAQUINARIA!B:H,7,0), " MAQ")</f>
        <v>ACTIVA</v>
      </c>
      <c r="H7" s="214" t="s">
        <v>52</v>
      </c>
      <c r="I7" s="41">
        <v>4858330</v>
      </c>
      <c r="J7" s="10"/>
      <c r="K7" s="10">
        <v>8</v>
      </c>
      <c r="L7" s="12"/>
      <c r="M7" s="13">
        <f t="shared" si="0"/>
        <v>0</v>
      </c>
      <c r="N7" s="41"/>
      <c r="O7" s="10"/>
      <c r="P7" s="10">
        <f>Tabla3[[#This Row],[COSTO UNITARIO DOLARES EN HAWTHORNE]]*Tabla3[[#This Row],[CANTIDAD SOLICTADA]]</f>
        <v>0</v>
      </c>
      <c r="Q7" s="41"/>
      <c r="R7" s="229"/>
      <c r="S7" s="229">
        <f>+Tabla3[[#This Row],[COSTO UNITARIO DOLARES CTP]]*Tabla3[[#This Row],[CANTIDAD SOLICTADA]]</f>
        <v>0</v>
      </c>
      <c r="T7" s="41"/>
      <c r="U7" s="14" t="s">
        <v>4</v>
      </c>
      <c r="V7" s="8" t="s">
        <v>88</v>
      </c>
      <c r="W7" s="9">
        <v>46170</v>
      </c>
      <c r="X7" s="10" t="s">
        <v>89</v>
      </c>
      <c r="Y7" s="10" t="s">
        <v>90</v>
      </c>
      <c r="Z7" s="16" t="s">
        <v>44</v>
      </c>
      <c r="AA7" s="25">
        <v>46167</v>
      </c>
      <c r="AB7" s="25">
        <v>46170</v>
      </c>
      <c r="AC7" s="16" t="s">
        <v>91</v>
      </c>
      <c r="AD7" s="16"/>
      <c r="AE7" s="16"/>
      <c r="AF7" s="16"/>
      <c r="AG7" s="21"/>
    </row>
    <row r="8" spans="1:33" ht="15.75" thickBot="1" x14ac:dyDescent="0.3">
      <c r="A8" s="8">
        <v>1</v>
      </c>
      <c r="B8" s="9">
        <v>46163</v>
      </c>
      <c r="C8" s="10" t="s">
        <v>87</v>
      </c>
      <c r="D8" s="11"/>
      <c r="E8" s="16">
        <v>16</v>
      </c>
      <c r="F8" s="9">
        <v>46171</v>
      </c>
      <c r="G8" s="212" t="str">
        <f>IFERROR(VLOOKUP(Tabla3[[#This Row],[NUM ECONOMICO]],MAQUINARIA!B:H,7,0), " MAQ")</f>
        <v>ACTIVA</v>
      </c>
      <c r="H8" s="214" t="s">
        <v>52</v>
      </c>
      <c r="I8" s="41">
        <v>3752548</v>
      </c>
      <c r="J8" s="10"/>
      <c r="K8" s="10">
        <v>1</v>
      </c>
      <c r="L8" s="12"/>
      <c r="M8" s="13">
        <f t="shared" si="0"/>
        <v>0</v>
      </c>
      <c r="N8" s="41"/>
      <c r="O8" s="10"/>
      <c r="P8" s="10">
        <f>Tabla3[[#This Row],[COSTO UNITARIO DOLARES EN HAWTHORNE]]*Tabla3[[#This Row],[CANTIDAD SOLICTADA]]</f>
        <v>0</v>
      </c>
      <c r="Q8" s="41"/>
      <c r="R8" s="229"/>
      <c r="S8" s="229">
        <f>+Tabla3[[#This Row],[COSTO UNITARIO DOLARES CTP]]*Tabla3[[#This Row],[CANTIDAD SOLICTADA]]</f>
        <v>0</v>
      </c>
      <c r="T8" s="41"/>
      <c r="U8" s="14" t="s">
        <v>4</v>
      </c>
      <c r="V8" s="8" t="s">
        <v>88</v>
      </c>
      <c r="W8" s="9">
        <v>46170</v>
      </c>
      <c r="X8" s="10" t="s">
        <v>89</v>
      </c>
      <c r="Y8" s="10" t="s">
        <v>90</v>
      </c>
      <c r="Z8" s="16" t="s">
        <v>44</v>
      </c>
      <c r="AA8" s="25">
        <v>46167</v>
      </c>
      <c r="AB8" s="25">
        <v>46170</v>
      </c>
      <c r="AC8" s="16" t="s">
        <v>91</v>
      </c>
      <c r="AD8" s="16"/>
      <c r="AE8" s="16"/>
      <c r="AF8" s="16"/>
      <c r="AG8" s="21"/>
    </row>
    <row r="9" spans="1:33" ht="15.75" thickBot="1" x14ac:dyDescent="0.3">
      <c r="A9" s="8">
        <v>1</v>
      </c>
      <c r="B9" s="9">
        <v>46163</v>
      </c>
      <c r="C9" s="10" t="s">
        <v>87</v>
      </c>
      <c r="D9" s="11"/>
      <c r="E9" s="16">
        <v>16</v>
      </c>
      <c r="F9" s="9">
        <v>46171</v>
      </c>
      <c r="G9" s="212" t="str">
        <f>IFERROR(VLOOKUP(Tabla3[[#This Row],[NUM ECONOMICO]],MAQUINARIA!B:H,7,0), " MAQ")</f>
        <v>ACTIVA</v>
      </c>
      <c r="H9" s="214" t="s">
        <v>52</v>
      </c>
      <c r="I9" s="41">
        <v>4945603</v>
      </c>
      <c r="J9" s="10"/>
      <c r="K9" s="10">
        <v>1</v>
      </c>
      <c r="L9" s="12"/>
      <c r="M9" s="13">
        <f t="shared" si="0"/>
        <v>0</v>
      </c>
      <c r="N9" s="41"/>
      <c r="O9" s="10"/>
      <c r="P9" s="10">
        <f>Tabla3[[#This Row],[COSTO UNITARIO DOLARES EN HAWTHORNE]]*Tabla3[[#This Row],[CANTIDAD SOLICTADA]]</f>
        <v>0</v>
      </c>
      <c r="Q9" s="41"/>
      <c r="R9" s="229"/>
      <c r="S9" s="229">
        <f>+Tabla3[[#This Row],[COSTO UNITARIO DOLARES CTP]]*Tabla3[[#This Row],[CANTIDAD SOLICTADA]]</f>
        <v>0</v>
      </c>
      <c r="T9" s="41"/>
      <c r="U9" s="14" t="s">
        <v>4</v>
      </c>
      <c r="V9" s="8" t="s">
        <v>88</v>
      </c>
      <c r="W9" s="9">
        <v>46181</v>
      </c>
      <c r="X9" s="10" t="s">
        <v>89</v>
      </c>
      <c r="Y9" s="10" t="s">
        <v>90</v>
      </c>
      <c r="Z9" s="16"/>
      <c r="AA9" s="16"/>
      <c r="AB9" s="16"/>
      <c r="AC9" s="16"/>
      <c r="AD9" s="16"/>
      <c r="AE9" s="16" t="s">
        <v>93</v>
      </c>
      <c r="AF9" s="16"/>
      <c r="AG9" s="21"/>
    </row>
    <row r="10" spans="1:33" ht="15.75" thickBot="1" x14ac:dyDescent="0.3">
      <c r="A10" s="8">
        <v>2</v>
      </c>
      <c r="B10" s="9">
        <v>46163</v>
      </c>
      <c r="C10" s="10" t="s">
        <v>87</v>
      </c>
      <c r="D10" s="11"/>
      <c r="E10" s="16"/>
      <c r="F10" s="10"/>
      <c r="G10" s="212" t="str">
        <f>IFERROR(VLOOKUP(Tabla3[[#This Row],[NUM ECONOMICO]],MAQUINARIA!B:H,7,0), " MAQ")</f>
        <v>ACTIVA</v>
      </c>
      <c r="H10" s="214" t="s">
        <v>94</v>
      </c>
      <c r="I10" s="41" t="s">
        <v>95</v>
      </c>
      <c r="J10" s="10"/>
      <c r="K10" s="10">
        <v>30</v>
      </c>
      <c r="L10" s="12"/>
      <c r="M10" s="13">
        <f t="shared" si="0"/>
        <v>0</v>
      </c>
      <c r="N10" s="41"/>
      <c r="O10" s="10"/>
      <c r="P10" s="10">
        <f>Tabla3[[#This Row],[COSTO UNITARIO DOLARES EN HAWTHORNE]]*Tabla3[[#This Row],[CANTIDAD SOLICTADA]]</f>
        <v>0</v>
      </c>
      <c r="Q10" s="41"/>
      <c r="R10" s="229"/>
      <c r="S10" s="229">
        <f>+Tabla3[[#This Row],[COSTO UNITARIO DOLARES CTP]]*Tabla3[[#This Row],[CANTIDAD SOLICTADA]]</f>
        <v>0</v>
      </c>
      <c r="T10" s="41"/>
      <c r="U10" s="14" t="s">
        <v>4</v>
      </c>
      <c r="V10" s="17"/>
      <c r="W10" s="10"/>
      <c r="X10" s="10" t="s">
        <v>96</v>
      </c>
      <c r="Y10" s="10">
        <v>6</v>
      </c>
      <c r="Z10" s="16"/>
      <c r="AA10" s="16"/>
      <c r="AB10" s="16"/>
      <c r="AC10" s="16"/>
      <c r="AD10" s="16"/>
      <c r="AE10" s="16"/>
      <c r="AF10" s="16"/>
      <c r="AG10" s="21"/>
    </row>
    <row r="11" spans="1:33" ht="18" customHeight="1" thickBot="1" x14ac:dyDescent="0.3">
      <c r="A11" s="8">
        <v>2</v>
      </c>
      <c r="B11" s="9">
        <v>46163</v>
      </c>
      <c r="C11" s="10" t="s">
        <v>87</v>
      </c>
      <c r="D11" s="11"/>
      <c r="E11" s="16">
        <v>1028</v>
      </c>
      <c r="F11" s="9">
        <v>45952</v>
      </c>
      <c r="G11" s="212" t="str">
        <f>IFERROR(VLOOKUP(Tabla3[[#This Row],[NUM ECONOMICO]],MAQUINARIA!B:H,7,0), " MAQ")</f>
        <v>ACTIVA</v>
      </c>
      <c r="H11" s="214" t="s">
        <v>94</v>
      </c>
      <c r="I11" s="41" t="s">
        <v>97</v>
      </c>
      <c r="J11" s="10"/>
      <c r="K11" s="10">
        <v>2</v>
      </c>
      <c r="L11" s="13">
        <v>25068.48</v>
      </c>
      <c r="M11" s="13">
        <f t="shared" si="0"/>
        <v>50136.959999999999</v>
      </c>
      <c r="N11" s="41"/>
      <c r="O11" s="10"/>
      <c r="P11" s="10">
        <f>Tabla3[[#This Row],[COSTO UNITARIO DOLARES EN HAWTHORNE]]*Tabla3[[#This Row],[CANTIDAD SOLICTADA]]</f>
        <v>0</v>
      </c>
      <c r="Q11" s="41"/>
      <c r="R11" s="229"/>
      <c r="S11" s="229">
        <f>+Tabla3[[#This Row],[COSTO UNITARIO DOLARES CTP]]*Tabla3[[#This Row],[CANTIDAD SOLICTADA]]</f>
        <v>0</v>
      </c>
      <c r="T11" s="41"/>
      <c r="U11" s="18" t="s">
        <v>4</v>
      </c>
      <c r="V11" s="8" t="s">
        <v>98</v>
      </c>
      <c r="W11" s="10"/>
      <c r="X11" s="10" t="s">
        <v>89</v>
      </c>
      <c r="Y11" s="10" t="s">
        <v>90</v>
      </c>
      <c r="Z11" s="16"/>
      <c r="AA11" s="16"/>
      <c r="AB11" s="16"/>
      <c r="AC11" s="16"/>
      <c r="AD11" s="16"/>
      <c r="AE11" s="16" t="s">
        <v>99</v>
      </c>
      <c r="AF11" s="27" t="s">
        <v>100</v>
      </c>
      <c r="AG11" s="21" t="s">
        <v>101</v>
      </c>
    </row>
    <row r="12" spans="1:33" ht="15.75" thickBot="1" x14ac:dyDescent="0.3">
      <c r="A12" s="8">
        <v>3</v>
      </c>
      <c r="B12" s="9">
        <v>46164</v>
      </c>
      <c r="C12" s="10" t="s">
        <v>87</v>
      </c>
      <c r="D12" s="11"/>
      <c r="E12" s="16"/>
      <c r="F12" s="10"/>
      <c r="G12" s="212" t="str">
        <f>IFERROR(VLOOKUP(Tabla3[[#This Row],[NUM ECONOMICO]],MAQUINARIA!B:H,7,0), " MAQ")</f>
        <v>ACTIVA</v>
      </c>
      <c r="H12" s="214" t="s">
        <v>102</v>
      </c>
      <c r="I12" s="41" t="s">
        <v>103</v>
      </c>
      <c r="J12" s="10"/>
      <c r="K12" s="10">
        <v>6</v>
      </c>
      <c r="L12" s="12"/>
      <c r="M12" s="13">
        <f t="shared" si="0"/>
        <v>0</v>
      </c>
      <c r="N12" s="41"/>
      <c r="O12" s="10"/>
      <c r="P12" s="10">
        <f>Tabla3[[#This Row],[COSTO UNITARIO DOLARES EN HAWTHORNE]]*Tabla3[[#This Row],[CANTIDAD SOLICTADA]]</f>
        <v>0</v>
      </c>
      <c r="Q12" s="41"/>
      <c r="R12" s="229"/>
      <c r="S12" s="229">
        <f>+Tabla3[[#This Row],[COSTO UNITARIO DOLARES CTP]]*Tabla3[[#This Row],[CANTIDAD SOLICTADA]]</f>
        <v>0</v>
      </c>
      <c r="T12" s="41"/>
      <c r="U12" s="19" t="s">
        <v>7</v>
      </c>
      <c r="V12" s="211"/>
      <c r="W12" s="25">
        <v>46164</v>
      </c>
      <c r="X12" s="16" t="s">
        <v>96</v>
      </c>
      <c r="Y12" s="16">
        <v>7</v>
      </c>
      <c r="Z12" s="16"/>
      <c r="AA12" s="16"/>
      <c r="AB12" s="16"/>
      <c r="AC12" s="16"/>
      <c r="AD12" s="16"/>
      <c r="AE12" s="16" t="s">
        <v>104</v>
      </c>
      <c r="AF12" s="16"/>
      <c r="AG12" s="21"/>
    </row>
    <row r="13" spans="1:33" ht="15.75" thickBot="1" x14ac:dyDescent="0.3">
      <c r="A13" s="8">
        <v>3</v>
      </c>
      <c r="B13" s="9">
        <v>46164</v>
      </c>
      <c r="C13" s="10" t="s">
        <v>87</v>
      </c>
      <c r="D13" s="11"/>
      <c r="E13" s="16"/>
      <c r="F13" s="10"/>
      <c r="G13" s="212" t="str">
        <f>IFERROR(VLOOKUP(Tabla3[[#This Row],[NUM ECONOMICO]],MAQUINARIA!B:H,7,0), " MAQ")</f>
        <v>ACTIVA</v>
      </c>
      <c r="H13" s="214" t="s">
        <v>102</v>
      </c>
      <c r="I13" s="41" t="s">
        <v>105</v>
      </c>
      <c r="J13" s="10"/>
      <c r="K13" s="10">
        <v>6</v>
      </c>
      <c r="L13" s="12"/>
      <c r="M13" s="13">
        <f t="shared" si="0"/>
        <v>0</v>
      </c>
      <c r="N13" s="41"/>
      <c r="O13" s="10"/>
      <c r="P13" s="10">
        <f>Tabla3[[#This Row],[COSTO UNITARIO DOLARES EN HAWTHORNE]]*Tabla3[[#This Row],[CANTIDAD SOLICTADA]]</f>
        <v>0</v>
      </c>
      <c r="Q13" s="41"/>
      <c r="R13" s="229"/>
      <c r="S13" s="229">
        <f>+Tabla3[[#This Row],[COSTO UNITARIO DOLARES CTP]]*Tabla3[[#This Row],[CANTIDAD SOLICTADA]]</f>
        <v>0</v>
      </c>
      <c r="T13" s="41"/>
      <c r="U13" s="19" t="s">
        <v>7</v>
      </c>
      <c r="V13" s="211"/>
      <c r="W13" s="25">
        <v>46164</v>
      </c>
      <c r="X13" s="16" t="s">
        <v>96</v>
      </c>
      <c r="Y13" s="16">
        <v>85</v>
      </c>
      <c r="Z13" s="16"/>
      <c r="AA13" s="16"/>
      <c r="AB13" s="16"/>
      <c r="AC13" s="16"/>
      <c r="AD13" s="16"/>
      <c r="AE13" s="16" t="s">
        <v>104</v>
      </c>
      <c r="AF13" s="16"/>
      <c r="AG13" s="21"/>
    </row>
    <row r="14" spans="1:33" ht="15.75" thickBot="1" x14ac:dyDescent="0.3">
      <c r="A14" s="8">
        <v>4</v>
      </c>
      <c r="B14" s="9">
        <v>46164</v>
      </c>
      <c r="C14" s="10" t="s">
        <v>87</v>
      </c>
      <c r="D14" s="10" t="s">
        <v>106</v>
      </c>
      <c r="E14" s="16"/>
      <c r="F14" s="10"/>
      <c r="G14" s="212" t="str">
        <f>IFERROR(VLOOKUP(Tabla3[[#This Row],[NUM ECONOMICO]],MAQUINARIA!B:H,7,0), " MAQ")</f>
        <v>ACTIVA</v>
      </c>
      <c r="H14" s="214" t="s">
        <v>107</v>
      </c>
      <c r="I14" s="41">
        <v>1781318</v>
      </c>
      <c r="J14" s="10"/>
      <c r="K14" s="10">
        <v>1</v>
      </c>
      <c r="L14" s="12"/>
      <c r="M14" s="13">
        <f t="shared" si="0"/>
        <v>0</v>
      </c>
      <c r="N14" s="41"/>
      <c r="O14" s="10"/>
      <c r="P14" s="10">
        <f>Tabla3[[#This Row],[COSTO UNITARIO DOLARES EN HAWTHORNE]]*Tabla3[[#This Row],[CANTIDAD SOLICTADA]]</f>
        <v>0</v>
      </c>
      <c r="Q14" s="41"/>
      <c r="R14" s="229"/>
      <c r="S14" s="229">
        <f>+Tabla3[[#This Row],[COSTO UNITARIO DOLARES CTP]]*Tabla3[[#This Row],[CANTIDAD SOLICTADA]]</f>
        <v>0</v>
      </c>
      <c r="T14" s="41"/>
      <c r="U14" s="14" t="s">
        <v>4</v>
      </c>
      <c r="V14" s="8" t="s">
        <v>108</v>
      </c>
      <c r="W14" s="9">
        <v>46168</v>
      </c>
      <c r="X14" s="10" t="s">
        <v>89</v>
      </c>
      <c r="Y14" s="10" t="s">
        <v>90</v>
      </c>
      <c r="Z14" s="16" t="s">
        <v>44</v>
      </c>
      <c r="AA14" s="25">
        <v>46167</v>
      </c>
      <c r="AB14" s="25">
        <v>46168</v>
      </c>
      <c r="AC14" s="16" t="s">
        <v>109</v>
      </c>
      <c r="AD14" s="16"/>
      <c r="AE14" s="16" t="s">
        <v>110</v>
      </c>
      <c r="AF14" s="16"/>
      <c r="AG14" s="21"/>
    </row>
    <row r="15" spans="1:33" ht="15.75" thickBot="1" x14ac:dyDescent="0.3">
      <c r="A15" s="8">
        <v>4</v>
      </c>
      <c r="B15" s="9">
        <v>46164</v>
      </c>
      <c r="C15" s="10" t="s">
        <v>87</v>
      </c>
      <c r="D15" s="11"/>
      <c r="E15" s="16"/>
      <c r="F15" s="10"/>
      <c r="G15" s="212" t="str">
        <f>IFERROR(VLOOKUP(Tabla3[[#This Row],[NUM ECONOMICO]],MAQUINARIA!B:H,7,0), " MAQ")</f>
        <v>ACTIVA</v>
      </c>
      <c r="H15" s="214" t="s">
        <v>107</v>
      </c>
      <c r="I15" s="41">
        <v>1917944</v>
      </c>
      <c r="J15" s="10"/>
      <c r="K15" s="10">
        <v>1</v>
      </c>
      <c r="L15" s="12"/>
      <c r="M15" s="13">
        <f t="shared" si="0"/>
        <v>0</v>
      </c>
      <c r="N15" s="41"/>
      <c r="O15" s="10"/>
      <c r="P15" s="10">
        <f>Tabla3[[#This Row],[COSTO UNITARIO DOLARES EN HAWTHORNE]]*Tabla3[[#This Row],[CANTIDAD SOLICTADA]]</f>
        <v>0</v>
      </c>
      <c r="Q15" s="41"/>
      <c r="R15" s="229"/>
      <c r="S15" s="229">
        <f>+Tabla3[[#This Row],[COSTO UNITARIO DOLARES CTP]]*Tabla3[[#This Row],[CANTIDAD SOLICTADA]]</f>
        <v>0</v>
      </c>
      <c r="T15" s="41"/>
      <c r="U15" s="14" t="s">
        <v>4</v>
      </c>
      <c r="V15" s="17"/>
      <c r="W15" s="10"/>
      <c r="X15" s="10" t="s">
        <v>96</v>
      </c>
      <c r="Y15" s="10" t="s">
        <v>90</v>
      </c>
      <c r="Z15" s="16" t="s">
        <v>44</v>
      </c>
      <c r="AA15" s="25">
        <v>46167</v>
      </c>
      <c r="AB15" s="25">
        <v>46167</v>
      </c>
      <c r="AC15" s="16"/>
      <c r="AD15" s="16"/>
      <c r="AE15" s="16" t="s">
        <v>111</v>
      </c>
      <c r="AF15" s="16"/>
      <c r="AG15" s="21"/>
    </row>
    <row r="16" spans="1:33" ht="15.75" thickBot="1" x14ac:dyDescent="0.3">
      <c r="A16" s="8">
        <v>5</v>
      </c>
      <c r="B16" s="9">
        <v>46164</v>
      </c>
      <c r="C16" s="10" t="s">
        <v>112</v>
      </c>
      <c r="D16" s="11"/>
      <c r="E16" s="16"/>
      <c r="F16" s="10"/>
      <c r="G16" s="212" t="str">
        <f>IFERROR(VLOOKUP(Tabla3[[#This Row],[NUM ECONOMICO]],MAQUINARIA!B:H,7,0), " MAQ")</f>
        <v>ACTIVA</v>
      </c>
      <c r="H16" s="214" t="s">
        <v>113</v>
      </c>
      <c r="I16" s="41" t="s">
        <v>114</v>
      </c>
      <c r="J16" s="10"/>
      <c r="K16" s="10">
        <v>2</v>
      </c>
      <c r="L16" s="12"/>
      <c r="M16" s="13">
        <f t="shared" si="0"/>
        <v>0</v>
      </c>
      <c r="N16" s="41"/>
      <c r="O16" s="10"/>
      <c r="P16" s="10">
        <f>Tabla3[[#This Row],[COSTO UNITARIO DOLARES EN HAWTHORNE]]*Tabla3[[#This Row],[CANTIDAD SOLICTADA]]</f>
        <v>0</v>
      </c>
      <c r="Q16" s="41"/>
      <c r="R16" s="229"/>
      <c r="S16" s="229">
        <f>+Tabla3[[#This Row],[COSTO UNITARIO DOLARES CTP]]*Tabla3[[#This Row],[CANTIDAD SOLICTADA]]</f>
        <v>0</v>
      </c>
      <c r="T16" s="41"/>
      <c r="U16" s="14" t="s">
        <v>4</v>
      </c>
      <c r="V16" s="17"/>
      <c r="W16" s="9">
        <v>46164</v>
      </c>
      <c r="X16" s="10" t="s">
        <v>96</v>
      </c>
      <c r="Y16" s="10">
        <v>0</v>
      </c>
      <c r="Z16" s="16"/>
      <c r="AA16" s="16"/>
      <c r="AB16" s="16"/>
      <c r="AC16" s="16" t="s">
        <v>91</v>
      </c>
      <c r="AD16" s="16" t="s">
        <v>115</v>
      </c>
      <c r="AE16" s="16"/>
      <c r="AF16" s="16"/>
      <c r="AG16" s="21"/>
    </row>
    <row r="17" spans="1:33" ht="15.75" thickBot="1" x14ac:dyDescent="0.3">
      <c r="A17" s="8">
        <v>5</v>
      </c>
      <c r="B17" s="9">
        <v>46164</v>
      </c>
      <c r="C17" s="10" t="s">
        <v>112</v>
      </c>
      <c r="D17" s="11"/>
      <c r="E17" s="16"/>
      <c r="F17" s="10"/>
      <c r="G17" s="212" t="str">
        <f>IFERROR(VLOOKUP(Tabla3[[#This Row],[NUM ECONOMICO]],MAQUINARIA!B:H,7,0), " MAQ")</f>
        <v>ACTIVA</v>
      </c>
      <c r="H17" s="214" t="s">
        <v>113</v>
      </c>
      <c r="I17" s="41" t="s">
        <v>116</v>
      </c>
      <c r="J17" s="10"/>
      <c r="K17" s="10">
        <v>2</v>
      </c>
      <c r="L17" s="12"/>
      <c r="M17" s="13">
        <f t="shared" si="0"/>
        <v>0</v>
      </c>
      <c r="N17" s="41"/>
      <c r="O17" s="10"/>
      <c r="P17" s="10">
        <f>Tabla3[[#This Row],[COSTO UNITARIO DOLARES EN HAWTHORNE]]*Tabla3[[#This Row],[CANTIDAD SOLICTADA]]</f>
        <v>0</v>
      </c>
      <c r="Q17" s="41"/>
      <c r="R17" s="229"/>
      <c r="S17" s="229">
        <f>+Tabla3[[#This Row],[COSTO UNITARIO DOLARES CTP]]*Tabla3[[#This Row],[CANTIDAD SOLICTADA]]</f>
        <v>0</v>
      </c>
      <c r="T17" s="41"/>
      <c r="U17" s="14" t="s">
        <v>4</v>
      </c>
      <c r="V17" s="17"/>
      <c r="W17" s="9">
        <v>46164</v>
      </c>
      <c r="X17" s="10" t="s">
        <v>96</v>
      </c>
      <c r="Y17" s="10">
        <v>0</v>
      </c>
      <c r="Z17" s="16"/>
      <c r="AA17" s="16"/>
      <c r="AB17" s="16"/>
      <c r="AC17" s="16" t="s">
        <v>91</v>
      </c>
      <c r="AD17" s="16" t="s">
        <v>115</v>
      </c>
      <c r="AE17" s="16"/>
      <c r="AF17" s="16"/>
      <c r="AG17" s="21"/>
    </row>
    <row r="18" spans="1:33" ht="15.75" thickBot="1" x14ac:dyDescent="0.3">
      <c r="A18" s="8">
        <v>5</v>
      </c>
      <c r="B18" s="9">
        <v>46164</v>
      </c>
      <c r="C18" s="10" t="s">
        <v>112</v>
      </c>
      <c r="D18" s="11"/>
      <c r="E18" s="16"/>
      <c r="F18" s="10"/>
      <c r="G18" s="212" t="str">
        <f>IFERROR(VLOOKUP(Tabla3[[#This Row],[NUM ECONOMICO]],MAQUINARIA!B:H,7,0), " MAQ")</f>
        <v>ACTIVA</v>
      </c>
      <c r="H18" s="214" t="s">
        <v>113</v>
      </c>
      <c r="I18" s="41" t="s">
        <v>117</v>
      </c>
      <c r="J18" s="10"/>
      <c r="K18" s="10">
        <v>32</v>
      </c>
      <c r="L18" s="12"/>
      <c r="M18" s="13">
        <f t="shared" si="0"/>
        <v>0</v>
      </c>
      <c r="N18" s="41"/>
      <c r="O18" s="10"/>
      <c r="P18" s="10">
        <f>Tabla3[[#This Row],[COSTO UNITARIO DOLARES EN HAWTHORNE]]*Tabla3[[#This Row],[CANTIDAD SOLICTADA]]</f>
        <v>0</v>
      </c>
      <c r="Q18" s="41"/>
      <c r="R18" s="229"/>
      <c r="S18" s="229">
        <f>+Tabla3[[#This Row],[COSTO UNITARIO DOLARES CTP]]*Tabla3[[#This Row],[CANTIDAD SOLICTADA]]</f>
        <v>0</v>
      </c>
      <c r="T18" s="41"/>
      <c r="U18" s="14" t="s">
        <v>4</v>
      </c>
      <c r="V18" s="17"/>
      <c r="W18" s="9">
        <v>46164</v>
      </c>
      <c r="X18" s="10" t="s">
        <v>96</v>
      </c>
      <c r="Y18" s="10">
        <v>0</v>
      </c>
      <c r="Z18" s="16"/>
      <c r="AA18" s="16"/>
      <c r="AB18" s="16"/>
      <c r="AC18" s="16" t="s">
        <v>91</v>
      </c>
      <c r="AD18" s="16" t="s">
        <v>115</v>
      </c>
      <c r="AE18" s="16"/>
      <c r="AF18" s="16"/>
      <c r="AG18" s="21"/>
    </row>
    <row r="19" spans="1:33" ht="15.75" thickBot="1" x14ac:dyDescent="0.3">
      <c r="A19" s="8">
        <v>5</v>
      </c>
      <c r="B19" s="9">
        <v>46164</v>
      </c>
      <c r="C19" s="10" t="s">
        <v>112</v>
      </c>
      <c r="D19" s="11"/>
      <c r="E19" s="16"/>
      <c r="F19" s="10"/>
      <c r="G19" s="212" t="str">
        <f>IFERROR(VLOOKUP(Tabla3[[#This Row],[NUM ECONOMICO]],MAQUINARIA!B:H,7,0), " MAQ")</f>
        <v>ACTIVA</v>
      </c>
      <c r="H19" s="214" t="s">
        <v>113</v>
      </c>
      <c r="I19" s="41" t="s">
        <v>118</v>
      </c>
      <c r="J19" s="10"/>
      <c r="K19" s="10">
        <v>32</v>
      </c>
      <c r="L19" s="12"/>
      <c r="M19" s="13">
        <f t="shared" si="0"/>
        <v>0</v>
      </c>
      <c r="N19" s="41"/>
      <c r="O19" s="10"/>
      <c r="P19" s="10">
        <f>Tabla3[[#This Row],[COSTO UNITARIO DOLARES EN HAWTHORNE]]*Tabla3[[#This Row],[CANTIDAD SOLICTADA]]</f>
        <v>0</v>
      </c>
      <c r="Q19" s="41"/>
      <c r="R19" s="229"/>
      <c r="S19" s="229">
        <f>+Tabla3[[#This Row],[COSTO UNITARIO DOLARES CTP]]*Tabla3[[#This Row],[CANTIDAD SOLICTADA]]</f>
        <v>0</v>
      </c>
      <c r="T19" s="41"/>
      <c r="U19" s="14" t="s">
        <v>4</v>
      </c>
      <c r="V19" s="17"/>
      <c r="W19" s="9">
        <v>46164</v>
      </c>
      <c r="X19" s="10" t="s">
        <v>96</v>
      </c>
      <c r="Y19" s="10">
        <v>682</v>
      </c>
      <c r="Z19" s="16"/>
      <c r="AA19" s="16"/>
      <c r="AB19" s="16"/>
      <c r="AC19" s="16" t="s">
        <v>91</v>
      </c>
      <c r="AD19" s="16" t="s">
        <v>115</v>
      </c>
      <c r="AE19" s="16"/>
      <c r="AF19" s="16"/>
      <c r="AG19" s="21"/>
    </row>
    <row r="20" spans="1:33" ht="15.75" thickBot="1" x14ac:dyDescent="0.3">
      <c r="A20" s="8">
        <v>6</v>
      </c>
      <c r="B20" s="9">
        <v>46164</v>
      </c>
      <c r="C20" s="10" t="s">
        <v>112</v>
      </c>
      <c r="D20" s="11"/>
      <c r="E20" s="16"/>
      <c r="F20" s="10"/>
      <c r="G20" s="212" t="str">
        <f>IFERROR(VLOOKUP(Tabla3[[#This Row],[NUM ECONOMICO]],MAQUINARIA!B:H,7,0), " MAQ")</f>
        <v>ACTIVA</v>
      </c>
      <c r="H20" s="214" t="s">
        <v>119</v>
      </c>
      <c r="I20" s="41" t="s">
        <v>117</v>
      </c>
      <c r="J20" s="10"/>
      <c r="K20" s="10">
        <v>22</v>
      </c>
      <c r="L20" s="12"/>
      <c r="M20" s="13">
        <f t="shared" si="0"/>
        <v>0</v>
      </c>
      <c r="N20" s="41"/>
      <c r="O20" s="10"/>
      <c r="P20" s="10">
        <f>Tabla3[[#This Row],[COSTO UNITARIO DOLARES EN HAWTHORNE]]*Tabla3[[#This Row],[CANTIDAD SOLICTADA]]</f>
        <v>0</v>
      </c>
      <c r="Q20" s="41"/>
      <c r="R20" s="229"/>
      <c r="S20" s="229">
        <f>+Tabla3[[#This Row],[COSTO UNITARIO DOLARES CTP]]*Tabla3[[#This Row],[CANTIDAD SOLICTADA]]</f>
        <v>0</v>
      </c>
      <c r="T20" s="41"/>
      <c r="U20" s="14" t="s">
        <v>4</v>
      </c>
      <c r="V20" s="17"/>
      <c r="W20" s="9">
        <v>46164</v>
      </c>
      <c r="X20" s="10" t="s">
        <v>96</v>
      </c>
      <c r="Y20" s="10">
        <v>0</v>
      </c>
      <c r="Z20" s="16"/>
      <c r="AA20" s="16"/>
      <c r="AB20" s="16"/>
      <c r="AC20" s="16" t="s">
        <v>91</v>
      </c>
      <c r="AD20" s="16" t="s">
        <v>120</v>
      </c>
      <c r="AE20" s="16"/>
      <c r="AF20" s="16"/>
      <c r="AG20" s="21"/>
    </row>
    <row r="21" spans="1:33" ht="15.75" thickBot="1" x14ac:dyDescent="0.3">
      <c r="A21" s="8">
        <v>6</v>
      </c>
      <c r="B21" s="9">
        <v>46164</v>
      </c>
      <c r="C21" s="10" t="s">
        <v>112</v>
      </c>
      <c r="D21" s="11"/>
      <c r="E21" s="16"/>
      <c r="F21" s="10"/>
      <c r="G21" s="212" t="str">
        <f>IFERROR(VLOOKUP(Tabla3[[#This Row],[NUM ECONOMICO]],MAQUINARIA!B:H,7,0), " MAQ")</f>
        <v>ACTIVA</v>
      </c>
      <c r="H21" s="214" t="s">
        <v>119</v>
      </c>
      <c r="I21" s="41" t="s">
        <v>117</v>
      </c>
      <c r="J21" s="10"/>
      <c r="K21" s="10">
        <v>22</v>
      </c>
      <c r="L21" s="12"/>
      <c r="M21" s="13">
        <f t="shared" si="0"/>
        <v>0</v>
      </c>
      <c r="N21" s="41"/>
      <c r="O21" s="10"/>
      <c r="P21" s="10">
        <f>Tabla3[[#This Row],[COSTO UNITARIO DOLARES EN HAWTHORNE]]*Tabla3[[#This Row],[CANTIDAD SOLICTADA]]</f>
        <v>0</v>
      </c>
      <c r="Q21" s="41"/>
      <c r="R21" s="229"/>
      <c r="S21" s="229">
        <f>+Tabla3[[#This Row],[COSTO UNITARIO DOLARES CTP]]*Tabla3[[#This Row],[CANTIDAD SOLICTADA]]</f>
        <v>0</v>
      </c>
      <c r="T21" s="41"/>
      <c r="U21" s="14" t="s">
        <v>4</v>
      </c>
      <c r="V21" s="17"/>
      <c r="W21" s="9">
        <v>46164</v>
      </c>
      <c r="X21" s="10" t="s">
        <v>96</v>
      </c>
      <c r="Y21" s="10">
        <v>0</v>
      </c>
      <c r="Z21" s="16"/>
      <c r="AA21" s="16"/>
      <c r="AB21" s="16"/>
      <c r="AC21" s="16" t="s">
        <v>91</v>
      </c>
      <c r="AD21" s="16" t="s">
        <v>120</v>
      </c>
      <c r="AE21" s="16"/>
      <c r="AF21" s="16"/>
      <c r="AG21" s="21"/>
    </row>
    <row r="22" spans="1:33" ht="15.75" thickBot="1" x14ac:dyDescent="0.3">
      <c r="A22" s="8">
        <v>7</v>
      </c>
      <c r="B22" s="9">
        <v>46164</v>
      </c>
      <c r="C22" s="10" t="s">
        <v>112</v>
      </c>
      <c r="D22" s="11"/>
      <c r="E22" s="16"/>
      <c r="F22" s="10"/>
      <c r="G22" s="212" t="str">
        <f>IFERROR(VLOOKUP(Tabla3[[#This Row],[NUM ECONOMICO]],MAQUINARIA!B:H,7,0), " MAQ")</f>
        <v>ACTIVA</v>
      </c>
      <c r="H22" s="214" t="s">
        <v>121</v>
      </c>
      <c r="I22" s="41" t="s">
        <v>122</v>
      </c>
      <c r="J22" s="10"/>
      <c r="K22" s="10">
        <v>2</v>
      </c>
      <c r="L22" s="12"/>
      <c r="M22" s="13">
        <f t="shared" si="0"/>
        <v>0</v>
      </c>
      <c r="N22" s="41"/>
      <c r="O22" s="10"/>
      <c r="P22" s="10">
        <f>Tabla3[[#This Row],[COSTO UNITARIO DOLARES EN HAWTHORNE]]*Tabla3[[#This Row],[CANTIDAD SOLICTADA]]</f>
        <v>0</v>
      </c>
      <c r="Q22" s="41"/>
      <c r="R22" s="229"/>
      <c r="S22" s="229">
        <f>+Tabla3[[#This Row],[COSTO UNITARIO DOLARES CTP]]*Tabla3[[#This Row],[CANTIDAD SOLICTADA]]</f>
        <v>0</v>
      </c>
      <c r="T22" s="41"/>
      <c r="U22" s="14" t="s">
        <v>4</v>
      </c>
      <c r="V22" s="17"/>
      <c r="W22" s="9">
        <v>46164</v>
      </c>
      <c r="X22" s="10" t="s">
        <v>96</v>
      </c>
      <c r="Y22" s="10">
        <v>0</v>
      </c>
      <c r="Z22" s="16"/>
      <c r="AA22" s="16"/>
      <c r="AB22" s="16"/>
      <c r="AC22" s="16" t="s">
        <v>91</v>
      </c>
      <c r="AD22" s="16" t="s">
        <v>123</v>
      </c>
      <c r="AE22" s="16"/>
      <c r="AF22" s="16"/>
      <c r="AG22" s="21"/>
    </row>
    <row r="23" spans="1:33" ht="15.75" thickBot="1" x14ac:dyDescent="0.3">
      <c r="A23" s="8">
        <v>7</v>
      </c>
      <c r="B23" s="9">
        <v>46164</v>
      </c>
      <c r="C23" s="10" t="s">
        <v>112</v>
      </c>
      <c r="D23" s="11"/>
      <c r="E23" s="16"/>
      <c r="F23" s="10"/>
      <c r="G23" s="212" t="str">
        <f>IFERROR(VLOOKUP(Tabla3[[#This Row],[NUM ECONOMICO]],MAQUINARIA!B:H,7,0), " MAQ")</f>
        <v>ACTIVA</v>
      </c>
      <c r="H23" s="214" t="s">
        <v>121</v>
      </c>
      <c r="I23" s="41" t="s">
        <v>124</v>
      </c>
      <c r="J23" s="10"/>
      <c r="K23" s="10">
        <v>2</v>
      </c>
      <c r="L23" s="12"/>
      <c r="M23" s="13">
        <f t="shared" si="0"/>
        <v>0</v>
      </c>
      <c r="N23" s="41"/>
      <c r="O23" s="10"/>
      <c r="P23" s="10">
        <f>Tabla3[[#This Row],[COSTO UNITARIO DOLARES EN HAWTHORNE]]*Tabla3[[#This Row],[CANTIDAD SOLICTADA]]</f>
        <v>0</v>
      </c>
      <c r="Q23" s="41"/>
      <c r="R23" s="229"/>
      <c r="S23" s="229">
        <f>+Tabla3[[#This Row],[COSTO UNITARIO DOLARES CTP]]*Tabla3[[#This Row],[CANTIDAD SOLICTADA]]</f>
        <v>0</v>
      </c>
      <c r="T23" s="41"/>
      <c r="U23" s="14" t="s">
        <v>4</v>
      </c>
      <c r="V23" s="17"/>
      <c r="W23" s="9">
        <v>46164</v>
      </c>
      <c r="X23" s="10" t="s">
        <v>96</v>
      </c>
      <c r="Y23" s="10">
        <v>15</v>
      </c>
      <c r="Z23" s="16"/>
      <c r="AA23" s="16"/>
      <c r="AB23" s="16"/>
      <c r="AC23" s="16" t="s">
        <v>91</v>
      </c>
      <c r="AD23" s="16" t="s">
        <v>123</v>
      </c>
      <c r="AE23" s="16"/>
      <c r="AF23" s="16"/>
      <c r="AG23" s="21"/>
    </row>
    <row r="24" spans="1:33" ht="15.75" thickBot="1" x14ac:dyDescent="0.3">
      <c r="A24" s="8">
        <v>7</v>
      </c>
      <c r="B24" s="9">
        <v>46164</v>
      </c>
      <c r="C24" s="10" t="s">
        <v>112</v>
      </c>
      <c r="D24" s="11"/>
      <c r="E24" s="16"/>
      <c r="F24" s="10"/>
      <c r="G24" s="212" t="str">
        <f>IFERROR(VLOOKUP(Tabla3[[#This Row],[NUM ECONOMICO]],MAQUINARIA!B:H,7,0), " MAQ")</f>
        <v>ACTIVA</v>
      </c>
      <c r="H24" s="214" t="s">
        <v>121</v>
      </c>
      <c r="I24" s="41" t="s">
        <v>125</v>
      </c>
      <c r="J24" s="10"/>
      <c r="K24" s="10">
        <v>2</v>
      </c>
      <c r="L24" s="12"/>
      <c r="M24" s="13">
        <f t="shared" si="0"/>
        <v>0</v>
      </c>
      <c r="N24" s="41"/>
      <c r="O24" s="10"/>
      <c r="P24" s="10">
        <f>Tabla3[[#This Row],[COSTO UNITARIO DOLARES EN HAWTHORNE]]*Tabla3[[#This Row],[CANTIDAD SOLICTADA]]</f>
        <v>0</v>
      </c>
      <c r="Q24" s="41"/>
      <c r="R24" s="229"/>
      <c r="S24" s="229">
        <f>+Tabla3[[#This Row],[COSTO UNITARIO DOLARES CTP]]*Tabla3[[#This Row],[CANTIDAD SOLICTADA]]</f>
        <v>0</v>
      </c>
      <c r="T24" s="41"/>
      <c r="U24" s="14" t="s">
        <v>4</v>
      </c>
      <c r="V24" s="17"/>
      <c r="W24" s="9">
        <v>46164</v>
      </c>
      <c r="X24" s="10" t="s">
        <v>96</v>
      </c>
      <c r="Y24" s="10">
        <v>0</v>
      </c>
      <c r="Z24" s="16"/>
      <c r="AA24" s="16"/>
      <c r="AB24" s="16"/>
      <c r="AC24" s="16" t="s">
        <v>91</v>
      </c>
      <c r="AD24" s="16" t="s">
        <v>123</v>
      </c>
      <c r="AE24" s="16"/>
      <c r="AF24" s="16"/>
      <c r="AG24" s="21"/>
    </row>
    <row r="25" spans="1:33" ht="15.75" thickBot="1" x14ac:dyDescent="0.3">
      <c r="A25" s="8">
        <v>8</v>
      </c>
      <c r="B25" s="9">
        <v>46164</v>
      </c>
      <c r="C25" s="10" t="s">
        <v>126</v>
      </c>
      <c r="D25" s="11"/>
      <c r="E25" s="16"/>
      <c r="F25" s="10"/>
      <c r="G25" s="212" t="str">
        <f>IFERROR(VLOOKUP(Tabla3[[#This Row],[NUM ECONOMICO]],MAQUINARIA!B:H,7,0), " MAQ")</f>
        <v>ACTIVA</v>
      </c>
      <c r="H25" s="214" t="s">
        <v>102</v>
      </c>
      <c r="I25" s="41" t="s">
        <v>127</v>
      </c>
      <c r="J25" s="10"/>
      <c r="K25" s="10">
        <v>8</v>
      </c>
      <c r="L25" s="12"/>
      <c r="M25" s="13">
        <f t="shared" si="0"/>
        <v>0</v>
      </c>
      <c r="N25" s="41"/>
      <c r="O25" s="10"/>
      <c r="P25" s="10">
        <f>Tabla3[[#This Row],[COSTO UNITARIO DOLARES EN HAWTHORNE]]*Tabla3[[#This Row],[CANTIDAD SOLICTADA]]</f>
        <v>0</v>
      </c>
      <c r="Q25" s="41"/>
      <c r="R25" s="229"/>
      <c r="S25" s="229">
        <f>+Tabla3[[#This Row],[COSTO UNITARIO DOLARES CTP]]*Tabla3[[#This Row],[CANTIDAD SOLICTADA]]</f>
        <v>0</v>
      </c>
      <c r="T25" s="41"/>
      <c r="U25" s="14" t="s">
        <v>4</v>
      </c>
      <c r="V25" s="211"/>
      <c r="W25" s="25">
        <v>46164</v>
      </c>
      <c r="X25" s="16" t="s">
        <v>96</v>
      </c>
      <c r="Y25" s="16" t="s">
        <v>90</v>
      </c>
      <c r="Z25" s="16"/>
      <c r="AA25" s="16"/>
      <c r="AB25" s="16"/>
      <c r="AC25" s="16" t="s">
        <v>126</v>
      </c>
      <c r="AD25" s="16" t="s">
        <v>128</v>
      </c>
      <c r="AE25" s="16"/>
      <c r="AF25" s="16"/>
      <c r="AG25" s="21"/>
    </row>
    <row r="26" spans="1:33" ht="15.75" thickBot="1" x14ac:dyDescent="0.3">
      <c r="A26" s="8">
        <v>9</v>
      </c>
      <c r="B26" s="9">
        <v>46164</v>
      </c>
      <c r="C26" s="10" t="s">
        <v>87</v>
      </c>
      <c r="D26" s="11"/>
      <c r="E26" s="16"/>
      <c r="F26" s="10"/>
      <c r="G26" s="212" t="str">
        <f>IFERROR(VLOOKUP(Tabla3[[#This Row],[NUM ECONOMICO]],MAQUINARIA!B:H,7,0), " MAQ")</f>
        <v>ACTIVA</v>
      </c>
      <c r="H26" s="214" t="s">
        <v>129</v>
      </c>
      <c r="I26" s="41">
        <v>1997954</v>
      </c>
      <c r="J26" s="10"/>
      <c r="K26" s="10">
        <v>1</v>
      </c>
      <c r="L26" s="12"/>
      <c r="M26" s="13">
        <f t="shared" si="0"/>
        <v>0</v>
      </c>
      <c r="N26" s="41"/>
      <c r="O26" s="10"/>
      <c r="P26" s="10">
        <f>Tabla3[[#This Row],[COSTO UNITARIO DOLARES EN HAWTHORNE]]*Tabla3[[#This Row],[CANTIDAD SOLICTADA]]</f>
        <v>0</v>
      </c>
      <c r="Q26" s="41"/>
      <c r="R26" s="229"/>
      <c r="S26" s="229">
        <f>+Tabla3[[#This Row],[COSTO UNITARIO DOLARES CTP]]*Tabla3[[#This Row],[CANTIDAD SOLICTADA]]</f>
        <v>0</v>
      </c>
      <c r="T26" s="41"/>
      <c r="U26" s="14" t="s">
        <v>4</v>
      </c>
      <c r="V26" s="17"/>
      <c r="W26" s="9">
        <v>46164</v>
      </c>
      <c r="X26" s="10" t="s">
        <v>96</v>
      </c>
      <c r="Y26" s="10">
        <v>3</v>
      </c>
      <c r="Z26" s="16"/>
      <c r="AA26" s="16"/>
      <c r="AB26" s="16"/>
      <c r="AC26" s="16" t="s">
        <v>87</v>
      </c>
      <c r="AD26" s="16" t="s">
        <v>130</v>
      </c>
      <c r="AE26" s="16"/>
      <c r="AF26" s="16"/>
      <c r="AG26" s="21"/>
    </row>
    <row r="27" spans="1:33" ht="15.75" thickBot="1" x14ac:dyDescent="0.3">
      <c r="A27" s="8">
        <v>10</v>
      </c>
      <c r="B27" s="9">
        <v>46164</v>
      </c>
      <c r="C27" s="10" t="s">
        <v>87</v>
      </c>
      <c r="D27" s="10" t="s">
        <v>131</v>
      </c>
      <c r="E27" s="16"/>
      <c r="F27" s="10"/>
      <c r="G27" s="212" t="str">
        <f>IFERROR(VLOOKUP(Tabla3[[#This Row],[NUM ECONOMICO]],MAQUINARIA!B:H,7,0), " MAQ")</f>
        <v>ACTIVA</v>
      </c>
      <c r="H27" s="214" t="s">
        <v>132</v>
      </c>
      <c r="I27" s="41" t="s">
        <v>133</v>
      </c>
      <c r="J27" s="10"/>
      <c r="K27" s="10">
        <v>1</v>
      </c>
      <c r="L27" s="12"/>
      <c r="M27" s="13">
        <f t="shared" si="0"/>
        <v>0</v>
      </c>
      <c r="N27" s="41"/>
      <c r="O27" s="10"/>
      <c r="P27" s="10">
        <f>Tabla3[[#This Row],[COSTO UNITARIO DOLARES EN HAWTHORNE]]*Tabla3[[#This Row],[CANTIDAD SOLICTADA]]</f>
        <v>0</v>
      </c>
      <c r="Q27" s="41"/>
      <c r="R27" s="229"/>
      <c r="S27" s="229">
        <f>+Tabla3[[#This Row],[COSTO UNITARIO DOLARES CTP]]*Tabla3[[#This Row],[CANTIDAD SOLICTADA]]</f>
        <v>0</v>
      </c>
      <c r="T27" s="41"/>
      <c r="U27" s="14" t="s">
        <v>4</v>
      </c>
      <c r="V27" s="8" t="s">
        <v>134</v>
      </c>
      <c r="W27" s="9">
        <v>46169</v>
      </c>
      <c r="X27" s="10" t="s">
        <v>89</v>
      </c>
      <c r="Y27" s="10" t="s">
        <v>90</v>
      </c>
      <c r="Z27" s="16" t="s">
        <v>44</v>
      </c>
      <c r="AA27" s="25">
        <v>46168</v>
      </c>
      <c r="AB27" s="25">
        <v>46169</v>
      </c>
      <c r="AC27" s="16"/>
      <c r="AD27" s="16"/>
      <c r="AE27" s="16" t="s">
        <v>135</v>
      </c>
      <c r="AF27" s="16"/>
      <c r="AG27" s="21"/>
    </row>
    <row r="28" spans="1:33" ht="15.75" thickBot="1" x14ac:dyDescent="0.3">
      <c r="A28" s="8">
        <v>10</v>
      </c>
      <c r="B28" s="9">
        <v>46164</v>
      </c>
      <c r="C28" s="10" t="s">
        <v>87</v>
      </c>
      <c r="D28" s="10" t="s">
        <v>131</v>
      </c>
      <c r="E28" s="16"/>
      <c r="F28" s="10"/>
      <c r="G28" s="212" t="str">
        <f>IFERROR(VLOOKUP(Tabla3[[#This Row],[NUM ECONOMICO]],MAQUINARIA!B:H,7,0), " MAQ")</f>
        <v>ACTIVA</v>
      </c>
      <c r="H28" s="214" t="s">
        <v>132</v>
      </c>
      <c r="I28" s="41" t="s">
        <v>136</v>
      </c>
      <c r="J28" s="10"/>
      <c r="K28" s="10">
        <v>1</v>
      </c>
      <c r="L28" s="12"/>
      <c r="M28" s="13">
        <f t="shared" si="0"/>
        <v>0</v>
      </c>
      <c r="N28" s="41"/>
      <c r="O28" s="10"/>
      <c r="P28" s="10">
        <f>Tabla3[[#This Row],[COSTO UNITARIO DOLARES EN HAWTHORNE]]*Tabla3[[#This Row],[CANTIDAD SOLICTADA]]</f>
        <v>0</v>
      </c>
      <c r="Q28" s="41"/>
      <c r="R28" s="229"/>
      <c r="S28" s="229">
        <f>+Tabla3[[#This Row],[COSTO UNITARIO DOLARES CTP]]*Tabla3[[#This Row],[CANTIDAD SOLICTADA]]</f>
        <v>0</v>
      </c>
      <c r="T28" s="41"/>
      <c r="U28" s="14" t="s">
        <v>4</v>
      </c>
      <c r="V28" s="8" t="s">
        <v>134</v>
      </c>
      <c r="W28" s="9">
        <v>46169</v>
      </c>
      <c r="X28" s="10" t="s">
        <v>89</v>
      </c>
      <c r="Y28" s="10" t="s">
        <v>90</v>
      </c>
      <c r="Z28" s="16" t="s">
        <v>44</v>
      </c>
      <c r="AA28" s="25">
        <v>46168</v>
      </c>
      <c r="AB28" s="25">
        <v>46169</v>
      </c>
      <c r="AC28" s="16"/>
      <c r="AD28" s="16"/>
      <c r="AE28" s="16" t="s">
        <v>135</v>
      </c>
      <c r="AF28" s="16"/>
      <c r="AG28" s="21"/>
    </row>
    <row r="29" spans="1:33" ht="15.75" thickBot="1" x14ac:dyDescent="0.3">
      <c r="A29" s="8">
        <v>11</v>
      </c>
      <c r="B29" s="9">
        <v>46167</v>
      </c>
      <c r="C29" s="10" t="s">
        <v>87</v>
      </c>
      <c r="D29" s="10" t="s">
        <v>137</v>
      </c>
      <c r="E29" s="16"/>
      <c r="F29" s="10"/>
      <c r="G29" s="212" t="str">
        <f>IFERROR(VLOOKUP(Tabla3[[#This Row],[NUM ECONOMICO]],MAQUINARIA!B:H,7,0), " MAQ")</f>
        <v>INACTIVA</v>
      </c>
      <c r="H29" s="214" t="s">
        <v>138</v>
      </c>
      <c r="I29" s="41">
        <v>1015459</v>
      </c>
      <c r="J29" s="10"/>
      <c r="K29" s="10">
        <v>1</v>
      </c>
      <c r="L29" s="12"/>
      <c r="M29" s="13">
        <f t="shared" si="0"/>
        <v>0</v>
      </c>
      <c r="N29" s="41"/>
      <c r="O29" s="10"/>
      <c r="P29" s="10">
        <f>Tabla3[[#This Row],[COSTO UNITARIO DOLARES EN HAWTHORNE]]*Tabla3[[#This Row],[CANTIDAD SOLICTADA]]</f>
        <v>0</v>
      </c>
      <c r="Q29" s="41"/>
      <c r="R29" s="229"/>
      <c r="S29" s="229">
        <f>+Tabla3[[#This Row],[COSTO UNITARIO DOLARES CTP]]*Tabla3[[#This Row],[CANTIDAD SOLICTADA]]</f>
        <v>0</v>
      </c>
      <c r="T29" s="41"/>
      <c r="U29" s="14" t="s">
        <v>4</v>
      </c>
      <c r="V29" s="17"/>
      <c r="W29" s="9">
        <v>46174</v>
      </c>
      <c r="X29" s="10" t="s">
        <v>89</v>
      </c>
      <c r="Y29" s="10" t="s">
        <v>90</v>
      </c>
      <c r="Z29" s="16" t="s">
        <v>44</v>
      </c>
      <c r="AA29" s="25">
        <v>46167</v>
      </c>
      <c r="AB29" s="25">
        <v>46170</v>
      </c>
      <c r="AC29" s="16" t="s">
        <v>139</v>
      </c>
      <c r="AD29" s="16"/>
      <c r="AE29" s="16" t="s">
        <v>140</v>
      </c>
      <c r="AF29" s="16"/>
      <c r="AG29" s="21"/>
    </row>
    <row r="30" spans="1:33" ht="15.75" thickBot="1" x14ac:dyDescent="0.3">
      <c r="A30" s="8">
        <v>12</v>
      </c>
      <c r="B30" s="9">
        <v>46167</v>
      </c>
      <c r="C30" s="10" t="s">
        <v>87</v>
      </c>
      <c r="D30" s="11"/>
      <c r="E30" s="16">
        <v>20</v>
      </c>
      <c r="F30" s="9">
        <v>46178</v>
      </c>
      <c r="G30" s="212" t="str">
        <f>IFERROR(VLOOKUP(Tabla3[[#This Row],[NUM ECONOMICO]],MAQUINARIA!B:H,7,0), " MAQ")</f>
        <v>INACTIVA</v>
      </c>
      <c r="H30" s="214" t="s">
        <v>141</v>
      </c>
      <c r="I30" s="41" t="s">
        <v>142</v>
      </c>
      <c r="J30" s="10"/>
      <c r="K30" s="10">
        <v>2</v>
      </c>
      <c r="L30" s="12"/>
      <c r="M30" s="13">
        <f t="shared" si="0"/>
        <v>0</v>
      </c>
      <c r="N30" s="41"/>
      <c r="O30" s="10"/>
      <c r="P30" s="10">
        <f>Tabla3[[#This Row],[COSTO UNITARIO DOLARES EN HAWTHORNE]]*Tabla3[[#This Row],[CANTIDAD SOLICTADA]]</f>
        <v>0</v>
      </c>
      <c r="Q30" s="41"/>
      <c r="R30" s="229"/>
      <c r="S30" s="229">
        <f>+Tabla3[[#This Row],[COSTO UNITARIO DOLARES CTP]]*Tabla3[[#This Row],[CANTIDAD SOLICTADA]]</f>
        <v>0</v>
      </c>
      <c r="T30" s="41"/>
      <c r="U30" s="14" t="s">
        <v>4</v>
      </c>
      <c r="V30" s="17"/>
      <c r="W30" s="9">
        <v>46191</v>
      </c>
      <c r="X30" s="10" t="s">
        <v>96</v>
      </c>
      <c r="Y30" s="10">
        <v>3</v>
      </c>
      <c r="Z30" s="16"/>
      <c r="AA30" s="16"/>
      <c r="AB30" s="16"/>
      <c r="AC30" s="16" t="s">
        <v>87</v>
      </c>
      <c r="AD30" s="16"/>
      <c r="AE30" s="16" t="s">
        <v>143</v>
      </c>
      <c r="AF30" s="16"/>
      <c r="AG30" s="21" t="s">
        <v>144</v>
      </c>
    </row>
    <row r="31" spans="1:33" ht="15.75" thickBot="1" x14ac:dyDescent="0.3">
      <c r="A31" s="8">
        <v>12</v>
      </c>
      <c r="B31" s="9">
        <v>46167</v>
      </c>
      <c r="C31" s="10" t="s">
        <v>87</v>
      </c>
      <c r="D31" s="11"/>
      <c r="E31" s="16">
        <v>20</v>
      </c>
      <c r="F31" s="9">
        <v>46178</v>
      </c>
      <c r="G31" s="212" t="str">
        <f>IFERROR(VLOOKUP(Tabla3[[#This Row],[NUM ECONOMICO]],MAQUINARIA!B:H,7,0), " MAQ")</f>
        <v>INACTIVA</v>
      </c>
      <c r="H31" s="214" t="s">
        <v>141</v>
      </c>
      <c r="I31" s="41" t="s">
        <v>145</v>
      </c>
      <c r="J31" s="10"/>
      <c r="K31" s="10">
        <v>1</v>
      </c>
      <c r="L31" s="12"/>
      <c r="M31" s="13">
        <f t="shared" si="0"/>
        <v>0</v>
      </c>
      <c r="N31" s="41"/>
      <c r="O31" s="10"/>
      <c r="P31" s="10">
        <f>Tabla3[[#This Row],[COSTO UNITARIO DOLARES EN HAWTHORNE]]*Tabla3[[#This Row],[CANTIDAD SOLICTADA]]</f>
        <v>0</v>
      </c>
      <c r="Q31" s="41"/>
      <c r="R31" s="229"/>
      <c r="S31" s="229">
        <f>+Tabla3[[#This Row],[COSTO UNITARIO DOLARES CTP]]*Tabla3[[#This Row],[CANTIDAD SOLICTADA]]</f>
        <v>0</v>
      </c>
      <c r="T31" s="41"/>
      <c r="U31" s="14" t="s">
        <v>4</v>
      </c>
      <c r="V31" s="17"/>
      <c r="W31" s="9">
        <v>46191</v>
      </c>
      <c r="X31" s="10" t="s">
        <v>96</v>
      </c>
      <c r="Y31" s="10">
        <v>1</v>
      </c>
      <c r="Z31" s="16"/>
      <c r="AA31" s="16"/>
      <c r="AB31" s="16"/>
      <c r="AC31" s="16" t="s">
        <v>87</v>
      </c>
      <c r="AD31" s="16"/>
      <c r="AE31" s="16" t="s">
        <v>143</v>
      </c>
      <c r="AF31" s="16"/>
      <c r="AG31" s="21" t="s">
        <v>144</v>
      </c>
    </row>
    <row r="32" spans="1:33" ht="15.75" thickBot="1" x14ac:dyDescent="0.3">
      <c r="A32" s="8">
        <v>12</v>
      </c>
      <c r="B32" s="9">
        <v>46167</v>
      </c>
      <c r="C32" s="10" t="s">
        <v>87</v>
      </c>
      <c r="D32" s="11"/>
      <c r="E32" s="16">
        <v>20</v>
      </c>
      <c r="F32" s="9">
        <v>46178</v>
      </c>
      <c r="G32" s="212" t="str">
        <f>IFERROR(VLOOKUP(Tabla3[[#This Row],[NUM ECONOMICO]],MAQUINARIA!B:H,7,0), " MAQ")</f>
        <v>INACTIVA</v>
      </c>
      <c r="H32" s="214" t="s">
        <v>141</v>
      </c>
      <c r="I32" s="41">
        <v>1752931</v>
      </c>
      <c r="J32" s="10"/>
      <c r="K32" s="10">
        <v>1</v>
      </c>
      <c r="L32" s="13">
        <v>34307.69</v>
      </c>
      <c r="M32" s="13">
        <f t="shared" si="0"/>
        <v>34307.69</v>
      </c>
      <c r="N32" s="41"/>
      <c r="O32" s="10"/>
      <c r="P32" s="10">
        <f>Tabla3[[#This Row],[COSTO UNITARIO DOLARES EN HAWTHORNE]]*Tabla3[[#This Row],[CANTIDAD SOLICTADA]]</f>
        <v>0</v>
      </c>
      <c r="Q32" s="41"/>
      <c r="R32" s="229"/>
      <c r="S32" s="229">
        <f>+Tabla3[[#This Row],[COSTO UNITARIO DOLARES CTP]]*Tabla3[[#This Row],[CANTIDAD SOLICTADA]]</f>
        <v>0</v>
      </c>
      <c r="T32" s="41"/>
      <c r="U32" s="14" t="s">
        <v>4</v>
      </c>
      <c r="V32" s="8" t="s">
        <v>146</v>
      </c>
      <c r="W32" s="9">
        <v>46191</v>
      </c>
      <c r="X32" s="10" t="s">
        <v>89</v>
      </c>
      <c r="Y32" s="10" t="s">
        <v>90</v>
      </c>
      <c r="Z32" s="16"/>
      <c r="AA32" s="16"/>
      <c r="AB32" s="16"/>
      <c r="AC32" s="16"/>
      <c r="AD32" s="16"/>
      <c r="AE32" s="16" t="s">
        <v>147</v>
      </c>
      <c r="AF32" s="16"/>
      <c r="AG32" s="21" t="s">
        <v>144</v>
      </c>
    </row>
    <row r="33" spans="1:33 16384:16384" ht="15.75" thickBot="1" x14ac:dyDescent="0.3">
      <c r="A33" s="8">
        <v>13</v>
      </c>
      <c r="B33" s="9">
        <v>46167</v>
      </c>
      <c r="C33" s="10" t="s">
        <v>87</v>
      </c>
      <c r="D33" s="11"/>
      <c r="E33" s="16"/>
      <c r="F33" s="10"/>
      <c r="G33" s="212" t="str">
        <f>IFERROR(VLOOKUP(Tabla3[[#This Row],[NUM ECONOMICO]],MAQUINARIA!B:H,7,0), " MAQ")</f>
        <v>ACTIVA</v>
      </c>
      <c r="H33" s="214" t="s">
        <v>148</v>
      </c>
      <c r="I33" s="41" t="s">
        <v>149</v>
      </c>
      <c r="J33" s="10"/>
      <c r="K33" s="10">
        <v>4</v>
      </c>
      <c r="L33" s="12"/>
      <c r="M33" s="13">
        <f t="shared" si="0"/>
        <v>0</v>
      </c>
      <c r="N33" s="41"/>
      <c r="O33" s="10"/>
      <c r="P33" s="10">
        <f>Tabla3[[#This Row],[COSTO UNITARIO DOLARES EN HAWTHORNE]]*Tabla3[[#This Row],[CANTIDAD SOLICTADA]]</f>
        <v>0</v>
      </c>
      <c r="Q33" s="41"/>
      <c r="R33" s="229"/>
      <c r="S33" s="229">
        <f>+Tabla3[[#This Row],[COSTO UNITARIO DOLARES CTP]]*Tabla3[[#This Row],[CANTIDAD SOLICTADA]]</f>
        <v>0</v>
      </c>
      <c r="T33" s="41"/>
      <c r="U33" s="14" t="s">
        <v>4</v>
      </c>
      <c r="V33" s="17"/>
      <c r="W33" s="9">
        <v>46167</v>
      </c>
      <c r="X33" s="10" t="s">
        <v>96</v>
      </c>
      <c r="Y33" s="10">
        <v>32</v>
      </c>
      <c r="Z33" s="16"/>
      <c r="AA33" s="16"/>
      <c r="AB33" s="16"/>
      <c r="AC33" s="16" t="s">
        <v>87</v>
      </c>
      <c r="AD33" s="16" t="s">
        <v>150</v>
      </c>
      <c r="AE33" s="16"/>
      <c r="AF33" s="16"/>
      <c r="AG33" s="21"/>
    </row>
    <row r="34" spans="1:33 16384:16384" ht="15.75" thickBot="1" x14ac:dyDescent="0.3">
      <c r="A34" s="8">
        <v>14</v>
      </c>
      <c r="B34" s="9">
        <v>46167</v>
      </c>
      <c r="C34" s="10" t="s">
        <v>87</v>
      </c>
      <c r="D34" s="11"/>
      <c r="E34" s="16"/>
      <c r="F34" s="10"/>
      <c r="G34" s="212" t="str">
        <f>IFERROR(VLOOKUP(Tabla3[[#This Row],[NUM ECONOMICO]],MAQUINARIA!B:H,7,0), " MAQ")</f>
        <v>ACTIVA</v>
      </c>
      <c r="H34" s="214" t="s">
        <v>148</v>
      </c>
      <c r="I34" s="41" t="s">
        <v>151</v>
      </c>
      <c r="J34" s="10" t="s">
        <v>152</v>
      </c>
      <c r="K34" s="10">
        <v>4</v>
      </c>
      <c r="L34" s="12"/>
      <c r="M34" s="13">
        <f t="shared" si="0"/>
        <v>0</v>
      </c>
      <c r="N34" s="41"/>
      <c r="O34" s="10"/>
      <c r="P34" s="10">
        <f>Tabla3[[#This Row],[COSTO UNITARIO DOLARES EN HAWTHORNE]]*Tabla3[[#This Row],[CANTIDAD SOLICTADA]]</f>
        <v>0</v>
      </c>
      <c r="Q34" s="41"/>
      <c r="R34" s="229">
        <v>0.82</v>
      </c>
      <c r="S34" s="229">
        <f>+Tabla3[[#This Row],[COSTO UNITARIO DOLARES CTP]]*Tabla3[[#This Row],[CANTIDAD SOLICTADA]]</f>
        <v>3.28</v>
      </c>
      <c r="T34" s="41"/>
      <c r="U34" s="14" t="s">
        <v>4</v>
      </c>
      <c r="V34" s="17"/>
      <c r="W34" s="9">
        <v>46167</v>
      </c>
      <c r="X34" s="10" t="s">
        <v>96</v>
      </c>
      <c r="Y34" s="10">
        <v>6</v>
      </c>
      <c r="Z34" s="16"/>
      <c r="AA34" s="16"/>
      <c r="AB34" s="16"/>
      <c r="AC34" s="16" t="s">
        <v>87</v>
      </c>
      <c r="AD34" s="16" t="s">
        <v>150</v>
      </c>
      <c r="AE34" s="16"/>
      <c r="AF34" s="16"/>
      <c r="AG34" s="21"/>
    </row>
    <row r="35" spans="1:33 16384:16384" ht="15.75" thickBot="1" x14ac:dyDescent="0.3">
      <c r="A35" s="8">
        <v>15</v>
      </c>
      <c r="B35" s="9">
        <v>46167</v>
      </c>
      <c r="C35" s="10" t="s">
        <v>87</v>
      </c>
      <c r="D35" s="11"/>
      <c r="E35" s="16"/>
      <c r="F35" s="10"/>
      <c r="G35" s="212" t="str">
        <f>IFERROR(VLOOKUP(Tabla3[[#This Row],[NUM ECONOMICO]],MAQUINARIA!B:H,7,0), " MAQ")</f>
        <v>ACTIVA</v>
      </c>
      <c r="H35" s="214" t="s">
        <v>148</v>
      </c>
      <c r="I35" s="41" t="s">
        <v>153</v>
      </c>
      <c r="J35" s="10" t="s">
        <v>154</v>
      </c>
      <c r="K35" s="10">
        <v>1</v>
      </c>
      <c r="L35" s="12"/>
      <c r="M35" s="13">
        <f t="shared" si="0"/>
        <v>0</v>
      </c>
      <c r="N35" s="41"/>
      <c r="O35" s="10"/>
      <c r="P35" s="10">
        <f>Tabla3[[#This Row],[COSTO UNITARIO DOLARES EN HAWTHORNE]]*Tabla3[[#This Row],[CANTIDAD SOLICTADA]]</f>
        <v>0</v>
      </c>
      <c r="Q35" s="41"/>
      <c r="R35" s="229">
        <v>3.98</v>
      </c>
      <c r="S35" s="229">
        <f>+Tabla3[[#This Row],[COSTO UNITARIO DOLARES CTP]]*Tabla3[[#This Row],[CANTIDAD SOLICTADA]]</f>
        <v>3.98</v>
      </c>
      <c r="T35" s="41"/>
      <c r="U35" s="14" t="s">
        <v>4</v>
      </c>
      <c r="V35" s="17"/>
      <c r="W35" s="9">
        <v>46167</v>
      </c>
      <c r="X35" s="10" t="s">
        <v>96</v>
      </c>
      <c r="Y35" s="10">
        <v>22</v>
      </c>
      <c r="Z35" s="16"/>
      <c r="AA35" s="16"/>
      <c r="AB35" s="16"/>
      <c r="AC35" s="16" t="s">
        <v>87</v>
      </c>
      <c r="AD35" s="16" t="s">
        <v>150</v>
      </c>
      <c r="AE35" s="16"/>
      <c r="AF35" s="16"/>
      <c r="AG35" s="21"/>
    </row>
    <row r="36" spans="1:33 16384:16384" ht="15.75" thickBot="1" x14ac:dyDescent="0.3">
      <c r="A36" s="8">
        <v>16</v>
      </c>
      <c r="B36" s="9">
        <v>46167</v>
      </c>
      <c r="C36" s="10" t="s">
        <v>87</v>
      </c>
      <c r="D36" s="10" t="s">
        <v>155</v>
      </c>
      <c r="E36" s="16"/>
      <c r="F36" s="10"/>
      <c r="G36" s="212" t="str">
        <f>IFERROR(VLOOKUP(Tabla3[[#This Row],[NUM ECONOMICO]],MAQUINARIA!B:H,7,0), " MAQ")</f>
        <v>ACTIVA</v>
      </c>
      <c r="H36" s="214" t="s">
        <v>148</v>
      </c>
      <c r="I36" s="41" t="s">
        <v>156</v>
      </c>
      <c r="J36" s="10"/>
      <c r="K36" s="10">
        <v>1</v>
      </c>
      <c r="L36" s="12"/>
      <c r="M36" s="13">
        <f t="shared" si="0"/>
        <v>0</v>
      </c>
      <c r="N36" s="41"/>
      <c r="O36" s="10"/>
      <c r="P36" s="10">
        <f>Tabla3[[#This Row],[COSTO UNITARIO DOLARES EN HAWTHORNE]]*Tabla3[[#This Row],[CANTIDAD SOLICTADA]]</f>
        <v>0</v>
      </c>
      <c r="Q36" s="41"/>
      <c r="R36" s="229"/>
      <c r="S36" s="229">
        <f>+Tabla3[[#This Row],[COSTO UNITARIO DOLARES CTP]]*Tabla3[[#This Row],[CANTIDAD SOLICTADA]]</f>
        <v>0</v>
      </c>
      <c r="T36" s="41"/>
      <c r="U36" s="14" t="s">
        <v>4</v>
      </c>
      <c r="V36" s="17"/>
      <c r="W36" s="9">
        <v>46167</v>
      </c>
      <c r="X36" s="10" t="s">
        <v>89</v>
      </c>
      <c r="Y36" s="10">
        <v>0</v>
      </c>
      <c r="Z36" s="16" t="s">
        <v>157</v>
      </c>
      <c r="AA36" s="25">
        <v>46167</v>
      </c>
      <c r="AB36" s="25">
        <v>46167</v>
      </c>
      <c r="AC36" s="16" t="s">
        <v>87</v>
      </c>
      <c r="AD36" s="16"/>
      <c r="AE36" s="16"/>
      <c r="AF36" s="16"/>
      <c r="AG36" s="21"/>
    </row>
    <row r="37" spans="1:33 16384:16384" ht="15.75" thickBot="1" x14ac:dyDescent="0.3">
      <c r="A37" s="8">
        <v>17</v>
      </c>
      <c r="B37" s="9">
        <v>46167</v>
      </c>
      <c r="C37" s="10" t="s">
        <v>87</v>
      </c>
      <c r="D37" s="11"/>
      <c r="E37" s="16"/>
      <c r="F37" s="10"/>
      <c r="G37" s="212" t="str">
        <f>IFERROR(VLOOKUP(Tabla3[[#This Row],[NUM ECONOMICO]],MAQUINARIA!B:H,7,0), " MAQ")</f>
        <v>ACTIVA</v>
      </c>
      <c r="H37" s="214" t="s">
        <v>94</v>
      </c>
      <c r="I37" s="41" t="s">
        <v>158</v>
      </c>
      <c r="J37" s="10"/>
      <c r="K37" s="10">
        <v>16</v>
      </c>
      <c r="L37" s="12"/>
      <c r="M37" s="13">
        <f t="shared" si="0"/>
        <v>0</v>
      </c>
      <c r="N37" s="41"/>
      <c r="O37" s="10"/>
      <c r="P37" s="10">
        <f>Tabla3[[#This Row],[COSTO UNITARIO DOLARES EN HAWTHORNE]]*Tabla3[[#This Row],[CANTIDAD SOLICTADA]]</f>
        <v>0</v>
      </c>
      <c r="Q37" s="41"/>
      <c r="R37" s="229"/>
      <c r="S37" s="229">
        <f>+Tabla3[[#This Row],[COSTO UNITARIO DOLARES CTP]]*Tabla3[[#This Row],[CANTIDAD SOLICTADA]]</f>
        <v>0</v>
      </c>
      <c r="T37" s="41"/>
      <c r="U37" s="14" t="s">
        <v>4</v>
      </c>
      <c r="V37" s="8" t="s">
        <v>159</v>
      </c>
      <c r="W37" s="10"/>
      <c r="X37" s="10" t="s">
        <v>89</v>
      </c>
      <c r="Y37" s="10" t="s">
        <v>90</v>
      </c>
      <c r="Z37" s="16"/>
      <c r="AA37" s="16"/>
      <c r="AB37" s="16"/>
      <c r="AC37" s="16"/>
      <c r="AD37" s="16"/>
      <c r="AE37" s="16"/>
      <c r="AF37" s="16"/>
      <c r="AG37" s="21"/>
    </row>
    <row r="38" spans="1:33 16384:16384" ht="15.75" thickBot="1" x14ac:dyDescent="0.3">
      <c r="A38" s="8">
        <v>17</v>
      </c>
      <c r="B38" s="9">
        <v>46167</v>
      </c>
      <c r="C38" s="10" t="s">
        <v>87</v>
      </c>
      <c r="D38" s="11"/>
      <c r="E38" s="16"/>
      <c r="F38" s="10"/>
      <c r="G38" s="212" t="str">
        <f>IFERROR(VLOOKUP(Tabla3[[#This Row],[NUM ECONOMICO]],MAQUINARIA!B:H,7,0), " MAQ")</f>
        <v>ACTIVA</v>
      </c>
      <c r="H38" s="214" t="s">
        <v>94</v>
      </c>
      <c r="I38" s="41" t="s">
        <v>160</v>
      </c>
      <c r="J38" s="10"/>
      <c r="K38" s="10">
        <v>16</v>
      </c>
      <c r="L38" s="12"/>
      <c r="M38" s="13">
        <f t="shared" si="0"/>
        <v>0</v>
      </c>
      <c r="N38" s="41"/>
      <c r="O38" s="10"/>
      <c r="P38" s="10">
        <f>Tabla3[[#This Row],[COSTO UNITARIO DOLARES EN HAWTHORNE]]*Tabla3[[#This Row],[CANTIDAD SOLICTADA]]</f>
        <v>0</v>
      </c>
      <c r="Q38" s="41"/>
      <c r="R38" s="229"/>
      <c r="S38" s="229">
        <f>+Tabla3[[#This Row],[COSTO UNITARIO DOLARES CTP]]*Tabla3[[#This Row],[CANTIDAD SOLICTADA]]</f>
        <v>0</v>
      </c>
      <c r="T38" s="41"/>
      <c r="U38" s="20" t="s">
        <v>161</v>
      </c>
      <c r="V38" s="17"/>
      <c r="W38" s="10"/>
      <c r="X38" s="10" t="s">
        <v>96</v>
      </c>
      <c r="Y38" s="10">
        <v>32</v>
      </c>
      <c r="Z38" s="16"/>
      <c r="AA38" s="16"/>
      <c r="AB38" s="16"/>
      <c r="AC38" s="16"/>
      <c r="AD38" s="16"/>
      <c r="AE38" s="16"/>
      <c r="AF38" s="16"/>
      <c r="AG38" s="21"/>
      <c r="XFD38" s="15" t="str">
        <f>+Tabla3[[#This Row],[ESTATUS DE NUM ECONOMICO]]</f>
        <v>ACTIVA</v>
      </c>
    </row>
    <row r="39" spans="1:33 16384:16384" ht="15.75" thickBot="1" x14ac:dyDescent="0.3">
      <c r="A39" s="8">
        <v>17</v>
      </c>
      <c r="B39" s="9">
        <v>46167</v>
      </c>
      <c r="C39" s="10" t="s">
        <v>87</v>
      </c>
      <c r="D39" s="11"/>
      <c r="E39" s="16"/>
      <c r="F39" s="10"/>
      <c r="G39" s="212" t="str">
        <f>IFERROR(VLOOKUP(Tabla3[[#This Row],[NUM ECONOMICO]],MAQUINARIA!B:H,7,0), " MAQ")</f>
        <v>ACTIVA</v>
      </c>
      <c r="H39" s="214" t="s">
        <v>94</v>
      </c>
      <c r="I39" s="41" t="s">
        <v>162</v>
      </c>
      <c r="J39" s="10"/>
      <c r="K39" s="10">
        <v>1</v>
      </c>
      <c r="L39" s="12"/>
      <c r="M39" s="13">
        <f t="shared" si="0"/>
        <v>0</v>
      </c>
      <c r="N39" s="41"/>
      <c r="O39" s="10"/>
      <c r="P39" s="10">
        <f>Tabla3[[#This Row],[COSTO UNITARIO DOLARES EN HAWTHORNE]]*Tabla3[[#This Row],[CANTIDAD SOLICTADA]]</f>
        <v>0</v>
      </c>
      <c r="Q39" s="41"/>
      <c r="R39" s="229"/>
      <c r="S39" s="229">
        <f>+Tabla3[[#This Row],[COSTO UNITARIO DOLARES CTP]]*Tabla3[[#This Row],[CANTIDAD SOLICTADA]]</f>
        <v>0</v>
      </c>
      <c r="T39" s="41"/>
      <c r="U39" s="14" t="s">
        <v>4</v>
      </c>
      <c r="V39" s="8" t="s">
        <v>159</v>
      </c>
      <c r="W39" s="10"/>
      <c r="X39" s="10" t="s">
        <v>89</v>
      </c>
      <c r="Y39" s="10">
        <v>1</v>
      </c>
      <c r="Z39" s="16"/>
      <c r="AA39" s="16"/>
      <c r="AB39" s="16"/>
      <c r="AC39" s="16"/>
      <c r="AD39" s="16"/>
      <c r="AE39" s="16"/>
      <c r="AF39" s="16"/>
      <c r="AG39" s="21"/>
      <c r="XFD39" s="15" t="str">
        <f>+Tabla3[[#This Row],[ESTATUS DE NUM ECONOMICO]]</f>
        <v>ACTIVA</v>
      </c>
    </row>
    <row r="40" spans="1:33 16384:16384" ht="15.75" thickBot="1" x14ac:dyDescent="0.3">
      <c r="A40" s="8">
        <v>17</v>
      </c>
      <c r="B40" s="9">
        <v>46167</v>
      </c>
      <c r="C40" s="10" t="s">
        <v>87</v>
      </c>
      <c r="D40" s="11"/>
      <c r="E40" s="16"/>
      <c r="F40" s="10"/>
      <c r="G40" s="212" t="str">
        <f>IFERROR(VLOOKUP(Tabla3[[#This Row],[NUM ECONOMICO]],MAQUINARIA!B:H,7,0), " MAQ")</f>
        <v>ACTIVA</v>
      </c>
      <c r="H40" s="214" t="s">
        <v>94</v>
      </c>
      <c r="I40" s="41">
        <v>2160273</v>
      </c>
      <c r="J40" s="10"/>
      <c r="K40" s="10">
        <v>1</v>
      </c>
      <c r="L40" s="12"/>
      <c r="M40" s="13">
        <f t="shared" si="0"/>
        <v>0</v>
      </c>
      <c r="N40" s="41"/>
      <c r="O40" s="10"/>
      <c r="P40" s="10">
        <f>Tabla3[[#This Row],[COSTO UNITARIO DOLARES EN HAWTHORNE]]*Tabla3[[#This Row],[CANTIDAD SOLICTADA]]</f>
        <v>0</v>
      </c>
      <c r="Q40" s="41"/>
      <c r="R40" s="229"/>
      <c r="S40" s="229">
        <f>+Tabla3[[#This Row],[COSTO UNITARIO DOLARES CTP]]*Tabla3[[#This Row],[CANTIDAD SOLICTADA]]</f>
        <v>0</v>
      </c>
      <c r="T40" s="41"/>
      <c r="U40" s="14" t="s">
        <v>4</v>
      </c>
      <c r="V40" s="8" t="s">
        <v>159</v>
      </c>
      <c r="W40" s="10"/>
      <c r="X40" s="10" t="s">
        <v>89</v>
      </c>
      <c r="Y40" s="10">
        <v>1</v>
      </c>
      <c r="Z40" s="16"/>
      <c r="AA40" s="16"/>
      <c r="AB40" s="16"/>
      <c r="AC40" s="16"/>
      <c r="AD40" s="16"/>
      <c r="AE40" s="16"/>
      <c r="AF40" s="16"/>
      <c r="AG40" s="21"/>
      <c r="XFD40" s="15" t="str">
        <f>+Tabla3[[#This Row],[ESTATUS DE NUM ECONOMICO]]</f>
        <v>ACTIVA</v>
      </c>
    </row>
    <row r="41" spans="1:33 16384:16384" ht="15.75" thickBot="1" x14ac:dyDescent="0.3">
      <c r="A41" s="8">
        <v>18</v>
      </c>
      <c r="B41" s="9">
        <v>46167</v>
      </c>
      <c r="C41" s="10" t="s">
        <v>87</v>
      </c>
      <c r="D41" s="10" t="s">
        <v>163</v>
      </c>
      <c r="E41" s="16"/>
      <c r="F41" s="9">
        <v>46167</v>
      </c>
      <c r="G41" s="212" t="str">
        <f>IFERROR(VLOOKUP(Tabla3[[#This Row],[NUM ECONOMICO]],MAQUINARIA!B:H,7,0), " MAQ")</f>
        <v>INACTIVA</v>
      </c>
      <c r="H41" s="214" t="s">
        <v>164</v>
      </c>
      <c r="I41" s="41">
        <v>2435803</v>
      </c>
      <c r="J41" s="10"/>
      <c r="K41" s="10">
        <v>1</v>
      </c>
      <c r="L41" s="12"/>
      <c r="M41" s="13">
        <f t="shared" si="0"/>
        <v>0</v>
      </c>
      <c r="N41" s="41"/>
      <c r="O41" s="10"/>
      <c r="P41" s="10">
        <f>Tabla3[[#This Row],[COSTO UNITARIO DOLARES EN HAWTHORNE]]*Tabla3[[#This Row],[CANTIDAD SOLICTADA]]</f>
        <v>0</v>
      </c>
      <c r="Q41" s="41"/>
      <c r="R41" s="229"/>
      <c r="S41" s="229">
        <f>+Tabla3[[#This Row],[COSTO UNITARIO DOLARES CTP]]*Tabla3[[#This Row],[CANTIDAD SOLICTADA]]</f>
        <v>0</v>
      </c>
      <c r="T41" s="41"/>
      <c r="U41" s="14" t="s">
        <v>4</v>
      </c>
      <c r="V41" s="8" t="s">
        <v>165</v>
      </c>
      <c r="W41" s="9">
        <v>46167</v>
      </c>
      <c r="X41" s="10" t="s">
        <v>89</v>
      </c>
      <c r="Y41" s="10">
        <v>0</v>
      </c>
      <c r="Z41" s="16" t="s">
        <v>44</v>
      </c>
      <c r="AA41" s="25">
        <v>46167</v>
      </c>
      <c r="AB41" s="25">
        <v>46167</v>
      </c>
      <c r="AC41" s="16" t="s">
        <v>87</v>
      </c>
      <c r="AD41" s="16"/>
      <c r="AE41" s="16" t="s">
        <v>166</v>
      </c>
      <c r="AF41" s="16"/>
      <c r="AG41" s="21"/>
      <c r="XFD41" s="15" t="str">
        <f>+Tabla3[[#This Row],[ESTATUS DE NUM ECONOMICO]]</f>
        <v>INACTIVA</v>
      </c>
    </row>
    <row r="42" spans="1:33 16384:16384" ht="15.75" thickBot="1" x14ac:dyDescent="0.3">
      <c r="A42" s="8">
        <v>19</v>
      </c>
      <c r="B42" s="9">
        <v>46167</v>
      </c>
      <c r="C42" s="10" t="s">
        <v>87</v>
      </c>
      <c r="D42" s="11"/>
      <c r="E42" s="16"/>
      <c r="F42" s="10"/>
      <c r="G42" s="212" t="str">
        <f>IFERROR(VLOOKUP(Tabla3[[#This Row],[NUM ECONOMICO]],MAQUINARIA!B:H,7,0), " MAQ")</f>
        <v>INACTIVA</v>
      </c>
      <c r="H42" s="214" t="s">
        <v>167</v>
      </c>
      <c r="I42" s="41" t="s">
        <v>168</v>
      </c>
      <c r="J42" s="10"/>
      <c r="K42" s="10">
        <v>4</v>
      </c>
      <c r="L42" s="12"/>
      <c r="M42" s="13">
        <f t="shared" si="0"/>
        <v>0</v>
      </c>
      <c r="N42" s="41"/>
      <c r="O42" s="10"/>
      <c r="P42" s="10">
        <f>Tabla3[[#This Row],[COSTO UNITARIO DOLARES EN HAWTHORNE]]*Tabla3[[#This Row],[CANTIDAD SOLICTADA]]</f>
        <v>0</v>
      </c>
      <c r="Q42" s="41"/>
      <c r="R42" s="229"/>
      <c r="S42" s="229">
        <f>+Tabla3[[#This Row],[COSTO UNITARIO DOLARES CTP]]*Tabla3[[#This Row],[CANTIDAD SOLICTADA]]</f>
        <v>0</v>
      </c>
      <c r="T42" s="41"/>
      <c r="U42" s="19" t="s">
        <v>7</v>
      </c>
      <c r="V42" s="8" t="s">
        <v>169</v>
      </c>
      <c r="W42" s="10"/>
      <c r="X42" s="10" t="s">
        <v>89</v>
      </c>
      <c r="Y42" s="10" t="s">
        <v>90</v>
      </c>
      <c r="Z42" s="16"/>
      <c r="AA42" s="16"/>
      <c r="AB42" s="16"/>
      <c r="AC42" s="16"/>
      <c r="AD42" s="16"/>
      <c r="AE42" s="16" t="s">
        <v>147</v>
      </c>
      <c r="AF42" s="16"/>
      <c r="AG42" s="21" t="s">
        <v>170</v>
      </c>
      <c r="XFD42" s="15" t="str">
        <f>+Tabla3[[#This Row],[ESTATUS DE NUM ECONOMICO]]</f>
        <v>INACTIVA</v>
      </c>
    </row>
    <row r="43" spans="1:33 16384:16384" ht="15.75" thickBot="1" x14ac:dyDescent="0.3">
      <c r="A43" s="8">
        <v>19</v>
      </c>
      <c r="B43" s="9">
        <v>46167</v>
      </c>
      <c r="C43" s="10" t="s">
        <v>87</v>
      </c>
      <c r="D43" s="11"/>
      <c r="E43" s="16"/>
      <c r="F43" s="10"/>
      <c r="G43" s="212" t="str">
        <f>IFERROR(VLOOKUP(Tabla3[[#This Row],[NUM ECONOMICO]],MAQUINARIA!B:H,7,0), " MAQ")</f>
        <v>INACTIVA</v>
      </c>
      <c r="H43" s="214" t="s">
        <v>167</v>
      </c>
      <c r="I43" s="41" t="s">
        <v>171</v>
      </c>
      <c r="J43" s="10"/>
      <c r="K43" s="10">
        <v>10</v>
      </c>
      <c r="L43" s="12"/>
      <c r="M43" s="13">
        <f t="shared" si="0"/>
        <v>0</v>
      </c>
      <c r="N43" s="41"/>
      <c r="O43" s="10"/>
      <c r="P43" s="10">
        <f>Tabla3[[#This Row],[COSTO UNITARIO DOLARES EN HAWTHORNE]]*Tabla3[[#This Row],[CANTIDAD SOLICTADA]]</f>
        <v>0</v>
      </c>
      <c r="Q43" s="41"/>
      <c r="R43" s="229"/>
      <c r="S43" s="229">
        <f>+Tabla3[[#This Row],[COSTO UNITARIO DOLARES CTP]]*Tabla3[[#This Row],[CANTIDAD SOLICTADA]]</f>
        <v>0</v>
      </c>
      <c r="T43" s="41"/>
      <c r="U43" s="19" t="s">
        <v>7</v>
      </c>
      <c r="V43" s="8" t="s">
        <v>169</v>
      </c>
      <c r="W43" s="10"/>
      <c r="X43" s="10" t="s">
        <v>89</v>
      </c>
      <c r="Y43" s="10" t="s">
        <v>90</v>
      </c>
      <c r="Z43" s="16"/>
      <c r="AA43" s="16"/>
      <c r="AB43" s="16"/>
      <c r="AC43" s="16"/>
      <c r="AD43" s="16"/>
      <c r="AE43" s="16"/>
      <c r="AF43" s="16"/>
      <c r="AG43" s="21"/>
      <c r="XFD43" s="15" t="str">
        <f>+Tabla3[[#This Row],[ESTATUS DE NUM ECONOMICO]]</f>
        <v>INACTIVA</v>
      </c>
    </row>
    <row r="44" spans="1:33 16384:16384" ht="15.75" thickBot="1" x14ac:dyDescent="0.3">
      <c r="A44" s="8">
        <v>20</v>
      </c>
      <c r="B44" s="9">
        <v>46167</v>
      </c>
      <c r="C44" s="10" t="s">
        <v>87</v>
      </c>
      <c r="D44" s="11"/>
      <c r="E44" s="16"/>
      <c r="F44" s="10"/>
      <c r="G44" s="212" t="str">
        <f>IFERROR(VLOOKUP(Tabla3[[#This Row],[NUM ECONOMICO]],MAQUINARIA!B:H,7,0), " MAQ")</f>
        <v>ACTIVA</v>
      </c>
      <c r="H44" s="214" t="s">
        <v>172</v>
      </c>
      <c r="I44" s="41" t="s">
        <v>173</v>
      </c>
      <c r="J44" s="10"/>
      <c r="K44" s="10">
        <v>4</v>
      </c>
      <c r="L44" s="12"/>
      <c r="M44" s="13">
        <f t="shared" si="0"/>
        <v>0</v>
      </c>
      <c r="N44" s="41"/>
      <c r="O44" s="10"/>
      <c r="P44" s="10">
        <f>Tabla3[[#This Row],[COSTO UNITARIO DOLARES EN HAWTHORNE]]*Tabla3[[#This Row],[CANTIDAD SOLICTADA]]</f>
        <v>0</v>
      </c>
      <c r="Q44" s="41"/>
      <c r="R44" s="229"/>
      <c r="S44" s="229">
        <f>+Tabla3[[#This Row],[COSTO UNITARIO DOLARES CTP]]*Tabla3[[#This Row],[CANTIDAD SOLICTADA]]</f>
        <v>0</v>
      </c>
      <c r="T44" s="41"/>
      <c r="U44" s="20" t="s">
        <v>161</v>
      </c>
      <c r="V44" s="17"/>
      <c r="W44" s="10"/>
      <c r="X44" s="10" t="s">
        <v>96</v>
      </c>
      <c r="Y44" s="10">
        <v>1</v>
      </c>
      <c r="Z44" s="16"/>
      <c r="AA44" s="16"/>
      <c r="AB44" s="16"/>
      <c r="AC44" s="16"/>
      <c r="AD44" s="16"/>
      <c r="AE44" s="16"/>
      <c r="AF44" s="16"/>
      <c r="AG44" s="21"/>
      <c r="XFD44" s="15" t="str">
        <f>+Tabla3[[#This Row],[ESTATUS DE NUM ECONOMICO]]</f>
        <v>ACTIVA</v>
      </c>
    </row>
    <row r="45" spans="1:33 16384:16384" ht="15.75" thickBot="1" x14ac:dyDescent="0.3">
      <c r="A45" s="8">
        <v>20</v>
      </c>
      <c r="B45" s="9">
        <v>46167</v>
      </c>
      <c r="C45" s="10" t="s">
        <v>87</v>
      </c>
      <c r="D45" s="11"/>
      <c r="E45" s="16"/>
      <c r="F45" s="10"/>
      <c r="G45" s="212" t="str">
        <f>IFERROR(VLOOKUP(Tabla3[[#This Row],[NUM ECONOMICO]],MAQUINARIA!B:H,7,0), " MAQ")</f>
        <v>ACTIVA</v>
      </c>
      <c r="H45" s="214" t="s">
        <v>172</v>
      </c>
      <c r="I45" s="41" t="s">
        <v>174</v>
      </c>
      <c r="J45" s="10"/>
      <c r="K45" s="10">
        <v>2</v>
      </c>
      <c r="L45" s="12"/>
      <c r="M45" s="13">
        <f t="shared" si="0"/>
        <v>0</v>
      </c>
      <c r="N45" s="41"/>
      <c r="O45" s="10"/>
      <c r="P45" s="10">
        <f>Tabla3[[#This Row],[COSTO UNITARIO DOLARES EN HAWTHORNE]]*Tabla3[[#This Row],[CANTIDAD SOLICTADA]]</f>
        <v>0</v>
      </c>
      <c r="Q45" s="41"/>
      <c r="R45" s="229"/>
      <c r="S45" s="229">
        <f>+Tabla3[[#This Row],[COSTO UNITARIO DOLARES CTP]]*Tabla3[[#This Row],[CANTIDAD SOLICTADA]]</f>
        <v>0</v>
      </c>
      <c r="T45" s="41"/>
      <c r="U45" s="20" t="s">
        <v>161</v>
      </c>
      <c r="V45" s="17"/>
      <c r="W45" s="10"/>
      <c r="X45" s="10" t="s">
        <v>96</v>
      </c>
      <c r="Y45" s="10">
        <v>2</v>
      </c>
      <c r="Z45" s="16"/>
      <c r="AA45" s="16"/>
      <c r="AB45" s="16"/>
      <c r="AC45" s="16"/>
      <c r="AD45" s="16"/>
      <c r="AE45" s="16"/>
      <c r="AF45" s="16"/>
      <c r="AG45" s="21"/>
      <c r="XFD45" s="15" t="str">
        <f>+Tabla3[[#This Row],[ESTATUS DE NUM ECONOMICO]]</f>
        <v>ACTIVA</v>
      </c>
    </row>
    <row r="46" spans="1:33 16384:16384" ht="15.75" thickBot="1" x14ac:dyDescent="0.3">
      <c r="A46" s="8">
        <v>20</v>
      </c>
      <c r="B46" s="9">
        <v>46167</v>
      </c>
      <c r="C46" s="10" t="s">
        <v>87</v>
      </c>
      <c r="D46" s="11"/>
      <c r="E46" s="16"/>
      <c r="F46" s="10"/>
      <c r="G46" s="212" t="str">
        <f>IFERROR(VLOOKUP(Tabla3[[#This Row],[NUM ECONOMICO]],MAQUINARIA!B:H,7,0), " MAQ")</f>
        <v>ACTIVA</v>
      </c>
      <c r="H46" s="214" t="s">
        <v>172</v>
      </c>
      <c r="I46" s="41" t="s">
        <v>175</v>
      </c>
      <c r="J46" s="10" t="s">
        <v>176</v>
      </c>
      <c r="K46" s="10">
        <v>4</v>
      </c>
      <c r="L46" s="13">
        <v>1294.6199999999999</v>
      </c>
      <c r="M46" s="13">
        <f t="shared" si="0"/>
        <v>5178.4799999999996</v>
      </c>
      <c r="N46" s="41"/>
      <c r="O46" s="287">
        <v>63.03</v>
      </c>
      <c r="P46" s="287">
        <f>Tabla3[[#This Row],[COSTO UNITARIO DOLARES EN HAWTHORNE]]*Tabla3[[#This Row],[CANTIDAD SOLICTADA]]</f>
        <v>252.12</v>
      </c>
      <c r="Q46" s="41" t="s">
        <v>177</v>
      </c>
      <c r="R46" s="229">
        <v>12.08</v>
      </c>
      <c r="S46" s="229">
        <f>+Tabla3[[#This Row],[COSTO UNITARIO DOLARES CTP]]*Tabla3[[#This Row],[CANTIDAD SOLICTADA]]</f>
        <v>48.32</v>
      </c>
      <c r="T46" s="41"/>
      <c r="U46" s="18" t="s">
        <v>4</v>
      </c>
      <c r="V46" s="8" t="s">
        <v>178</v>
      </c>
      <c r="W46" s="10"/>
      <c r="X46" s="10" t="s">
        <v>96</v>
      </c>
      <c r="Y46" s="10">
        <v>1</v>
      </c>
      <c r="Z46" s="16"/>
      <c r="AA46" s="16"/>
      <c r="AB46" s="16"/>
      <c r="AC46" s="16" t="s">
        <v>87</v>
      </c>
      <c r="AD46" s="16"/>
      <c r="AE46" s="16" t="s">
        <v>147</v>
      </c>
      <c r="AF46" s="16"/>
      <c r="AG46" s="21"/>
      <c r="XFD46" s="15" t="str">
        <f>+Tabla3[[#This Row],[ESTATUS DE NUM ECONOMICO]]</f>
        <v>ACTIVA</v>
      </c>
    </row>
    <row r="47" spans="1:33 16384:16384" ht="15.75" thickBot="1" x14ac:dyDescent="0.3">
      <c r="A47" s="8">
        <v>20</v>
      </c>
      <c r="B47" s="9">
        <v>46167</v>
      </c>
      <c r="C47" s="10" t="s">
        <v>87</v>
      </c>
      <c r="D47" s="11"/>
      <c r="E47" s="16"/>
      <c r="F47" s="10"/>
      <c r="G47" s="212" t="str">
        <f>IFERROR(VLOOKUP(Tabla3[[#This Row],[NUM ECONOMICO]],MAQUINARIA!B:H,7,0), " MAQ")</f>
        <v>ACTIVA</v>
      </c>
      <c r="H47" s="214" t="s">
        <v>172</v>
      </c>
      <c r="I47" s="41" t="s">
        <v>179</v>
      </c>
      <c r="J47" s="10" t="s">
        <v>180</v>
      </c>
      <c r="K47" s="10">
        <v>4</v>
      </c>
      <c r="L47" s="13">
        <v>938.27</v>
      </c>
      <c r="M47" s="13">
        <f t="shared" si="0"/>
        <v>3753.08</v>
      </c>
      <c r="N47" s="41"/>
      <c r="O47" s="287">
        <v>47.66</v>
      </c>
      <c r="P47" s="287">
        <f>Tabla3[[#This Row],[COSTO UNITARIO DOLARES EN HAWTHORNE]]*Tabla3[[#This Row],[CANTIDAD SOLICTADA]]</f>
        <v>190.64</v>
      </c>
      <c r="Q47" s="41" t="s">
        <v>181</v>
      </c>
      <c r="R47" s="229">
        <v>6.2</v>
      </c>
      <c r="S47" s="229">
        <f>+Tabla3[[#This Row],[COSTO UNITARIO DOLARES CTP]]*Tabla3[[#This Row],[CANTIDAD SOLICTADA]]</f>
        <v>24.8</v>
      </c>
      <c r="T47" s="41"/>
      <c r="U47" s="18" t="s">
        <v>4</v>
      </c>
      <c r="V47" s="8" t="s">
        <v>178</v>
      </c>
      <c r="W47" s="10"/>
      <c r="X47" s="10" t="s">
        <v>89</v>
      </c>
      <c r="Y47" s="10" t="s">
        <v>90</v>
      </c>
      <c r="Z47" s="16"/>
      <c r="AA47" s="16"/>
      <c r="AB47" s="16"/>
      <c r="AC47" s="16" t="s">
        <v>87</v>
      </c>
      <c r="AD47" s="16"/>
      <c r="AE47" s="16" t="s">
        <v>147</v>
      </c>
      <c r="AF47" s="16"/>
      <c r="AG47" s="21"/>
      <c r="XFD47" s="15" t="str">
        <f>+Tabla3[[#This Row],[ESTATUS DE NUM ECONOMICO]]</f>
        <v>ACTIVA</v>
      </c>
    </row>
    <row r="48" spans="1:33 16384:16384" ht="15.75" thickBot="1" x14ac:dyDescent="0.3">
      <c r="A48" s="8">
        <v>20</v>
      </c>
      <c r="B48" s="9">
        <v>46167</v>
      </c>
      <c r="C48" s="10" t="s">
        <v>87</v>
      </c>
      <c r="D48" s="11"/>
      <c r="E48" s="16"/>
      <c r="F48" s="10"/>
      <c r="G48" s="212" t="str">
        <f>IFERROR(VLOOKUP(Tabla3[[#This Row],[NUM ECONOMICO]],MAQUINARIA!B:H,7,0), " MAQ")</f>
        <v>ACTIVA</v>
      </c>
      <c r="H48" s="214" t="s">
        <v>172</v>
      </c>
      <c r="I48" s="41">
        <v>1447320</v>
      </c>
      <c r="J48" s="10" t="s">
        <v>182</v>
      </c>
      <c r="K48" s="10">
        <v>1</v>
      </c>
      <c r="L48" s="13">
        <v>2465.56</v>
      </c>
      <c r="M48" s="13">
        <f t="shared" si="0"/>
        <v>2465.56</v>
      </c>
      <c r="N48" s="41"/>
      <c r="O48" s="287">
        <v>111.07</v>
      </c>
      <c r="P48" s="287">
        <f>Tabla3[[#This Row],[COSTO UNITARIO DOLARES EN HAWTHORNE]]*Tabla3[[#This Row],[CANTIDAD SOLICTADA]]</f>
        <v>111.07</v>
      </c>
      <c r="Q48" s="41" t="s">
        <v>181</v>
      </c>
      <c r="R48" s="229">
        <v>0</v>
      </c>
      <c r="S48" s="229">
        <f>+Tabla3[[#This Row],[COSTO UNITARIO DOLARES CTP]]*Tabla3[[#This Row],[CANTIDAD SOLICTADA]]</f>
        <v>0</v>
      </c>
      <c r="T48" s="41"/>
      <c r="U48" s="18" t="s">
        <v>4</v>
      </c>
      <c r="V48" s="8" t="s">
        <v>178</v>
      </c>
      <c r="W48" s="10"/>
      <c r="X48" s="10" t="s">
        <v>89</v>
      </c>
      <c r="Y48" s="10" t="s">
        <v>90</v>
      </c>
      <c r="Z48" s="16"/>
      <c r="AA48" s="16"/>
      <c r="AB48" s="16"/>
      <c r="AC48" s="16" t="s">
        <v>87</v>
      </c>
      <c r="AD48" s="16"/>
      <c r="AE48" s="16" t="s">
        <v>147</v>
      </c>
      <c r="AF48" s="16"/>
      <c r="AG48" s="21"/>
      <c r="XFD48" s="15" t="str">
        <f>+Tabla3[[#This Row],[ESTATUS DE NUM ECONOMICO]]</f>
        <v>ACTIVA</v>
      </c>
    </row>
    <row r="49" spans="1:33 16384:16384" ht="15.75" thickBot="1" x14ac:dyDescent="0.3">
      <c r="A49" s="8">
        <v>20</v>
      </c>
      <c r="B49" s="9">
        <v>46167</v>
      </c>
      <c r="C49" s="10" t="s">
        <v>87</v>
      </c>
      <c r="D49" s="11"/>
      <c r="E49" s="16"/>
      <c r="F49" s="10"/>
      <c r="G49" s="212" t="str">
        <f>IFERROR(VLOOKUP(Tabla3[[#This Row],[NUM ECONOMICO]],MAQUINARIA!B:H,7,0), " MAQ")</f>
        <v>ACTIVA</v>
      </c>
      <c r="H49" s="214" t="s">
        <v>172</v>
      </c>
      <c r="I49" s="41">
        <v>312523</v>
      </c>
      <c r="J49" s="10" t="s">
        <v>183</v>
      </c>
      <c r="K49" s="10">
        <v>6</v>
      </c>
      <c r="L49" s="13">
        <v>24.99</v>
      </c>
      <c r="M49" s="13">
        <f t="shared" si="0"/>
        <v>149.94</v>
      </c>
      <c r="N49" s="41"/>
      <c r="O49" s="287">
        <v>1.38</v>
      </c>
      <c r="P49" s="287">
        <f>Tabla3[[#This Row],[COSTO UNITARIO DOLARES EN HAWTHORNE]]*Tabla3[[#This Row],[CANTIDAD SOLICTADA]]</f>
        <v>8.2799999999999994</v>
      </c>
      <c r="Q49" s="41" t="s">
        <v>181</v>
      </c>
      <c r="R49" s="229">
        <v>0</v>
      </c>
      <c r="S49" s="229">
        <f>+Tabla3[[#This Row],[COSTO UNITARIO DOLARES CTP]]*Tabla3[[#This Row],[CANTIDAD SOLICTADA]]</f>
        <v>0</v>
      </c>
      <c r="T49" s="41"/>
      <c r="U49" s="18" t="s">
        <v>4</v>
      </c>
      <c r="V49" s="8" t="s">
        <v>178</v>
      </c>
      <c r="W49" s="10"/>
      <c r="X49" s="10" t="s">
        <v>89</v>
      </c>
      <c r="Y49" s="10" t="s">
        <v>90</v>
      </c>
      <c r="Z49" s="16"/>
      <c r="AA49" s="16"/>
      <c r="AB49" s="16"/>
      <c r="AC49" s="16" t="s">
        <v>87</v>
      </c>
      <c r="AD49" s="16"/>
      <c r="AE49" s="16" t="s">
        <v>147</v>
      </c>
      <c r="AF49" s="16"/>
      <c r="AG49" s="21"/>
      <c r="XFD49" s="15" t="str">
        <f>+Tabla3[[#This Row],[ESTATUS DE NUM ECONOMICO]]</f>
        <v>ACTIVA</v>
      </c>
    </row>
    <row r="50" spans="1:33 16384:16384" ht="15.75" thickBot="1" x14ac:dyDescent="0.3">
      <c r="A50" s="8">
        <v>20</v>
      </c>
      <c r="B50" s="9">
        <v>46167</v>
      </c>
      <c r="C50" s="10" t="s">
        <v>87</v>
      </c>
      <c r="D50" s="11"/>
      <c r="E50" s="16"/>
      <c r="F50" s="10"/>
      <c r="G50" s="212" t="str">
        <f>IFERROR(VLOOKUP(Tabla3[[#This Row],[NUM ECONOMICO]],MAQUINARIA!B:H,7,0), " MAQ")</f>
        <v>ACTIVA</v>
      </c>
      <c r="H50" s="214" t="s">
        <v>172</v>
      </c>
      <c r="I50" s="41" t="s">
        <v>184</v>
      </c>
      <c r="J50" s="10" t="s">
        <v>185</v>
      </c>
      <c r="K50" s="10">
        <v>1</v>
      </c>
      <c r="L50" s="13">
        <v>2369.6999999999998</v>
      </c>
      <c r="M50" s="13">
        <f t="shared" si="0"/>
        <v>2369.6999999999998</v>
      </c>
      <c r="N50" s="41"/>
      <c r="O50" s="287">
        <v>106.75</v>
      </c>
      <c r="P50" s="287">
        <f>Tabla3[[#This Row],[COSTO UNITARIO DOLARES EN HAWTHORNE]]*Tabla3[[#This Row],[CANTIDAD SOLICTADA]]</f>
        <v>106.75</v>
      </c>
      <c r="Q50" s="41" t="s">
        <v>181</v>
      </c>
      <c r="R50" s="229">
        <v>0</v>
      </c>
      <c r="S50" s="229">
        <f>+Tabla3[[#This Row],[COSTO UNITARIO DOLARES CTP]]*Tabla3[[#This Row],[CANTIDAD SOLICTADA]]</f>
        <v>0</v>
      </c>
      <c r="T50" s="41"/>
      <c r="U50" s="18" t="s">
        <v>4</v>
      </c>
      <c r="V50" s="8" t="s">
        <v>178</v>
      </c>
      <c r="W50" s="10"/>
      <c r="X50" s="10" t="s">
        <v>89</v>
      </c>
      <c r="Y50" s="10" t="s">
        <v>90</v>
      </c>
      <c r="Z50" s="16"/>
      <c r="AA50" s="16"/>
      <c r="AB50" s="16"/>
      <c r="AC50" s="16" t="s">
        <v>87</v>
      </c>
      <c r="AD50" s="16"/>
      <c r="AE50" s="16" t="s">
        <v>147</v>
      </c>
      <c r="AF50" s="16"/>
      <c r="AG50" s="21"/>
      <c r="XFD50" s="15" t="str">
        <f>+Tabla3[[#This Row],[ESTATUS DE NUM ECONOMICO]]</f>
        <v>ACTIVA</v>
      </c>
    </row>
    <row r="51" spans="1:33 16384:16384" ht="15.75" thickBot="1" x14ac:dyDescent="0.3">
      <c r="A51" s="8">
        <v>20</v>
      </c>
      <c r="B51" s="9">
        <v>46167</v>
      </c>
      <c r="C51" s="10" t="s">
        <v>87</v>
      </c>
      <c r="D51" s="11"/>
      <c r="E51" s="16"/>
      <c r="F51" s="10"/>
      <c r="G51" s="212" t="str">
        <f>IFERROR(VLOOKUP(Tabla3[[#This Row],[NUM ECONOMICO]],MAQUINARIA!B:H,7,0), " MAQ")</f>
        <v>ACTIVA</v>
      </c>
      <c r="H51" s="214" t="s">
        <v>172</v>
      </c>
      <c r="I51" s="41">
        <v>1447295</v>
      </c>
      <c r="J51" s="10" t="s">
        <v>185</v>
      </c>
      <c r="K51" s="10">
        <v>2</v>
      </c>
      <c r="L51" s="13">
        <v>93.56</v>
      </c>
      <c r="M51" s="13">
        <f t="shared" si="0"/>
        <v>187.12</v>
      </c>
      <c r="N51" s="41"/>
      <c r="O51" s="287">
        <v>5.2</v>
      </c>
      <c r="P51" s="287">
        <f>Tabla3[[#This Row],[COSTO UNITARIO DOLARES EN HAWTHORNE]]*Tabla3[[#This Row],[CANTIDAD SOLICTADA]]</f>
        <v>10.4</v>
      </c>
      <c r="Q51" s="41" t="s">
        <v>181</v>
      </c>
      <c r="R51" s="229">
        <v>0</v>
      </c>
      <c r="S51" s="229">
        <f>+Tabla3[[#This Row],[COSTO UNITARIO DOLARES CTP]]*Tabla3[[#This Row],[CANTIDAD SOLICTADA]]</f>
        <v>0</v>
      </c>
      <c r="T51" s="41"/>
      <c r="U51" s="18" t="s">
        <v>4</v>
      </c>
      <c r="V51" s="8" t="s">
        <v>178</v>
      </c>
      <c r="W51" s="10"/>
      <c r="X51" s="10" t="s">
        <v>89</v>
      </c>
      <c r="Y51" s="10" t="s">
        <v>90</v>
      </c>
      <c r="Z51" s="16"/>
      <c r="AA51" s="16"/>
      <c r="AB51" s="16"/>
      <c r="AC51" s="16" t="s">
        <v>87</v>
      </c>
      <c r="AD51" s="16"/>
      <c r="AE51" s="16" t="s">
        <v>147</v>
      </c>
      <c r="AF51" s="16"/>
      <c r="AG51" s="21"/>
      <c r="XFD51" s="15" t="str">
        <f>+Tabla3[[#This Row],[ESTATUS DE NUM ECONOMICO]]</f>
        <v>ACTIVA</v>
      </c>
    </row>
    <row r="52" spans="1:33 16384:16384" ht="15.75" thickBot="1" x14ac:dyDescent="0.3">
      <c r="A52" s="8">
        <v>21</v>
      </c>
      <c r="B52" s="9">
        <v>46167</v>
      </c>
      <c r="C52" s="10" t="s">
        <v>186</v>
      </c>
      <c r="D52" s="10" t="s">
        <v>187</v>
      </c>
      <c r="E52" s="16">
        <v>32</v>
      </c>
      <c r="F52" s="9">
        <v>46156</v>
      </c>
      <c r="G52" s="212" t="str">
        <f>IFERROR(VLOOKUP(Tabla3[[#This Row],[NUM ECONOMICO]],MAQUINARIA!B:H,7,0), " MAQ")</f>
        <v>ACTIVA</v>
      </c>
      <c r="H52" s="214" t="s">
        <v>188</v>
      </c>
      <c r="I52" s="10">
        <v>5054113</v>
      </c>
      <c r="J52" s="10"/>
      <c r="K52" s="10">
        <v>5</v>
      </c>
      <c r="L52" s="12"/>
      <c r="M52" s="13">
        <f t="shared" si="0"/>
        <v>0</v>
      </c>
      <c r="N52" s="41"/>
      <c r="O52" s="10"/>
      <c r="P52" s="10">
        <f>Tabla3[[#This Row],[COSTO UNITARIO DOLARES EN HAWTHORNE]]*Tabla3[[#This Row],[CANTIDAD SOLICTADA]]</f>
        <v>0</v>
      </c>
      <c r="Q52" s="41"/>
      <c r="R52" s="229"/>
      <c r="S52" s="229">
        <f>+Tabla3[[#This Row],[COSTO UNITARIO DOLARES CTP]]*Tabla3[[#This Row],[CANTIDAD SOLICTADA]]</f>
        <v>0</v>
      </c>
      <c r="T52" s="41"/>
      <c r="U52" s="14" t="s">
        <v>4</v>
      </c>
      <c r="V52" s="8" t="s">
        <v>189</v>
      </c>
      <c r="W52" s="9">
        <v>46167</v>
      </c>
      <c r="X52" s="10" t="s">
        <v>89</v>
      </c>
      <c r="Y52" s="10" t="s">
        <v>90</v>
      </c>
      <c r="Z52" s="16" t="s">
        <v>44</v>
      </c>
      <c r="AA52" s="25">
        <v>46167</v>
      </c>
      <c r="AB52" s="25">
        <v>46168</v>
      </c>
      <c r="AC52" s="16" t="s">
        <v>109</v>
      </c>
      <c r="AD52" s="16"/>
      <c r="AE52" s="16" t="s">
        <v>190</v>
      </c>
      <c r="AF52" s="16"/>
      <c r="AG52" s="21"/>
      <c r="XFD52" s="15" t="str">
        <f>+Tabla3[[#This Row],[ESTATUS DE NUM ECONOMICO]]</f>
        <v>ACTIVA</v>
      </c>
    </row>
    <row r="53" spans="1:33 16384:16384" ht="15.75" thickBot="1" x14ac:dyDescent="0.3">
      <c r="A53" s="8">
        <v>22</v>
      </c>
      <c r="B53" s="9">
        <v>46168</v>
      </c>
      <c r="C53" s="10" t="s">
        <v>87</v>
      </c>
      <c r="D53" s="11"/>
      <c r="E53" s="16"/>
      <c r="F53" s="10"/>
      <c r="G53" s="212" t="str">
        <f>IFERROR(VLOOKUP(Tabla3[[#This Row],[NUM ECONOMICO]],MAQUINARIA!B:H,7,0), " MAQ")</f>
        <v>INACTIVA</v>
      </c>
      <c r="H53" s="214" t="s">
        <v>167</v>
      </c>
      <c r="I53" s="41" t="s">
        <v>191</v>
      </c>
      <c r="J53" s="10"/>
      <c r="K53" s="10">
        <v>4</v>
      </c>
      <c r="L53" s="13">
        <v>11263.54</v>
      </c>
      <c r="M53" s="13">
        <f t="shared" si="0"/>
        <v>45054.16</v>
      </c>
      <c r="N53" s="41"/>
      <c r="O53" s="10"/>
      <c r="P53" s="10">
        <f>Tabla3[[#This Row],[COSTO UNITARIO DOLARES EN HAWTHORNE]]*Tabla3[[#This Row],[CANTIDAD SOLICTADA]]</f>
        <v>0</v>
      </c>
      <c r="Q53" s="41"/>
      <c r="R53" s="229"/>
      <c r="S53" s="229">
        <f>+Tabla3[[#This Row],[COSTO UNITARIO DOLARES CTP]]*Tabla3[[#This Row],[CANTIDAD SOLICTADA]]</f>
        <v>0</v>
      </c>
      <c r="T53" s="41"/>
      <c r="U53" s="20" t="s">
        <v>161</v>
      </c>
      <c r="V53" s="8" t="s">
        <v>192</v>
      </c>
      <c r="W53" s="10"/>
      <c r="X53" s="10" t="s">
        <v>89</v>
      </c>
      <c r="Y53" s="10" t="s">
        <v>90</v>
      </c>
      <c r="Z53" s="16"/>
      <c r="AA53" s="16"/>
      <c r="AB53" s="16"/>
      <c r="AC53" s="16"/>
      <c r="AD53" s="16"/>
      <c r="AE53" s="16" t="s">
        <v>193</v>
      </c>
      <c r="AF53" s="16"/>
      <c r="AG53" s="21"/>
      <c r="XFD53" s="15" t="str">
        <f>+Tabla3[[#This Row],[ESTATUS DE NUM ECONOMICO]]</f>
        <v>INACTIVA</v>
      </c>
    </row>
    <row r="54" spans="1:33 16384:16384" ht="15.75" thickBot="1" x14ac:dyDescent="0.3">
      <c r="A54" s="8">
        <v>22</v>
      </c>
      <c r="B54" s="9">
        <v>46168</v>
      </c>
      <c r="C54" s="10" t="s">
        <v>87</v>
      </c>
      <c r="D54" s="11"/>
      <c r="E54" s="16"/>
      <c r="F54" s="10"/>
      <c r="G54" s="212" t="str">
        <f>IFERROR(VLOOKUP(Tabla3[[#This Row],[NUM ECONOMICO]],MAQUINARIA!B:H,7,0), " MAQ")</f>
        <v>INACTIVA</v>
      </c>
      <c r="H54" s="214" t="s">
        <v>167</v>
      </c>
      <c r="I54" s="41" t="s">
        <v>194</v>
      </c>
      <c r="J54" s="10"/>
      <c r="K54" s="10">
        <v>8</v>
      </c>
      <c r="L54" s="13">
        <v>4618.8999999999996</v>
      </c>
      <c r="M54" s="13">
        <f t="shared" si="0"/>
        <v>36951.199999999997</v>
      </c>
      <c r="N54" s="41"/>
      <c r="O54" s="10"/>
      <c r="P54" s="10">
        <f>Tabla3[[#This Row],[COSTO UNITARIO DOLARES EN HAWTHORNE]]*Tabla3[[#This Row],[CANTIDAD SOLICTADA]]</f>
        <v>0</v>
      </c>
      <c r="Q54" s="41"/>
      <c r="R54" s="229"/>
      <c r="S54" s="229">
        <f>+Tabla3[[#This Row],[COSTO UNITARIO DOLARES CTP]]*Tabla3[[#This Row],[CANTIDAD SOLICTADA]]</f>
        <v>0</v>
      </c>
      <c r="T54" s="41"/>
      <c r="U54" s="19" t="s">
        <v>7</v>
      </c>
      <c r="V54" s="8" t="s">
        <v>192</v>
      </c>
      <c r="W54" s="10"/>
      <c r="X54" s="10" t="s">
        <v>89</v>
      </c>
      <c r="Y54" s="10" t="s">
        <v>90</v>
      </c>
      <c r="Z54" s="16"/>
      <c r="AA54" s="16"/>
      <c r="AB54" s="16"/>
      <c r="AC54" s="16"/>
      <c r="AD54" s="16"/>
      <c r="AE54" s="16" t="s">
        <v>193</v>
      </c>
      <c r="AF54" s="16"/>
      <c r="AG54" s="21"/>
      <c r="XFD54" s="15" t="str">
        <f>+Tabla3[[#This Row],[ESTATUS DE NUM ECONOMICO]]</f>
        <v>INACTIVA</v>
      </c>
    </row>
    <row r="55" spans="1:33 16384:16384" ht="15.75" thickBot="1" x14ac:dyDescent="0.3">
      <c r="A55" s="8">
        <v>23</v>
      </c>
      <c r="B55" s="9">
        <v>46168</v>
      </c>
      <c r="C55" s="10" t="s">
        <v>195</v>
      </c>
      <c r="D55" s="11"/>
      <c r="E55" s="16"/>
      <c r="F55" s="10"/>
      <c r="G55" s="212" t="str">
        <f>IFERROR(VLOOKUP(Tabla3[[#This Row],[NUM ECONOMICO]],MAQUINARIA!B:H,7,0), " MAQ")</f>
        <v>ACTIVA</v>
      </c>
      <c r="H55" s="214" t="s">
        <v>196</v>
      </c>
      <c r="I55" s="41" t="s">
        <v>197</v>
      </c>
      <c r="J55" s="10"/>
      <c r="K55" s="10">
        <v>1</v>
      </c>
      <c r="L55" s="12"/>
      <c r="M55" s="13">
        <f t="shared" si="0"/>
        <v>0</v>
      </c>
      <c r="N55" s="41"/>
      <c r="O55" s="10"/>
      <c r="P55" s="10">
        <f>Tabla3[[#This Row],[COSTO UNITARIO DOLARES EN HAWTHORNE]]*Tabla3[[#This Row],[CANTIDAD SOLICTADA]]</f>
        <v>0</v>
      </c>
      <c r="Q55" s="41"/>
      <c r="R55" s="229"/>
      <c r="S55" s="229">
        <f>+Tabla3[[#This Row],[COSTO UNITARIO DOLARES CTP]]*Tabla3[[#This Row],[CANTIDAD SOLICTADA]]</f>
        <v>0</v>
      </c>
      <c r="T55" s="41"/>
      <c r="U55" s="19" t="s">
        <v>7</v>
      </c>
      <c r="V55" s="8" t="s">
        <v>198</v>
      </c>
      <c r="W55" s="25"/>
      <c r="X55" s="10" t="s">
        <v>89</v>
      </c>
      <c r="Y55" s="10" t="s">
        <v>90</v>
      </c>
      <c r="Z55" s="16"/>
      <c r="AA55" s="205"/>
      <c r="AB55" s="205"/>
      <c r="AC55" s="16"/>
      <c r="AD55" s="16"/>
      <c r="AE55" s="16" t="s">
        <v>199</v>
      </c>
      <c r="AF55" s="16"/>
      <c r="AG55" s="21" t="s">
        <v>199</v>
      </c>
      <c r="XFD55" s="15" t="str">
        <f>+Tabla3[[#This Row],[ESTATUS DE NUM ECONOMICO]]</f>
        <v>ACTIVA</v>
      </c>
    </row>
    <row r="56" spans="1:33 16384:16384" ht="15.75" thickBot="1" x14ac:dyDescent="0.3">
      <c r="A56" s="8">
        <v>23</v>
      </c>
      <c r="B56" s="9">
        <v>46168</v>
      </c>
      <c r="C56" s="10" t="s">
        <v>195</v>
      </c>
      <c r="D56" s="11"/>
      <c r="E56" s="16"/>
      <c r="F56" s="10"/>
      <c r="G56" s="212" t="str">
        <f>IFERROR(VLOOKUP(Tabla3[[#This Row],[NUM ECONOMICO]],MAQUINARIA!B:H,7,0), " MAQ")</f>
        <v>ACTIVA</v>
      </c>
      <c r="H56" s="214" t="s">
        <v>196</v>
      </c>
      <c r="I56" s="41" t="s">
        <v>200</v>
      </c>
      <c r="J56" s="10"/>
      <c r="K56" s="10">
        <v>1</v>
      </c>
      <c r="L56" s="12"/>
      <c r="M56" s="13">
        <f t="shared" si="0"/>
        <v>0</v>
      </c>
      <c r="N56" s="41"/>
      <c r="O56" s="10"/>
      <c r="P56" s="10">
        <f>Tabla3[[#This Row],[COSTO UNITARIO DOLARES EN HAWTHORNE]]*Tabla3[[#This Row],[CANTIDAD SOLICTADA]]</f>
        <v>0</v>
      </c>
      <c r="Q56" s="41"/>
      <c r="R56" s="229"/>
      <c r="S56" s="229">
        <f>+Tabla3[[#This Row],[COSTO UNITARIO DOLARES CTP]]*Tabla3[[#This Row],[CANTIDAD SOLICTADA]]</f>
        <v>0</v>
      </c>
      <c r="T56" s="41"/>
      <c r="U56" s="19" t="s">
        <v>7</v>
      </c>
      <c r="V56" s="8" t="s">
        <v>198</v>
      </c>
      <c r="W56" s="25"/>
      <c r="X56" s="10" t="s">
        <v>89</v>
      </c>
      <c r="Y56" s="10" t="s">
        <v>90</v>
      </c>
      <c r="Z56" s="16"/>
      <c r="AA56" s="205"/>
      <c r="AB56" s="205"/>
      <c r="AC56" s="16"/>
      <c r="AD56" s="16"/>
      <c r="AE56" s="16" t="s">
        <v>199</v>
      </c>
      <c r="AF56" s="16"/>
      <c r="AG56" s="21" t="s">
        <v>199</v>
      </c>
      <c r="XFD56" s="15" t="str">
        <f>+Tabla3[[#This Row],[ESTATUS DE NUM ECONOMICO]]</f>
        <v>ACTIVA</v>
      </c>
    </row>
    <row r="57" spans="1:33 16384:16384" ht="15.75" thickBot="1" x14ac:dyDescent="0.3">
      <c r="A57" s="8">
        <v>23</v>
      </c>
      <c r="B57" s="9">
        <v>46168</v>
      </c>
      <c r="C57" s="10" t="s">
        <v>195</v>
      </c>
      <c r="D57" s="11"/>
      <c r="E57" s="16"/>
      <c r="F57" s="10"/>
      <c r="G57" s="212" t="str">
        <f>IFERROR(VLOOKUP(Tabla3[[#This Row],[NUM ECONOMICO]],MAQUINARIA!B:H,7,0), " MAQ")</f>
        <v>ACTIVA</v>
      </c>
      <c r="H57" s="214" t="s">
        <v>196</v>
      </c>
      <c r="I57" s="41" t="s">
        <v>201</v>
      </c>
      <c r="J57" s="10"/>
      <c r="K57" s="10">
        <v>28</v>
      </c>
      <c r="L57" s="12"/>
      <c r="M57" s="13">
        <f t="shared" si="0"/>
        <v>0</v>
      </c>
      <c r="N57" s="41"/>
      <c r="O57" s="10"/>
      <c r="P57" s="10">
        <f>Tabla3[[#This Row],[COSTO UNITARIO DOLARES EN HAWTHORNE]]*Tabla3[[#This Row],[CANTIDAD SOLICTADA]]</f>
        <v>0</v>
      </c>
      <c r="Q57" s="41"/>
      <c r="R57" s="229"/>
      <c r="S57" s="229">
        <f>+Tabla3[[#This Row],[COSTO UNITARIO DOLARES CTP]]*Tabla3[[#This Row],[CANTIDAD SOLICTADA]]</f>
        <v>0</v>
      </c>
      <c r="T57" s="41"/>
      <c r="U57" s="19" t="s">
        <v>7</v>
      </c>
      <c r="V57" s="8" t="s">
        <v>198</v>
      </c>
      <c r="W57" s="25"/>
      <c r="X57" s="10" t="s">
        <v>89</v>
      </c>
      <c r="Y57" s="10">
        <v>0</v>
      </c>
      <c r="Z57" s="16"/>
      <c r="AA57" s="205"/>
      <c r="AB57" s="205"/>
      <c r="AC57" s="16"/>
      <c r="AD57" s="16"/>
      <c r="AE57" s="16" t="s">
        <v>199</v>
      </c>
      <c r="AF57" s="16"/>
      <c r="AG57" s="21" t="s">
        <v>199</v>
      </c>
      <c r="XFD57" s="15" t="str">
        <f>+Tabla3[[#This Row],[ESTATUS DE NUM ECONOMICO]]</f>
        <v>ACTIVA</v>
      </c>
    </row>
    <row r="58" spans="1:33 16384:16384" ht="15.75" thickBot="1" x14ac:dyDescent="0.3">
      <c r="A58" s="8">
        <v>23</v>
      </c>
      <c r="B58" s="9">
        <v>46168</v>
      </c>
      <c r="C58" s="10" t="s">
        <v>195</v>
      </c>
      <c r="D58" s="11"/>
      <c r="E58" s="16"/>
      <c r="F58" s="10"/>
      <c r="G58" s="212" t="str">
        <f>IFERROR(VLOOKUP(Tabla3[[#This Row],[NUM ECONOMICO]],MAQUINARIA!B:H,7,0), " MAQ")</f>
        <v>ACTIVA</v>
      </c>
      <c r="H58" s="214" t="s">
        <v>196</v>
      </c>
      <c r="I58" s="41" t="s">
        <v>202</v>
      </c>
      <c r="J58" s="10"/>
      <c r="K58" s="10">
        <v>28</v>
      </c>
      <c r="L58" s="12"/>
      <c r="M58" s="13">
        <f t="shared" si="0"/>
        <v>0</v>
      </c>
      <c r="N58" s="41"/>
      <c r="O58" s="10"/>
      <c r="P58" s="10">
        <f>Tabla3[[#This Row],[COSTO UNITARIO DOLARES EN HAWTHORNE]]*Tabla3[[#This Row],[CANTIDAD SOLICTADA]]</f>
        <v>0</v>
      </c>
      <c r="Q58" s="41"/>
      <c r="R58" s="229"/>
      <c r="S58" s="229">
        <f>+Tabla3[[#This Row],[COSTO UNITARIO DOLARES CTP]]*Tabla3[[#This Row],[CANTIDAD SOLICTADA]]</f>
        <v>0</v>
      </c>
      <c r="T58" s="41"/>
      <c r="U58" s="19" t="s">
        <v>7</v>
      </c>
      <c r="V58" s="8" t="s">
        <v>198</v>
      </c>
      <c r="W58" s="25"/>
      <c r="X58" s="10" t="s">
        <v>89</v>
      </c>
      <c r="Y58" s="10">
        <v>2</v>
      </c>
      <c r="Z58" s="16"/>
      <c r="AA58" s="205"/>
      <c r="AB58" s="205"/>
      <c r="AC58" s="16"/>
      <c r="AD58" s="16"/>
      <c r="AE58" s="16" t="s">
        <v>199</v>
      </c>
      <c r="AF58" s="16"/>
      <c r="AG58" s="21" t="s">
        <v>199</v>
      </c>
      <c r="XFD58" s="15" t="str">
        <f>+Tabla3[[#This Row],[ESTATUS DE NUM ECONOMICO]]</f>
        <v>ACTIVA</v>
      </c>
    </row>
    <row r="59" spans="1:33 16384:16384" ht="15.75" thickBot="1" x14ac:dyDescent="0.3">
      <c r="A59" s="8">
        <v>23</v>
      </c>
      <c r="B59" s="9">
        <v>46168</v>
      </c>
      <c r="C59" s="10" t="s">
        <v>195</v>
      </c>
      <c r="D59" s="11"/>
      <c r="E59" s="16"/>
      <c r="F59" s="10"/>
      <c r="G59" s="212" t="str">
        <f>IFERROR(VLOOKUP(Tabla3[[#This Row],[NUM ECONOMICO]],MAQUINARIA!B:H,7,0), " MAQ")</f>
        <v>ACTIVA</v>
      </c>
      <c r="H59" s="214" t="s">
        <v>196</v>
      </c>
      <c r="I59" s="41" t="s">
        <v>203</v>
      </c>
      <c r="J59" s="10"/>
      <c r="K59" s="10">
        <v>28</v>
      </c>
      <c r="L59" s="12"/>
      <c r="M59" s="13">
        <f t="shared" si="0"/>
        <v>0</v>
      </c>
      <c r="N59" s="41"/>
      <c r="O59" s="10"/>
      <c r="P59" s="10">
        <f>Tabla3[[#This Row],[COSTO UNITARIO DOLARES EN HAWTHORNE]]*Tabla3[[#This Row],[CANTIDAD SOLICTADA]]</f>
        <v>0</v>
      </c>
      <c r="Q59" s="41"/>
      <c r="R59" s="229"/>
      <c r="S59" s="229">
        <f>+Tabla3[[#This Row],[COSTO UNITARIO DOLARES CTP]]*Tabla3[[#This Row],[CANTIDAD SOLICTADA]]</f>
        <v>0</v>
      </c>
      <c r="T59" s="41"/>
      <c r="U59" s="19" t="s">
        <v>7</v>
      </c>
      <c r="V59" s="8" t="s">
        <v>198</v>
      </c>
      <c r="W59" s="25"/>
      <c r="X59" s="10" t="s">
        <v>89</v>
      </c>
      <c r="Y59" s="10">
        <v>0</v>
      </c>
      <c r="Z59" s="16"/>
      <c r="AA59" s="205"/>
      <c r="AB59" s="205"/>
      <c r="AC59" s="16"/>
      <c r="AD59" s="16"/>
      <c r="AE59" s="16" t="s">
        <v>199</v>
      </c>
      <c r="AF59" s="16"/>
      <c r="AG59" s="21" t="s">
        <v>199</v>
      </c>
      <c r="XFD59" s="15" t="str">
        <f>+Tabla3[[#This Row],[ESTATUS DE NUM ECONOMICO]]</f>
        <v>ACTIVA</v>
      </c>
    </row>
    <row r="60" spans="1:33 16384:16384" ht="15.75" thickBot="1" x14ac:dyDescent="0.3">
      <c r="A60" s="8">
        <v>24</v>
      </c>
      <c r="B60" s="9">
        <v>46168</v>
      </c>
      <c r="C60" s="10" t="s">
        <v>87</v>
      </c>
      <c r="D60" s="11"/>
      <c r="E60" s="16"/>
      <c r="F60" s="10"/>
      <c r="G60" s="212" t="str">
        <f>IFERROR(VLOOKUP(Tabla3[[#This Row],[NUM ECONOMICO]],MAQUINARIA!B:H,7,0), " MAQ")</f>
        <v>INACTIVA</v>
      </c>
      <c r="H60" s="214" t="s">
        <v>167</v>
      </c>
      <c r="I60" s="41" t="s">
        <v>191</v>
      </c>
      <c r="J60" s="10"/>
      <c r="K60" s="10">
        <v>4</v>
      </c>
      <c r="L60" s="12"/>
      <c r="M60" s="13">
        <f t="shared" si="0"/>
        <v>0</v>
      </c>
      <c r="N60" s="41"/>
      <c r="O60" s="10"/>
      <c r="P60" s="10">
        <f>Tabla3[[#This Row],[COSTO UNITARIO DOLARES EN HAWTHORNE]]*Tabla3[[#This Row],[CANTIDAD SOLICTADA]]</f>
        <v>0</v>
      </c>
      <c r="Q60" s="41"/>
      <c r="R60" s="229"/>
      <c r="S60" s="229">
        <f>+Tabla3[[#This Row],[COSTO UNITARIO DOLARES CTP]]*Tabla3[[#This Row],[CANTIDAD SOLICTADA]]</f>
        <v>0</v>
      </c>
      <c r="T60" s="41"/>
      <c r="U60" s="19" t="s">
        <v>7</v>
      </c>
      <c r="V60" s="8" t="s">
        <v>192</v>
      </c>
      <c r="W60" s="10"/>
      <c r="X60" s="10" t="s">
        <v>89</v>
      </c>
      <c r="Y60" s="10" t="s">
        <v>90</v>
      </c>
      <c r="Z60" s="16"/>
      <c r="AA60" s="16"/>
      <c r="AB60" s="16"/>
      <c r="AC60" s="16"/>
      <c r="AD60" s="16"/>
      <c r="AE60" s="16" t="s">
        <v>204</v>
      </c>
      <c r="AF60" s="16"/>
      <c r="AG60" s="21"/>
      <c r="XFD60" s="15" t="str">
        <f>+Tabla3[[#This Row],[ESTATUS DE NUM ECONOMICO]]</f>
        <v>INACTIVA</v>
      </c>
    </row>
    <row r="61" spans="1:33 16384:16384" ht="15.75" thickBot="1" x14ac:dyDescent="0.3">
      <c r="A61" s="8">
        <v>25</v>
      </c>
      <c r="B61" s="9">
        <v>46168</v>
      </c>
      <c r="C61" s="10" t="s">
        <v>87</v>
      </c>
      <c r="D61" s="11"/>
      <c r="E61" s="16">
        <v>12</v>
      </c>
      <c r="F61" s="9">
        <v>46178</v>
      </c>
      <c r="G61" s="212" t="str">
        <f>IFERROR(VLOOKUP(Tabla3[[#This Row],[NUM ECONOMICO]],MAQUINARIA!B:H,7,0), " MAQ")</f>
        <v>ACTIVA</v>
      </c>
      <c r="H61" s="214" t="s">
        <v>121</v>
      </c>
      <c r="I61" s="41">
        <v>1544492</v>
      </c>
      <c r="J61" s="10" t="s">
        <v>205</v>
      </c>
      <c r="K61" s="10">
        <v>1</v>
      </c>
      <c r="L61" s="12"/>
      <c r="M61" s="13">
        <f t="shared" si="0"/>
        <v>0</v>
      </c>
      <c r="N61" s="41"/>
      <c r="O61" s="10"/>
      <c r="P61" s="10">
        <f>Tabla3[[#This Row],[COSTO UNITARIO DOLARES EN HAWTHORNE]]*Tabla3[[#This Row],[CANTIDAD SOLICTADA]]</f>
        <v>0</v>
      </c>
      <c r="Q61" s="41"/>
      <c r="R61" s="229">
        <v>6.22</v>
      </c>
      <c r="S61" s="229">
        <f>+Tabla3[[#This Row],[COSTO UNITARIO DOLARES CTP]]*Tabla3[[#This Row],[CANTIDAD SOLICTADA]]</f>
        <v>6.22</v>
      </c>
      <c r="T61" s="41"/>
      <c r="U61" s="14" t="s">
        <v>4</v>
      </c>
      <c r="V61" s="8" t="s">
        <v>206</v>
      </c>
      <c r="W61" s="9">
        <v>46168</v>
      </c>
      <c r="X61" s="10" t="s">
        <v>96</v>
      </c>
      <c r="Y61" s="10">
        <v>1</v>
      </c>
      <c r="Z61" s="16"/>
      <c r="AA61" s="16"/>
      <c r="AB61" s="16"/>
      <c r="AC61" s="16"/>
      <c r="AD61" s="16"/>
      <c r="AE61" s="16" t="s">
        <v>207</v>
      </c>
      <c r="AF61" s="16"/>
      <c r="AG61" s="21"/>
      <c r="XFD61" s="15" t="str">
        <f>+Tabla3[[#This Row],[ESTATUS DE NUM ECONOMICO]]</f>
        <v>ACTIVA</v>
      </c>
    </row>
    <row r="62" spans="1:33 16384:16384" ht="15.75" thickBot="1" x14ac:dyDescent="0.3">
      <c r="A62" s="8">
        <v>25</v>
      </c>
      <c r="B62" s="9">
        <v>46168</v>
      </c>
      <c r="C62" s="10" t="s">
        <v>87</v>
      </c>
      <c r="D62" s="11"/>
      <c r="E62" s="16">
        <v>12</v>
      </c>
      <c r="F62" s="9">
        <v>46178</v>
      </c>
      <c r="G62" s="212" t="str">
        <f>IFERROR(VLOOKUP(Tabla3[[#This Row],[NUM ECONOMICO]],MAQUINARIA!B:H,7,0), " MAQ")</f>
        <v>ACTIVA</v>
      </c>
      <c r="H62" s="214" t="s">
        <v>121</v>
      </c>
      <c r="I62" s="41" t="s">
        <v>208</v>
      </c>
      <c r="J62" s="10"/>
      <c r="K62" s="10">
        <v>4</v>
      </c>
      <c r="L62" s="12"/>
      <c r="M62" s="13">
        <f t="shared" si="0"/>
        <v>0</v>
      </c>
      <c r="N62" s="41"/>
      <c r="O62" s="10"/>
      <c r="P62" s="10">
        <f>Tabla3[[#This Row],[COSTO UNITARIO DOLARES EN HAWTHORNE]]*Tabla3[[#This Row],[CANTIDAD SOLICTADA]]</f>
        <v>0</v>
      </c>
      <c r="Q62" s="41"/>
      <c r="R62" s="229"/>
      <c r="S62" s="229">
        <f>+Tabla3[[#This Row],[COSTO UNITARIO DOLARES CTP]]*Tabla3[[#This Row],[CANTIDAD SOLICTADA]]</f>
        <v>0</v>
      </c>
      <c r="T62" s="41"/>
      <c r="U62" s="14" t="s">
        <v>4</v>
      </c>
      <c r="V62" s="8" t="s">
        <v>206</v>
      </c>
      <c r="W62" s="9">
        <v>46168</v>
      </c>
      <c r="X62" s="10" t="s">
        <v>96</v>
      </c>
      <c r="Y62" s="10" t="s">
        <v>90</v>
      </c>
      <c r="Z62" s="16"/>
      <c r="AA62" s="16"/>
      <c r="AB62" s="16"/>
      <c r="AC62" s="16"/>
      <c r="AD62" s="16"/>
      <c r="AE62" s="16" t="s">
        <v>207</v>
      </c>
      <c r="AF62" s="16"/>
      <c r="AG62" s="21"/>
      <c r="XFD62" s="15" t="str">
        <f>+Tabla3[[#This Row],[ESTATUS DE NUM ECONOMICO]]</f>
        <v>ACTIVA</v>
      </c>
    </row>
    <row r="63" spans="1:33 16384:16384" ht="15.75" thickBot="1" x14ac:dyDescent="0.3">
      <c r="A63" s="8">
        <v>25</v>
      </c>
      <c r="B63" s="9">
        <v>46168</v>
      </c>
      <c r="C63" s="10" t="s">
        <v>87</v>
      </c>
      <c r="D63" s="11"/>
      <c r="E63" s="16">
        <v>12</v>
      </c>
      <c r="F63" s="9">
        <v>46178</v>
      </c>
      <c r="G63" s="212" t="str">
        <f>IFERROR(VLOOKUP(Tabla3[[#This Row],[NUM ECONOMICO]],MAQUINARIA!B:H,7,0), " MAQ")</f>
        <v>ACTIVA</v>
      </c>
      <c r="H63" s="214" t="s">
        <v>121</v>
      </c>
      <c r="I63" s="41">
        <v>1112104</v>
      </c>
      <c r="J63" s="10"/>
      <c r="K63" s="10">
        <v>1</v>
      </c>
      <c r="L63" s="12"/>
      <c r="M63" s="13">
        <f t="shared" si="0"/>
        <v>0</v>
      </c>
      <c r="N63" s="41"/>
      <c r="O63" s="10"/>
      <c r="P63" s="10">
        <f>Tabla3[[#This Row],[COSTO UNITARIO DOLARES EN HAWTHORNE]]*Tabla3[[#This Row],[CANTIDAD SOLICTADA]]</f>
        <v>0</v>
      </c>
      <c r="Q63" s="41"/>
      <c r="R63" s="229"/>
      <c r="S63" s="229">
        <f>+Tabla3[[#This Row],[COSTO UNITARIO DOLARES CTP]]*Tabla3[[#This Row],[CANTIDAD SOLICTADA]]</f>
        <v>0</v>
      </c>
      <c r="T63" s="41"/>
      <c r="U63" s="14" t="s">
        <v>4</v>
      </c>
      <c r="V63" s="8" t="s">
        <v>206</v>
      </c>
      <c r="W63" s="9">
        <v>46168</v>
      </c>
      <c r="X63" s="10" t="s">
        <v>96</v>
      </c>
      <c r="Y63" s="10" t="s">
        <v>90</v>
      </c>
      <c r="Z63" s="16"/>
      <c r="AA63" s="16"/>
      <c r="AB63" s="16"/>
      <c r="AC63" s="16"/>
      <c r="AD63" s="16"/>
      <c r="AE63" s="16" t="s">
        <v>207</v>
      </c>
      <c r="AF63" s="16"/>
      <c r="AG63" s="21"/>
      <c r="XFD63" s="15" t="str">
        <f>+Tabla3[[#This Row],[ESTATUS DE NUM ECONOMICO]]</f>
        <v>ACTIVA</v>
      </c>
    </row>
    <row r="64" spans="1:33 16384:16384" ht="15.75" thickBot="1" x14ac:dyDescent="0.3">
      <c r="A64" s="8">
        <v>25</v>
      </c>
      <c r="B64" s="9">
        <v>46168</v>
      </c>
      <c r="C64" s="10" t="s">
        <v>87</v>
      </c>
      <c r="D64" s="11"/>
      <c r="E64" s="16">
        <v>12</v>
      </c>
      <c r="F64" s="9">
        <v>46178</v>
      </c>
      <c r="G64" s="212" t="str">
        <f>IFERROR(VLOOKUP(Tabla3[[#This Row],[NUM ECONOMICO]],MAQUINARIA!B:H,7,0), " MAQ")</f>
        <v>ACTIVA</v>
      </c>
      <c r="H64" s="214" t="s">
        <v>121</v>
      </c>
      <c r="I64" s="41" t="s">
        <v>209</v>
      </c>
      <c r="J64" s="10"/>
      <c r="K64" s="10">
        <v>1</v>
      </c>
      <c r="L64" s="12"/>
      <c r="M64" s="13">
        <f t="shared" si="0"/>
        <v>0</v>
      </c>
      <c r="N64" s="41"/>
      <c r="O64" s="10"/>
      <c r="P64" s="10">
        <f>Tabla3[[#This Row],[COSTO UNITARIO DOLARES EN HAWTHORNE]]*Tabla3[[#This Row],[CANTIDAD SOLICTADA]]</f>
        <v>0</v>
      </c>
      <c r="Q64" s="41"/>
      <c r="R64" s="229"/>
      <c r="S64" s="229">
        <f>+Tabla3[[#This Row],[COSTO UNITARIO DOLARES CTP]]*Tabla3[[#This Row],[CANTIDAD SOLICTADA]]</f>
        <v>0</v>
      </c>
      <c r="T64" s="41"/>
      <c r="U64" s="14" t="s">
        <v>4</v>
      </c>
      <c r="V64" s="8" t="s">
        <v>206</v>
      </c>
      <c r="W64" s="9">
        <v>46168</v>
      </c>
      <c r="X64" s="10" t="s">
        <v>96</v>
      </c>
      <c r="Y64" s="10">
        <v>8</v>
      </c>
      <c r="Z64" s="16"/>
      <c r="AA64" s="16"/>
      <c r="AB64" s="16"/>
      <c r="AC64" s="16"/>
      <c r="AD64" s="16"/>
      <c r="AE64" s="16" t="s">
        <v>207</v>
      </c>
      <c r="AF64" s="16"/>
      <c r="AG64" s="21"/>
      <c r="XFD64" s="15" t="str">
        <f>+Tabla3[[#This Row],[ESTATUS DE NUM ECONOMICO]]</f>
        <v>ACTIVA</v>
      </c>
    </row>
    <row r="65" spans="1:33 16384:16384" ht="15.75" thickBot="1" x14ac:dyDescent="0.3">
      <c r="A65" s="8">
        <v>26</v>
      </c>
      <c r="B65" s="9">
        <v>46168</v>
      </c>
      <c r="C65" s="10" t="s">
        <v>87</v>
      </c>
      <c r="D65" s="11"/>
      <c r="E65" s="16"/>
      <c r="F65" s="10"/>
      <c r="G65" s="212" t="str">
        <f>IFERROR(VLOOKUP(Tabla3[[#This Row],[NUM ECONOMICO]],MAQUINARIA!B:H,7,0), " MAQ")</f>
        <v>INACTIVA</v>
      </c>
      <c r="H65" s="214" t="s">
        <v>210</v>
      </c>
      <c r="I65" s="41">
        <v>1298171</v>
      </c>
      <c r="J65" s="10"/>
      <c r="K65" s="10">
        <v>1</v>
      </c>
      <c r="L65" s="12"/>
      <c r="M65" s="13">
        <f t="shared" si="0"/>
        <v>0</v>
      </c>
      <c r="N65" s="41"/>
      <c r="O65" s="10"/>
      <c r="P65" s="10">
        <f>Tabla3[[#This Row],[COSTO UNITARIO DOLARES EN HAWTHORNE]]*Tabla3[[#This Row],[CANTIDAD SOLICTADA]]</f>
        <v>0</v>
      </c>
      <c r="Q65" s="41"/>
      <c r="R65" s="229"/>
      <c r="S65" s="229">
        <f>+Tabla3[[#This Row],[COSTO UNITARIO DOLARES CTP]]*Tabla3[[#This Row],[CANTIDAD SOLICTADA]]</f>
        <v>0</v>
      </c>
      <c r="T65" s="41"/>
      <c r="U65" s="14" t="s">
        <v>4</v>
      </c>
      <c r="V65" s="8" t="s">
        <v>211</v>
      </c>
      <c r="W65" s="10"/>
      <c r="X65" s="10" t="s">
        <v>96</v>
      </c>
      <c r="Y65" s="10">
        <v>1</v>
      </c>
      <c r="Z65" s="16"/>
      <c r="AA65" s="16"/>
      <c r="AB65" s="25">
        <v>46168</v>
      </c>
      <c r="AC65" s="16"/>
      <c r="AD65" s="16"/>
      <c r="AE65" s="16" t="s">
        <v>4</v>
      </c>
      <c r="AF65" s="16"/>
      <c r="AG65" s="21" t="s">
        <v>212</v>
      </c>
      <c r="XFD65" s="15" t="str">
        <f>+Tabla3[[#This Row],[ESTATUS DE NUM ECONOMICO]]</f>
        <v>INACTIVA</v>
      </c>
    </row>
    <row r="66" spans="1:33 16384:16384" ht="15.75" thickBot="1" x14ac:dyDescent="0.3">
      <c r="A66" s="8">
        <v>26</v>
      </c>
      <c r="B66" s="9">
        <v>46168</v>
      </c>
      <c r="C66" s="10" t="s">
        <v>87</v>
      </c>
      <c r="D66" s="11"/>
      <c r="E66" s="16"/>
      <c r="F66" s="10"/>
      <c r="G66" s="212" t="str">
        <f>IFERROR(VLOOKUP(Tabla3[[#This Row],[NUM ECONOMICO]],MAQUINARIA!B:H,7,0), " MAQ")</f>
        <v>INACTIVA</v>
      </c>
      <c r="H66" s="214" t="s">
        <v>210</v>
      </c>
      <c r="I66" s="41" t="s">
        <v>213</v>
      </c>
      <c r="J66" s="10"/>
      <c r="K66" s="10">
        <v>4</v>
      </c>
      <c r="L66" s="12"/>
      <c r="M66" s="13">
        <f t="shared" ref="M66:M129" si="1">+L66*K66</f>
        <v>0</v>
      </c>
      <c r="N66" s="41"/>
      <c r="O66" s="10"/>
      <c r="P66" s="10">
        <f>Tabla3[[#This Row],[COSTO UNITARIO DOLARES EN HAWTHORNE]]*Tabla3[[#This Row],[CANTIDAD SOLICTADA]]</f>
        <v>0</v>
      </c>
      <c r="Q66" s="41"/>
      <c r="R66" s="229"/>
      <c r="S66" s="229">
        <f>+Tabla3[[#This Row],[COSTO UNITARIO DOLARES CTP]]*Tabla3[[#This Row],[CANTIDAD SOLICTADA]]</f>
        <v>0</v>
      </c>
      <c r="T66" s="41"/>
      <c r="U66" s="14" t="s">
        <v>4</v>
      </c>
      <c r="V66" s="8" t="s">
        <v>211</v>
      </c>
      <c r="W66" s="10"/>
      <c r="X66" s="10" t="s">
        <v>96</v>
      </c>
      <c r="Y66" s="10">
        <v>8</v>
      </c>
      <c r="Z66" s="16"/>
      <c r="AA66" s="16"/>
      <c r="AB66" s="25">
        <v>46168</v>
      </c>
      <c r="AC66" s="16"/>
      <c r="AD66" s="16"/>
      <c r="AE66" s="16" t="s">
        <v>4</v>
      </c>
      <c r="AF66" s="16"/>
      <c r="AG66" s="21" t="s">
        <v>212</v>
      </c>
      <c r="XFD66" s="15" t="str">
        <f>+Tabla3[[#This Row],[ESTATUS DE NUM ECONOMICO]]</f>
        <v>INACTIVA</v>
      </c>
    </row>
    <row r="67" spans="1:33 16384:16384" ht="15.75" thickBot="1" x14ac:dyDescent="0.3">
      <c r="A67" s="8">
        <v>26</v>
      </c>
      <c r="B67" s="9">
        <v>46168</v>
      </c>
      <c r="C67" s="10" t="s">
        <v>87</v>
      </c>
      <c r="D67" s="11"/>
      <c r="E67" s="16"/>
      <c r="F67" s="10"/>
      <c r="G67" s="212" t="str">
        <f>IFERROR(VLOOKUP(Tabla3[[#This Row],[NUM ECONOMICO]],MAQUINARIA!B:H,7,0), " MAQ")</f>
        <v>INACTIVA</v>
      </c>
      <c r="H67" s="214" t="s">
        <v>210</v>
      </c>
      <c r="I67" s="41">
        <v>1298172</v>
      </c>
      <c r="J67" s="10"/>
      <c r="K67" s="10">
        <v>1</v>
      </c>
      <c r="L67" s="12"/>
      <c r="M67" s="13">
        <f t="shared" si="1"/>
        <v>0</v>
      </c>
      <c r="N67" s="41"/>
      <c r="O67" s="10"/>
      <c r="P67" s="10">
        <f>Tabla3[[#This Row],[COSTO UNITARIO DOLARES EN HAWTHORNE]]*Tabla3[[#This Row],[CANTIDAD SOLICTADA]]</f>
        <v>0</v>
      </c>
      <c r="Q67" s="41"/>
      <c r="R67" s="229"/>
      <c r="S67" s="229">
        <f>+Tabla3[[#This Row],[COSTO UNITARIO DOLARES CTP]]*Tabla3[[#This Row],[CANTIDAD SOLICTADA]]</f>
        <v>0</v>
      </c>
      <c r="T67" s="41"/>
      <c r="U67" s="14" t="s">
        <v>4</v>
      </c>
      <c r="V67" s="8" t="s">
        <v>211</v>
      </c>
      <c r="W67" s="10"/>
      <c r="X67" s="10" t="s">
        <v>96</v>
      </c>
      <c r="Y67" s="10">
        <v>1</v>
      </c>
      <c r="Z67" s="16"/>
      <c r="AA67" s="16"/>
      <c r="AB67" s="25">
        <v>46168</v>
      </c>
      <c r="AC67" s="16"/>
      <c r="AD67" s="16"/>
      <c r="AE67" s="16" t="s">
        <v>4</v>
      </c>
      <c r="AF67" s="16"/>
      <c r="AG67" s="21" t="s">
        <v>212</v>
      </c>
      <c r="XFD67" s="15" t="str">
        <f>+Tabla3[[#This Row],[ESTATUS DE NUM ECONOMICO]]</f>
        <v>INACTIVA</v>
      </c>
    </row>
    <row r="68" spans="1:33 16384:16384" ht="15.75" thickBot="1" x14ac:dyDescent="0.3">
      <c r="A68" s="8">
        <v>27</v>
      </c>
      <c r="B68" s="9">
        <v>46168</v>
      </c>
      <c r="C68" s="10" t="s">
        <v>87</v>
      </c>
      <c r="D68" s="11"/>
      <c r="E68" s="16">
        <v>13</v>
      </c>
      <c r="F68" s="9">
        <v>46178</v>
      </c>
      <c r="G68" s="212" t="str">
        <f>IFERROR(VLOOKUP(Tabla3[[#This Row],[NUM ECONOMICO]],MAQUINARIA!B:H,7,0), " MAQ")</f>
        <v>ACTIVA</v>
      </c>
      <c r="H68" s="214" t="s">
        <v>214</v>
      </c>
      <c r="I68" s="41" t="s">
        <v>215</v>
      </c>
      <c r="J68" s="10" t="s">
        <v>216</v>
      </c>
      <c r="K68" s="10">
        <v>1</v>
      </c>
      <c r="L68" s="13">
        <v>240.64</v>
      </c>
      <c r="M68" s="13">
        <f t="shared" si="1"/>
        <v>240.64</v>
      </c>
      <c r="N68" s="41"/>
      <c r="O68" s="287">
        <v>13.1</v>
      </c>
      <c r="P68" s="287">
        <f>Tabla3[[#This Row],[COSTO UNITARIO DOLARES EN HAWTHORNE]]*Tabla3[[#This Row],[CANTIDAD SOLICTADA]]</f>
        <v>13.1</v>
      </c>
      <c r="Q68" s="41" t="s">
        <v>217</v>
      </c>
      <c r="R68" s="229">
        <v>4.99</v>
      </c>
      <c r="S68" s="229">
        <f>+Tabla3[[#This Row],[COSTO UNITARIO DOLARES CTP]]*Tabla3[[#This Row],[CANTIDAD SOLICTADA]]</f>
        <v>4.99</v>
      </c>
      <c r="T68" s="41"/>
      <c r="U68" s="18" t="s">
        <v>161</v>
      </c>
      <c r="V68" s="8" t="s">
        <v>218</v>
      </c>
      <c r="W68" s="10"/>
      <c r="X68" s="10" t="s">
        <v>89</v>
      </c>
      <c r="Y68" s="10" t="s">
        <v>90</v>
      </c>
      <c r="Z68" s="16"/>
      <c r="AA68" s="16"/>
      <c r="AB68" s="16"/>
      <c r="AC68" s="16"/>
      <c r="AD68" s="16"/>
      <c r="AE68" s="16" t="s">
        <v>147</v>
      </c>
      <c r="AF68" s="16"/>
      <c r="AG68" s="21" t="s">
        <v>219</v>
      </c>
      <c r="XFD68" s="15" t="str">
        <f>+Tabla3[[#This Row],[ESTATUS DE NUM ECONOMICO]]</f>
        <v>ACTIVA</v>
      </c>
    </row>
    <row r="69" spans="1:33 16384:16384" ht="15.75" thickBot="1" x14ac:dyDescent="0.3">
      <c r="A69" s="8">
        <v>27</v>
      </c>
      <c r="B69" s="9">
        <v>46168</v>
      </c>
      <c r="C69" s="10" t="s">
        <v>87</v>
      </c>
      <c r="D69" s="11"/>
      <c r="E69" s="16">
        <v>13</v>
      </c>
      <c r="F69" s="9">
        <v>46178</v>
      </c>
      <c r="G69" s="212" t="str">
        <f>IFERROR(VLOOKUP(Tabla3[[#This Row],[NUM ECONOMICO]],MAQUINARIA!B:H,7,0), " MAQ")</f>
        <v>ACTIVA</v>
      </c>
      <c r="H69" s="214" t="s">
        <v>214</v>
      </c>
      <c r="I69" s="41" t="s">
        <v>1821</v>
      </c>
      <c r="J69" s="10" t="s">
        <v>1820</v>
      </c>
      <c r="K69" s="10">
        <v>1</v>
      </c>
      <c r="L69" s="13">
        <v>52280.56</v>
      </c>
      <c r="M69" s="13">
        <f t="shared" si="1"/>
        <v>52280.56</v>
      </c>
      <c r="N69" s="41"/>
      <c r="O69" s="287">
        <v>908.57</v>
      </c>
      <c r="P69" s="287">
        <f>Tabla3[[#This Row],[COSTO UNITARIO DOLARES EN HAWTHORNE]]*Tabla3[[#This Row],[CANTIDAD SOLICTADA]]</f>
        <v>908.57</v>
      </c>
      <c r="Q69" s="41" t="s">
        <v>181</v>
      </c>
      <c r="R69" s="229">
        <v>0</v>
      </c>
      <c r="S69" s="229">
        <f>+Tabla3[[#This Row],[COSTO UNITARIO DOLARES CTP]]*Tabla3[[#This Row],[CANTIDAD SOLICTADA]]</f>
        <v>0</v>
      </c>
      <c r="T69" s="41"/>
      <c r="U69" s="18" t="s">
        <v>4</v>
      </c>
      <c r="V69" s="8" t="s">
        <v>218</v>
      </c>
      <c r="W69" s="9">
        <v>46209</v>
      </c>
      <c r="X69" s="10" t="s">
        <v>89</v>
      </c>
      <c r="Y69" s="10" t="s">
        <v>90</v>
      </c>
      <c r="Z69" s="16"/>
      <c r="AA69" s="16"/>
      <c r="AB69" s="25">
        <v>46209</v>
      </c>
      <c r="AC69" s="16" t="s">
        <v>91</v>
      </c>
      <c r="AD69" s="16"/>
      <c r="AE69" s="16" t="s">
        <v>407</v>
      </c>
      <c r="AF69" s="16"/>
      <c r="AG69" s="21" t="s">
        <v>219</v>
      </c>
      <c r="XFD69" s="15" t="str">
        <f>+Tabla3[[#This Row],[ESTATUS DE NUM ECONOMICO]]</f>
        <v>ACTIVA</v>
      </c>
    </row>
    <row r="70" spans="1:33 16384:16384" ht="15.75" thickBot="1" x14ac:dyDescent="0.3">
      <c r="A70" s="8">
        <v>27</v>
      </c>
      <c r="B70" s="9">
        <v>46168</v>
      </c>
      <c r="C70" s="10" t="s">
        <v>87</v>
      </c>
      <c r="D70" s="11"/>
      <c r="E70" s="16">
        <v>13</v>
      </c>
      <c r="F70" s="9">
        <v>46178</v>
      </c>
      <c r="G70" s="212" t="str">
        <f>IFERROR(VLOOKUP(Tabla3[[#This Row],[NUM ECONOMICO]],MAQUINARIA!B:H,7,0), " MAQ")</f>
        <v>ACTIVA</v>
      </c>
      <c r="H70" s="214" t="s">
        <v>214</v>
      </c>
      <c r="I70" s="41">
        <v>106178</v>
      </c>
      <c r="J70" s="10"/>
      <c r="K70" s="10">
        <v>1</v>
      </c>
      <c r="L70" s="12"/>
      <c r="M70" s="13">
        <f t="shared" si="1"/>
        <v>0</v>
      </c>
      <c r="N70" s="41"/>
      <c r="O70" s="10"/>
      <c r="P70" s="10">
        <f>Tabla3[[#This Row],[COSTO UNITARIO DOLARES EN HAWTHORNE]]*Tabla3[[#This Row],[CANTIDAD SOLICTADA]]</f>
        <v>0</v>
      </c>
      <c r="Q70" s="41"/>
      <c r="R70" s="229"/>
      <c r="S70" s="229">
        <f>+Tabla3[[#This Row],[COSTO UNITARIO DOLARES CTP]]*Tabla3[[#This Row],[CANTIDAD SOLICTADA]]</f>
        <v>0</v>
      </c>
      <c r="T70" s="41"/>
      <c r="U70" s="20" t="s">
        <v>161</v>
      </c>
      <c r="V70" s="17"/>
      <c r="W70" s="10"/>
      <c r="X70" s="10" t="s">
        <v>96</v>
      </c>
      <c r="Y70" s="10" t="s">
        <v>90</v>
      </c>
      <c r="Z70" s="16"/>
      <c r="AA70" s="16"/>
      <c r="AB70" s="16"/>
      <c r="AC70" s="16"/>
      <c r="AD70" s="16"/>
      <c r="AE70" s="16" t="s">
        <v>147</v>
      </c>
      <c r="AF70" s="16"/>
      <c r="AG70" s="21" t="s">
        <v>219</v>
      </c>
      <c r="XFD70" s="15" t="str">
        <f>+Tabla3[[#This Row],[ESTATUS DE NUM ECONOMICO]]</f>
        <v>ACTIVA</v>
      </c>
    </row>
    <row r="71" spans="1:33 16384:16384" ht="15.75" thickBot="1" x14ac:dyDescent="0.3">
      <c r="A71" s="8">
        <v>27</v>
      </c>
      <c r="B71" s="9">
        <v>46168</v>
      </c>
      <c r="C71" s="10" t="s">
        <v>87</v>
      </c>
      <c r="D71" s="11"/>
      <c r="E71" s="16">
        <v>13</v>
      </c>
      <c r="F71" s="9">
        <v>46178</v>
      </c>
      <c r="G71" s="212" t="str">
        <f>IFERROR(VLOOKUP(Tabla3[[#This Row],[NUM ECONOMICO]],MAQUINARIA!B:H,7,0), " MAQ")</f>
        <v>ACTIVA</v>
      </c>
      <c r="H71" s="214" t="s">
        <v>214</v>
      </c>
      <c r="I71" s="41" t="s">
        <v>221</v>
      </c>
      <c r="J71" s="10" t="s">
        <v>183</v>
      </c>
      <c r="K71" s="10">
        <v>2</v>
      </c>
      <c r="L71" s="13">
        <v>60.6</v>
      </c>
      <c r="M71" s="13">
        <f t="shared" si="1"/>
        <v>121.2</v>
      </c>
      <c r="N71" s="41"/>
      <c r="O71" s="287">
        <v>3.35</v>
      </c>
      <c r="P71" s="287">
        <f>Tabla3[[#This Row],[COSTO UNITARIO DOLARES EN HAWTHORNE]]*Tabla3[[#This Row],[CANTIDAD SOLICTADA]]</f>
        <v>6.7</v>
      </c>
      <c r="Q71" s="41" t="s">
        <v>181</v>
      </c>
      <c r="R71" s="229">
        <v>0.21</v>
      </c>
      <c r="S71" s="229">
        <f>+Tabla3[[#This Row],[COSTO UNITARIO DOLARES CTP]]*Tabla3[[#This Row],[CANTIDAD SOLICTADA]]</f>
        <v>0.42</v>
      </c>
      <c r="T71" s="41"/>
      <c r="U71" s="18" t="s">
        <v>161</v>
      </c>
      <c r="V71" s="8" t="s">
        <v>218</v>
      </c>
      <c r="W71" s="10"/>
      <c r="X71" s="10" t="s">
        <v>89</v>
      </c>
      <c r="Y71" s="10">
        <v>2</v>
      </c>
      <c r="Z71" s="16"/>
      <c r="AA71" s="16"/>
      <c r="AB71" s="16"/>
      <c r="AC71" s="16"/>
      <c r="AD71" s="16"/>
      <c r="AE71" s="16" t="s">
        <v>147</v>
      </c>
      <c r="AF71" s="16"/>
      <c r="AG71" s="21" t="s">
        <v>219</v>
      </c>
      <c r="XFD71" s="15" t="str">
        <f>+Tabla3[[#This Row],[ESTATUS DE NUM ECONOMICO]]</f>
        <v>ACTIVA</v>
      </c>
    </row>
    <row r="72" spans="1:33 16384:16384" ht="15.75" thickBot="1" x14ac:dyDescent="0.3">
      <c r="A72" s="8">
        <v>27</v>
      </c>
      <c r="B72" s="9">
        <v>46168</v>
      </c>
      <c r="C72" s="10" t="s">
        <v>87</v>
      </c>
      <c r="D72" s="11"/>
      <c r="E72" s="16">
        <v>13</v>
      </c>
      <c r="F72" s="9">
        <v>46178</v>
      </c>
      <c r="G72" s="212" t="str">
        <f>IFERROR(VLOOKUP(Tabla3[[#This Row],[NUM ECONOMICO]],MAQUINARIA!B:H,7,0), " MAQ")</f>
        <v>ACTIVA</v>
      </c>
      <c r="H72" s="214" t="s">
        <v>214</v>
      </c>
      <c r="I72" s="41">
        <v>1293948</v>
      </c>
      <c r="J72" s="10" t="s">
        <v>1822</v>
      </c>
      <c r="K72" s="10">
        <v>1</v>
      </c>
      <c r="L72" s="13">
        <v>387</v>
      </c>
      <c r="M72" s="13">
        <f t="shared" si="1"/>
        <v>387</v>
      </c>
      <c r="N72" s="41"/>
      <c r="O72" s="287">
        <v>21.41</v>
      </c>
      <c r="P72" s="287">
        <f>Tabla3[[#This Row],[COSTO UNITARIO DOLARES EN HAWTHORNE]]*Tabla3[[#This Row],[CANTIDAD SOLICTADA]]</f>
        <v>21.41</v>
      </c>
      <c r="Q72" s="41" t="s">
        <v>181</v>
      </c>
      <c r="R72" s="229">
        <v>9.34</v>
      </c>
      <c r="S72" s="229">
        <f>+Tabla3[[#This Row],[COSTO UNITARIO DOLARES CTP]]*Tabla3[[#This Row],[CANTIDAD SOLICTADA]]</f>
        <v>9.34</v>
      </c>
      <c r="T72" s="41"/>
      <c r="U72" s="18" t="s">
        <v>5</v>
      </c>
      <c r="V72" s="211" t="s">
        <v>218</v>
      </c>
      <c r="W72" s="10"/>
      <c r="X72" s="10" t="s">
        <v>89</v>
      </c>
      <c r="Y72" s="10" t="s">
        <v>90</v>
      </c>
      <c r="Z72" s="16"/>
      <c r="AA72" s="16"/>
      <c r="AB72" s="16"/>
      <c r="AC72" s="16"/>
      <c r="AD72" s="16"/>
      <c r="AE72" s="16" t="s">
        <v>147</v>
      </c>
      <c r="AF72" s="16" t="s">
        <v>1823</v>
      </c>
      <c r="AG72" s="21" t="s">
        <v>219</v>
      </c>
      <c r="XFD72" s="15" t="str">
        <f>+Tabla3[[#This Row],[ESTATUS DE NUM ECONOMICO]]</f>
        <v>ACTIVA</v>
      </c>
    </row>
    <row r="73" spans="1:33 16384:16384" ht="15.75" thickBot="1" x14ac:dyDescent="0.3">
      <c r="A73" s="8">
        <v>28</v>
      </c>
      <c r="B73" s="9">
        <v>46168</v>
      </c>
      <c r="C73" s="10" t="s">
        <v>186</v>
      </c>
      <c r="D73" s="10" t="s">
        <v>223</v>
      </c>
      <c r="E73" s="16"/>
      <c r="F73" s="10"/>
      <c r="G73" s="212" t="str">
        <f>IFERROR(VLOOKUP(Tabla3[[#This Row],[NUM ECONOMICO]],MAQUINARIA!B:H,7,0), " MAQ")</f>
        <v>ACTIVA</v>
      </c>
      <c r="H73" s="214" t="s">
        <v>224</v>
      </c>
      <c r="I73" s="41">
        <v>2566453</v>
      </c>
      <c r="J73" s="10"/>
      <c r="K73" s="10">
        <v>1</v>
      </c>
      <c r="L73" s="12"/>
      <c r="M73" s="13">
        <f t="shared" si="1"/>
        <v>0</v>
      </c>
      <c r="N73" s="41"/>
      <c r="O73" s="10"/>
      <c r="P73" s="10">
        <f>Tabla3[[#This Row],[COSTO UNITARIO DOLARES EN HAWTHORNE]]*Tabla3[[#This Row],[CANTIDAD SOLICTADA]]</f>
        <v>0</v>
      </c>
      <c r="Q73" s="41"/>
      <c r="R73" s="229"/>
      <c r="S73" s="229">
        <f>+Tabla3[[#This Row],[COSTO UNITARIO DOLARES CTP]]*Tabla3[[#This Row],[CANTIDAD SOLICTADA]]</f>
        <v>0</v>
      </c>
      <c r="T73" s="41"/>
      <c r="U73" s="14" t="s">
        <v>4</v>
      </c>
      <c r="V73" s="8" t="s">
        <v>225</v>
      </c>
      <c r="W73" s="9">
        <v>46169</v>
      </c>
      <c r="X73" s="10" t="s">
        <v>89</v>
      </c>
      <c r="Y73" s="10" t="s">
        <v>90</v>
      </c>
      <c r="Z73" s="16" t="s">
        <v>44</v>
      </c>
      <c r="AA73" s="25">
        <v>46168</v>
      </c>
      <c r="AB73" s="25">
        <v>46169</v>
      </c>
      <c r="AC73" s="16" t="s">
        <v>226</v>
      </c>
      <c r="AD73" s="16"/>
      <c r="AE73" s="16" t="s">
        <v>227</v>
      </c>
      <c r="AF73" s="16"/>
      <c r="AG73" s="21" t="s">
        <v>228</v>
      </c>
      <c r="XFD73" s="15" t="str">
        <f>+Tabla3[[#This Row],[ESTATUS DE NUM ECONOMICO]]</f>
        <v>ACTIVA</v>
      </c>
    </row>
    <row r="74" spans="1:33 16384:16384" ht="15.75" thickBot="1" x14ac:dyDescent="0.3">
      <c r="A74" s="8">
        <v>28</v>
      </c>
      <c r="B74" s="9">
        <v>46168</v>
      </c>
      <c r="C74" s="10" t="s">
        <v>186</v>
      </c>
      <c r="D74" s="10" t="s">
        <v>223</v>
      </c>
      <c r="E74" s="16"/>
      <c r="F74" s="10"/>
      <c r="G74" s="212" t="str">
        <f>IFERROR(VLOOKUP(Tabla3[[#This Row],[NUM ECONOMICO]],MAQUINARIA!B:H,7,0), " MAQ")</f>
        <v>ACTIVA</v>
      </c>
      <c r="H74" s="214" t="s">
        <v>224</v>
      </c>
      <c r="I74" s="41">
        <v>2304011</v>
      </c>
      <c r="J74" s="10"/>
      <c r="K74" s="10">
        <v>1</v>
      </c>
      <c r="L74" s="12"/>
      <c r="M74" s="13">
        <f t="shared" si="1"/>
        <v>0</v>
      </c>
      <c r="N74" s="41"/>
      <c r="O74" s="10"/>
      <c r="P74" s="10">
        <f>Tabla3[[#This Row],[COSTO UNITARIO DOLARES EN HAWTHORNE]]*Tabla3[[#This Row],[CANTIDAD SOLICTADA]]</f>
        <v>0</v>
      </c>
      <c r="Q74" s="41"/>
      <c r="R74" s="229"/>
      <c r="S74" s="229">
        <f>+Tabla3[[#This Row],[COSTO UNITARIO DOLARES CTP]]*Tabla3[[#This Row],[CANTIDAD SOLICTADA]]</f>
        <v>0</v>
      </c>
      <c r="T74" s="41"/>
      <c r="U74" s="14" t="s">
        <v>4</v>
      </c>
      <c r="V74" s="8" t="s">
        <v>225</v>
      </c>
      <c r="W74" s="9">
        <v>46169</v>
      </c>
      <c r="X74" s="10" t="s">
        <v>89</v>
      </c>
      <c r="Y74" s="10" t="s">
        <v>90</v>
      </c>
      <c r="Z74" s="16" t="s">
        <v>44</v>
      </c>
      <c r="AA74" s="25">
        <v>46168</v>
      </c>
      <c r="AB74" s="25">
        <v>46169</v>
      </c>
      <c r="AC74" s="16" t="s">
        <v>226</v>
      </c>
      <c r="AD74" s="16"/>
      <c r="AE74" s="16" t="s">
        <v>227</v>
      </c>
      <c r="AF74" s="16"/>
      <c r="AG74" s="21" t="s">
        <v>229</v>
      </c>
      <c r="XFD74" s="15" t="str">
        <f>+Tabla3[[#This Row],[ESTATUS DE NUM ECONOMICO]]</f>
        <v>ACTIVA</v>
      </c>
    </row>
    <row r="75" spans="1:33 16384:16384" ht="15.75" thickBot="1" x14ac:dyDescent="0.3">
      <c r="A75" s="8">
        <v>28</v>
      </c>
      <c r="B75" s="9">
        <v>46168</v>
      </c>
      <c r="C75" s="10" t="s">
        <v>186</v>
      </c>
      <c r="D75" s="10" t="s">
        <v>223</v>
      </c>
      <c r="E75" s="16"/>
      <c r="F75" s="10"/>
      <c r="G75" s="212" t="str">
        <f>IFERROR(VLOOKUP(Tabla3[[#This Row],[NUM ECONOMICO]],MAQUINARIA!B:H,7,0), " MAQ")</f>
        <v>ACTIVA</v>
      </c>
      <c r="H75" s="214" t="s">
        <v>224</v>
      </c>
      <c r="I75" s="41" t="s">
        <v>230</v>
      </c>
      <c r="J75" s="10"/>
      <c r="K75" s="10">
        <v>2</v>
      </c>
      <c r="L75" s="12"/>
      <c r="M75" s="13">
        <f t="shared" si="1"/>
        <v>0</v>
      </c>
      <c r="N75" s="41"/>
      <c r="O75" s="10"/>
      <c r="P75" s="10">
        <f>Tabla3[[#This Row],[COSTO UNITARIO DOLARES EN HAWTHORNE]]*Tabla3[[#This Row],[CANTIDAD SOLICTADA]]</f>
        <v>0</v>
      </c>
      <c r="Q75" s="41"/>
      <c r="R75" s="229"/>
      <c r="S75" s="229">
        <f>+Tabla3[[#This Row],[COSTO UNITARIO DOLARES CTP]]*Tabla3[[#This Row],[CANTIDAD SOLICTADA]]</f>
        <v>0</v>
      </c>
      <c r="T75" s="41"/>
      <c r="U75" s="14" t="s">
        <v>4</v>
      </c>
      <c r="V75" s="8" t="s">
        <v>225</v>
      </c>
      <c r="W75" s="9">
        <v>46169</v>
      </c>
      <c r="X75" s="10" t="s">
        <v>89</v>
      </c>
      <c r="Y75" s="10">
        <v>0</v>
      </c>
      <c r="Z75" s="16" t="s">
        <v>44</v>
      </c>
      <c r="AA75" s="25">
        <v>46168</v>
      </c>
      <c r="AB75" s="25">
        <v>46169</v>
      </c>
      <c r="AC75" s="16" t="s">
        <v>226</v>
      </c>
      <c r="AD75" s="16"/>
      <c r="AE75" s="16" t="s">
        <v>227</v>
      </c>
      <c r="AF75" s="16"/>
      <c r="AG75" s="21" t="s">
        <v>229</v>
      </c>
      <c r="XFD75" s="15" t="str">
        <f>+Tabla3[[#This Row],[ESTATUS DE NUM ECONOMICO]]</f>
        <v>ACTIVA</v>
      </c>
    </row>
    <row r="76" spans="1:33 16384:16384" ht="15.75" thickBot="1" x14ac:dyDescent="0.3">
      <c r="A76" s="8">
        <v>29</v>
      </c>
      <c r="B76" s="9">
        <v>46169</v>
      </c>
      <c r="C76" s="10" t="s">
        <v>87</v>
      </c>
      <c r="D76" s="11"/>
      <c r="E76" s="16"/>
      <c r="F76" s="10"/>
      <c r="G76" s="212" t="str">
        <f>IFERROR(VLOOKUP(Tabla3[[#This Row],[NUM ECONOMICO]],MAQUINARIA!B:H,7,0), " MAQ")</f>
        <v>ACTIVA</v>
      </c>
      <c r="H76" s="214" t="s">
        <v>107</v>
      </c>
      <c r="I76" s="41">
        <v>2350969</v>
      </c>
      <c r="J76" s="10"/>
      <c r="K76" s="10">
        <v>1</v>
      </c>
      <c r="L76" s="13">
        <v>3917.34</v>
      </c>
      <c r="M76" s="13">
        <f t="shared" si="1"/>
        <v>3917.34</v>
      </c>
      <c r="N76" s="41"/>
      <c r="O76" s="10"/>
      <c r="P76" s="10">
        <f>Tabla3[[#This Row],[COSTO UNITARIO DOLARES EN HAWTHORNE]]*Tabla3[[#This Row],[CANTIDAD SOLICTADA]]</f>
        <v>0</v>
      </c>
      <c r="Q76" s="41"/>
      <c r="R76" s="229"/>
      <c r="S76" s="229">
        <f>+Tabla3[[#This Row],[COSTO UNITARIO DOLARES CTP]]*Tabla3[[#This Row],[CANTIDAD SOLICTADA]]</f>
        <v>0</v>
      </c>
      <c r="T76" s="41"/>
      <c r="U76" s="18" t="s">
        <v>4</v>
      </c>
      <c r="V76" s="8" t="s">
        <v>231</v>
      </c>
      <c r="W76" s="9">
        <v>46088</v>
      </c>
      <c r="X76" s="10" t="s">
        <v>89</v>
      </c>
      <c r="Y76" s="10" t="s">
        <v>90</v>
      </c>
      <c r="Z76" s="16" t="s">
        <v>232</v>
      </c>
      <c r="AA76" s="16"/>
      <c r="AB76" s="16"/>
      <c r="AC76" s="16" t="s">
        <v>91</v>
      </c>
      <c r="AD76" s="16"/>
      <c r="AE76" s="16" t="s">
        <v>4</v>
      </c>
      <c r="AF76" s="16"/>
      <c r="AG76" s="21" t="s">
        <v>233</v>
      </c>
      <c r="XFD76" s="15" t="str">
        <f>+Tabla3[[#This Row],[ESTATUS DE NUM ECONOMICO]]</f>
        <v>ACTIVA</v>
      </c>
    </row>
    <row r="77" spans="1:33 16384:16384" ht="15.75" thickBot="1" x14ac:dyDescent="0.3">
      <c r="A77" s="8">
        <v>29</v>
      </c>
      <c r="B77" s="9">
        <v>46169</v>
      </c>
      <c r="C77" s="10" t="s">
        <v>87</v>
      </c>
      <c r="D77" s="11"/>
      <c r="E77" s="16"/>
      <c r="F77" s="10"/>
      <c r="G77" s="212" t="str">
        <f>IFERROR(VLOOKUP(Tabla3[[#This Row],[NUM ECONOMICO]],MAQUINARIA!B:H,7,0), " MAQ")</f>
        <v>ACTIVA</v>
      </c>
      <c r="H77" s="214" t="s">
        <v>107</v>
      </c>
      <c r="I77" s="41">
        <v>2310898</v>
      </c>
      <c r="J77" s="10"/>
      <c r="K77" s="10">
        <v>1</v>
      </c>
      <c r="L77" s="13">
        <v>3549.06</v>
      </c>
      <c r="M77" s="13">
        <f t="shared" si="1"/>
        <v>3549.06</v>
      </c>
      <c r="N77" s="41"/>
      <c r="O77" s="10"/>
      <c r="P77" s="10">
        <f>Tabla3[[#This Row],[COSTO UNITARIO DOLARES EN HAWTHORNE]]*Tabla3[[#This Row],[CANTIDAD SOLICTADA]]</f>
        <v>0</v>
      </c>
      <c r="Q77" s="41"/>
      <c r="R77" s="229"/>
      <c r="S77" s="229">
        <f>+Tabla3[[#This Row],[COSTO UNITARIO DOLARES CTP]]*Tabla3[[#This Row],[CANTIDAD SOLICTADA]]</f>
        <v>0</v>
      </c>
      <c r="T77" s="41"/>
      <c r="U77" s="18" t="s">
        <v>4</v>
      </c>
      <c r="V77" s="8" t="s">
        <v>231</v>
      </c>
      <c r="W77" s="9">
        <v>46206</v>
      </c>
      <c r="X77" s="10" t="s">
        <v>89</v>
      </c>
      <c r="Y77" s="10">
        <v>3</v>
      </c>
      <c r="Z77" s="16" t="s">
        <v>232</v>
      </c>
      <c r="AA77" s="16"/>
      <c r="AB77" s="16"/>
      <c r="AC77" s="16" t="s">
        <v>91</v>
      </c>
      <c r="AD77" s="16"/>
      <c r="AE77" s="16" t="s">
        <v>4</v>
      </c>
      <c r="AF77" s="16"/>
      <c r="AG77" s="21" t="s">
        <v>233</v>
      </c>
      <c r="XFD77" s="15" t="str">
        <f>+Tabla3[[#This Row],[ESTATUS DE NUM ECONOMICO]]</f>
        <v>ACTIVA</v>
      </c>
    </row>
    <row r="78" spans="1:33 16384:16384" ht="15.75" thickBot="1" x14ac:dyDescent="0.3">
      <c r="A78" s="8">
        <v>30</v>
      </c>
      <c r="B78" s="9">
        <v>46169</v>
      </c>
      <c r="C78" s="10" t="s">
        <v>186</v>
      </c>
      <c r="D78" s="11"/>
      <c r="E78" s="16">
        <v>79</v>
      </c>
      <c r="F78" s="9">
        <v>46147</v>
      </c>
      <c r="G78" s="212" t="str">
        <f>IFERROR(VLOOKUP(Tabla3[[#This Row],[NUM ECONOMICO]],MAQUINARIA!B:H,7,0), " MAQ")</f>
        <v>ACTIVA</v>
      </c>
      <c r="H78" s="214" t="s">
        <v>234</v>
      </c>
      <c r="I78" s="41" t="s">
        <v>235</v>
      </c>
      <c r="J78" s="10"/>
      <c r="K78" s="10">
        <v>3</v>
      </c>
      <c r="L78" s="12"/>
      <c r="M78" s="13">
        <f t="shared" si="1"/>
        <v>0</v>
      </c>
      <c r="N78" s="41"/>
      <c r="O78" s="10"/>
      <c r="P78" s="10">
        <f>Tabla3[[#This Row],[COSTO UNITARIO DOLARES EN HAWTHORNE]]*Tabla3[[#This Row],[CANTIDAD SOLICTADA]]</f>
        <v>0</v>
      </c>
      <c r="Q78" s="41"/>
      <c r="R78" s="229"/>
      <c r="S78" s="229">
        <f>+Tabla3[[#This Row],[COSTO UNITARIO DOLARES CTP]]*Tabla3[[#This Row],[CANTIDAD SOLICTADA]]</f>
        <v>0</v>
      </c>
      <c r="T78" s="41"/>
      <c r="U78" s="14" t="s">
        <v>4</v>
      </c>
      <c r="V78" s="8" t="s">
        <v>236</v>
      </c>
      <c r="W78" s="9">
        <v>46170</v>
      </c>
      <c r="X78" s="10" t="s">
        <v>89</v>
      </c>
      <c r="Y78" s="10" t="s">
        <v>90</v>
      </c>
      <c r="Z78" s="16" t="s">
        <v>237</v>
      </c>
      <c r="AA78" s="25">
        <v>46170</v>
      </c>
      <c r="AB78" s="25">
        <v>46170</v>
      </c>
      <c r="AC78" s="16" t="s">
        <v>238</v>
      </c>
      <c r="AD78" s="16" t="s">
        <v>239</v>
      </c>
      <c r="AE78" s="16" t="s">
        <v>240</v>
      </c>
      <c r="AF78" s="16"/>
      <c r="AG78" s="21"/>
      <c r="XFD78" s="15" t="str">
        <f>+Tabla3[[#This Row],[ESTATUS DE NUM ECONOMICO]]</f>
        <v>ACTIVA</v>
      </c>
    </row>
    <row r="79" spans="1:33 16384:16384" ht="15.75" thickBot="1" x14ac:dyDescent="0.3">
      <c r="A79" s="8">
        <v>31</v>
      </c>
      <c r="B79" s="9">
        <v>46169</v>
      </c>
      <c r="C79" s="10" t="s">
        <v>87</v>
      </c>
      <c r="D79" s="11"/>
      <c r="E79" s="16"/>
      <c r="F79" s="10"/>
      <c r="G79" s="212" t="str">
        <f>IFERROR(VLOOKUP(Tabla3[[#This Row],[NUM ECONOMICO]],MAQUINARIA!B:H,7,0), " MAQ")</f>
        <v>ACTIVA</v>
      </c>
      <c r="H79" s="214" t="s">
        <v>241</v>
      </c>
      <c r="I79" s="41" t="s">
        <v>242</v>
      </c>
      <c r="J79" s="10"/>
      <c r="K79" s="10">
        <v>2</v>
      </c>
      <c r="L79" s="12"/>
      <c r="M79" s="13">
        <f t="shared" si="1"/>
        <v>0</v>
      </c>
      <c r="N79" s="41"/>
      <c r="O79" s="10"/>
      <c r="P79" s="10">
        <f>Tabla3[[#This Row],[COSTO UNITARIO DOLARES EN HAWTHORNE]]*Tabla3[[#This Row],[CANTIDAD SOLICTADA]]</f>
        <v>0</v>
      </c>
      <c r="Q79" s="41"/>
      <c r="R79" s="229"/>
      <c r="S79" s="229">
        <f>+Tabla3[[#This Row],[COSTO UNITARIO DOLARES CTP]]*Tabla3[[#This Row],[CANTIDAD SOLICTADA]]</f>
        <v>0</v>
      </c>
      <c r="T79" s="41"/>
      <c r="U79" s="19" t="s">
        <v>7</v>
      </c>
      <c r="V79" s="8" t="s">
        <v>243</v>
      </c>
      <c r="W79" s="10"/>
      <c r="X79" s="10" t="s">
        <v>89</v>
      </c>
      <c r="Y79" s="10" t="s">
        <v>90</v>
      </c>
      <c r="Z79" s="16"/>
      <c r="AA79" s="16"/>
      <c r="AB79" s="16"/>
      <c r="AC79" s="16"/>
      <c r="AD79" s="16"/>
      <c r="AE79" s="16" t="s">
        <v>147</v>
      </c>
      <c r="AF79" s="27" t="s">
        <v>244</v>
      </c>
      <c r="AG79" s="21" t="s">
        <v>245</v>
      </c>
      <c r="XFD79" s="15" t="str">
        <f>+Tabla3[[#This Row],[ESTATUS DE NUM ECONOMICO]]</f>
        <v>ACTIVA</v>
      </c>
    </row>
    <row r="80" spans="1:33 16384:16384" ht="15.75" thickBot="1" x14ac:dyDescent="0.3">
      <c r="A80" s="8">
        <v>31</v>
      </c>
      <c r="B80" s="9">
        <v>46169</v>
      </c>
      <c r="C80" s="10" t="s">
        <v>87</v>
      </c>
      <c r="D80" s="11"/>
      <c r="E80" s="16"/>
      <c r="F80" s="10"/>
      <c r="G80" s="212" t="str">
        <f>IFERROR(VLOOKUP(Tabla3[[#This Row],[NUM ECONOMICO]],MAQUINARIA!B:H,7,0), " MAQ")</f>
        <v>ACTIVA</v>
      </c>
      <c r="H80" s="214" t="s">
        <v>241</v>
      </c>
      <c r="I80" s="41" t="s">
        <v>246</v>
      </c>
      <c r="J80" s="10"/>
      <c r="K80" s="10">
        <v>1</v>
      </c>
      <c r="L80" s="12"/>
      <c r="M80" s="13">
        <f t="shared" si="1"/>
        <v>0</v>
      </c>
      <c r="N80" s="41"/>
      <c r="O80" s="10"/>
      <c r="P80" s="10">
        <f>Tabla3[[#This Row],[COSTO UNITARIO DOLARES EN HAWTHORNE]]*Tabla3[[#This Row],[CANTIDAD SOLICTADA]]</f>
        <v>0</v>
      </c>
      <c r="Q80" s="41"/>
      <c r="R80" s="229"/>
      <c r="S80" s="229">
        <f>+Tabla3[[#This Row],[COSTO UNITARIO DOLARES CTP]]*Tabla3[[#This Row],[CANTIDAD SOLICTADA]]</f>
        <v>0</v>
      </c>
      <c r="T80" s="41"/>
      <c r="U80" s="19" t="s">
        <v>7</v>
      </c>
      <c r="V80" s="8" t="s">
        <v>243</v>
      </c>
      <c r="W80" s="10"/>
      <c r="X80" s="10" t="s">
        <v>89</v>
      </c>
      <c r="Y80" s="10">
        <v>2</v>
      </c>
      <c r="Z80" s="16"/>
      <c r="AA80" s="16"/>
      <c r="AB80" s="16"/>
      <c r="AC80" s="16"/>
      <c r="AD80" s="16"/>
      <c r="AE80" s="16" t="s">
        <v>147</v>
      </c>
      <c r="AF80" s="27" t="s">
        <v>244</v>
      </c>
      <c r="AG80" s="21" t="s">
        <v>245</v>
      </c>
      <c r="XFD80" s="15" t="str">
        <f>+Tabla3[[#This Row],[ESTATUS DE NUM ECONOMICO]]</f>
        <v>ACTIVA</v>
      </c>
    </row>
    <row r="81" spans="1:33 16384:16384" ht="15.75" thickBot="1" x14ac:dyDescent="0.3">
      <c r="A81" s="8">
        <v>31</v>
      </c>
      <c r="B81" s="9">
        <v>46169</v>
      </c>
      <c r="C81" s="10" t="s">
        <v>87</v>
      </c>
      <c r="D81" s="11"/>
      <c r="E81" s="16"/>
      <c r="F81" s="10"/>
      <c r="G81" s="212" t="str">
        <f>IFERROR(VLOOKUP(Tabla3[[#This Row],[NUM ECONOMICO]],MAQUINARIA!B:H,7,0), " MAQ")</f>
        <v>ACTIVA</v>
      </c>
      <c r="H81" s="214" t="s">
        <v>241</v>
      </c>
      <c r="I81" s="41">
        <v>2142296</v>
      </c>
      <c r="J81" s="10"/>
      <c r="K81" s="10">
        <v>1</v>
      </c>
      <c r="L81" s="12"/>
      <c r="M81" s="13">
        <f t="shared" si="1"/>
        <v>0</v>
      </c>
      <c r="N81" s="41"/>
      <c r="O81" s="10"/>
      <c r="P81" s="10">
        <f>Tabla3[[#This Row],[COSTO UNITARIO DOLARES EN HAWTHORNE]]*Tabla3[[#This Row],[CANTIDAD SOLICTADA]]</f>
        <v>0</v>
      </c>
      <c r="Q81" s="41"/>
      <c r="R81" s="229"/>
      <c r="S81" s="229">
        <f>+Tabla3[[#This Row],[COSTO UNITARIO DOLARES CTP]]*Tabla3[[#This Row],[CANTIDAD SOLICTADA]]</f>
        <v>0</v>
      </c>
      <c r="T81" s="41"/>
      <c r="U81" s="19" t="s">
        <v>7</v>
      </c>
      <c r="V81" s="8" t="s">
        <v>243</v>
      </c>
      <c r="W81" s="10"/>
      <c r="X81" s="10" t="s">
        <v>89</v>
      </c>
      <c r="Y81" s="10" t="s">
        <v>90</v>
      </c>
      <c r="Z81" s="16"/>
      <c r="AA81" s="16"/>
      <c r="AB81" s="16"/>
      <c r="AC81" s="16"/>
      <c r="AD81" s="16"/>
      <c r="AE81" s="16" t="s">
        <v>147</v>
      </c>
      <c r="AF81" s="27" t="s">
        <v>244</v>
      </c>
      <c r="AG81" s="21" t="s">
        <v>245</v>
      </c>
      <c r="XFD81" s="15" t="str">
        <f>+Tabla3[[#This Row],[ESTATUS DE NUM ECONOMICO]]</f>
        <v>ACTIVA</v>
      </c>
    </row>
    <row r="82" spans="1:33 16384:16384" ht="15.75" thickBot="1" x14ac:dyDescent="0.3">
      <c r="A82" s="8">
        <v>32</v>
      </c>
      <c r="B82" s="9">
        <v>46169</v>
      </c>
      <c r="C82" s="10" t="s">
        <v>87</v>
      </c>
      <c r="D82" s="11"/>
      <c r="E82" s="16">
        <v>81</v>
      </c>
      <c r="F82" s="9">
        <v>46178</v>
      </c>
      <c r="G82" s="212" t="str">
        <f>IFERROR(VLOOKUP(Tabla3[[#This Row],[NUM ECONOMICO]],MAQUINARIA!B:H,7,0), " MAQ")</f>
        <v>INACTIVA</v>
      </c>
      <c r="H82" s="214" t="s">
        <v>247</v>
      </c>
      <c r="I82" s="41" t="s">
        <v>248</v>
      </c>
      <c r="J82" s="10" t="s">
        <v>220</v>
      </c>
      <c r="K82" s="10">
        <v>1</v>
      </c>
      <c r="L82" s="13">
        <v>95.2</v>
      </c>
      <c r="M82" s="13">
        <f t="shared" si="1"/>
        <v>95.2</v>
      </c>
      <c r="N82" s="41"/>
      <c r="O82" s="287">
        <v>6.75</v>
      </c>
      <c r="P82" s="287">
        <f>Tabla3[[#This Row],[COSTO UNITARIO DOLARES EN HAWTHORNE]]*Tabla3[[#This Row],[CANTIDAD SOLICTADA]]</f>
        <v>6.75</v>
      </c>
      <c r="Q82" s="41" t="s">
        <v>181</v>
      </c>
      <c r="R82" s="229">
        <v>0.79</v>
      </c>
      <c r="S82" s="229">
        <f>+Tabla3[[#This Row],[COSTO UNITARIO DOLARES CTP]]*Tabla3[[#This Row],[CANTIDAD SOLICTADA]]</f>
        <v>0.79</v>
      </c>
      <c r="T82" s="41"/>
      <c r="U82" s="18" t="s">
        <v>5</v>
      </c>
      <c r="V82" s="211" t="s">
        <v>249</v>
      </c>
      <c r="W82" s="10"/>
      <c r="X82" s="10" t="s">
        <v>89</v>
      </c>
      <c r="Y82" s="10" t="s">
        <v>90</v>
      </c>
      <c r="Z82" s="16" t="s">
        <v>250</v>
      </c>
      <c r="AA82" s="25">
        <v>46170</v>
      </c>
      <c r="AB82" s="25">
        <v>46118</v>
      </c>
      <c r="AC82" s="16"/>
      <c r="AD82" s="16"/>
      <c r="AE82" s="16" t="s">
        <v>251</v>
      </c>
      <c r="AF82" s="16" t="s">
        <v>251</v>
      </c>
      <c r="AG82" s="21" t="s">
        <v>252</v>
      </c>
      <c r="XFD82" s="15" t="str">
        <f>+Tabla3[[#This Row],[ESTATUS DE NUM ECONOMICO]]</f>
        <v>INACTIVA</v>
      </c>
    </row>
    <row r="83" spans="1:33 16384:16384" ht="15.75" thickBot="1" x14ac:dyDescent="0.3">
      <c r="A83" s="8">
        <v>32</v>
      </c>
      <c r="B83" s="9">
        <v>46169</v>
      </c>
      <c r="C83" s="10" t="s">
        <v>87</v>
      </c>
      <c r="D83" s="11"/>
      <c r="E83" s="16">
        <v>81</v>
      </c>
      <c r="F83" s="9">
        <v>46178</v>
      </c>
      <c r="G83" s="212" t="str">
        <f>IFERROR(VLOOKUP(Tabla3[[#This Row],[NUM ECONOMICO]],MAQUINARIA!B:H,7,0), " MAQ")</f>
        <v>INACTIVA</v>
      </c>
      <c r="H83" s="214" t="s">
        <v>247</v>
      </c>
      <c r="I83" s="41">
        <v>1863161</v>
      </c>
      <c r="J83" s="10" t="s">
        <v>220</v>
      </c>
      <c r="K83" s="10">
        <v>1</v>
      </c>
      <c r="L83" s="13">
        <v>357.18</v>
      </c>
      <c r="M83" s="13">
        <f t="shared" si="1"/>
        <v>357.18</v>
      </c>
      <c r="N83" s="41"/>
      <c r="O83" s="287">
        <v>25.31</v>
      </c>
      <c r="P83" s="287">
        <f>Tabla3[[#This Row],[COSTO UNITARIO DOLARES EN HAWTHORNE]]*Tabla3[[#This Row],[CANTIDAD SOLICTADA]]</f>
        <v>25.31</v>
      </c>
      <c r="Q83" s="41" t="s">
        <v>181</v>
      </c>
      <c r="R83" s="229">
        <v>3.02</v>
      </c>
      <c r="S83" s="229">
        <f>+Tabla3[[#This Row],[COSTO UNITARIO DOLARES CTP]]*Tabla3[[#This Row],[CANTIDAD SOLICTADA]]</f>
        <v>3.02</v>
      </c>
      <c r="T83" s="41"/>
      <c r="U83" s="18" t="s">
        <v>5</v>
      </c>
      <c r="V83" s="211" t="s">
        <v>249</v>
      </c>
      <c r="W83" s="10"/>
      <c r="X83" s="10" t="s">
        <v>89</v>
      </c>
      <c r="Y83" s="10" t="s">
        <v>90</v>
      </c>
      <c r="Z83" s="16" t="s">
        <v>250</v>
      </c>
      <c r="AA83" s="25">
        <v>46170</v>
      </c>
      <c r="AB83" s="25">
        <v>46118</v>
      </c>
      <c r="AC83" s="16"/>
      <c r="AD83" s="16"/>
      <c r="AE83" s="16" t="s">
        <v>251</v>
      </c>
      <c r="AF83" s="16" t="s">
        <v>251</v>
      </c>
      <c r="AG83" s="21" t="s">
        <v>252</v>
      </c>
      <c r="XFD83" s="15" t="str">
        <f>+Tabla3[[#This Row],[ESTATUS DE NUM ECONOMICO]]</f>
        <v>INACTIVA</v>
      </c>
    </row>
    <row r="84" spans="1:33 16384:16384" ht="15.75" thickBot="1" x14ac:dyDescent="0.3">
      <c r="A84" s="8">
        <v>32</v>
      </c>
      <c r="B84" s="9">
        <v>46169</v>
      </c>
      <c r="C84" s="10" t="s">
        <v>87</v>
      </c>
      <c r="D84" s="10" t="s">
        <v>254</v>
      </c>
      <c r="E84" s="16">
        <v>80</v>
      </c>
      <c r="F84" s="9">
        <v>46178</v>
      </c>
      <c r="G84" s="212" t="str">
        <f>IFERROR(VLOOKUP(Tabla3[[#This Row],[NUM ECONOMICO]],MAQUINARIA!B:H,7,0), " MAQ")</f>
        <v>INACTIVA</v>
      </c>
      <c r="H84" s="214" t="s">
        <v>247</v>
      </c>
      <c r="I84" s="41" t="s">
        <v>255</v>
      </c>
      <c r="J84" s="10"/>
      <c r="K84" s="10">
        <v>3</v>
      </c>
      <c r="L84" s="12"/>
      <c r="M84" s="13">
        <f t="shared" si="1"/>
        <v>0</v>
      </c>
      <c r="N84" s="41"/>
      <c r="O84" s="10"/>
      <c r="P84" s="10">
        <f>Tabla3[[#This Row],[COSTO UNITARIO DOLARES EN HAWTHORNE]]*Tabla3[[#This Row],[CANTIDAD SOLICTADA]]</f>
        <v>0</v>
      </c>
      <c r="Q84" s="41"/>
      <c r="R84" s="229"/>
      <c r="S84" s="229">
        <f>+Tabla3[[#This Row],[COSTO UNITARIO DOLARES CTP]]*Tabla3[[#This Row],[CANTIDAD SOLICTADA]]</f>
        <v>0</v>
      </c>
      <c r="T84" s="41"/>
      <c r="U84" s="14" t="s">
        <v>4</v>
      </c>
      <c r="V84" s="8" t="s">
        <v>249</v>
      </c>
      <c r="W84" s="9">
        <v>46174</v>
      </c>
      <c r="X84" s="10" t="s">
        <v>89</v>
      </c>
      <c r="Y84" s="10">
        <v>1</v>
      </c>
      <c r="Z84" s="16" t="s">
        <v>44</v>
      </c>
      <c r="AA84" s="25">
        <v>46171</v>
      </c>
      <c r="AB84" s="25">
        <v>46175</v>
      </c>
      <c r="AC84" s="16" t="s">
        <v>256</v>
      </c>
      <c r="AD84" s="16"/>
      <c r="AE84" s="16" t="s">
        <v>140</v>
      </c>
      <c r="AF84" s="16"/>
      <c r="AG84" s="21" t="s">
        <v>252</v>
      </c>
      <c r="XFD84" s="15" t="str">
        <f>+Tabla3[[#This Row],[ESTATUS DE NUM ECONOMICO]]</f>
        <v>INACTIVA</v>
      </c>
    </row>
    <row r="85" spans="1:33 16384:16384" ht="15.75" thickBot="1" x14ac:dyDescent="0.3">
      <c r="A85" s="8">
        <v>32</v>
      </c>
      <c r="B85" s="9">
        <v>46169</v>
      </c>
      <c r="C85" s="10" t="s">
        <v>87</v>
      </c>
      <c r="D85" s="10" t="s">
        <v>254</v>
      </c>
      <c r="E85" s="16">
        <v>80</v>
      </c>
      <c r="F85" s="9">
        <v>46178</v>
      </c>
      <c r="G85" s="212" t="str">
        <f>IFERROR(VLOOKUP(Tabla3[[#This Row],[NUM ECONOMICO]],MAQUINARIA!B:H,7,0), " MAQ")</f>
        <v>INACTIVA</v>
      </c>
      <c r="H85" s="214" t="s">
        <v>247</v>
      </c>
      <c r="I85" s="41" t="s">
        <v>257</v>
      </c>
      <c r="J85" s="10"/>
      <c r="K85" s="10">
        <v>1</v>
      </c>
      <c r="L85" s="12"/>
      <c r="M85" s="13">
        <f t="shared" si="1"/>
        <v>0</v>
      </c>
      <c r="N85" s="41"/>
      <c r="O85" s="10"/>
      <c r="P85" s="10">
        <f>Tabla3[[#This Row],[COSTO UNITARIO DOLARES EN HAWTHORNE]]*Tabla3[[#This Row],[CANTIDAD SOLICTADA]]</f>
        <v>0</v>
      </c>
      <c r="Q85" s="41"/>
      <c r="R85" s="229"/>
      <c r="S85" s="229">
        <f>+Tabla3[[#This Row],[COSTO UNITARIO DOLARES CTP]]*Tabla3[[#This Row],[CANTIDAD SOLICTADA]]</f>
        <v>0</v>
      </c>
      <c r="T85" s="41"/>
      <c r="U85" s="14" t="s">
        <v>4</v>
      </c>
      <c r="V85" s="8" t="s">
        <v>249</v>
      </c>
      <c r="W85" s="9">
        <v>46174</v>
      </c>
      <c r="X85" s="10" t="s">
        <v>89</v>
      </c>
      <c r="Y85" s="10" t="s">
        <v>90</v>
      </c>
      <c r="Z85" s="16" t="s">
        <v>44</v>
      </c>
      <c r="AA85" s="25">
        <v>46171</v>
      </c>
      <c r="AB85" s="25">
        <v>46175</v>
      </c>
      <c r="AC85" s="16" t="s">
        <v>256</v>
      </c>
      <c r="AD85" s="16"/>
      <c r="AE85" s="16" t="s">
        <v>140</v>
      </c>
      <c r="AF85" s="16"/>
      <c r="AG85" s="21" t="s">
        <v>252</v>
      </c>
      <c r="XFD85" s="15" t="str">
        <f>+Tabla3[[#This Row],[ESTATUS DE NUM ECONOMICO]]</f>
        <v>INACTIVA</v>
      </c>
    </row>
    <row r="86" spans="1:33 16384:16384" ht="15.75" thickBot="1" x14ac:dyDescent="0.3">
      <c r="A86" s="8">
        <v>32</v>
      </c>
      <c r="B86" s="9">
        <v>46169</v>
      </c>
      <c r="C86" s="10" t="s">
        <v>87</v>
      </c>
      <c r="D86" s="10" t="s">
        <v>254</v>
      </c>
      <c r="E86" s="16">
        <v>80</v>
      </c>
      <c r="F86" s="9">
        <v>46178</v>
      </c>
      <c r="G86" s="212" t="str">
        <f>IFERROR(VLOOKUP(Tabla3[[#This Row],[NUM ECONOMICO]],MAQUINARIA!B:H,7,0), " MAQ")</f>
        <v>INACTIVA</v>
      </c>
      <c r="H86" s="214" t="s">
        <v>247</v>
      </c>
      <c r="I86" s="41" t="s">
        <v>258</v>
      </c>
      <c r="J86" s="10"/>
      <c r="K86" s="10">
        <v>1</v>
      </c>
      <c r="L86" s="12"/>
      <c r="M86" s="13">
        <f t="shared" si="1"/>
        <v>0</v>
      </c>
      <c r="N86" s="41"/>
      <c r="O86" s="10"/>
      <c r="P86" s="10">
        <f>Tabla3[[#This Row],[COSTO UNITARIO DOLARES EN HAWTHORNE]]*Tabla3[[#This Row],[CANTIDAD SOLICTADA]]</f>
        <v>0</v>
      </c>
      <c r="Q86" s="41"/>
      <c r="R86" s="229"/>
      <c r="S86" s="229">
        <f>+Tabla3[[#This Row],[COSTO UNITARIO DOLARES CTP]]*Tabla3[[#This Row],[CANTIDAD SOLICTADA]]</f>
        <v>0</v>
      </c>
      <c r="T86" s="41"/>
      <c r="U86" s="14" t="s">
        <v>4</v>
      </c>
      <c r="V86" s="8" t="s">
        <v>249</v>
      </c>
      <c r="W86" s="9">
        <v>46174</v>
      </c>
      <c r="X86" s="10" t="s">
        <v>89</v>
      </c>
      <c r="Y86" s="10" t="s">
        <v>90</v>
      </c>
      <c r="Z86" s="16" t="s">
        <v>44</v>
      </c>
      <c r="AA86" s="25">
        <v>46171</v>
      </c>
      <c r="AB86" s="25">
        <v>46175</v>
      </c>
      <c r="AC86" s="16" t="s">
        <v>256</v>
      </c>
      <c r="AD86" s="16"/>
      <c r="AE86" s="16" t="s">
        <v>140</v>
      </c>
      <c r="AF86" s="16"/>
      <c r="AG86" s="21" t="s">
        <v>252</v>
      </c>
      <c r="XFD86" s="15" t="str">
        <f>+Tabla3[[#This Row],[ESTATUS DE NUM ECONOMICO]]</f>
        <v>INACTIVA</v>
      </c>
    </row>
    <row r="87" spans="1:33 16384:16384" ht="15.75" thickBot="1" x14ac:dyDescent="0.3">
      <c r="A87" s="8">
        <v>32</v>
      </c>
      <c r="B87" s="9">
        <v>46169</v>
      </c>
      <c r="C87" s="10" t="s">
        <v>87</v>
      </c>
      <c r="D87" s="11"/>
      <c r="E87" s="16">
        <v>80</v>
      </c>
      <c r="F87" s="9">
        <v>46178</v>
      </c>
      <c r="G87" s="212" t="str">
        <f>IFERROR(VLOOKUP(Tabla3[[#This Row],[NUM ECONOMICO]],MAQUINARIA!B:H,7,0), " MAQ")</f>
        <v>INACTIVA</v>
      </c>
      <c r="H87" s="214" t="s">
        <v>247</v>
      </c>
      <c r="I87" s="41" t="s">
        <v>259</v>
      </c>
      <c r="J87" s="10"/>
      <c r="K87" s="10">
        <v>3</v>
      </c>
      <c r="L87" s="12"/>
      <c r="M87" s="13">
        <f t="shared" si="1"/>
        <v>0</v>
      </c>
      <c r="N87" s="41"/>
      <c r="O87" s="10"/>
      <c r="P87" s="10">
        <f>Tabla3[[#This Row],[COSTO UNITARIO DOLARES EN HAWTHORNE]]*Tabla3[[#This Row],[CANTIDAD SOLICTADA]]</f>
        <v>0</v>
      </c>
      <c r="Q87" s="41"/>
      <c r="R87" s="229"/>
      <c r="S87" s="229">
        <f>+Tabla3[[#This Row],[COSTO UNITARIO DOLARES CTP]]*Tabla3[[#This Row],[CANTIDAD SOLICTADA]]</f>
        <v>0</v>
      </c>
      <c r="T87" s="41"/>
      <c r="U87" s="14" t="s">
        <v>4</v>
      </c>
      <c r="V87" s="17"/>
      <c r="W87" s="10"/>
      <c r="X87" s="10" t="s">
        <v>96</v>
      </c>
      <c r="Y87" s="10">
        <v>1</v>
      </c>
      <c r="Z87" s="16"/>
      <c r="AA87" s="16"/>
      <c r="AB87" s="16"/>
      <c r="AC87" s="16"/>
      <c r="AD87" s="16"/>
      <c r="AE87" s="16" t="s">
        <v>251</v>
      </c>
      <c r="AF87" s="16"/>
      <c r="AG87" s="21" t="s">
        <v>252</v>
      </c>
      <c r="XFD87" s="15" t="str">
        <f>+Tabla3[[#This Row],[ESTATUS DE NUM ECONOMICO]]</f>
        <v>INACTIVA</v>
      </c>
    </row>
    <row r="88" spans="1:33 16384:16384" ht="15.75" thickBot="1" x14ac:dyDescent="0.3">
      <c r="A88" s="8">
        <v>32</v>
      </c>
      <c r="B88" s="9">
        <v>46169</v>
      </c>
      <c r="C88" s="10" t="s">
        <v>87</v>
      </c>
      <c r="D88" s="10" t="s">
        <v>254</v>
      </c>
      <c r="E88" s="16">
        <v>80</v>
      </c>
      <c r="F88" s="9">
        <v>46178</v>
      </c>
      <c r="G88" s="212" t="str">
        <f>IFERROR(VLOOKUP(Tabla3[[#This Row],[NUM ECONOMICO]],MAQUINARIA!B:H,7,0), " MAQ")</f>
        <v>INACTIVA</v>
      </c>
      <c r="H88" s="214" t="s">
        <v>247</v>
      </c>
      <c r="I88" s="41">
        <v>2147568</v>
      </c>
      <c r="J88" s="10"/>
      <c r="K88" s="10">
        <v>5</v>
      </c>
      <c r="L88" s="12"/>
      <c r="M88" s="13">
        <f t="shared" si="1"/>
        <v>0</v>
      </c>
      <c r="N88" s="41"/>
      <c r="O88" s="10"/>
      <c r="P88" s="10">
        <f>Tabla3[[#This Row],[COSTO UNITARIO DOLARES EN HAWTHORNE]]*Tabla3[[#This Row],[CANTIDAD SOLICTADA]]</f>
        <v>0</v>
      </c>
      <c r="Q88" s="41"/>
      <c r="R88" s="229"/>
      <c r="S88" s="229">
        <f>+Tabla3[[#This Row],[COSTO UNITARIO DOLARES CTP]]*Tabla3[[#This Row],[CANTIDAD SOLICTADA]]</f>
        <v>0</v>
      </c>
      <c r="T88" s="41"/>
      <c r="U88" s="14" t="s">
        <v>4</v>
      </c>
      <c r="V88" s="8" t="s">
        <v>249</v>
      </c>
      <c r="W88" s="9">
        <v>46174</v>
      </c>
      <c r="X88" s="10" t="s">
        <v>89</v>
      </c>
      <c r="Y88" s="10">
        <v>3</v>
      </c>
      <c r="Z88" s="16" t="s">
        <v>44</v>
      </c>
      <c r="AA88" s="25">
        <v>46171</v>
      </c>
      <c r="AB88" s="25">
        <v>46175</v>
      </c>
      <c r="AC88" s="16" t="s">
        <v>256</v>
      </c>
      <c r="AD88" s="16"/>
      <c r="AE88" s="16" t="s">
        <v>140</v>
      </c>
      <c r="AF88" s="16"/>
      <c r="AG88" s="21" t="s">
        <v>252</v>
      </c>
      <c r="XFD88" s="15" t="str">
        <f>+Tabla3[[#This Row],[ESTATUS DE NUM ECONOMICO]]</f>
        <v>INACTIVA</v>
      </c>
    </row>
    <row r="89" spans="1:33 16384:16384" ht="15.75" thickBot="1" x14ac:dyDescent="0.3">
      <c r="A89" s="8">
        <v>32</v>
      </c>
      <c r="B89" s="9">
        <v>46169</v>
      </c>
      <c r="C89" s="10" t="s">
        <v>87</v>
      </c>
      <c r="D89" s="11"/>
      <c r="E89" s="16">
        <v>80</v>
      </c>
      <c r="F89" s="9">
        <v>46178</v>
      </c>
      <c r="G89" s="212" t="str">
        <f>IFERROR(VLOOKUP(Tabla3[[#This Row],[NUM ECONOMICO]],MAQUINARIA!B:H,7,0), " MAQ")</f>
        <v>INACTIVA</v>
      </c>
      <c r="H89" s="214" t="s">
        <v>247</v>
      </c>
      <c r="I89" s="41" t="s">
        <v>260</v>
      </c>
      <c r="J89" s="10"/>
      <c r="K89" s="10">
        <v>3</v>
      </c>
      <c r="L89" s="12"/>
      <c r="M89" s="13">
        <f t="shared" si="1"/>
        <v>0</v>
      </c>
      <c r="N89" s="41"/>
      <c r="O89" s="10"/>
      <c r="P89" s="10">
        <f>Tabla3[[#This Row],[COSTO UNITARIO DOLARES EN HAWTHORNE]]*Tabla3[[#This Row],[CANTIDAD SOLICTADA]]</f>
        <v>0</v>
      </c>
      <c r="Q89" s="41"/>
      <c r="R89" s="229"/>
      <c r="S89" s="229">
        <f>+Tabla3[[#This Row],[COSTO UNITARIO DOLARES CTP]]*Tabla3[[#This Row],[CANTIDAD SOLICTADA]]</f>
        <v>0</v>
      </c>
      <c r="T89" s="41"/>
      <c r="U89" s="14" t="s">
        <v>4</v>
      </c>
      <c r="V89" s="17"/>
      <c r="W89" s="10"/>
      <c r="X89" s="10" t="s">
        <v>96</v>
      </c>
      <c r="Y89" s="10">
        <v>3</v>
      </c>
      <c r="Z89" s="16"/>
      <c r="AA89" s="16"/>
      <c r="AB89" s="16"/>
      <c r="AC89" s="16"/>
      <c r="AD89" s="16"/>
      <c r="AE89" s="16" t="s">
        <v>251</v>
      </c>
      <c r="AF89" s="16"/>
      <c r="AG89" s="21" t="s">
        <v>252</v>
      </c>
      <c r="XFD89" s="15" t="str">
        <f>+Tabla3[[#This Row],[ESTATUS DE NUM ECONOMICO]]</f>
        <v>INACTIVA</v>
      </c>
    </row>
    <row r="90" spans="1:33 16384:16384" ht="15.75" thickBot="1" x14ac:dyDescent="0.3">
      <c r="A90" s="8">
        <v>32</v>
      </c>
      <c r="B90" s="9">
        <v>46169</v>
      </c>
      <c r="C90" s="10" t="s">
        <v>87</v>
      </c>
      <c r="D90" s="11"/>
      <c r="E90" s="16">
        <v>81</v>
      </c>
      <c r="F90" s="9">
        <v>46178</v>
      </c>
      <c r="G90" s="212" t="str">
        <f>IFERROR(VLOOKUP(Tabla3[[#This Row],[NUM ECONOMICO]],MAQUINARIA!B:H,7,0), " MAQ")</f>
        <v>INACTIVA</v>
      </c>
      <c r="H90" s="214" t="s">
        <v>247</v>
      </c>
      <c r="I90" s="41" t="s">
        <v>261</v>
      </c>
      <c r="J90" s="10" t="s">
        <v>262</v>
      </c>
      <c r="K90" s="10">
        <v>1</v>
      </c>
      <c r="L90" s="13">
        <v>184.8</v>
      </c>
      <c r="M90" s="13">
        <f t="shared" si="1"/>
        <v>184.8</v>
      </c>
      <c r="N90" s="41"/>
      <c r="O90" s="287">
        <v>13.13</v>
      </c>
      <c r="P90" s="287">
        <f>Tabla3[[#This Row],[COSTO UNITARIO DOLARES EN HAWTHORNE]]*Tabla3[[#This Row],[CANTIDAD SOLICTADA]]</f>
        <v>13.13</v>
      </c>
      <c r="Q90" s="41" t="s">
        <v>181</v>
      </c>
      <c r="R90" s="229">
        <v>0.59</v>
      </c>
      <c r="S90" s="229">
        <f>+Tabla3[[#This Row],[COSTO UNITARIO DOLARES CTP]]*Tabla3[[#This Row],[CANTIDAD SOLICTADA]]</f>
        <v>0.59</v>
      </c>
      <c r="T90" s="41"/>
      <c r="U90" s="18" t="s">
        <v>5</v>
      </c>
      <c r="V90" s="211" t="s">
        <v>249</v>
      </c>
      <c r="W90" s="10"/>
      <c r="X90" s="10" t="s">
        <v>89</v>
      </c>
      <c r="Y90" s="10" t="s">
        <v>90</v>
      </c>
      <c r="Z90" s="16" t="s">
        <v>250</v>
      </c>
      <c r="AA90" s="25">
        <v>46170</v>
      </c>
      <c r="AB90" s="25">
        <v>46118</v>
      </c>
      <c r="AC90" s="16"/>
      <c r="AD90" s="16"/>
      <c r="AE90" s="16" t="s">
        <v>251</v>
      </c>
      <c r="AF90" s="16" t="s">
        <v>251</v>
      </c>
      <c r="AG90" s="21" t="s">
        <v>252</v>
      </c>
      <c r="XFD90" s="15" t="str">
        <f>+Tabla3[[#This Row],[ESTATUS DE NUM ECONOMICO]]</f>
        <v>INACTIVA</v>
      </c>
    </row>
    <row r="91" spans="1:33 16384:16384" ht="15.75" thickBot="1" x14ac:dyDescent="0.3">
      <c r="A91" s="8">
        <v>32</v>
      </c>
      <c r="B91" s="9">
        <v>46169</v>
      </c>
      <c r="C91" s="10" t="s">
        <v>87</v>
      </c>
      <c r="D91" s="10" t="s">
        <v>254</v>
      </c>
      <c r="E91" s="16">
        <v>80</v>
      </c>
      <c r="F91" s="9">
        <v>46178</v>
      </c>
      <c r="G91" s="212" t="str">
        <f>IFERROR(VLOOKUP(Tabla3[[#This Row],[NUM ECONOMICO]],MAQUINARIA!B:H,7,0), " MAQ")</f>
        <v>INACTIVA</v>
      </c>
      <c r="H91" s="214" t="s">
        <v>247</v>
      </c>
      <c r="I91" s="41" t="s">
        <v>263</v>
      </c>
      <c r="J91" s="10"/>
      <c r="K91" s="10">
        <v>4</v>
      </c>
      <c r="L91" s="12"/>
      <c r="M91" s="13">
        <f t="shared" si="1"/>
        <v>0</v>
      </c>
      <c r="N91" s="41"/>
      <c r="O91" s="10"/>
      <c r="P91" s="10">
        <f>Tabla3[[#This Row],[COSTO UNITARIO DOLARES EN HAWTHORNE]]*Tabla3[[#This Row],[CANTIDAD SOLICTADA]]</f>
        <v>0</v>
      </c>
      <c r="Q91" s="41"/>
      <c r="R91" s="229"/>
      <c r="S91" s="229">
        <f>+Tabla3[[#This Row],[COSTO UNITARIO DOLARES CTP]]*Tabla3[[#This Row],[CANTIDAD SOLICTADA]]</f>
        <v>0</v>
      </c>
      <c r="T91" s="41"/>
      <c r="U91" s="14" t="s">
        <v>4</v>
      </c>
      <c r="V91" s="8" t="s">
        <v>249</v>
      </c>
      <c r="W91" s="9">
        <v>46174</v>
      </c>
      <c r="X91" s="10" t="s">
        <v>89</v>
      </c>
      <c r="Y91" s="10" t="s">
        <v>90</v>
      </c>
      <c r="Z91" s="16" t="s">
        <v>44</v>
      </c>
      <c r="AA91" s="25">
        <v>46171</v>
      </c>
      <c r="AB91" s="25">
        <v>46175</v>
      </c>
      <c r="AC91" s="16" t="s">
        <v>256</v>
      </c>
      <c r="AD91" s="16"/>
      <c r="AE91" s="16" t="s">
        <v>140</v>
      </c>
      <c r="AF91" s="16"/>
      <c r="AG91" s="21" t="s">
        <v>252</v>
      </c>
      <c r="XFD91" s="15" t="str">
        <f>+Tabla3[[#This Row],[ESTATUS DE NUM ECONOMICO]]</f>
        <v>INACTIVA</v>
      </c>
    </row>
    <row r="92" spans="1:33 16384:16384" ht="15.75" thickBot="1" x14ac:dyDescent="0.3">
      <c r="A92" s="8">
        <v>32</v>
      </c>
      <c r="B92" s="9">
        <v>46169</v>
      </c>
      <c r="C92" s="10" t="s">
        <v>87</v>
      </c>
      <c r="D92" s="11"/>
      <c r="E92" s="16">
        <v>81</v>
      </c>
      <c r="F92" s="9">
        <v>46178</v>
      </c>
      <c r="G92" s="212" t="str">
        <f>IFERROR(VLOOKUP(Tabla3[[#This Row],[NUM ECONOMICO]],MAQUINARIA!B:H,7,0), " MAQ")</f>
        <v>INACTIVA</v>
      </c>
      <c r="H92" s="214" t="s">
        <v>247</v>
      </c>
      <c r="I92" s="41">
        <v>1046730</v>
      </c>
      <c r="J92" s="10" t="s">
        <v>220</v>
      </c>
      <c r="K92" s="10">
        <v>1</v>
      </c>
      <c r="L92" s="13">
        <v>55.65</v>
      </c>
      <c r="M92" s="13">
        <f t="shared" si="1"/>
        <v>55.65</v>
      </c>
      <c r="N92" s="41"/>
      <c r="O92" s="287">
        <v>3.94</v>
      </c>
      <c r="P92" s="287">
        <f>Tabla3[[#This Row],[COSTO UNITARIO DOLARES EN HAWTHORNE]]*Tabla3[[#This Row],[CANTIDAD SOLICTADA]]</f>
        <v>3.94</v>
      </c>
      <c r="Q92" s="41" t="s">
        <v>181</v>
      </c>
      <c r="R92" s="229">
        <v>0.54</v>
      </c>
      <c r="S92" s="229">
        <f>+Tabla3[[#This Row],[COSTO UNITARIO DOLARES CTP]]*Tabla3[[#This Row],[CANTIDAD SOLICTADA]]</f>
        <v>0.54</v>
      </c>
      <c r="T92" s="41"/>
      <c r="U92" s="18" t="s">
        <v>5</v>
      </c>
      <c r="V92" s="211" t="s">
        <v>249</v>
      </c>
      <c r="W92" s="10"/>
      <c r="X92" s="10" t="s">
        <v>89</v>
      </c>
      <c r="Y92" s="10" t="s">
        <v>90</v>
      </c>
      <c r="Z92" s="16" t="s">
        <v>250</v>
      </c>
      <c r="AA92" s="25">
        <v>46170</v>
      </c>
      <c r="AB92" s="25">
        <v>46118</v>
      </c>
      <c r="AC92" s="16"/>
      <c r="AD92" s="16"/>
      <c r="AE92" s="16" t="s">
        <v>251</v>
      </c>
      <c r="AF92" s="16" t="s">
        <v>251</v>
      </c>
      <c r="AG92" s="21" t="s">
        <v>252</v>
      </c>
      <c r="XFD92" s="15" t="str">
        <f>+Tabla3[[#This Row],[ESTATUS DE NUM ECONOMICO]]</f>
        <v>INACTIVA</v>
      </c>
    </row>
    <row r="93" spans="1:33 16384:16384" ht="15.75" thickBot="1" x14ac:dyDescent="0.3">
      <c r="A93" s="8">
        <v>32</v>
      </c>
      <c r="B93" s="9">
        <v>46169</v>
      </c>
      <c r="C93" s="10" t="s">
        <v>87</v>
      </c>
      <c r="D93" s="11"/>
      <c r="E93" s="16">
        <v>81</v>
      </c>
      <c r="F93" s="9">
        <v>46178</v>
      </c>
      <c r="G93" s="212" t="str">
        <f>IFERROR(VLOOKUP(Tabla3[[#This Row],[NUM ECONOMICO]],MAQUINARIA!B:H,7,0), " MAQ")</f>
        <v>INACTIVA</v>
      </c>
      <c r="H93" s="214" t="s">
        <v>247</v>
      </c>
      <c r="I93" s="41" t="s">
        <v>264</v>
      </c>
      <c r="J93" s="10" t="s">
        <v>220</v>
      </c>
      <c r="K93" s="10">
        <v>1</v>
      </c>
      <c r="L93" s="13">
        <v>40.43</v>
      </c>
      <c r="M93" s="13">
        <f t="shared" si="1"/>
        <v>40.43</v>
      </c>
      <c r="N93" s="41"/>
      <c r="O93" s="287">
        <v>2.85</v>
      </c>
      <c r="P93" s="287">
        <f>Tabla3[[#This Row],[COSTO UNITARIO DOLARES EN HAWTHORNE]]*Tabla3[[#This Row],[CANTIDAD SOLICTADA]]</f>
        <v>2.85</v>
      </c>
      <c r="Q93" s="41" t="s">
        <v>181</v>
      </c>
      <c r="R93" s="229">
        <v>0.19</v>
      </c>
      <c r="S93" s="229">
        <f>+Tabla3[[#This Row],[COSTO UNITARIO DOLARES CTP]]*Tabla3[[#This Row],[CANTIDAD SOLICTADA]]</f>
        <v>0.19</v>
      </c>
      <c r="T93" s="41"/>
      <c r="U93" s="18" t="s">
        <v>5</v>
      </c>
      <c r="V93" s="211" t="s">
        <v>249</v>
      </c>
      <c r="W93" s="10"/>
      <c r="X93" s="10" t="s">
        <v>89</v>
      </c>
      <c r="Y93" s="10">
        <v>0</v>
      </c>
      <c r="Z93" s="16" t="s">
        <v>250</v>
      </c>
      <c r="AA93" s="25">
        <v>46170</v>
      </c>
      <c r="AB93" s="25">
        <v>46118</v>
      </c>
      <c r="AC93" s="16"/>
      <c r="AD93" s="16"/>
      <c r="AE93" s="16" t="s">
        <v>251</v>
      </c>
      <c r="AF93" s="16" t="s">
        <v>251</v>
      </c>
      <c r="AG93" s="21" t="s">
        <v>252</v>
      </c>
      <c r="XFD93" s="15" t="str">
        <f>+Tabla3[[#This Row],[ESTATUS DE NUM ECONOMICO]]</f>
        <v>INACTIVA</v>
      </c>
    </row>
    <row r="94" spans="1:33 16384:16384" ht="15.75" thickBot="1" x14ac:dyDescent="0.3">
      <c r="A94" s="8">
        <v>32</v>
      </c>
      <c r="B94" s="9">
        <v>46169</v>
      </c>
      <c r="C94" s="10" t="s">
        <v>87</v>
      </c>
      <c r="D94" s="11"/>
      <c r="E94" s="16">
        <v>80</v>
      </c>
      <c r="F94" s="9">
        <v>46178</v>
      </c>
      <c r="G94" s="212" t="str">
        <f>IFERROR(VLOOKUP(Tabla3[[#This Row],[NUM ECONOMICO]],MAQUINARIA!B:H,7,0), " MAQ")</f>
        <v>INACTIVA</v>
      </c>
      <c r="H94" s="214" t="s">
        <v>247</v>
      </c>
      <c r="I94" s="41" t="s">
        <v>265</v>
      </c>
      <c r="J94" s="10"/>
      <c r="K94" s="10">
        <v>6</v>
      </c>
      <c r="L94" s="12"/>
      <c r="M94" s="13">
        <f t="shared" si="1"/>
        <v>0</v>
      </c>
      <c r="N94" s="41"/>
      <c r="O94" s="10"/>
      <c r="P94" s="10">
        <f>Tabla3[[#This Row],[COSTO UNITARIO DOLARES EN HAWTHORNE]]*Tabla3[[#This Row],[CANTIDAD SOLICTADA]]</f>
        <v>0</v>
      </c>
      <c r="Q94" s="41"/>
      <c r="R94" s="229"/>
      <c r="S94" s="229">
        <f>+Tabla3[[#This Row],[COSTO UNITARIO DOLARES CTP]]*Tabla3[[#This Row],[CANTIDAD SOLICTADA]]</f>
        <v>0</v>
      </c>
      <c r="T94" s="41"/>
      <c r="U94" s="14" t="s">
        <v>4</v>
      </c>
      <c r="V94" s="17"/>
      <c r="W94" s="10"/>
      <c r="X94" s="10" t="s">
        <v>89</v>
      </c>
      <c r="Y94" s="10">
        <v>13</v>
      </c>
      <c r="Z94" s="16"/>
      <c r="AA94" s="16"/>
      <c r="AB94" s="16"/>
      <c r="AC94" s="16"/>
      <c r="AD94" s="16"/>
      <c r="AE94" s="16" t="s">
        <v>251</v>
      </c>
      <c r="AF94" s="16"/>
      <c r="AG94" s="21" t="s">
        <v>252</v>
      </c>
      <c r="XFD94" s="15" t="str">
        <f>+Tabla3[[#This Row],[ESTATUS DE NUM ECONOMICO]]</f>
        <v>INACTIVA</v>
      </c>
    </row>
    <row r="95" spans="1:33 16384:16384" ht="15.75" thickBot="1" x14ac:dyDescent="0.3">
      <c r="A95" s="8">
        <v>32</v>
      </c>
      <c r="B95" s="9">
        <v>46169</v>
      </c>
      <c r="C95" s="10" t="s">
        <v>87</v>
      </c>
      <c r="D95" s="11"/>
      <c r="E95" s="16">
        <v>81</v>
      </c>
      <c r="F95" s="9">
        <v>46178</v>
      </c>
      <c r="G95" s="212" t="str">
        <f>IFERROR(VLOOKUP(Tabla3[[#This Row],[NUM ECONOMICO]],MAQUINARIA!B:H,7,0), " MAQ")</f>
        <v>INACTIVA</v>
      </c>
      <c r="H95" s="214" t="s">
        <v>247</v>
      </c>
      <c r="I95" s="41">
        <v>2443114</v>
      </c>
      <c r="J95" s="10" t="s">
        <v>253</v>
      </c>
      <c r="K95" s="10">
        <v>1</v>
      </c>
      <c r="L95" s="13">
        <v>6175.58</v>
      </c>
      <c r="M95" s="13">
        <f t="shared" si="1"/>
        <v>6175.58</v>
      </c>
      <c r="N95" s="41"/>
      <c r="O95" s="287">
        <v>353.01</v>
      </c>
      <c r="P95" s="287">
        <f>Tabla3[[#This Row],[COSTO UNITARIO DOLARES EN HAWTHORNE]]*Tabla3[[#This Row],[CANTIDAD SOLICTADA]]</f>
        <v>353.01</v>
      </c>
      <c r="Q95" s="41" t="s">
        <v>181</v>
      </c>
      <c r="R95" s="229">
        <v>123.26</v>
      </c>
      <c r="S95" s="229">
        <f>+Tabla3[[#This Row],[COSTO UNITARIO DOLARES CTP]]*Tabla3[[#This Row],[CANTIDAD SOLICTADA]]</f>
        <v>123.26</v>
      </c>
      <c r="T95" s="41"/>
      <c r="U95" s="18" t="s">
        <v>5</v>
      </c>
      <c r="V95" s="211" t="s">
        <v>249</v>
      </c>
      <c r="W95" s="10"/>
      <c r="X95" s="10" t="s">
        <v>89</v>
      </c>
      <c r="Y95" s="10" t="s">
        <v>90</v>
      </c>
      <c r="Z95" s="16" t="s">
        <v>250</v>
      </c>
      <c r="AA95" s="25">
        <v>46170</v>
      </c>
      <c r="AB95" s="25">
        <v>46118</v>
      </c>
      <c r="AC95" s="16"/>
      <c r="AD95" s="16"/>
      <c r="AE95" s="16" t="s">
        <v>251</v>
      </c>
      <c r="AF95" s="16" t="s">
        <v>251</v>
      </c>
      <c r="AG95" s="21" t="s">
        <v>252</v>
      </c>
      <c r="XFD95" s="15" t="str">
        <f>+Tabla3[[#This Row],[ESTATUS DE NUM ECONOMICO]]</f>
        <v>INACTIVA</v>
      </c>
    </row>
    <row r="96" spans="1:33 16384:16384" ht="15.75" thickBot="1" x14ac:dyDescent="0.3">
      <c r="A96" s="8">
        <v>32</v>
      </c>
      <c r="B96" s="9">
        <v>46169</v>
      </c>
      <c r="C96" s="10" t="s">
        <v>87</v>
      </c>
      <c r="D96" s="10" t="s">
        <v>254</v>
      </c>
      <c r="E96" s="16">
        <v>80</v>
      </c>
      <c r="F96" s="9">
        <v>46178</v>
      </c>
      <c r="G96" s="212" t="str">
        <f>IFERROR(VLOOKUP(Tabla3[[#This Row],[NUM ECONOMICO]],MAQUINARIA!B:H,7,0), " MAQ")</f>
        <v>INACTIVA</v>
      </c>
      <c r="H96" s="214" t="s">
        <v>247</v>
      </c>
      <c r="I96" s="41" t="s">
        <v>266</v>
      </c>
      <c r="J96" s="10"/>
      <c r="K96" s="10">
        <v>1</v>
      </c>
      <c r="L96" s="12"/>
      <c r="M96" s="13">
        <f t="shared" si="1"/>
        <v>0</v>
      </c>
      <c r="N96" s="41"/>
      <c r="O96" s="10"/>
      <c r="P96" s="10">
        <f>Tabla3[[#This Row],[COSTO UNITARIO DOLARES EN HAWTHORNE]]*Tabla3[[#This Row],[CANTIDAD SOLICTADA]]</f>
        <v>0</v>
      </c>
      <c r="Q96" s="41"/>
      <c r="R96" s="229"/>
      <c r="S96" s="229">
        <f>+Tabla3[[#This Row],[COSTO UNITARIO DOLARES CTP]]*Tabla3[[#This Row],[CANTIDAD SOLICTADA]]</f>
        <v>0</v>
      </c>
      <c r="T96" s="41"/>
      <c r="U96" s="14" t="s">
        <v>4</v>
      </c>
      <c r="V96" s="8" t="s">
        <v>249</v>
      </c>
      <c r="W96" s="9">
        <v>46174</v>
      </c>
      <c r="X96" s="10" t="s">
        <v>89</v>
      </c>
      <c r="Y96" s="10">
        <v>2</v>
      </c>
      <c r="Z96" s="16" t="s">
        <v>44</v>
      </c>
      <c r="AA96" s="25">
        <v>46171</v>
      </c>
      <c r="AB96" s="25">
        <v>46175</v>
      </c>
      <c r="AC96" s="16" t="s">
        <v>256</v>
      </c>
      <c r="AD96" s="16"/>
      <c r="AE96" s="16" t="s">
        <v>140</v>
      </c>
      <c r="AF96" s="16"/>
      <c r="AG96" s="21" t="s">
        <v>252</v>
      </c>
      <c r="XFD96" s="15" t="str">
        <f>+Tabla3[[#This Row],[ESTATUS DE NUM ECONOMICO]]</f>
        <v>INACTIVA</v>
      </c>
    </row>
    <row r="97" spans="1:33 16384:16384" ht="15.75" thickBot="1" x14ac:dyDescent="0.3">
      <c r="A97" s="8">
        <v>32</v>
      </c>
      <c r="B97" s="9">
        <v>46169</v>
      </c>
      <c r="C97" s="10" t="s">
        <v>87</v>
      </c>
      <c r="D97" s="10" t="s">
        <v>254</v>
      </c>
      <c r="E97" s="16">
        <v>80</v>
      </c>
      <c r="F97" s="9">
        <v>46178</v>
      </c>
      <c r="G97" s="212" t="str">
        <f>IFERROR(VLOOKUP(Tabla3[[#This Row],[NUM ECONOMICO]],MAQUINARIA!B:H,7,0), " MAQ")</f>
        <v>INACTIVA</v>
      </c>
      <c r="H97" s="214" t="s">
        <v>247</v>
      </c>
      <c r="I97" s="41" t="s">
        <v>267</v>
      </c>
      <c r="J97" s="10"/>
      <c r="K97" s="10">
        <v>1</v>
      </c>
      <c r="L97" s="12"/>
      <c r="M97" s="13">
        <f t="shared" si="1"/>
        <v>0</v>
      </c>
      <c r="N97" s="41"/>
      <c r="O97" s="10"/>
      <c r="P97" s="10">
        <f>Tabla3[[#This Row],[COSTO UNITARIO DOLARES EN HAWTHORNE]]*Tabla3[[#This Row],[CANTIDAD SOLICTADA]]</f>
        <v>0</v>
      </c>
      <c r="Q97" s="41"/>
      <c r="R97" s="229"/>
      <c r="S97" s="229">
        <f>+Tabla3[[#This Row],[COSTO UNITARIO DOLARES CTP]]*Tabla3[[#This Row],[CANTIDAD SOLICTADA]]</f>
        <v>0</v>
      </c>
      <c r="T97" s="41"/>
      <c r="U97" s="14" t="s">
        <v>4</v>
      </c>
      <c r="V97" s="8" t="s">
        <v>249</v>
      </c>
      <c r="W97" s="9">
        <v>46174</v>
      </c>
      <c r="X97" s="10" t="s">
        <v>89</v>
      </c>
      <c r="Y97" s="10">
        <v>1</v>
      </c>
      <c r="Z97" s="16" t="s">
        <v>44</v>
      </c>
      <c r="AA97" s="25">
        <v>46171</v>
      </c>
      <c r="AB97" s="25">
        <v>46175</v>
      </c>
      <c r="AC97" s="16" t="s">
        <v>256</v>
      </c>
      <c r="AD97" s="16"/>
      <c r="AE97" s="16" t="s">
        <v>140</v>
      </c>
      <c r="AF97" s="16"/>
      <c r="AG97" s="21" t="s">
        <v>252</v>
      </c>
      <c r="XFD97" s="15" t="str">
        <f>+Tabla3[[#This Row],[ESTATUS DE NUM ECONOMICO]]</f>
        <v>INACTIVA</v>
      </c>
    </row>
    <row r="98" spans="1:33 16384:16384" ht="15.75" thickBot="1" x14ac:dyDescent="0.3">
      <c r="A98" s="8">
        <v>32</v>
      </c>
      <c r="B98" s="9">
        <v>46169</v>
      </c>
      <c r="C98" s="10" t="s">
        <v>87</v>
      </c>
      <c r="D98" s="11"/>
      <c r="E98" s="16">
        <v>81</v>
      </c>
      <c r="F98" s="9">
        <v>46178</v>
      </c>
      <c r="G98" s="212" t="str">
        <f>IFERROR(VLOOKUP(Tabla3[[#This Row],[NUM ECONOMICO]],MAQUINARIA!B:H,7,0), " MAQ")</f>
        <v>INACTIVA</v>
      </c>
      <c r="H98" s="214" t="s">
        <v>247</v>
      </c>
      <c r="I98" s="41">
        <v>1067798</v>
      </c>
      <c r="J98" s="10" t="s">
        <v>268</v>
      </c>
      <c r="K98" s="10">
        <v>2</v>
      </c>
      <c r="L98" s="13">
        <v>1256.1500000000001</v>
      </c>
      <c r="M98" s="13">
        <f t="shared" si="1"/>
        <v>2512.3000000000002</v>
      </c>
      <c r="N98" s="41"/>
      <c r="O98" s="287">
        <v>78.38</v>
      </c>
      <c r="P98" s="287">
        <f>Tabla3[[#This Row],[COSTO UNITARIO DOLARES EN HAWTHORNE]]*Tabla3[[#This Row],[CANTIDAD SOLICTADA]]</f>
        <v>156.76</v>
      </c>
      <c r="Q98" s="41" t="s">
        <v>181</v>
      </c>
      <c r="R98" s="229">
        <v>34.64</v>
      </c>
      <c r="S98" s="229">
        <f>+Tabla3[[#This Row],[COSTO UNITARIO DOLARES CTP]]*Tabla3[[#This Row],[CANTIDAD SOLICTADA]]</f>
        <v>69.28</v>
      </c>
      <c r="T98" s="41"/>
      <c r="U98" s="18" t="s">
        <v>5</v>
      </c>
      <c r="V98" s="211" t="s">
        <v>249</v>
      </c>
      <c r="W98" s="10"/>
      <c r="X98" s="10" t="s">
        <v>89</v>
      </c>
      <c r="Y98" s="10">
        <v>2</v>
      </c>
      <c r="Z98" s="16" t="s">
        <v>250</v>
      </c>
      <c r="AA98" s="25">
        <v>46170</v>
      </c>
      <c r="AB98" s="25">
        <v>46118</v>
      </c>
      <c r="AC98" s="16"/>
      <c r="AD98" s="16"/>
      <c r="AE98" s="16" t="s">
        <v>251</v>
      </c>
      <c r="AF98" s="16" t="s">
        <v>251</v>
      </c>
      <c r="AG98" s="21" t="s">
        <v>252</v>
      </c>
      <c r="XFD98" s="15" t="str">
        <f>+Tabla3[[#This Row],[ESTATUS DE NUM ECONOMICO]]</f>
        <v>INACTIVA</v>
      </c>
    </row>
    <row r="99" spans="1:33 16384:16384" ht="15.75" thickBot="1" x14ac:dyDescent="0.3">
      <c r="A99" s="8">
        <v>32</v>
      </c>
      <c r="B99" s="9">
        <v>46169</v>
      </c>
      <c r="C99" s="10" t="s">
        <v>87</v>
      </c>
      <c r="D99" s="10" t="s">
        <v>254</v>
      </c>
      <c r="E99" s="16">
        <v>80</v>
      </c>
      <c r="F99" s="9">
        <v>46178</v>
      </c>
      <c r="G99" s="212" t="str">
        <f>IFERROR(VLOOKUP(Tabla3[[#This Row],[NUM ECONOMICO]],MAQUINARIA!B:H,7,0), " MAQ")</f>
        <v>INACTIVA</v>
      </c>
      <c r="H99" s="214" t="s">
        <v>247</v>
      </c>
      <c r="I99" s="41" t="s">
        <v>269</v>
      </c>
      <c r="J99" s="10"/>
      <c r="K99" s="10">
        <v>1</v>
      </c>
      <c r="L99" s="12"/>
      <c r="M99" s="13">
        <f t="shared" si="1"/>
        <v>0</v>
      </c>
      <c r="N99" s="41"/>
      <c r="O99" s="10"/>
      <c r="P99" s="10">
        <f>Tabla3[[#This Row],[COSTO UNITARIO DOLARES EN HAWTHORNE]]*Tabla3[[#This Row],[CANTIDAD SOLICTADA]]</f>
        <v>0</v>
      </c>
      <c r="Q99" s="41"/>
      <c r="R99" s="229"/>
      <c r="S99" s="229">
        <f>+Tabla3[[#This Row],[COSTO UNITARIO DOLARES CTP]]*Tabla3[[#This Row],[CANTIDAD SOLICTADA]]</f>
        <v>0</v>
      </c>
      <c r="T99" s="41"/>
      <c r="U99" s="14" t="s">
        <v>4</v>
      </c>
      <c r="V99" s="8" t="s">
        <v>249</v>
      </c>
      <c r="W99" s="9">
        <v>46174</v>
      </c>
      <c r="X99" s="10" t="s">
        <v>89</v>
      </c>
      <c r="Y99" s="10" t="s">
        <v>90</v>
      </c>
      <c r="Z99" s="16" t="s">
        <v>44</v>
      </c>
      <c r="AA99" s="25">
        <v>46171</v>
      </c>
      <c r="AB99" s="25">
        <v>46175</v>
      </c>
      <c r="AC99" s="16" t="s">
        <v>256</v>
      </c>
      <c r="AD99" s="16"/>
      <c r="AE99" s="16" t="s">
        <v>140</v>
      </c>
      <c r="AF99" s="16"/>
      <c r="AG99" s="21" t="s">
        <v>252</v>
      </c>
      <c r="XFD99" s="15" t="str">
        <f>+Tabla3[[#This Row],[ESTATUS DE NUM ECONOMICO]]</f>
        <v>INACTIVA</v>
      </c>
    </row>
    <row r="100" spans="1:33 16384:16384" ht="15.75" thickBot="1" x14ac:dyDescent="0.3">
      <c r="A100" s="8">
        <v>32</v>
      </c>
      <c r="B100" s="9">
        <v>46169</v>
      </c>
      <c r="C100" s="10" t="s">
        <v>87</v>
      </c>
      <c r="D100" s="10" t="s">
        <v>254</v>
      </c>
      <c r="E100" s="16">
        <v>80</v>
      </c>
      <c r="F100" s="9">
        <v>46178</v>
      </c>
      <c r="G100" s="212" t="str">
        <f>IFERROR(VLOOKUP(Tabla3[[#This Row],[NUM ECONOMICO]],MAQUINARIA!B:H,7,0), " MAQ")</f>
        <v>INACTIVA</v>
      </c>
      <c r="H100" s="214" t="s">
        <v>247</v>
      </c>
      <c r="I100" s="41" t="s">
        <v>270</v>
      </c>
      <c r="J100" s="10"/>
      <c r="K100" s="10">
        <v>2</v>
      </c>
      <c r="L100" s="12"/>
      <c r="M100" s="13">
        <f t="shared" si="1"/>
        <v>0</v>
      </c>
      <c r="N100" s="41"/>
      <c r="O100" s="10"/>
      <c r="P100" s="10">
        <f>Tabla3[[#This Row],[COSTO UNITARIO DOLARES EN HAWTHORNE]]*Tabla3[[#This Row],[CANTIDAD SOLICTADA]]</f>
        <v>0</v>
      </c>
      <c r="Q100" s="41"/>
      <c r="R100" s="229"/>
      <c r="S100" s="229">
        <f>+Tabla3[[#This Row],[COSTO UNITARIO DOLARES CTP]]*Tabla3[[#This Row],[CANTIDAD SOLICTADA]]</f>
        <v>0</v>
      </c>
      <c r="T100" s="41"/>
      <c r="U100" s="14" t="s">
        <v>4</v>
      </c>
      <c r="V100" s="8" t="s">
        <v>249</v>
      </c>
      <c r="W100" s="9">
        <v>46174</v>
      </c>
      <c r="X100" s="10" t="s">
        <v>89</v>
      </c>
      <c r="Y100" s="10" t="s">
        <v>90</v>
      </c>
      <c r="Z100" s="16" t="s">
        <v>44</v>
      </c>
      <c r="AA100" s="25">
        <v>46171</v>
      </c>
      <c r="AB100" s="25">
        <v>46175</v>
      </c>
      <c r="AC100" s="16" t="s">
        <v>256</v>
      </c>
      <c r="AD100" s="16"/>
      <c r="AE100" s="16" t="s">
        <v>140</v>
      </c>
      <c r="AF100" s="16"/>
      <c r="AG100" s="21" t="s">
        <v>252</v>
      </c>
      <c r="XFD100" s="15" t="str">
        <f>+Tabla3[[#This Row],[ESTATUS DE NUM ECONOMICO]]</f>
        <v>INACTIVA</v>
      </c>
    </row>
    <row r="101" spans="1:33 16384:16384" ht="15.75" thickBot="1" x14ac:dyDescent="0.3">
      <c r="A101" s="8">
        <v>32</v>
      </c>
      <c r="B101" s="9">
        <v>46169</v>
      </c>
      <c r="C101" s="10" t="s">
        <v>87</v>
      </c>
      <c r="D101" s="11"/>
      <c r="E101" s="16">
        <v>81</v>
      </c>
      <c r="F101" s="9">
        <v>46178</v>
      </c>
      <c r="G101" s="212" t="str">
        <f>IFERROR(VLOOKUP(Tabla3[[#This Row],[NUM ECONOMICO]],MAQUINARIA!B:H,7,0), " MAQ")</f>
        <v>INACTIVA</v>
      </c>
      <c r="H101" s="214" t="s">
        <v>247</v>
      </c>
      <c r="I101" s="41" t="s">
        <v>271</v>
      </c>
      <c r="J101" s="10" t="s">
        <v>253</v>
      </c>
      <c r="K101" s="10">
        <v>1</v>
      </c>
      <c r="L101" s="13">
        <v>1068.03</v>
      </c>
      <c r="M101" s="13">
        <f t="shared" si="1"/>
        <v>1068.03</v>
      </c>
      <c r="N101" s="41"/>
      <c r="O101" s="287">
        <v>69.64</v>
      </c>
      <c r="P101" s="287">
        <f>Tabla3[[#This Row],[COSTO UNITARIO DOLARES EN HAWTHORNE]]*Tabla3[[#This Row],[CANTIDAD SOLICTADA]]</f>
        <v>69.64</v>
      </c>
      <c r="Q101" s="41" t="s">
        <v>181</v>
      </c>
      <c r="R101" s="229">
        <v>16.239999999999998</v>
      </c>
      <c r="S101" s="229">
        <f>+Tabla3[[#This Row],[COSTO UNITARIO DOLARES CTP]]*Tabla3[[#This Row],[CANTIDAD SOLICTADA]]</f>
        <v>16.239999999999998</v>
      </c>
      <c r="T101" s="41"/>
      <c r="U101" s="18" t="s">
        <v>5</v>
      </c>
      <c r="V101" s="211" t="s">
        <v>249</v>
      </c>
      <c r="W101" s="10"/>
      <c r="X101" s="10" t="s">
        <v>89</v>
      </c>
      <c r="Y101" s="10" t="s">
        <v>90</v>
      </c>
      <c r="Z101" s="16" t="s">
        <v>250</v>
      </c>
      <c r="AA101" s="25">
        <v>46170</v>
      </c>
      <c r="AB101" s="25">
        <v>46118</v>
      </c>
      <c r="AC101" s="16"/>
      <c r="AD101" s="16"/>
      <c r="AE101" s="16" t="s">
        <v>251</v>
      </c>
      <c r="AF101" s="16" t="s">
        <v>251</v>
      </c>
      <c r="AG101" s="21" t="s">
        <v>252</v>
      </c>
      <c r="XFD101" s="15" t="str">
        <f>+Tabla3[[#This Row],[ESTATUS DE NUM ECONOMICO]]</f>
        <v>INACTIVA</v>
      </c>
    </row>
    <row r="102" spans="1:33 16384:16384" ht="15.75" thickBot="1" x14ac:dyDescent="0.3">
      <c r="A102" s="8">
        <v>32</v>
      </c>
      <c r="B102" s="9">
        <v>46169</v>
      </c>
      <c r="C102" s="10" t="s">
        <v>87</v>
      </c>
      <c r="D102" s="10" t="s">
        <v>254</v>
      </c>
      <c r="E102" s="16">
        <v>80</v>
      </c>
      <c r="F102" s="9">
        <v>46178</v>
      </c>
      <c r="G102" s="212" t="str">
        <f>IFERROR(VLOOKUP(Tabla3[[#This Row],[NUM ECONOMICO]],MAQUINARIA!B:H,7,0), " MAQ")</f>
        <v>INACTIVA</v>
      </c>
      <c r="H102" s="214" t="s">
        <v>247</v>
      </c>
      <c r="I102" s="41" t="s">
        <v>272</v>
      </c>
      <c r="J102" s="10"/>
      <c r="K102" s="10">
        <v>1</v>
      </c>
      <c r="L102" s="12"/>
      <c r="M102" s="13">
        <f t="shared" si="1"/>
        <v>0</v>
      </c>
      <c r="N102" s="41"/>
      <c r="O102" s="10"/>
      <c r="P102" s="10">
        <f>Tabla3[[#This Row],[COSTO UNITARIO DOLARES EN HAWTHORNE]]*Tabla3[[#This Row],[CANTIDAD SOLICTADA]]</f>
        <v>0</v>
      </c>
      <c r="Q102" s="41"/>
      <c r="R102" s="229"/>
      <c r="S102" s="229">
        <f>+Tabla3[[#This Row],[COSTO UNITARIO DOLARES CTP]]*Tabla3[[#This Row],[CANTIDAD SOLICTADA]]</f>
        <v>0</v>
      </c>
      <c r="T102" s="41"/>
      <c r="U102" s="14" t="s">
        <v>4</v>
      </c>
      <c r="V102" s="8" t="s">
        <v>249</v>
      </c>
      <c r="W102" s="9">
        <v>46174</v>
      </c>
      <c r="X102" s="10" t="s">
        <v>89</v>
      </c>
      <c r="Y102" s="10" t="s">
        <v>90</v>
      </c>
      <c r="Z102" s="16" t="s">
        <v>44</v>
      </c>
      <c r="AA102" s="25">
        <v>46171</v>
      </c>
      <c r="AB102" s="25">
        <v>46175</v>
      </c>
      <c r="AC102" s="16" t="s">
        <v>256</v>
      </c>
      <c r="AD102" s="16"/>
      <c r="AE102" s="16" t="s">
        <v>140</v>
      </c>
      <c r="AF102" s="16"/>
      <c r="AG102" s="21" t="s">
        <v>252</v>
      </c>
      <c r="XFD102" s="15" t="str">
        <f>+Tabla3[[#This Row],[ESTATUS DE NUM ECONOMICO]]</f>
        <v>INACTIVA</v>
      </c>
    </row>
    <row r="103" spans="1:33 16384:16384" ht="15.75" thickBot="1" x14ac:dyDescent="0.3">
      <c r="A103" s="8">
        <v>32</v>
      </c>
      <c r="B103" s="9">
        <v>46169</v>
      </c>
      <c r="C103" s="10" t="s">
        <v>87</v>
      </c>
      <c r="D103" s="10" t="s">
        <v>254</v>
      </c>
      <c r="E103" s="16">
        <v>80</v>
      </c>
      <c r="F103" s="9">
        <v>46178</v>
      </c>
      <c r="G103" s="212" t="str">
        <f>IFERROR(VLOOKUP(Tabla3[[#This Row],[NUM ECONOMICO]],MAQUINARIA!B:H,7,0), " MAQ")</f>
        <v>INACTIVA</v>
      </c>
      <c r="H103" s="214" t="s">
        <v>247</v>
      </c>
      <c r="I103" s="41" t="s">
        <v>273</v>
      </c>
      <c r="J103" s="10"/>
      <c r="K103" s="10">
        <v>1</v>
      </c>
      <c r="L103" s="12"/>
      <c r="M103" s="13">
        <f t="shared" si="1"/>
        <v>0</v>
      </c>
      <c r="N103" s="41"/>
      <c r="O103" s="10"/>
      <c r="P103" s="10">
        <f>Tabla3[[#This Row],[COSTO UNITARIO DOLARES EN HAWTHORNE]]*Tabla3[[#This Row],[CANTIDAD SOLICTADA]]</f>
        <v>0</v>
      </c>
      <c r="Q103" s="41"/>
      <c r="R103" s="229"/>
      <c r="S103" s="229">
        <f>+Tabla3[[#This Row],[COSTO UNITARIO DOLARES CTP]]*Tabla3[[#This Row],[CANTIDAD SOLICTADA]]</f>
        <v>0</v>
      </c>
      <c r="T103" s="41"/>
      <c r="U103" s="14" t="s">
        <v>4</v>
      </c>
      <c r="V103" s="8" t="s">
        <v>249</v>
      </c>
      <c r="W103" s="9">
        <v>46174</v>
      </c>
      <c r="X103" s="10" t="s">
        <v>89</v>
      </c>
      <c r="Y103" s="10" t="s">
        <v>90</v>
      </c>
      <c r="Z103" s="16" t="s">
        <v>44</v>
      </c>
      <c r="AA103" s="25">
        <v>46171</v>
      </c>
      <c r="AB103" s="25">
        <v>46175</v>
      </c>
      <c r="AC103" s="16" t="s">
        <v>256</v>
      </c>
      <c r="AD103" s="16"/>
      <c r="AE103" s="16" t="s">
        <v>140</v>
      </c>
      <c r="AF103" s="16"/>
      <c r="AG103" s="21" t="s">
        <v>252</v>
      </c>
      <c r="XFD103" s="15" t="str">
        <f>+Tabla3[[#This Row],[ESTATUS DE NUM ECONOMICO]]</f>
        <v>INACTIVA</v>
      </c>
    </row>
    <row r="104" spans="1:33 16384:16384" ht="15.75" thickBot="1" x14ac:dyDescent="0.3">
      <c r="A104" s="8">
        <v>32</v>
      </c>
      <c r="B104" s="9">
        <v>46169</v>
      </c>
      <c r="C104" s="10" t="s">
        <v>87</v>
      </c>
      <c r="D104" s="10" t="s">
        <v>254</v>
      </c>
      <c r="E104" s="16">
        <v>80</v>
      </c>
      <c r="F104" s="9">
        <v>46178</v>
      </c>
      <c r="G104" s="212" t="str">
        <f>IFERROR(VLOOKUP(Tabla3[[#This Row],[NUM ECONOMICO]],MAQUINARIA!B:H,7,0), " MAQ")</f>
        <v>INACTIVA</v>
      </c>
      <c r="H104" s="214" t="s">
        <v>247</v>
      </c>
      <c r="I104" s="41" t="s">
        <v>274</v>
      </c>
      <c r="J104" s="10"/>
      <c r="K104" s="10">
        <v>1</v>
      </c>
      <c r="L104" s="12"/>
      <c r="M104" s="13">
        <f t="shared" si="1"/>
        <v>0</v>
      </c>
      <c r="N104" s="41"/>
      <c r="O104" s="10"/>
      <c r="P104" s="10">
        <f>Tabla3[[#This Row],[COSTO UNITARIO DOLARES EN HAWTHORNE]]*Tabla3[[#This Row],[CANTIDAD SOLICTADA]]</f>
        <v>0</v>
      </c>
      <c r="Q104" s="41"/>
      <c r="R104" s="229"/>
      <c r="S104" s="229">
        <f>+Tabla3[[#This Row],[COSTO UNITARIO DOLARES CTP]]*Tabla3[[#This Row],[CANTIDAD SOLICTADA]]</f>
        <v>0</v>
      </c>
      <c r="T104" s="41"/>
      <c r="U104" s="14" t="s">
        <v>4</v>
      </c>
      <c r="V104" s="8" t="s">
        <v>249</v>
      </c>
      <c r="W104" s="9">
        <v>46174</v>
      </c>
      <c r="X104" s="10" t="s">
        <v>89</v>
      </c>
      <c r="Y104" s="10" t="s">
        <v>90</v>
      </c>
      <c r="Z104" s="16" t="s">
        <v>44</v>
      </c>
      <c r="AA104" s="25">
        <v>46171</v>
      </c>
      <c r="AB104" s="25">
        <v>46175</v>
      </c>
      <c r="AC104" s="16" t="s">
        <v>256</v>
      </c>
      <c r="AD104" s="16"/>
      <c r="AE104" s="16" t="s">
        <v>140</v>
      </c>
      <c r="AF104" s="16"/>
      <c r="AG104" s="21" t="s">
        <v>252</v>
      </c>
      <c r="XFD104" s="15" t="str">
        <f>+Tabla3[[#This Row],[ESTATUS DE NUM ECONOMICO]]</f>
        <v>INACTIVA</v>
      </c>
    </row>
    <row r="105" spans="1:33 16384:16384" ht="15.75" thickBot="1" x14ac:dyDescent="0.3">
      <c r="A105" s="8">
        <v>32</v>
      </c>
      <c r="B105" s="9">
        <v>46169</v>
      </c>
      <c r="C105" s="10" t="s">
        <v>87</v>
      </c>
      <c r="D105" s="10" t="s">
        <v>254</v>
      </c>
      <c r="E105" s="16">
        <v>80</v>
      </c>
      <c r="F105" s="9">
        <v>46178</v>
      </c>
      <c r="G105" s="212" t="str">
        <f>IFERROR(VLOOKUP(Tabla3[[#This Row],[NUM ECONOMICO]],MAQUINARIA!B:H,7,0), " MAQ")</f>
        <v>INACTIVA</v>
      </c>
      <c r="H105" s="214" t="s">
        <v>247</v>
      </c>
      <c r="I105" s="41" t="s">
        <v>275</v>
      </c>
      <c r="J105" s="10"/>
      <c r="K105" s="10">
        <v>5</v>
      </c>
      <c r="L105" s="12"/>
      <c r="M105" s="13">
        <f t="shared" si="1"/>
        <v>0</v>
      </c>
      <c r="N105" s="41"/>
      <c r="O105" s="10"/>
      <c r="P105" s="10">
        <f>Tabla3[[#This Row],[COSTO UNITARIO DOLARES EN HAWTHORNE]]*Tabla3[[#This Row],[CANTIDAD SOLICTADA]]</f>
        <v>0</v>
      </c>
      <c r="Q105" s="41"/>
      <c r="R105" s="229"/>
      <c r="S105" s="229">
        <f>+Tabla3[[#This Row],[COSTO UNITARIO DOLARES CTP]]*Tabla3[[#This Row],[CANTIDAD SOLICTADA]]</f>
        <v>0</v>
      </c>
      <c r="T105" s="41"/>
      <c r="U105" s="14" t="s">
        <v>4</v>
      </c>
      <c r="V105" s="8" t="s">
        <v>249</v>
      </c>
      <c r="W105" s="9">
        <v>46174</v>
      </c>
      <c r="X105" s="10" t="s">
        <v>89</v>
      </c>
      <c r="Y105" s="10" t="s">
        <v>90</v>
      </c>
      <c r="Z105" s="16" t="s">
        <v>44</v>
      </c>
      <c r="AA105" s="25">
        <v>46171</v>
      </c>
      <c r="AB105" s="25">
        <v>46175</v>
      </c>
      <c r="AC105" s="16" t="s">
        <v>256</v>
      </c>
      <c r="AD105" s="16"/>
      <c r="AE105" s="16" t="s">
        <v>140</v>
      </c>
      <c r="AF105" s="16"/>
      <c r="AG105" s="21" t="s">
        <v>252</v>
      </c>
      <c r="XFD105" s="15" t="str">
        <f>+Tabla3[[#This Row],[ESTATUS DE NUM ECONOMICO]]</f>
        <v>INACTIVA</v>
      </c>
    </row>
    <row r="106" spans="1:33 16384:16384" ht="15.75" thickBot="1" x14ac:dyDescent="0.3">
      <c r="A106" s="8">
        <v>32</v>
      </c>
      <c r="B106" s="9">
        <v>46169</v>
      </c>
      <c r="C106" s="10" t="s">
        <v>87</v>
      </c>
      <c r="D106" s="10" t="s">
        <v>254</v>
      </c>
      <c r="E106" s="16">
        <v>80</v>
      </c>
      <c r="F106" s="9">
        <v>46178</v>
      </c>
      <c r="G106" s="212" t="str">
        <f>IFERROR(VLOOKUP(Tabla3[[#This Row],[NUM ECONOMICO]],MAQUINARIA!B:H,7,0), " MAQ")</f>
        <v>INACTIVA</v>
      </c>
      <c r="H106" s="214" t="s">
        <v>247</v>
      </c>
      <c r="I106" s="41" t="s">
        <v>276</v>
      </c>
      <c r="J106" s="10"/>
      <c r="K106" s="10">
        <v>1</v>
      </c>
      <c r="L106" s="12"/>
      <c r="M106" s="13">
        <f t="shared" si="1"/>
        <v>0</v>
      </c>
      <c r="N106" s="41"/>
      <c r="O106" s="10"/>
      <c r="P106" s="10">
        <f>Tabla3[[#This Row],[COSTO UNITARIO DOLARES EN HAWTHORNE]]*Tabla3[[#This Row],[CANTIDAD SOLICTADA]]</f>
        <v>0</v>
      </c>
      <c r="Q106" s="41"/>
      <c r="R106" s="229"/>
      <c r="S106" s="229">
        <f>+Tabla3[[#This Row],[COSTO UNITARIO DOLARES CTP]]*Tabla3[[#This Row],[CANTIDAD SOLICTADA]]</f>
        <v>0</v>
      </c>
      <c r="T106" s="41"/>
      <c r="U106" s="14" t="s">
        <v>4</v>
      </c>
      <c r="V106" s="8" t="s">
        <v>249</v>
      </c>
      <c r="W106" s="9">
        <v>46174</v>
      </c>
      <c r="X106" s="10" t="s">
        <v>89</v>
      </c>
      <c r="Y106" s="10">
        <v>1</v>
      </c>
      <c r="Z106" s="16" t="s">
        <v>44</v>
      </c>
      <c r="AA106" s="25">
        <v>46171</v>
      </c>
      <c r="AB106" s="25">
        <v>46175</v>
      </c>
      <c r="AC106" s="16" t="s">
        <v>256</v>
      </c>
      <c r="AD106" s="16"/>
      <c r="AE106" s="16" t="s">
        <v>140</v>
      </c>
      <c r="AF106" s="16"/>
      <c r="AG106" s="21" t="s">
        <v>252</v>
      </c>
      <c r="XFD106" s="15" t="str">
        <f>+Tabla3[[#This Row],[ESTATUS DE NUM ECONOMICO]]</f>
        <v>INACTIVA</v>
      </c>
    </row>
    <row r="107" spans="1:33 16384:16384" ht="15.75" thickBot="1" x14ac:dyDescent="0.3">
      <c r="A107" s="8">
        <v>32</v>
      </c>
      <c r="B107" s="9">
        <v>46169</v>
      </c>
      <c r="C107" s="10" t="s">
        <v>87</v>
      </c>
      <c r="D107" s="10" t="s">
        <v>254</v>
      </c>
      <c r="E107" s="16">
        <v>80</v>
      </c>
      <c r="F107" s="9">
        <v>46178</v>
      </c>
      <c r="G107" s="212" t="str">
        <f>IFERROR(VLOOKUP(Tabla3[[#This Row],[NUM ECONOMICO]],MAQUINARIA!B:H,7,0), " MAQ")</f>
        <v>INACTIVA</v>
      </c>
      <c r="H107" s="214" t="s">
        <v>247</v>
      </c>
      <c r="I107" s="41" t="s">
        <v>277</v>
      </c>
      <c r="J107" s="10"/>
      <c r="K107" s="10">
        <v>1</v>
      </c>
      <c r="L107" s="12"/>
      <c r="M107" s="13">
        <f t="shared" si="1"/>
        <v>0</v>
      </c>
      <c r="N107" s="41"/>
      <c r="O107" s="10"/>
      <c r="P107" s="10">
        <f>Tabla3[[#This Row],[COSTO UNITARIO DOLARES EN HAWTHORNE]]*Tabla3[[#This Row],[CANTIDAD SOLICTADA]]</f>
        <v>0</v>
      </c>
      <c r="Q107" s="41"/>
      <c r="R107" s="229"/>
      <c r="S107" s="229">
        <f>+Tabla3[[#This Row],[COSTO UNITARIO DOLARES CTP]]*Tabla3[[#This Row],[CANTIDAD SOLICTADA]]</f>
        <v>0</v>
      </c>
      <c r="T107" s="41"/>
      <c r="U107" s="14" t="s">
        <v>4</v>
      </c>
      <c r="V107" s="8" t="s">
        <v>249</v>
      </c>
      <c r="W107" s="9">
        <v>46174</v>
      </c>
      <c r="X107" s="10" t="s">
        <v>89</v>
      </c>
      <c r="Y107" s="10" t="s">
        <v>90</v>
      </c>
      <c r="Z107" s="16" t="s">
        <v>44</v>
      </c>
      <c r="AA107" s="25">
        <v>46171</v>
      </c>
      <c r="AB107" s="25">
        <v>46175</v>
      </c>
      <c r="AC107" s="16" t="s">
        <v>256</v>
      </c>
      <c r="AD107" s="16"/>
      <c r="AE107" s="16" t="s">
        <v>140</v>
      </c>
      <c r="AF107" s="16"/>
      <c r="AG107" s="21" t="s">
        <v>252</v>
      </c>
      <c r="XFD107" s="15" t="str">
        <f>+Tabla3[[#This Row],[ESTATUS DE NUM ECONOMICO]]</f>
        <v>INACTIVA</v>
      </c>
    </row>
    <row r="108" spans="1:33 16384:16384" ht="15.75" thickBot="1" x14ac:dyDescent="0.3">
      <c r="A108" s="8">
        <v>32</v>
      </c>
      <c r="B108" s="9">
        <v>46169</v>
      </c>
      <c r="C108" s="10" t="s">
        <v>87</v>
      </c>
      <c r="D108" s="11"/>
      <c r="E108" s="16">
        <v>81</v>
      </c>
      <c r="F108" s="9">
        <v>46178</v>
      </c>
      <c r="G108" s="212" t="str">
        <f>IFERROR(VLOOKUP(Tabla3[[#This Row],[NUM ECONOMICO]],MAQUINARIA!B:H,7,0), " MAQ")</f>
        <v>INACTIVA</v>
      </c>
      <c r="H108" s="214" t="s">
        <v>247</v>
      </c>
      <c r="I108" s="41" t="s">
        <v>278</v>
      </c>
      <c r="J108" s="10" t="s">
        <v>279</v>
      </c>
      <c r="K108" s="10">
        <v>3</v>
      </c>
      <c r="L108" s="13">
        <v>2691.5</v>
      </c>
      <c r="M108" s="13">
        <f t="shared" si="1"/>
        <v>8074.5</v>
      </c>
      <c r="N108" s="41"/>
      <c r="O108" s="287">
        <v>153.34</v>
      </c>
      <c r="P108" s="287">
        <f>Tabla3[[#This Row],[COSTO UNITARIO DOLARES EN HAWTHORNE]]*Tabla3[[#This Row],[CANTIDAD SOLICTADA]]</f>
        <v>460.02</v>
      </c>
      <c r="Q108" s="41" t="s">
        <v>181</v>
      </c>
      <c r="R108" s="229">
        <v>87.22</v>
      </c>
      <c r="S108" s="229">
        <f>+Tabla3[[#This Row],[COSTO UNITARIO DOLARES CTP]]*Tabla3[[#This Row],[CANTIDAD SOLICTADA]]</f>
        <v>261.65999999999997</v>
      </c>
      <c r="T108" s="41"/>
      <c r="U108" s="18" t="s">
        <v>5</v>
      </c>
      <c r="V108" s="211" t="s">
        <v>249</v>
      </c>
      <c r="W108" s="10"/>
      <c r="X108" s="10" t="s">
        <v>89</v>
      </c>
      <c r="Y108" s="10" t="s">
        <v>90</v>
      </c>
      <c r="Z108" s="16" t="s">
        <v>250</v>
      </c>
      <c r="AA108" s="25">
        <v>46170</v>
      </c>
      <c r="AB108" s="25">
        <v>46118</v>
      </c>
      <c r="AC108" s="16"/>
      <c r="AD108" s="16"/>
      <c r="AE108" s="16" t="s">
        <v>251</v>
      </c>
      <c r="AF108" s="16" t="s">
        <v>251</v>
      </c>
      <c r="AG108" s="21" t="s">
        <v>252</v>
      </c>
      <c r="XFD108" s="15" t="str">
        <f>+Tabla3[[#This Row],[ESTATUS DE NUM ECONOMICO]]</f>
        <v>INACTIVA</v>
      </c>
    </row>
    <row r="109" spans="1:33 16384:16384" ht="15.75" thickBot="1" x14ac:dyDescent="0.3">
      <c r="A109" s="8">
        <v>32</v>
      </c>
      <c r="B109" s="9">
        <v>46169</v>
      </c>
      <c r="C109" s="10" t="s">
        <v>87</v>
      </c>
      <c r="D109" s="10" t="s">
        <v>254</v>
      </c>
      <c r="E109" s="16">
        <v>80</v>
      </c>
      <c r="F109" s="9">
        <v>46178</v>
      </c>
      <c r="G109" s="212" t="str">
        <f>IFERROR(VLOOKUP(Tabla3[[#This Row],[NUM ECONOMICO]],MAQUINARIA!B:H,7,0), " MAQ")</f>
        <v>INACTIVA</v>
      </c>
      <c r="H109" s="214" t="s">
        <v>247</v>
      </c>
      <c r="I109" s="41">
        <v>2410635</v>
      </c>
      <c r="J109" s="10"/>
      <c r="K109" s="10">
        <v>1</v>
      </c>
      <c r="L109" s="12"/>
      <c r="M109" s="13">
        <f t="shared" si="1"/>
        <v>0</v>
      </c>
      <c r="N109" s="41"/>
      <c r="O109" s="10"/>
      <c r="P109" s="10">
        <f>Tabla3[[#This Row],[COSTO UNITARIO DOLARES EN HAWTHORNE]]*Tabla3[[#This Row],[CANTIDAD SOLICTADA]]</f>
        <v>0</v>
      </c>
      <c r="Q109" s="41"/>
      <c r="R109" s="229"/>
      <c r="S109" s="229">
        <f>+Tabla3[[#This Row],[COSTO UNITARIO DOLARES CTP]]*Tabla3[[#This Row],[CANTIDAD SOLICTADA]]</f>
        <v>0</v>
      </c>
      <c r="T109" s="41"/>
      <c r="U109" s="14" t="s">
        <v>4</v>
      </c>
      <c r="V109" s="8" t="s">
        <v>249</v>
      </c>
      <c r="W109" s="9">
        <v>46174</v>
      </c>
      <c r="X109" s="10" t="s">
        <v>89</v>
      </c>
      <c r="Y109" s="10" t="s">
        <v>90</v>
      </c>
      <c r="Z109" s="16" t="s">
        <v>44</v>
      </c>
      <c r="AA109" s="25">
        <v>46171</v>
      </c>
      <c r="AB109" s="25">
        <v>46175</v>
      </c>
      <c r="AC109" s="16" t="s">
        <v>256</v>
      </c>
      <c r="AD109" s="16"/>
      <c r="AE109" s="16" t="s">
        <v>140</v>
      </c>
      <c r="AF109" s="16"/>
      <c r="AG109" s="21" t="s">
        <v>252</v>
      </c>
      <c r="XFD109" s="15" t="str">
        <f>+Tabla3[[#This Row],[ESTATUS DE NUM ECONOMICO]]</f>
        <v>INACTIVA</v>
      </c>
    </row>
    <row r="110" spans="1:33 16384:16384" ht="15.75" thickBot="1" x14ac:dyDescent="0.3">
      <c r="A110" s="8">
        <v>32</v>
      </c>
      <c r="B110" s="9">
        <v>46169</v>
      </c>
      <c r="C110" s="10" t="s">
        <v>87</v>
      </c>
      <c r="D110" s="10" t="s">
        <v>254</v>
      </c>
      <c r="E110" s="16">
        <v>80</v>
      </c>
      <c r="F110" s="9">
        <v>46178</v>
      </c>
      <c r="G110" s="212" t="str">
        <f>IFERROR(VLOOKUP(Tabla3[[#This Row],[NUM ECONOMICO]],MAQUINARIA!B:H,7,0), " MAQ")</f>
        <v>INACTIVA</v>
      </c>
      <c r="H110" s="214" t="s">
        <v>247</v>
      </c>
      <c r="I110" s="41" t="s">
        <v>280</v>
      </c>
      <c r="J110" s="10"/>
      <c r="K110" s="10">
        <v>1</v>
      </c>
      <c r="L110" s="12"/>
      <c r="M110" s="13">
        <f t="shared" si="1"/>
        <v>0</v>
      </c>
      <c r="N110" s="41"/>
      <c r="O110" s="10"/>
      <c r="P110" s="10">
        <f>Tabla3[[#This Row],[COSTO UNITARIO DOLARES EN HAWTHORNE]]*Tabla3[[#This Row],[CANTIDAD SOLICTADA]]</f>
        <v>0</v>
      </c>
      <c r="Q110" s="41"/>
      <c r="R110" s="229"/>
      <c r="S110" s="229">
        <f>+Tabla3[[#This Row],[COSTO UNITARIO DOLARES CTP]]*Tabla3[[#This Row],[CANTIDAD SOLICTADA]]</f>
        <v>0</v>
      </c>
      <c r="T110" s="41"/>
      <c r="U110" s="14" t="s">
        <v>4</v>
      </c>
      <c r="V110" s="8" t="s">
        <v>249</v>
      </c>
      <c r="W110" s="9">
        <v>46174</v>
      </c>
      <c r="X110" s="10" t="s">
        <v>89</v>
      </c>
      <c r="Y110" s="10" t="s">
        <v>90</v>
      </c>
      <c r="Z110" s="16" t="s">
        <v>44</v>
      </c>
      <c r="AA110" s="25">
        <v>46171</v>
      </c>
      <c r="AB110" s="25">
        <v>46175</v>
      </c>
      <c r="AC110" s="16" t="s">
        <v>256</v>
      </c>
      <c r="AD110" s="16"/>
      <c r="AE110" s="16" t="s">
        <v>140</v>
      </c>
      <c r="AF110" s="16"/>
      <c r="AG110" s="21" t="s">
        <v>252</v>
      </c>
      <c r="XFD110" s="15" t="str">
        <f>+Tabla3[[#This Row],[ESTATUS DE NUM ECONOMICO]]</f>
        <v>INACTIVA</v>
      </c>
    </row>
    <row r="111" spans="1:33 16384:16384" ht="15.75" thickBot="1" x14ac:dyDescent="0.3">
      <c r="A111" s="8">
        <v>32</v>
      </c>
      <c r="B111" s="9">
        <v>46169</v>
      </c>
      <c r="C111" s="10" t="s">
        <v>87</v>
      </c>
      <c r="D111" s="10" t="s">
        <v>254</v>
      </c>
      <c r="E111" s="16">
        <v>80</v>
      </c>
      <c r="F111" s="9">
        <v>46178</v>
      </c>
      <c r="G111" s="212" t="str">
        <f>IFERROR(VLOOKUP(Tabla3[[#This Row],[NUM ECONOMICO]],MAQUINARIA!B:H,7,0), " MAQ")</f>
        <v>INACTIVA</v>
      </c>
      <c r="H111" s="214" t="s">
        <v>247</v>
      </c>
      <c r="I111" s="41" t="s">
        <v>281</v>
      </c>
      <c r="J111" s="10"/>
      <c r="K111" s="10">
        <v>2</v>
      </c>
      <c r="L111" s="12"/>
      <c r="M111" s="13">
        <f t="shared" si="1"/>
        <v>0</v>
      </c>
      <c r="N111" s="41"/>
      <c r="O111" s="10"/>
      <c r="P111" s="10">
        <f>Tabla3[[#This Row],[COSTO UNITARIO DOLARES EN HAWTHORNE]]*Tabla3[[#This Row],[CANTIDAD SOLICTADA]]</f>
        <v>0</v>
      </c>
      <c r="Q111" s="41"/>
      <c r="R111" s="229"/>
      <c r="S111" s="229">
        <f>+Tabla3[[#This Row],[COSTO UNITARIO DOLARES CTP]]*Tabla3[[#This Row],[CANTIDAD SOLICTADA]]</f>
        <v>0</v>
      </c>
      <c r="T111" s="41"/>
      <c r="U111" s="14" t="s">
        <v>4</v>
      </c>
      <c r="V111" s="8" t="s">
        <v>249</v>
      </c>
      <c r="W111" s="9">
        <v>46174</v>
      </c>
      <c r="X111" s="10" t="s">
        <v>89</v>
      </c>
      <c r="Y111" s="10" t="s">
        <v>90</v>
      </c>
      <c r="Z111" s="16" t="s">
        <v>44</v>
      </c>
      <c r="AA111" s="25">
        <v>46171</v>
      </c>
      <c r="AB111" s="25">
        <v>46175</v>
      </c>
      <c r="AC111" s="16" t="s">
        <v>256</v>
      </c>
      <c r="AD111" s="16"/>
      <c r="AE111" s="16" t="s">
        <v>140</v>
      </c>
      <c r="AF111" s="16"/>
      <c r="AG111" s="21" t="s">
        <v>252</v>
      </c>
      <c r="XFD111" s="15" t="str">
        <f>+Tabla3[[#This Row],[ESTATUS DE NUM ECONOMICO]]</f>
        <v>INACTIVA</v>
      </c>
    </row>
    <row r="112" spans="1:33 16384:16384" ht="15.75" thickBot="1" x14ac:dyDescent="0.3">
      <c r="A112" s="8">
        <v>32</v>
      </c>
      <c r="B112" s="9">
        <v>46169</v>
      </c>
      <c r="C112" s="10" t="s">
        <v>87</v>
      </c>
      <c r="D112" s="10" t="s">
        <v>254</v>
      </c>
      <c r="E112" s="16">
        <v>80</v>
      </c>
      <c r="F112" s="9">
        <v>46178</v>
      </c>
      <c r="G112" s="212" t="str">
        <f>IFERROR(VLOOKUP(Tabla3[[#This Row],[NUM ECONOMICO]],MAQUINARIA!B:H,7,0), " MAQ")</f>
        <v>INACTIVA</v>
      </c>
      <c r="H112" s="214" t="s">
        <v>247</v>
      </c>
      <c r="I112" s="41" t="s">
        <v>282</v>
      </c>
      <c r="J112" s="10"/>
      <c r="K112" s="10">
        <v>1</v>
      </c>
      <c r="L112" s="12"/>
      <c r="M112" s="13">
        <f t="shared" si="1"/>
        <v>0</v>
      </c>
      <c r="N112" s="41"/>
      <c r="O112" s="10"/>
      <c r="P112" s="10">
        <f>Tabla3[[#This Row],[COSTO UNITARIO DOLARES EN HAWTHORNE]]*Tabla3[[#This Row],[CANTIDAD SOLICTADA]]</f>
        <v>0</v>
      </c>
      <c r="Q112" s="41"/>
      <c r="R112" s="229"/>
      <c r="S112" s="229">
        <f>+Tabla3[[#This Row],[COSTO UNITARIO DOLARES CTP]]*Tabla3[[#This Row],[CANTIDAD SOLICTADA]]</f>
        <v>0</v>
      </c>
      <c r="T112" s="41"/>
      <c r="U112" s="14" t="s">
        <v>4</v>
      </c>
      <c r="V112" s="8" t="s">
        <v>249</v>
      </c>
      <c r="W112" s="9">
        <v>46174</v>
      </c>
      <c r="X112" s="10" t="s">
        <v>96</v>
      </c>
      <c r="Y112" s="10">
        <v>2</v>
      </c>
      <c r="Z112" s="16" t="s">
        <v>44</v>
      </c>
      <c r="AA112" s="25">
        <v>46171</v>
      </c>
      <c r="AB112" s="25">
        <v>46175</v>
      </c>
      <c r="AC112" s="16" t="s">
        <v>256</v>
      </c>
      <c r="AD112" s="16"/>
      <c r="AE112" s="16" t="s">
        <v>140</v>
      </c>
      <c r="AF112" s="16"/>
      <c r="AG112" s="21" t="s">
        <v>252</v>
      </c>
      <c r="XFD112" s="15" t="str">
        <f>+Tabla3[[#This Row],[ESTATUS DE NUM ECONOMICO]]</f>
        <v>INACTIVA</v>
      </c>
    </row>
    <row r="113" spans="1:33 16384:16384" ht="15.75" thickBot="1" x14ac:dyDescent="0.3">
      <c r="A113" s="8">
        <v>32</v>
      </c>
      <c r="B113" s="9">
        <v>46169</v>
      </c>
      <c r="C113" s="10" t="s">
        <v>87</v>
      </c>
      <c r="D113" s="10" t="s">
        <v>254</v>
      </c>
      <c r="E113" s="16">
        <v>80</v>
      </c>
      <c r="F113" s="9">
        <v>46178</v>
      </c>
      <c r="G113" s="212" t="str">
        <f>IFERROR(VLOOKUP(Tabla3[[#This Row],[NUM ECONOMICO]],MAQUINARIA!B:H,7,0), " MAQ")</f>
        <v>INACTIVA</v>
      </c>
      <c r="H113" s="214" t="s">
        <v>247</v>
      </c>
      <c r="I113" s="41" t="s">
        <v>283</v>
      </c>
      <c r="J113" s="10"/>
      <c r="K113" s="10">
        <v>1</v>
      </c>
      <c r="L113" s="12"/>
      <c r="M113" s="13">
        <f t="shared" si="1"/>
        <v>0</v>
      </c>
      <c r="N113" s="41"/>
      <c r="O113" s="10"/>
      <c r="P113" s="10">
        <f>Tabla3[[#This Row],[COSTO UNITARIO DOLARES EN HAWTHORNE]]*Tabla3[[#This Row],[CANTIDAD SOLICTADA]]</f>
        <v>0</v>
      </c>
      <c r="Q113" s="41"/>
      <c r="R113" s="229"/>
      <c r="S113" s="229">
        <f>+Tabla3[[#This Row],[COSTO UNITARIO DOLARES CTP]]*Tabla3[[#This Row],[CANTIDAD SOLICTADA]]</f>
        <v>0</v>
      </c>
      <c r="T113" s="41"/>
      <c r="U113" s="14" t="s">
        <v>4</v>
      </c>
      <c r="V113" s="8" t="s">
        <v>249</v>
      </c>
      <c r="W113" s="9">
        <v>46174</v>
      </c>
      <c r="X113" s="10" t="s">
        <v>89</v>
      </c>
      <c r="Y113" s="10" t="s">
        <v>90</v>
      </c>
      <c r="Z113" s="16" t="s">
        <v>44</v>
      </c>
      <c r="AA113" s="25">
        <v>46171</v>
      </c>
      <c r="AB113" s="25">
        <v>46175</v>
      </c>
      <c r="AC113" s="16" t="s">
        <v>256</v>
      </c>
      <c r="AD113" s="16"/>
      <c r="AE113" s="16" t="s">
        <v>140</v>
      </c>
      <c r="AF113" s="16"/>
      <c r="AG113" s="21" t="s">
        <v>252</v>
      </c>
      <c r="XFD113" s="15" t="str">
        <f>+Tabla3[[#This Row],[ESTATUS DE NUM ECONOMICO]]</f>
        <v>INACTIVA</v>
      </c>
    </row>
    <row r="114" spans="1:33 16384:16384" ht="15.75" thickBot="1" x14ac:dyDescent="0.3">
      <c r="A114" s="8">
        <v>32</v>
      </c>
      <c r="B114" s="9">
        <v>46169</v>
      </c>
      <c r="C114" s="10" t="s">
        <v>87</v>
      </c>
      <c r="D114" s="10" t="s">
        <v>254</v>
      </c>
      <c r="E114" s="16">
        <v>80</v>
      </c>
      <c r="F114" s="9">
        <v>46178</v>
      </c>
      <c r="G114" s="212" t="str">
        <f>IFERROR(VLOOKUP(Tabla3[[#This Row],[NUM ECONOMICO]],MAQUINARIA!B:H,7,0), " MAQ")</f>
        <v>INACTIVA</v>
      </c>
      <c r="H114" s="214" t="s">
        <v>247</v>
      </c>
      <c r="I114" s="41" t="s">
        <v>284</v>
      </c>
      <c r="J114" s="10"/>
      <c r="K114" s="10">
        <v>3</v>
      </c>
      <c r="L114" s="12"/>
      <c r="M114" s="13">
        <f t="shared" si="1"/>
        <v>0</v>
      </c>
      <c r="N114" s="41"/>
      <c r="O114" s="10"/>
      <c r="P114" s="10">
        <f>Tabla3[[#This Row],[COSTO UNITARIO DOLARES EN HAWTHORNE]]*Tabla3[[#This Row],[CANTIDAD SOLICTADA]]</f>
        <v>0</v>
      </c>
      <c r="Q114" s="41"/>
      <c r="R114" s="229"/>
      <c r="S114" s="229">
        <f>+Tabla3[[#This Row],[COSTO UNITARIO DOLARES CTP]]*Tabla3[[#This Row],[CANTIDAD SOLICTADA]]</f>
        <v>0</v>
      </c>
      <c r="T114" s="41"/>
      <c r="U114" s="14" t="s">
        <v>4</v>
      </c>
      <c r="V114" s="8" t="s">
        <v>249</v>
      </c>
      <c r="W114" s="9">
        <v>46174</v>
      </c>
      <c r="X114" s="10" t="s">
        <v>89</v>
      </c>
      <c r="Y114" s="10" t="s">
        <v>90</v>
      </c>
      <c r="Z114" s="16" t="s">
        <v>44</v>
      </c>
      <c r="AA114" s="25">
        <v>46171</v>
      </c>
      <c r="AB114" s="25">
        <v>46175</v>
      </c>
      <c r="AC114" s="16" t="s">
        <v>256</v>
      </c>
      <c r="AD114" s="16"/>
      <c r="AE114" s="16" t="s">
        <v>140</v>
      </c>
      <c r="AF114" s="16"/>
      <c r="AG114" s="21" t="s">
        <v>252</v>
      </c>
      <c r="XFD114" s="15" t="str">
        <f>+Tabla3[[#This Row],[ESTATUS DE NUM ECONOMICO]]</f>
        <v>INACTIVA</v>
      </c>
    </row>
    <row r="115" spans="1:33 16384:16384" ht="15.75" thickBot="1" x14ac:dyDescent="0.3">
      <c r="A115" s="8">
        <v>32</v>
      </c>
      <c r="B115" s="9">
        <v>46169</v>
      </c>
      <c r="C115" s="10" t="s">
        <v>87</v>
      </c>
      <c r="D115" s="10" t="s">
        <v>254</v>
      </c>
      <c r="E115" s="16">
        <v>80</v>
      </c>
      <c r="F115" s="9">
        <v>46178</v>
      </c>
      <c r="G115" s="212" t="str">
        <f>IFERROR(VLOOKUP(Tabla3[[#This Row],[NUM ECONOMICO]],MAQUINARIA!B:H,7,0), " MAQ")</f>
        <v>INACTIVA</v>
      </c>
      <c r="H115" s="214" t="s">
        <v>247</v>
      </c>
      <c r="I115" s="41" t="s">
        <v>285</v>
      </c>
      <c r="J115" s="10"/>
      <c r="K115" s="10">
        <v>4</v>
      </c>
      <c r="L115" s="12"/>
      <c r="M115" s="13">
        <f t="shared" si="1"/>
        <v>0</v>
      </c>
      <c r="N115" s="41"/>
      <c r="O115" s="10"/>
      <c r="P115" s="10">
        <f>Tabla3[[#This Row],[COSTO UNITARIO DOLARES EN HAWTHORNE]]*Tabla3[[#This Row],[CANTIDAD SOLICTADA]]</f>
        <v>0</v>
      </c>
      <c r="Q115" s="41"/>
      <c r="R115" s="229"/>
      <c r="S115" s="229">
        <f>+Tabla3[[#This Row],[COSTO UNITARIO DOLARES CTP]]*Tabla3[[#This Row],[CANTIDAD SOLICTADA]]</f>
        <v>0</v>
      </c>
      <c r="T115" s="41"/>
      <c r="U115" s="14" t="s">
        <v>4</v>
      </c>
      <c r="V115" s="8" t="s">
        <v>249</v>
      </c>
      <c r="W115" s="9">
        <v>46174</v>
      </c>
      <c r="X115" s="10" t="s">
        <v>89</v>
      </c>
      <c r="Y115" s="10" t="s">
        <v>90</v>
      </c>
      <c r="Z115" s="16" t="s">
        <v>44</v>
      </c>
      <c r="AA115" s="25">
        <v>46171</v>
      </c>
      <c r="AB115" s="25">
        <v>46175</v>
      </c>
      <c r="AC115" s="16" t="s">
        <v>256</v>
      </c>
      <c r="AD115" s="16"/>
      <c r="AE115" s="16" t="s">
        <v>140</v>
      </c>
      <c r="AF115" s="16"/>
      <c r="AG115" s="21" t="s">
        <v>252</v>
      </c>
      <c r="XFD115" s="15" t="str">
        <f>+Tabla3[[#This Row],[ESTATUS DE NUM ECONOMICO]]</f>
        <v>INACTIVA</v>
      </c>
    </row>
    <row r="116" spans="1:33 16384:16384" ht="15.75" thickBot="1" x14ac:dyDescent="0.3">
      <c r="A116" s="8">
        <v>32</v>
      </c>
      <c r="B116" s="9">
        <v>46169</v>
      </c>
      <c r="C116" s="10" t="s">
        <v>87</v>
      </c>
      <c r="D116" s="10" t="s">
        <v>254</v>
      </c>
      <c r="E116" s="16">
        <v>80</v>
      </c>
      <c r="F116" s="9">
        <v>46178</v>
      </c>
      <c r="G116" s="212" t="str">
        <f>IFERROR(VLOOKUP(Tabla3[[#This Row],[NUM ECONOMICO]],MAQUINARIA!B:H,7,0), " MAQ")</f>
        <v>INACTIVA</v>
      </c>
      <c r="H116" s="214" t="s">
        <v>247</v>
      </c>
      <c r="I116" s="41" t="s">
        <v>286</v>
      </c>
      <c r="J116" s="10"/>
      <c r="K116" s="10">
        <v>8</v>
      </c>
      <c r="L116" s="12"/>
      <c r="M116" s="13">
        <f t="shared" si="1"/>
        <v>0</v>
      </c>
      <c r="N116" s="41"/>
      <c r="O116" s="10"/>
      <c r="P116" s="10">
        <f>Tabla3[[#This Row],[COSTO UNITARIO DOLARES EN HAWTHORNE]]*Tabla3[[#This Row],[CANTIDAD SOLICTADA]]</f>
        <v>0</v>
      </c>
      <c r="Q116" s="41"/>
      <c r="R116" s="229"/>
      <c r="S116" s="229">
        <f>+Tabla3[[#This Row],[COSTO UNITARIO DOLARES CTP]]*Tabla3[[#This Row],[CANTIDAD SOLICTADA]]</f>
        <v>0</v>
      </c>
      <c r="T116" s="41"/>
      <c r="U116" s="14" t="s">
        <v>4</v>
      </c>
      <c r="V116" s="8" t="s">
        <v>249</v>
      </c>
      <c r="W116" s="9">
        <v>46174</v>
      </c>
      <c r="X116" s="10" t="s">
        <v>89</v>
      </c>
      <c r="Y116" s="10" t="s">
        <v>90</v>
      </c>
      <c r="Z116" s="16" t="s">
        <v>44</v>
      </c>
      <c r="AA116" s="25">
        <v>46171</v>
      </c>
      <c r="AB116" s="25">
        <v>46175</v>
      </c>
      <c r="AC116" s="16" t="s">
        <v>256</v>
      </c>
      <c r="AD116" s="16"/>
      <c r="AE116" s="16" t="s">
        <v>140</v>
      </c>
      <c r="AF116" s="16"/>
      <c r="AG116" s="21" t="s">
        <v>252</v>
      </c>
      <c r="XFD116" s="15" t="str">
        <f>+Tabla3[[#This Row],[ESTATUS DE NUM ECONOMICO]]</f>
        <v>INACTIVA</v>
      </c>
    </row>
    <row r="117" spans="1:33 16384:16384" ht="15.75" thickBot="1" x14ac:dyDescent="0.3">
      <c r="A117" s="8">
        <v>32</v>
      </c>
      <c r="B117" s="9">
        <v>46169</v>
      </c>
      <c r="C117" s="10" t="s">
        <v>87</v>
      </c>
      <c r="D117" s="10" t="s">
        <v>254</v>
      </c>
      <c r="E117" s="16">
        <v>80</v>
      </c>
      <c r="F117" s="9">
        <v>46178</v>
      </c>
      <c r="G117" s="212" t="str">
        <f>IFERROR(VLOOKUP(Tabla3[[#This Row],[NUM ECONOMICO]],MAQUINARIA!B:H,7,0), " MAQ")</f>
        <v>INACTIVA</v>
      </c>
      <c r="H117" s="214" t="s">
        <v>247</v>
      </c>
      <c r="I117" s="41" t="s">
        <v>287</v>
      </c>
      <c r="J117" s="10"/>
      <c r="K117" s="10">
        <v>4</v>
      </c>
      <c r="L117" s="12"/>
      <c r="M117" s="13">
        <f t="shared" si="1"/>
        <v>0</v>
      </c>
      <c r="N117" s="41"/>
      <c r="O117" s="10"/>
      <c r="P117" s="10">
        <f>Tabla3[[#This Row],[COSTO UNITARIO DOLARES EN HAWTHORNE]]*Tabla3[[#This Row],[CANTIDAD SOLICTADA]]</f>
        <v>0</v>
      </c>
      <c r="Q117" s="41"/>
      <c r="R117" s="229"/>
      <c r="S117" s="229">
        <f>+Tabla3[[#This Row],[COSTO UNITARIO DOLARES CTP]]*Tabla3[[#This Row],[CANTIDAD SOLICTADA]]</f>
        <v>0</v>
      </c>
      <c r="T117" s="41"/>
      <c r="U117" s="14" t="s">
        <v>4</v>
      </c>
      <c r="V117" s="8" t="s">
        <v>249</v>
      </c>
      <c r="W117" s="9">
        <v>46174</v>
      </c>
      <c r="X117" s="10" t="s">
        <v>89</v>
      </c>
      <c r="Y117" s="10">
        <v>1</v>
      </c>
      <c r="Z117" s="16" t="s">
        <v>44</v>
      </c>
      <c r="AA117" s="25">
        <v>46171</v>
      </c>
      <c r="AB117" s="25">
        <v>46175</v>
      </c>
      <c r="AC117" s="16" t="s">
        <v>256</v>
      </c>
      <c r="AD117" s="16"/>
      <c r="AE117" s="16" t="s">
        <v>140</v>
      </c>
      <c r="AF117" s="16"/>
      <c r="AG117" s="21" t="s">
        <v>252</v>
      </c>
      <c r="XFD117" s="15" t="str">
        <f>+Tabla3[[#This Row],[ESTATUS DE NUM ECONOMICO]]</f>
        <v>INACTIVA</v>
      </c>
    </row>
    <row r="118" spans="1:33 16384:16384" ht="15.75" thickBot="1" x14ac:dyDescent="0.3">
      <c r="A118" s="8">
        <v>32</v>
      </c>
      <c r="B118" s="9">
        <v>46169</v>
      </c>
      <c r="C118" s="10" t="s">
        <v>87</v>
      </c>
      <c r="D118" s="10" t="s">
        <v>254</v>
      </c>
      <c r="E118" s="16">
        <v>80</v>
      </c>
      <c r="F118" s="9">
        <v>46178</v>
      </c>
      <c r="G118" s="212" t="str">
        <f>IFERROR(VLOOKUP(Tabla3[[#This Row],[NUM ECONOMICO]],MAQUINARIA!B:H,7,0), " MAQ")</f>
        <v>INACTIVA</v>
      </c>
      <c r="H118" s="214" t="s">
        <v>247</v>
      </c>
      <c r="I118" s="41">
        <v>1697055</v>
      </c>
      <c r="J118" s="10"/>
      <c r="K118" s="10">
        <v>5</v>
      </c>
      <c r="L118" s="12"/>
      <c r="M118" s="13">
        <f t="shared" si="1"/>
        <v>0</v>
      </c>
      <c r="N118" s="41"/>
      <c r="O118" s="10"/>
      <c r="P118" s="10">
        <f>Tabla3[[#This Row],[COSTO UNITARIO DOLARES EN HAWTHORNE]]*Tabla3[[#This Row],[CANTIDAD SOLICTADA]]</f>
        <v>0</v>
      </c>
      <c r="Q118" s="41"/>
      <c r="R118" s="229"/>
      <c r="S118" s="229">
        <f>+Tabla3[[#This Row],[COSTO UNITARIO DOLARES CTP]]*Tabla3[[#This Row],[CANTIDAD SOLICTADA]]</f>
        <v>0</v>
      </c>
      <c r="T118" s="41"/>
      <c r="U118" s="14" t="s">
        <v>4</v>
      </c>
      <c r="V118" s="8" t="s">
        <v>249</v>
      </c>
      <c r="W118" s="9">
        <v>46174</v>
      </c>
      <c r="X118" s="10" t="s">
        <v>89</v>
      </c>
      <c r="Y118" s="10" t="s">
        <v>90</v>
      </c>
      <c r="Z118" s="16" t="s">
        <v>44</v>
      </c>
      <c r="AA118" s="25">
        <v>46171</v>
      </c>
      <c r="AB118" s="25">
        <v>46175</v>
      </c>
      <c r="AC118" s="16" t="s">
        <v>256</v>
      </c>
      <c r="AD118" s="16"/>
      <c r="AE118" s="16" t="s">
        <v>140</v>
      </c>
      <c r="AF118" s="16"/>
      <c r="AG118" s="21" t="s">
        <v>252</v>
      </c>
      <c r="XFD118" s="15" t="str">
        <f>+Tabla3[[#This Row],[ESTATUS DE NUM ECONOMICO]]</f>
        <v>INACTIVA</v>
      </c>
    </row>
    <row r="119" spans="1:33 16384:16384" ht="15.75" thickBot="1" x14ac:dyDescent="0.3">
      <c r="A119" s="8">
        <v>32</v>
      </c>
      <c r="B119" s="9">
        <v>46169</v>
      </c>
      <c r="C119" s="10" t="s">
        <v>87</v>
      </c>
      <c r="D119" s="10" t="s">
        <v>254</v>
      </c>
      <c r="E119" s="16">
        <v>80</v>
      </c>
      <c r="F119" s="9">
        <v>46178</v>
      </c>
      <c r="G119" s="212" t="str">
        <f>IFERROR(VLOOKUP(Tabla3[[#This Row],[NUM ECONOMICO]],MAQUINARIA!B:H,7,0), " MAQ")</f>
        <v>INACTIVA</v>
      </c>
      <c r="H119" s="214" t="s">
        <v>247</v>
      </c>
      <c r="I119" s="41" t="s">
        <v>288</v>
      </c>
      <c r="J119" s="10"/>
      <c r="K119" s="10">
        <v>1</v>
      </c>
      <c r="L119" s="12"/>
      <c r="M119" s="13">
        <f t="shared" si="1"/>
        <v>0</v>
      </c>
      <c r="N119" s="41"/>
      <c r="O119" s="10"/>
      <c r="P119" s="10">
        <f>Tabla3[[#This Row],[COSTO UNITARIO DOLARES EN HAWTHORNE]]*Tabla3[[#This Row],[CANTIDAD SOLICTADA]]</f>
        <v>0</v>
      </c>
      <c r="Q119" s="41"/>
      <c r="R119" s="229"/>
      <c r="S119" s="229">
        <f>+Tabla3[[#This Row],[COSTO UNITARIO DOLARES CTP]]*Tabla3[[#This Row],[CANTIDAD SOLICTADA]]</f>
        <v>0</v>
      </c>
      <c r="T119" s="41"/>
      <c r="U119" s="14" t="s">
        <v>4</v>
      </c>
      <c r="V119" s="8" t="s">
        <v>249</v>
      </c>
      <c r="W119" s="9">
        <v>46174</v>
      </c>
      <c r="X119" s="10" t="s">
        <v>89</v>
      </c>
      <c r="Y119" s="10">
        <v>1</v>
      </c>
      <c r="Z119" s="16" t="s">
        <v>44</v>
      </c>
      <c r="AA119" s="25">
        <v>46171</v>
      </c>
      <c r="AB119" s="25">
        <v>46175</v>
      </c>
      <c r="AC119" s="16" t="s">
        <v>256</v>
      </c>
      <c r="AD119" s="16"/>
      <c r="AE119" s="16" t="s">
        <v>140</v>
      </c>
      <c r="AF119" s="16"/>
      <c r="AG119" s="21" t="s">
        <v>252</v>
      </c>
      <c r="XFD119" s="15" t="str">
        <f>+Tabla3[[#This Row],[ESTATUS DE NUM ECONOMICO]]</f>
        <v>INACTIVA</v>
      </c>
    </row>
    <row r="120" spans="1:33 16384:16384" ht="15.75" thickBot="1" x14ac:dyDescent="0.3">
      <c r="A120" s="8">
        <v>32</v>
      </c>
      <c r="B120" s="9">
        <v>46169</v>
      </c>
      <c r="C120" s="10" t="s">
        <v>87</v>
      </c>
      <c r="D120" s="10" t="s">
        <v>254</v>
      </c>
      <c r="E120" s="16">
        <v>80</v>
      </c>
      <c r="F120" s="9">
        <v>46178</v>
      </c>
      <c r="G120" s="212" t="str">
        <f>IFERROR(VLOOKUP(Tabla3[[#This Row],[NUM ECONOMICO]],MAQUINARIA!B:H,7,0), " MAQ")</f>
        <v>INACTIVA</v>
      </c>
      <c r="H120" s="214" t="s">
        <v>247</v>
      </c>
      <c r="I120" s="41" t="s">
        <v>289</v>
      </c>
      <c r="J120" s="10"/>
      <c r="K120" s="10">
        <v>8</v>
      </c>
      <c r="L120" s="12"/>
      <c r="M120" s="13">
        <f t="shared" si="1"/>
        <v>0</v>
      </c>
      <c r="N120" s="41"/>
      <c r="O120" s="10"/>
      <c r="P120" s="10">
        <f>Tabla3[[#This Row],[COSTO UNITARIO DOLARES EN HAWTHORNE]]*Tabla3[[#This Row],[CANTIDAD SOLICTADA]]</f>
        <v>0</v>
      </c>
      <c r="Q120" s="41"/>
      <c r="R120" s="229"/>
      <c r="S120" s="229">
        <f>+Tabla3[[#This Row],[COSTO UNITARIO DOLARES CTP]]*Tabla3[[#This Row],[CANTIDAD SOLICTADA]]</f>
        <v>0</v>
      </c>
      <c r="T120" s="41"/>
      <c r="U120" s="14" t="s">
        <v>4</v>
      </c>
      <c r="V120" s="8" t="s">
        <v>249</v>
      </c>
      <c r="W120" s="9">
        <v>46174</v>
      </c>
      <c r="X120" s="10" t="s">
        <v>89</v>
      </c>
      <c r="Y120" s="10" t="s">
        <v>90</v>
      </c>
      <c r="Z120" s="16" t="s">
        <v>44</v>
      </c>
      <c r="AA120" s="25">
        <v>46171</v>
      </c>
      <c r="AB120" s="25">
        <v>46175</v>
      </c>
      <c r="AC120" s="16" t="s">
        <v>256</v>
      </c>
      <c r="AD120" s="16"/>
      <c r="AE120" s="16" t="s">
        <v>140</v>
      </c>
      <c r="AF120" s="16"/>
      <c r="AG120" s="21" t="s">
        <v>252</v>
      </c>
      <c r="XFD120" s="15" t="str">
        <f>+Tabla3[[#This Row],[ESTATUS DE NUM ECONOMICO]]</f>
        <v>INACTIVA</v>
      </c>
    </row>
    <row r="121" spans="1:33 16384:16384" ht="15.75" thickBot="1" x14ac:dyDescent="0.3">
      <c r="A121" s="8">
        <v>32</v>
      </c>
      <c r="B121" s="9">
        <v>46169</v>
      </c>
      <c r="C121" s="10" t="s">
        <v>87</v>
      </c>
      <c r="D121" s="10" t="s">
        <v>254</v>
      </c>
      <c r="E121" s="16">
        <v>80</v>
      </c>
      <c r="F121" s="9">
        <v>46178</v>
      </c>
      <c r="G121" s="212" t="str">
        <f>IFERROR(VLOOKUP(Tabla3[[#This Row],[NUM ECONOMICO]],MAQUINARIA!B:H,7,0), " MAQ")</f>
        <v>INACTIVA</v>
      </c>
      <c r="H121" s="214" t="s">
        <v>247</v>
      </c>
      <c r="I121" s="41" t="s">
        <v>290</v>
      </c>
      <c r="J121" s="10"/>
      <c r="K121" s="10">
        <v>5</v>
      </c>
      <c r="L121" s="12"/>
      <c r="M121" s="13">
        <f t="shared" si="1"/>
        <v>0</v>
      </c>
      <c r="N121" s="41"/>
      <c r="O121" s="10"/>
      <c r="P121" s="10">
        <f>Tabla3[[#This Row],[COSTO UNITARIO DOLARES EN HAWTHORNE]]*Tabla3[[#This Row],[CANTIDAD SOLICTADA]]</f>
        <v>0</v>
      </c>
      <c r="Q121" s="41"/>
      <c r="R121" s="229"/>
      <c r="S121" s="229">
        <f>+Tabla3[[#This Row],[COSTO UNITARIO DOLARES CTP]]*Tabla3[[#This Row],[CANTIDAD SOLICTADA]]</f>
        <v>0</v>
      </c>
      <c r="T121" s="41"/>
      <c r="U121" s="14" t="s">
        <v>4</v>
      </c>
      <c r="V121" s="8" t="s">
        <v>249</v>
      </c>
      <c r="W121" s="9">
        <v>46174</v>
      </c>
      <c r="X121" s="10" t="s">
        <v>89</v>
      </c>
      <c r="Y121" s="10" t="s">
        <v>90</v>
      </c>
      <c r="Z121" s="16" t="s">
        <v>44</v>
      </c>
      <c r="AA121" s="25">
        <v>46171</v>
      </c>
      <c r="AB121" s="25">
        <v>46175</v>
      </c>
      <c r="AC121" s="16" t="s">
        <v>256</v>
      </c>
      <c r="AD121" s="16"/>
      <c r="AE121" s="16" t="s">
        <v>140</v>
      </c>
      <c r="AF121" s="16"/>
      <c r="AG121" s="21" t="s">
        <v>252</v>
      </c>
      <c r="XFD121" s="15" t="str">
        <f>+Tabla3[[#This Row],[ESTATUS DE NUM ECONOMICO]]</f>
        <v>INACTIVA</v>
      </c>
    </row>
    <row r="122" spans="1:33 16384:16384" ht="15.75" thickBot="1" x14ac:dyDescent="0.3">
      <c r="A122" s="8">
        <v>32</v>
      </c>
      <c r="B122" s="9">
        <v>46169</v>
      </c>
      <c r="C122" s="10" t="s">
        <v>87</v>
      </c>
      <c r="D122" s="10" t="s">
        <v>254</v>
      </c>
      <c r="E122" s="16">
        <v>80</v>
      </c>
      <c r="F122" s="9">
        <v>46178</v>
      </c>
      <c r="G122" s="212" t="str">
        <f>IFERROR(VLOOKUP(Tabla3[[#This Row],[NUM ECONOMICO]],MAQUINARIA!B:H,7,0), " MAQ")</f>
        <v>INACTIVA</v>
      </c>
      <c r="H122" s="214" t="s">
        <v>247</v>
      </c>
      <c r="I122" s="41" t="s">
        <v>291</v>
      </c>
      <c r="J122" s="10"/>
      <c r="K122" s="10">
        <v>4</v>
      </c>
      <c r="L122" s="12"/>
      <c r="M122" s="13">
        <f t="shared" si="1"/>
        <v>0</v>
      </c>
      <c r="N122" s="41"/>
      <c r="O122" s="10"/>
      <c r="P122" s="10">
        <f>Tabla3[[#This Row],[COSTO UNITARIO DOLARES EN HAWTHORNE]]*Tabla3[[#This Row],[CANTIDAD SOLICTADA]]</f>
        <v>0</v>
      </c>
      <c r="Q122" s="41"/>
      <c r="R122" s="229"/>
      <c r="S122" s="229">
        <f>+Tabla3[[#This Row],[COSTO UNITARIO DOLARES CTP]]*Tabla3[[#This Row],[CANTIDAD SOLICTADA]]</f>
        <v>0</v>
      </c>
      <c r="T122" s="41"/>
      <c r="U122" s="14" t="s">
        <v>4</v>
      </c>
      <c r="V122" s="8" t="s">
        <v>249</v>
      </c>
      <c r="W122" s="9">
        <v>46174</v>
      </c>
      <c r="X122" s="10" t="s">
        <v>89</v>
      </c>
      <c r="Y122" s="10" t="s">
        <v>90</v>
      </c>
      <c r="Z122" s="16" t="s">
        <v>44</v>
      </c>
      <c r="AA122" s="25">
        <v>46171</v>
      </c>
      <c r="AB122" s="25">
        <v>46175</v>
      </c>
      <c r="AC122" s="16" t="s">
        <v>256</v>
      </c>
      <c r="AD122" s="16"/>
      <c r="AE122" s="16" t="s">
        <v>140</v>
      </c>
      <c r="AF122" s="16"/>
      <c r="AG122" s="21" t="s">
        <v>252</v>
      </c>
      <c r="XFD122" s="15" t="str">
        <f>+Tabla3[[#This Row],[ESTATUS DE NUM ECONOMICO]]</f>
        <v>INACTIVA</v>
      </c>
    </row>
    <row r="123" spans="1:33 16384:16384" ht="15.75" thickBot="1" x14ac:dyDescent="0.3">
      <c r="A123" s="8">
        <v>32</v>
      </c>
      <c r="B123" s="9">
        <v>46169</v>
      </c>
      <c r="C123" s="10" t="s">
        <v>87</v>
      </c>
      <c r="D123" s="11"/>
      <c r="E123" s="16">
        <v>81</v>
      </c>
      <c r="F123" s="9">
        <v>46178</v>
      </c>
      <c r="G123" s="212" t="str">
        <f>IFERROR(VLOOKUP(Tabla3[[#This Row],[NUM ECONOMICO]],MAQUINARIA!B:H,7,0), " MAQ")</f>
        <v>INACTIVA</v>
      </c>
      <c r="H123" s="214" t="s">
        <v>247</v>
      </c>
      <c r="I123" s="41">
        <v>2033940</v>
      </c>
      <c r="J123" s="10" t="s">
        <v>292</v>
      </c>
      <c r="K123" s="10">
        <v>2</v>
      </c>
      <c r="L123" s="13">
        <v>49</v>
      </c>
      <c r="M123" s="13">
        <f t="shared" si="1"/>
        <v>98</v>
      </c>
      <c r="N123" s="41"/>
      <c r="O123" s="287">
        <v>3.48</v>
      </c>
      <c r="P123" s="287">
        <f>Tabla3[[#This Row],[COSTO UNITARIO DOLARES EN HAWTHORNE]]*Tabla3[[#This Row],[CANTIDAD SOLICTADA]]</f>
        <v>6.96</v>
      </c>
      <c r="Q123" s="41" t="s">
        <v>181</v>
      </c>
      <c r="R123" s="229">
        <v>0.71</v>
      </c>
      <c r="S123" s="229">
        <f>+Tabla3[[#This Row],[COSTO UNITARIO DOLARES CTP]]*Tabla3[[#This Row],[CANTIDAD SOLICTADA]]</f>
        <v>1.42</v>
      </c>
      <c r="T123" s="41"/>
      <c r="U123" s="18" t="s">
        <v>5</v>
      </c>
      <c r="V123" s="211" t="s">
        <v>249</v>
      </c>
      <c r="W123" s="10"/>
      <c r="X123" s="10" t="s">
        <v>89</v>
      </c>
      <c r="Y123" s="10" t="s">
        <v>90</v>
      </c>
      <c r="Z123" s="16" t="s">
        <v>250</v>
      </c>
      <c r="AA123" s="25">
        <v>46170</v>
      </c>
      <c r="AB123" s="25">
        <v>46118</v>
      </c>
      <c r="AC123" s="16"/>
      <c r="AD123" s="16"/>
      <c r="AE123" s="16" t="s">
        <v>251</v>
      </c>
      <c r="AF123" s="16" t="s">
        <v>251</v>
      </c>
      <c r="AG123" s="21" t="s">
        <v>252</v>
      </c>
      <c r="XFD123" s="15" t="str">
        <f>+Tabla3[[#This Row],[ESTATUS DE NUM ECONOMICO]]</f>
        <v>INACTIVA</v>
      </c>
    </row>
    <row r="124" spans="1:33 16384:16384" ht="15.75" thickBot="1" x14ac:dyDescent="0.3">
      <c r="A124" s="8">
        <v>32</v>
      </c>
      <c r="B124" s="9">
        <v>46169</v>
      </c>
      <c r="C124" s="10" t="s">
        <v>87</v>
      </c>
      <c r="D124" s="11"/>
      <c r="E124" s="16">
        <v>81</v>
      </c>
      <c r="F124" s="9">
        <v>46178</v>
      </c>
      <c r="G124" s="212" t="str">
        <f>IFERROR(VLOOKUP(Tabla3[[#This Row],[NUM ECONOMICO]],MAQUINARIA!B:H,7,0), " MAQ")</f>
        <v>INACTIVA</v>
      </c>
      <c r="H124" s="214" t="s">
        <v>247</v>
      </c>
      <c r="I124" s="41">
        <v>2825042</v>
      </c>
      <c r="J124" s="10" t="s">
        <v>293</v>
      </c>
      <c r="K124" s="10">
        <v>24</v>
      </c>
      <c r="L124" s="13">
        <v>477.58</v>
      </c>
      <c r="M124" s="13">
        <f t="shared" si="1"/>
        <v>11461.92</v>
      </c>
      <c r="N124" s="41"/>
      <c r="O124" s="287">
        <v>32.479999999999997</v>
      </c>
      <c r="P124" s="287">
        <f>Tabla3[[#This Row],[COSTO UNITARIO DOLARES EN HAWTHORNE]]*Tabla3[[#This Row],[CANTIDAD SOLICTADA]]</f>
        <v>779.52</v>
      </c>
      <c r="Q124" s="41" t="s">
        <v>294</v>
      </c>
      <c r="R124" s="229">
        <v>1.84</v>
      </c>
      <c r="S124" s="229">
        <f>+Tabla3[[#This Row],[COSTO UNITARIO DOLARES CTP]]*Tabla3[[#This Row],[CANTIDAD SOLICTADA]]</f>
        <v>44.160000000000004</v>
      </c>
      <c r="T124" s="41"/>
      <c r="U124" s="18" t="s">
        <v>5</v>
      </c>
      <c r="V124" s="211" t="s">
        <v>249</v>
      </c>
      <c r="W124" s="10"/>
      <c r="X124" s="10" t="s">
        <v>89</v>
      </c>
      <c r="Y124" s="10" t="s">
        <v>90</v>
      </c>
      <c r="Z124" s="16" t="s">
        <v>250</v>
      </c>
      <c r="AA124" s="25">
        <v>46170</v>
      </c>
      <c r="AB124" s="25">
        <v>46118</v>
      </c>
      <c r="AC124" s="16"/>
      <c r="AD124" s="16"/>
      <c r="AE124" s="16" t="s">
        <v>251</v>
      </c>
      <c r="AF124" s="16" t="s">
        <v>251</v>
      </c>
      <c r="AG124" s="21" t="s">
        <v>252</v>
      </c>
      <c r="XFD124" s="15" t="str">
        <f>+Tabla3[[#This Row],[ESTATUS DE NUM ECONOMICO]]</f>
        <v>INACTIVA</v>
      </c>
    </row>
    <row r="125" spans="1:33 16384:16384" ht="15.75" thickBot="1" x14ac:dyDescent="0.3">
      <c r="A125" s="8">
        <v>32</v>
      </c>
      <c r="B125" s="9">
        <v>46169</v>
      </c>
      <c r="C125" s="10" t="s">
        <v>87</v>
      </c>
      <c r="D125" s="10" t="s">
        <v>254</v>
      </c>
      <c r="E125" s="16">
        <v>80</v>
      </c>
      <c r="F125" s="9">
        <v>46178</v>
      </c>
      <c r="G125" s="212" t="str">
        <f>IFERROR(VLOOKUP(Tabla3[[#This Row],[NUM ECONOMICO]],MAQUINARIA!B:H,7,0), " MAQ")</f>
        <v>INACTIVA</v>
      </c>
      <c r="H125" s="214" t="s">
        <v>247</v>
      </c>
      <c r="I125" s="41" t="s">
        <v>295</v>
      </c>
      <c r="J125" s="10"/>
      <c r="K125" s="10">
        <v>14</v>
      </c>
      <c r="L125" s="12"/>
      <c r="M125" s="13">
        <f t="shared" si="1"/>
        <v>0</v>
      </c>
      <c r="N125" s="41"/>
      <c r="O125" s="10"/>
      <c r="P125" s="10">
        <f>Tabla3[[#This Row],[COSTO UNITARIO DOLARES EN HAWTHORNE]]*Tabla3[[#This Row],[CANTIDAD SOLICTADA]]</f>
        <v>0</v>
      </c>
      <c r="Q125" s="41"/>
      <c r="R125" s="229"/>
      <c r="S125" s="229">
        <f>+Tabla3[[#This Row],[COSTO UNITARIO DOLARES CTP]]*Tabla3[[#This Row],[CANTIDAD SOLICTADA]]</f>
        <v>0</v>
      </c>
      <c r="T125" s="41"/>
      <c r="U125" s="14" t="s">
        <v>4</v>
      </c>
      <c r="V125" s="8" t="s">
        <v>249</v>
      </c>
      <c r="W125" s="9">
        <v>46174</v>
      </c>
      <c r="X125" s="10" t="s">
        <v>89</v>
      </c>
      <c r="Y125" s="10" t="s">
        <v>90</v>
      </c>
      <c r="Z125" s="16" t="s">
        <v>44</v>
      </c>
      <c r="AA125" s="25">
        <v>46171</v>
      </c>
      <c r="AB125" s="25">
        <v>46175</v>
      </c>
      <c r="AC125" s="16" t="s">
        <v>256</v>
      </c>
      <c r="AD125" s="16"/>
      <c r="AE125" s="16" t="s">
        <v>140</v>
      </c>
      <c r="AF125" s="16"/>
      <c r="AG125" s="21" t="s">
        <v>252</v>
      </c>
      <c r="XFD125" s="15" t="str">
        <f>+Tabla3[[#This Row],[ESTATUS DE NUM ECONOMICO]]</f>
        <v>INACTIVA</v>
      </c>
    </row>
    <row r="126" spans="1:33 16384:16384" ht="15.75" thickBot="1" x14ac:dyDescent="0.3">
      <c r="A126" s="8">
        <v>32</v>
      </c>
      <c r="B126" s="9">
        <v>46169</v>
      </c>
      <c r="C126" s="10" t="s">
        <v>87</v>
      </c>
      <c r="D126" s="10" t="s">
        <v>254</v>
      </c>
      <c r="E126" s="16">
        <v>80</v>
      </c>
      <c r="F126" s="9">
        <v>46178</v>
      </c>
      <c r="G126" s="212" t="str">
        <f>IFERROR(VLOOKUP(Tabla3[[#This Row],[NUM ECONOMICO]],MAQUINARIA!B:H,7,0), " MAQ")</f>
        <v>INACTIVA</v>
      </c>
      <c r="H126" s="214" t="s">
        <v>247</v>
      </c>
      <c r="I126" s="41" t="s">
        <v>296</v>
      </c>
      <c r="J126" s="10"/>
      <c r="K126" s="10">
        <v>12</v>
      </c>
      <c r="L126" s="12"/>
      <c r="M126" s="13">
        <f t="shared" si="1"/>
        <v>0</v>
      </c>
      <c r="N126" s="41"/>
      <c r="O126" s="10"/>
      <c r="P126" s="10">
        <f>Tabla3[[#This Row],[COSTO UNITARIO DOLARES EN HAWTHORNE]]*Tabla3[[#This Row],[CANTIDAD SOLICTADA]]</f>
        <v>0</v>
      </c>
      <c r="Q126" s="41"/>
      <c r="R126" s="229"/>
      <c r="S126" s="229">
        <f>+Tabla3[[#This Row],[COSTO UNITARIO DOLARES CTP]]*Tabla3[[#This Row],[CANTIDAD SOLICTADA]]</f>
        <v>0</v>
      </c>
      <c r="T126" s="41"/>
      <c r="U126" s="14" t="s">
        <v>4</v>
      </c>
      <c r="V126" s="8" t="s">
        <v>249</v>
      </c>
      <c r="W126" s="9">
        <v>46174</v>
      </c>
      <c r="X126" s="10" t="s">
        <v>89</v>
      </c>
      <c r="Y126" s="10" t="s">
        <v>90</v>
      </c>
      <c r="Z126" s="16" t="s">
        <v>44</v>
      </c>
      <c r="AA126" s="25">
        <v>46171</v>
      </c>
      <c r="AB126" s="25">
        <v>46175</v>
      </c>
      <c r="AC126" s="16" t="s">
        <v>256</v>
      </c>
      <c r="AD126" s="16"/>
      <c r="AE126" s="16" t="s">
        <v>140</v>
      </c>
      <c r="AF126" s="16"/>
      <c r="AG126" s="21" t="s">
        <v>252</v>
      </c>
      <c r="XFD126" s="15" t="str">
        <f>+Tabla3[[#This Row],[ESTATUS DE NUM ECONOMICO]]</f>
        <v>INACTIVA</v>
      </c>
    </row>
    <row r="127" spans="1:33 16384:16384" ht="15.75" thickBot="1" x14ac:dyDescent="0.3">
      <c r="A127" s="8">
        <v>32</v>
      </c>
      <c r="B127" s="9">
        <v>46169</v>
      </c>
      <c r="C127" s="10" t="s">
        <v>87</v>
      </c>
      <c r="D127" s="10" t="s">
        <v>254</v>
      </c>
      <c r="E127" s="16">
        <v>80</v>
      </c>
      <c r="F127" s="9">
        <v>46178</v>
      </c>
      <c r="G127" s="212" t="str">
        <f>IFERROR(VLOOKUP(Tabla3[[#This Row],[NUM ECONOMICO]],MAQUINARIA!B:H,7,0), " MAQ")</f>
        <v>INACTIVA</v>
      </c>
      <c r="H127" s="214" t="s">
        <v>247</v>
      </c>
      <c r="I127" s="41" t="s">
        <v>297</v>
      </c>
      <c r="J127" s="10"/>
      <c r="K127" s="10">
        <v>2</v>
      </c>
      <c r="L127" s="12"/>
      <c r="M127" s="13">
        <f t="shared" si="1"/>
        <v>0</v>
      </c>
      <c r="N127" s="41"/>
      <c r="O127" s="10"/>
      <c r="P127" s="10">
        <f>Tabla3[[#This Row],[COSTO UNITARIO DOLARES EN HAWTHORNE]]*Tabla3[[#This Row],[CANTIDAD SOLICTADA]]</f>
        <v>0</v>
      </c>
      <c r="Q127" s="41"/>
      <c r="R127" s="229"/>
      <c r="S127" s="229">
        <f>+Tabla3[[#This Row],[COSTO UNITARIO DOLARES CTP]]*Tabla3[[#This Row],[CANTIDAD SOLICTADA]]</f>
        <v>0</v>
      </c>
      <c r="T127" s="41"/>
      <c r="U127" s="14" t="s">
        <v>4</v>
      </c>
      <c r="V127" s="8" t="s">
        <v>249</v>
      </c>
      <c r="W127" s="9">
        <v>46174</v>
      </c>
      <c r="X127" s="10" t="s">
        <v>89</v>
      </c>
      <c r="Y127" s="10">
        <v>0</v>
      </c>
      <c r="Z127" s="16" t="s">
        <v>44</v>
      </c>
      <c r="AA127" s="25">
        <v>46171</v>
      </c>
      <c r="AB127" s="25">
        <v>46175</v>
      </c>
      <c r="AC127" s="16" t="s">
        <v>256</v>
      </c>
      <c r="AD127" s="16"/>
      <c r="AE127" s="16" t="s">
        <v>140</v>
      </c>
      <c r="AF127" s="16"/>
      <c r="AG127" s="21" t="s">
        <v>252</v>
      </c>
      <c r="XFD127" s="15" t="str">
        <f>+Tabla3[[#This Row],[ESTATUS DE NUM ECONOMICO]]</f>
        <v>INACTIVA</v>
      </c>
    </row>
    <row r="128" spans="1:33 16384:16384" ht="15.75" thickBot="1" x14ac:dyDescent="0.3">
      <c r="A128" s="8">
        <v>32</v>
      </c>
      <c r="B128" s="9">
        <v>46169</v>
      </c>
      <c r="C128" s="10" t="s">
        <v>87</v>
      </c>
      <c r="D128" s="11"/>
      <c r="E128" s="16">
        <v>80</v>
      </c>
      <c r="F128" s="9">
        <v>46178</v>
      </c>
      <c r="G128" s="212" t="str">
        <f>IFERROR(VLOOKUP(Tabla3[[#This Row],[NUM ECONOMICO]],MAQUINARIA!B:H,7,0), " MAQ")</f>
        <v>INACTIVA</v>
      </c>
      <c r="H128" s="214" t="s">
        <v>247</v>
      </c>
      <c r="I128" s="41" t="s">
        <v>298</v>
      </c>
      <c r="J128" s="10">
        <v>0</v>
      </c>
      <c r="K128" s="10">
        <v>1</v>
      </c>
      <c r="L128" s="12"/>
      <c r="M128" s="13">
        <f t="shared" si="1"/>
        <v>0</v>
      </c>
      <c r="N128" s="41"/>
      <c r="O128" s="10"/>
      <c r="P128" s="10">
        <f>Tabla3[[#This Row],[COSTO UNITARIO DOLARES EN HAWTHORNE]]*Tabla3[[#This Row],[CANTIDAD SOLICTADA]]</f>
        <v>0</v>
      </c>
      <c r="Q128" s="41"/>
      <c r="R128" s="229">
        <v>20.13</v>
      </c>
      <c r="S128" s="229">
        <f>+Tabla3[[#This Row],[COSTO UNITARIO DOLARES CTP]]*Tabla3[[#This Row],[CANTIDAD SOLICTADA]]</f>
        <v>20.13</v>
      </c>
      <c r="T128" s="41"/>
      <c r="U128" s="14" t="s">
        <v>4</v>
      </c>
      <c r="V128" s="17"/>
      <c r="W128" s="10"/>
      <c r="X128" s="10" t="s">
        <v>96</v>
      </c>
      <c r="Y128" s="10">
        <v>1</v>
      </c>
      <c r="Z128" s="16"/>
      <c r="AA128" s="16"/>
      <c r="AB128" s="16"/>
      <c r="AC128" s="16"/>
      <c r="AD128" s="16"/>
      <c r="AE128" s="16" t="s">
        <v>251</v>
      </c>
      <c r="AF128" s="16"/>
      <c r="AG128" s="21" t="s">
        <v>252</v>
      </c>
      <c r="XFD128" s="15" t="str">
        <f>+Tabla3[[#This Row],[ESTATUS DE NUM ECONOMICO]]</f>
        <v>INACTIVA</v>
      </c>
    </row>
    <row r="129" spans="1:33 16384:16384" ht="15.75" thickBot="1" x14ac:dyDescent="0.3">
      <c r="A129" s="8">
        <v>32</v>
      </c>
      <c r="B129" s="9">
        <v>46169</v>
      </c>
      <c r="C129" s="10" t="s">
        <v>87</v>
      </c>
      <c r="D129" s="11"/>
      <c r="E129" s="16">
        <v>81</v>
      </c>
      <c r="F129" s="9">
        <v>46178</v>
      </c>
      <c r="G129" s="212" t="str">
        <f>IFERROR(VLOOKUP(Tabla3[[#This Row],[NUM ECONOMICO]],MAQUINARIA!B:H,7,0), " MAQ")</f>
        <v>INACTIVA</v>
      </c>
      <c r="H129" s="214" t="s">
        <v>247</v>
      </c>
      <c r="I129" s="41">
        <v>1918304</v>
      </c>
      <c r="J129" s="10" t="s">
        <v>299</v>
      </c>
      <c r="K129" s="10">
        <v>1</v>
      </c>
      <c r="L129" s="13">
        <v>3966.55</v>
      </c>
      <c r="M129" s="13">
        <f t="shared" si="1"/>
        <v>3966.55</v>
      </c>
      <c r="N129" s="41"/>
      <c r="O129" s="287">
        <v>235.21</v>
      </c>
      <c r="P129" s="287">
        <f>Tabla3[[#This Row],[COSTO UNITARIO DOLARES EN HAWTHORNE]]*Tabla3[[#This Row],[CANTIDAD SOLICTADA]]</f>
        <v>235.21</v>
      </c>
      <c r="Q129" s="41" t="s">
        <v>181</v>
      </c>
      <c r="R129" s="229">
        <v>32.25</v>
      </c>
      <c r="S129" s="229">
        <f>+Tabla3[[#This Row],[COSTO UNITARIO DOLARES CTP]]*Tabla3[[#This Row],[CANTIDAD SOLICTADA]]</f>
        <v>32.25</v>
      </c>
      <c r="T129" s="41"/>
      <c r="U129" s="18" t="s">
        <v>5</v>
      </c>
      <c r="V129" s="211" t="s">
        <v>249</v>
      </c>
      <c r="W129" s="10"/>
      <c r="X129" s="10" t="s">
        <v>89</v>
      </c>
      <c r="Y129" s="10" t="s">
        <v>90</v>
      </c>
      <c r="Z129" s="16" t="s">
        <v>250</v>
      </c>
      <c r="AA129" s="25">
        <v>46170</v>
      </c>
      <c r="AB129" s="25">
        <v>46118</v>
      </c>
      <c r="AC129" s="16"/>
      <c r="AD129" s="16"/>
      <c r="AE129" s="16" t="s">
        <v>251</v>
      </c>
      <c r="AF129" s="16" t="s">
        <v>251</v>
      </c>
      <c r="AG129" s="21" t="s">
        <v>252</v>
      </c>
      <c r="XFD129" s="15" t="str">
        <f>+Tabla3[[#This Row],[ESTATUS DE NUM ECONOMICO]]</f>
        <v>INACTIVA</v>
      </c>
    </row>
    <row r="130" spans="1:33 16384:16384" ht="15.75" thickBot="1" x14ac:dyDescent="0.3">
      <c r="A130" s="8">
        <v>32</v>
      </c>
      <c r="B130" s="9">
        <v>46169</v>
      </c>
      <c r="C130" s="10" t="s">
        <v>87</v>
      </c>
      <c r="D130" s="11"/>
      <c r="E130" s="16">
        <v>81</v>
      </c>
      <c r="F130" s="9">
        <v>46178</v>
      </c>
      <c r="G130" s="212" t="str">
        <f>IFERROR(VLOOKUP(Tabla3[[#This Row],[NUM ECONOMICO]],MAQUINARIA!B:H,7,0), " MAQ")</f>
        <v>INACTIVA</v>
      </c>
      <c r="H130" s="214" t="s">
        <v>247</v>
      </c>
      <c r="I130" s="41">
        <v>1918305</v>
      </c>
      <c r="J130" s="10" t="s">
        <v>253</v>
      </c>
      <c r="K130" s="10">
        <v>1</v>
      </c>
      <c r="L130" s="13">
        <v>4064.73</v>
      </c>
      <c r="M130" s="13">
        <f t="shared" ref="M130:M193" si="2">+L130*K130</f>
        <v>4064.73</v>
      </c>
      <c r="N130" s="41"/>
      <c r="O130" s="287">
        <v>241.05</v>
      </c>
      <c r="P130" s="287">
        <f>Tabla3[[#This Row],[COSTO UNITARIO DOLARES EN HAWTHORNE]]*Tabla3[[#This Row],[CANTIDAD SOLICTADA]]</f>
        <v>241.05</v>
      </c>
      <c r="Q130" s="41" t="s">
        <v>181</v>
      </c>
      <c r="R130" s="229">
        <v>38.840000000000003</v>
      </c>
      <c r="S130" s="229">
        <f>+Tabla3[[#This Row],[COSTO UNITARIO DOLARES CTP]]*Tabla3[[#This Row],[CANTIDAD SOLICTADA]]</f>
        <v>38.840000000000003</v>
      </c>
      <c r="T130" s="41"/>
      <c r="U130" s="18" t="s">
        <v>5</v>
      </c>
      <c r="V130" s="211" t="s">
        <v>249</v>
      </c>
      <c r="W130" s="10"/>
      <c r="X130" s="10" t="s">
        <v>89</v>
      </c>
      <c r="Y130" s="10" t="s">
        <v>90</v>
      </c>
      <c r="Z130" s="16" t="s">
        <v>250</v>
      </c>
      <c r="AA130" s="25">
        <v>46170</v>
      </c>
      <c r="AB130" s="25">
        <v>46118</v>
      </c>
      <c r="AC130" s="16"/>
      <c r="AD130" s="16"/>
      <c r="AE130" s="16" t="s">
        <v>251</v>
      </c>
      <c r="AF130" s="16" t="s">
        <v>251</v>
      </c>
      <c r="AG130" s="21" t="s">
        <v>252</v>
      </c>
      <c r="XFD130" s="15" t="str">
        <f>+Tabla3[[#This Row],[ESTATUS DE NUM ECONOMICO]]</f>
        <v>INACTIVA</v>
      </c>
    </row>
    <row r="131" spans="1:33 16384:16384" ht="15.75" thickBot="1" x14ac:dyDescent="0.3">
      <c r="A131" s="8">
        <v>32</v>
      </c>
      <c r="B131" s="9">
        <v>46169</v>
      </c>
      <c r="C131" s="10" t="s">
        <v>87</v>
      </c>
      <c r="D131" s="10" t="s">
        <v>254</v>
      </c>
      <c r="E131" s="16">
        <v>80</v>
      </c>
      <c r="F131" s="9">
        <v>46178</v>
      </c>
      <c r="G131" s="212" t="str">
        <f>IFERROR(VLOOKUP(Tabla3[[#This Row],[NUM ECONOMICO]],MAQUINARIA!B:H,7,0), " MAQ")</f>
        <v>INACTIVA</v>
      </c>
      <c r="H131" s="214" t="s">
        <v>247</v>
      </c>
      <c r="I131" s="41" t="s">
        <v>300</v>
      </c>
      <c r="J131" s="10"/>
      <c r="K131" s="10">
        <v>4</v>
      </c>
      <c r="L131" s="12"/>
      <c r="M131" s="13">
        <f t="shared" si="2"/>
        <v>0</v>
      </c>
      <c r="N131" s="41"/>
      <c r="O131" s="10"/>
      <c r="P131" s="10">
        <f>Tabla3[[#This Row],[COSTO UNITARIO DOLARES EN HAWTHORNE]]*Tabla3[[#This Row],[CANTIDAD SOLICTADA]]</f>
        <v>0</v>
      </c>
      <c r="Q131" s="41"/>
      <c r="R131" s="229"/>
      <c r="S131" s="229">
        <f>+Tabla3[[#This Row],[COSTO UNITARIO DOLARES CTP]]*Tabla3[[#This Row],[CANTIDAD SOLICTADA]]</f>
        <v>0</v>
      </c>
      <c r="T131" s="41"/>
      <c r="U131" s="14" t="s">
        <v>4</v>
      </c>
      <c r="V131" s="8" t="s">
        <v>249</v>
      </c>
      <c r="W131" s="9">
        <v>46174</v>
      </c>
      <c r="X131" s="10" t="s">
        <v>89</v>
      </c>
      <c r="Y131" s="10">
        <v>5</v>
      </c>
      <c r="Z131" s="16" t="s">
        <v>44</v>
      </c>
      <c r="AA131" s="25">
        <v>46171</v>
      </c>
      <c r="AB131" s="25">
        <v>46175</v>
      </c>
      <c r="AC131" s="16" t="s">
        <v>256</v>
      </c>
      <c r="AD131" s="16"/>
      <c r="AE131" s="16" t="s">
        <v>140</v>
      </c>
      <c r="AF131" s="16"/>
      <c r="AG131" s="21" t="s">
        <v>252</v>
      </c>
      <c r="XFD131" s="15" t="str">
        <f>+Tabla3[[#This Row],[ESTATUS DE NUM ECONOMICO]]</f>
        <v>INACTIVA</v>
      </c>
    </row>
    <row r="132" spans="1:33 16384:16384" ht="15.75" thickBot="1" x14ac:dyDescent="0.3">
      <c r="A132" s="8">
        <v>32</v>
      </c>
      <c r="B132" s="9">
        <v>46169</v>
      </c>
      <c r="C132" s="10" t="s">
        <v>87</v>
      </c>
      <c r="D132" s="10" t="s">
        <v>254</v>
      </c>
      <c r="E132" s="16">
        <v>80</v>
      </c>
      <c r="F132" s="9">
        <v>46178</v>
      </c>
      <c r="G132" s="212" t="str">
        <f>IFERROR(VLOOKUP(Tabla3[[#This Row],[NUM ECONOMICO]],MAQUINARIA!B:H,7,0), " MAQ")</f>
        <v>INACTIVA</v>
      </c>
      <c r="H132" s="214" t="s">
        <v>247</v>
      </c>
      <c r="I132" s="41" t="s">
        <v>301</v>
      </c>
      <c r="J132" s="10"/>
      <c r="K132" s="10">
        <v>1</v>
      </c>
      <c r="L132" s="12"/>
      <c r="M132" s="13">
        <f t="shared" si="2"/>
        <v>0</v>
      </c>
      <c r="N132" s="41"/>
      <c r="O132" s="10"/>
      <c r="P132" s="10">
        <f>Tabla3[[#This Row],[COSTO UNITARIO DOLARES EN HAWTHORNE]]*Tabla3[[#This Row],[CANTIDAD SOLICTADA]]</f>
        <v>0</v>
      </c>
      <c r="Q132" s="41"/>
      <c r="R132" s="229"/>
      <c r="S132" s="229">
        <f>+Tabla3[[#This Row],[COSTO UNITARIO DOLARES CTP]]*Tabla3[[#This Row],[CANTIDAD SOLICTADA]]</f>
        <v>0</v>
      </c>
      <c r="T132" s="41"/>
      <c r="U132" s="14" t="s">
        <v>4</v>
      </c>
      <c r="V132" s="8" t="s">
        <v>249</v>
      </c>
      <c r="W132" s="9">
        <v>46174</v>
      </c>
      <c r="X132" s="10" t="s">
        <v>89</v>
      </c>
      <c r="Y132" s="10" t="s">
        <v>90</v>
      </c>
      <c r="Z132" s="16" t="s">
        <v>44</v>
      </c>
      <c r="AA132" s="25">
        <v>46171</v>
      </c>
      <c r="AB132" s="25">
        <v>46175</v>
      </c>
      <c r="AC132" s="16" t="s">
        <v>256</v>
      </c>
      <c r="AD132" s="16"/>
      <c r="AE132" s="16" t="s">
        <v>140</v>
      </c>
      <c r="AF132" s="16"/>
      <c r="AG132" s="21" t="s">
        <v>252</v>
      </c>
      <c r="XFD132" s="15" t="str">
        <f>+Tabla3[[#This Row],[ESTATUS DE NUM ECONOMICO]]</f>
        <v>INACTIVA</v>
      </c>
    </row>
    <row r="133" spans="1:33 16384:16384" ht="15.75" thickBot="1" x14ac:dyDescent="0.3">
      <c r="A133" s="8">
        <v>32</v>
      </c>
      <c r="B133" s="9">
        <v>46169</v>
      </c>
      <c r="C133" s="10" t="s">
        <v>87</v>
      </c>
      <c r="D133" s="10" t="s">
        <v>254</v>
      </c>
      <c r="E133" s="16">
        <v>80</v>
      </c>
      <c r="F133" s="9">
        <v>46178</v>
      </c>
      <c r="G133" s="212" t="str">
        <f>IFERROR(VLOOKUP(Tabla3[[#This Row],[NUM ECONOMICO]],MAQUINARIA!B:H,7,0), " MAQ")</f>
        <v>INACTIVA</v>
      </c>
      <c r="H133" s="214" t="s">
        <v>247</v>
      </c>
      <c r="I133" s="41" t="s">
        <v>302</v>
      </c>
      <c r="J133" s="10"/>
      <c r="K133" s="10">
        <v>1</v>
      </c>
      <c r="L133" s="12"/>
      <c r="M133" s="13">
        <f t="shared" si="2"/>
        <v>0</v>
      </c>
      <c r="N133" s="41"/>
      <c r="O133" s="10"/>
      <c r="P133" s="10">
        <f>Tabla3[[#This Row],[COSTO UNITARIO DOLARES EN HAWTHORNE]]*Tabla3[[#This Row],[CANTIDAD SOLICTADA]]</f>
        <v>0</v>
      </c>
      <c r="Q133" s="41"/>
      <c r="R133" s="229"/>
      <c r="S133" s="229">
        <f>+Tabla3[[#This Row],[COSTO UNITARIO DOLARES CTP]]*Tabla3[[#This Row],[CANTIDAD SOLICTADA]]</f>
        <v>0</v>
      </c>
      <c r="T133" s="41"/>
      <c r="U133" s="14" t="s">
        <v>4</v>
      </c>
      <c r="V133" s="8" t="s">
        <v>249</v>
      </c>
      <c r="W133" s="9">
        <v>46174</v>
      </c>
      <c r="X133" s="10" t="s">
        <v>89</v>
      </c>
      <c r="Y133" s="10" t="s">
        <v>90</v>
      </c>
      <c r="Z133" s="16" t="s">
        <v>44</v>
      </c>
      <c r="AA133" s="25">
        <v>46171</v>
      </c>
      <c r="AB133" s="25">
        <v>46175</v>
      </c>
      <c r="AC133" s="16" t="s">
        <v>256</v>
      </c>
      <c r="AD133" s="16"/>
      <c r="AE133" s="16" t="s">
        <v>140</v>
      </c>
      <c r="AF133" s="16"/>
      <c r="AG133" s="21" t="s">
        <v>252</v>
      </c>
      <c r="XFD133" s="15" t="str">
        <f>+Tabla3[[#This Row],[ESTATUS DE NUM ECONOMICO]]</f>
        <v>INACTIVA</v>
      </c>
    </row>
    <row r="134" spans="1:33 16384:16384" ht="15.75" thickBot="1" x14ac:dyDescent="0.3">
      <c r="A134" s="8">
        <v>32</v>
      </c>
      <c r="B134" s="9">
        <v>46169</v>
      </c>
      <c r="C134" s="10" t="s">
        <v>87</v>
      </c>
      <c r="D134" s="10" t="s">
        <v>254</v>
      </c>
      <c r="E134" s="16">
        <v>80</v>
      </c>
      <c r="F134" s="9">
        <v>46178</v>
      </c>
      <c r="G134" s="212" t="str">
        <f>IFERROR(VLOOKUP(Tabla3[[#This Row],[NUM ECONOMICO]],MAQUINARIA!B:H,7,0), " MAQ")</f>
        <v>INACTIVA</v>
      </c>
      <c r="H134" s="214" t="s">
        <v>247</v>
      </c>
      <c r="I134" s="41">
        <v>1654852</v>
      </c>
      <c r="J134" s="10"/>
      <c r="K134" s="10">
        <v>2</v>
      </c>
      <c r="L134" s="12"/>
      <c r="M134" s="13">
        <f t="shared" si="2"/>
        <v>0</v>
      </c>
      <c r="N134" s="41"/>
      <c r="O134" s="10"/>
      <c r="P134" s="10">
        <f>Tabla3[[#This Row],[COSTO UNITARIO DOLARES EN HAWTHORNE]]*Tabla3[[#This Row],[CANTIDAD SOLICTADA]]</f>
        <v>0</v>
      </c>
      <c r="Q134" s="41"/>
      <c r="R134" s="229"/>
      <c r="S134" s="229">
        <f>+Tabla3[[#This Row],[COSTO UNITARIO DOLARES CTP]]*Tabla3[[#This Row],[CANTIDAD SOLICTADA]]</f>
        <v>0</v>
      </c>
      <c r="T134" s="41"/>
      <c r="U134" s="14" t="s">
        <v>4</v>
      </c>
      <c r="V134" s="8" t="s">
        <v>249</v>
      </c>
      <c r="W134" s="9">
        <v>46174</v>
      </c>
      <c r="X134" s="10" t="s">
        <v>89</v>
      </c>
      <c r="Y134" s="10">
        <v>1</v>
      </c>
      <c r="Z134" s="16" t="s">
        <v>44</v>
      </c>
      <c r="AA134" s="25">
        <v>46171</v>
      </c>
      <c r="AB134" s="25">
        <v>46175</v>
      </c>
      <c r="AC134" s="16" t="s">
        <v>256</v>
      </c>
      <c r="AD134" s="16"/>
      <c r="AE134" s="16" t="s">
        <v>140</v>
      </c>
      <c r="AF134" s="16"/>
      <c r="AG134" s="21" t="s">
        <v>252</v>
      </c>
      <c r="XFD134" s="15" t="str">
        <f>+Tabla3[[#This Row],[ESTATUS DE NUM ECONOMICO]]</f>
        <v>INACTIVA</v>
      </c>
    </row>
    <row r="135" spans="1:33 16384:16384" ht="15.75" thickBot="1" x14ac:dyDescent="0.3">
      <c r="A135" s="8">
        <v>32</v>
      </c>
      <c r="B135" s="9">
        <v>46169</v>
      </c>
      <c r="C135" s="10" t="s">
        <v>87</v>
      </c>
      <c r="D135" s="10" t="s">
        <v>254</v>
      </c>
      <c r="E135" s="16">
        <v>80</v>
      </c>
      <c r="F135" s="9">
        <v>46178</v>
      </c>
      <c r="G135" s="212" t="str">
        <f>IFERROR(VLOOKUP(Tabla3[[#This Row],[NUM ECONOMICO]],MAQUINARIA!B:H,7,0), " MAQ")</f>
        <v>INACTIVA</v>
      </c>
      <c r="H135" s="214" t="s">
        <v>247</v>
      </c>
      <c r="I135" s="41" t="s">
        <v>303</v>
      </c>
      <c r="J135" s="10"/>
      <c r="K135" s="10">
        <v>1</v>
      </c>
      <c r="L135" s="12"/>
      <c r="M135" s="13">
        <f t="shared" si="2"/>
        <v>0</v>
      </c>
      <c r="N135" s="41"/>
      <c r="O135" s="10"/>
      <c r="P135" s="10">
        <f>Tabla3[[#This Row],[COSTO UNITARIO DOLARES EN HAWTHORNE]]*Tabla3[[#This Row],[CANTIDAD SOLICTADA]]</f>
        <v>0</v>
      </c>
      <c r="Q135" s="41"/>
      <c r="R135" s="229"/>
      <c r="S135" s="229">
        <f>+Tabla3[[#This Row],[COSTO UNITARIO DOLARES CTP]]*Tabla3[[#This Row],[CANTIDAD SOLICTADA]]</f>
        <v>0</v>
      </c>
      <c r="T135" s="41"/>
      <c r="U135" s="14" t="s">
        <v>4</v>
      </c>
      <c r="V135" s="8" t="s">
        <v>249</v>
      </c>
      <c r="W135" s="9">
        <v>46174</v>
      </c>
      <c r="X135" s="10" t="s">
        <v>89</v>
      </c>
      <c r="Y135" s="10">
        <v>2</v>
      </c>
      <c r="Z135" s="16" t="s">
        <v>44</v>
      </c>
      <c r="AA135" s="25">
        <v>46171</v>
      </c>
      <c r="AB135" s="25">
        <v>46175</v>
      </c>
      <c r="AC135" s="16" t="s">
        <v>256</v>
      </c>
      <c r="AD135" s="16"/>
      <c r="AE135" s="16" t="s">
        <v>140</v>
      </c>
      <c r="AF135" s="16"/>
      <c r="AG135" s="21" t="s">
        <v>252</v>
      </c>
      <c r="XFD135" s="15" t="str">
        <f>+Tabla3[[#This Row],[ESTATUS DE NUM ECONOMICO]]</f>
        <v>INACTIVA</v>
      </c>
    </row>
    <row r="136" spans="1:33 16384:16384" ht="15.75" thickBot="1" x14ac:dyDescent="0.3">
      <c r="A136" s="8">
        <v>32</v>
      </c>
      <c r="B136" s="9">
        <v>46169</v>
      </c>
      <c r="C136" s="10" t="s">
        <v>87</v>
      </c>
      <c r="D136" s="10" t="s">
        <v>254</v>
      </c>
      <c r="E136" s="16">
        <v>80</v>
      </c>
      <c r="F136" s="9">
        <v>46178</v>
      </c>
      <c r="G136" s="212" t="str">
        <f>IFERROR(VLOOKUP(Tabla3[[#This Row],[NUM ECONOMICO]],MAQUINARIA!B:H,7,0), " MAQ")</f>
        <v>INACTIVA</v>
      </c>
      <c r="H136" s="214" t="s">
        <v>247</v>
      </c>
      <c r="I136" s="41">
        <v>1654854</v>
      </c>
      <c r="J136" s="10"/>
      <c r="K136" s="10">
        <v>2</v>
      </c>
      <c r="L136" s="12"/>
      <c r="M136" s="13">
        <f t="shared" si="2"/>
        <v>0</v>
      </c>
      <c r="N136" s="41"/>
      <c r="O136" s="10"/>
      <c r="P136" s="10">
        <f>Tabla3[[#This Row],[COSTO UNITARIO DOLARES EN HAWTHORNE]]*Tabla3[[#This Row],[CANTIDAD SOLICTADA]]</f>
        <v>0</v>
      </c>
      <c r="Q136" s="41"/>
      <c r="R136" s="229"/>
      <c r="S136" s="229">
        <f>+Tabla3[[#This Row],[COSTO UNITARIO DOLARES CTP]]*Tabla3[[#This Row],[CANTIDAD SOLICTADA]]</f>
        <v>0</v>
      </c>
      <c r="T136" s="41"/>
      <c r="U136" s="14" t="s">
        <v>4</v>
      </c>
      <c r="V136" s="8" t="s">
        <v>249</v>
      </c>
      <c r="W136" s="9">
        <v>46174</v>
      </c>
      <c r="X136" s="10" t="s">
        <v>89</v>
      </c>
      <c r="Y136" s="10" t="s">
        <v>90</v>
      </c>
      <c r="Z136" s="16" t="s">
        <v>44</v>
      </c>
      <c r="AA136" s="25">
        <v>46171</v>
      </c>
      <c r="AB136" s="25">
        <v>46175</v>
      </c>
      <c r="AC136" s="16" t="s">
        <v>256</v>
      </c>
      <c r="AD136" s="16"/>
      <c r="AE136" s="16" t="s">
        <v>140</v>
      </c>
      <c r="AF136" s="16"/>
      <c r="AG136" s="21" t="s">
        <v>252</v>
      </c>
      <c r="XFD136" s="15" t="str">
        <f>+Tabla3[[#This Row],[ESTATUS DE NUM ECONOMICO]]</f>
        <v>INACTIVA</v>
      </c>
    </row>
    <row r="137" spans="1:33 16384:16384" ht="15.75" thickBot="1" x14ac:dyDescent="0.3">
      <c r="A137" s="8">
        <v>32</v>
      </c>
      <c r="B137" s="9">
        <v>46169</v>
      </c>
      <c r="C137" s="10" t="s">
        <v>87</v>
      </c>
      <c r="D137" s="10" t="s">
        <v>254</v>
      </c>
      <c r="E137" s="16">
        <v>80</v>
      </c>
      <c r="F137" s="9">
        <v>46178</v>
      </c>
      <c r="G137" s="212" t="str">
        <f>IFERROR(VLOOKUP(Tabla3[[#This Row],[NUM ECONOMICO]],MAQUINARIA!B:H,7,0), " MAQ")</f>
        <v>INACTIVA</v>
      </c>
      <c r="H137" s="214" t="s">
        <v>247</v>
      </c>
      <c r="I137" s="41" t="s">
        <v>304</v>
      </c>
      <c r="J137" s="10"/>
      <c r="K137" s="10">
        <v>1</v>
      </c>
      <c r="L137" s="12"/>
      <c r="M137" s="13">
        <f t="shared" si="2"/>
        <v>0</v>
      </c>
      <c r="N137" s="41"/>
      <c r="O137" s="10"/>
      <c r="P137" s="10">
        <f>Tabla3[[#This Row],[COSTO UNITARIO DOLARES EN HAWTHORNE]]*Tabla3[[#This Row],[CANTIDAD SOLICTADA]]</f>
        <v>0</v>
      </c>
      <c r="Q137" s="41"/>
      <c r="R137" s="229"/>
      <c r="S137" s="229">
        <f>+Tabla3[[#This Row],[COSTO UNITARIO DOLARES CTP]]*Tabla3[[#This Row],[CANTIDAD SOLICTADA]]</f>
        <v>0</v>
      </c>
      <c r="T137" s="41"/>
      <c r="U137" s="14" t="s">
        <v>4</v>
      </c>
      <c r="V137" s="8" t="s">
        <v>249</v>
      </c>
      <c r="W137" s="9">
        <v>46174</v>
      </c>
      <c r="X137" s="10" t="s">
        <v>89</v>
      </c>
      <c r="Y137" s="10" t="s">
        <v>90</v>
      </c>
      <c r="Z137" s="16" t="s">
        <v>44</v>
      </c>
      <c r="AA137" s="25">
        <v>46171</v>
      </c>
      <c r="AB137" s="25">
        <v>46175</v>
      </c>
      <c r="AC137" s="16" t="s">
        <v>256</v>
      </c>
      <c r="AD137" s="16"/>
      <c r="AE137" s="16" t="s">
        <v>140</v>
      </c>
      <c r="AF137" s="16"/>
      <c r="AG137" s="21" t="s">
        <v>252</v>
      </c>
      <c r="XFD137" s="15" t="str">
        <f>+Tabla3[[#This Row],[ESTATUS DE NUM ECONOMICO]]</f>
        <v>INACTIVA</v>
      </c>
    </row>
    <row r="138" spans="1:33 16384:16384" ht="15.75" thickBot="1" x14ac:dyDescent="0.3">
      <c r="A138" s="8">
        <v>32</v>
      </c>
      <c r="B138" s="9">
        <v>46169</v>
      </c>
      <c r="C138" s="10" t="s">
        <v>87</v>
      </c>
      <c r="D138" s="10" t="s">
        <v>254</v>
      </c>
      <c r="E138" s="16">
        <v>80</v>
      </c>
      <c r="F138" s="9">
        <v>46178</v>
      </c>
      <c r="G138" s="212" t="str">
        <f>IFERROR(VLOOKUP(Tabla3[[#This Row],[NUM ECONOMICO]],MAQUINARIA!B:H,7,0), " MAQ")</f>
        <v>INACTIVA</v>
      </c>
      <c r="H138" s="214" t="s">
        <v>247</v>
      </c>
      <c r="I138" s="41" t="s">
        <v>305</v>
      </c>
      <c r="J138" s="10"/>
      <c r="K138" s="10">
        <v>1</v>
      </c>
      <c r="L138" s="12"/>
      <c r="M138" s="13">
        <f t="shared" si="2"/>
        <v>0</v>
      </c>
      <c r="N138" s="41"/>
      <c r="O138" s="10"/>
      <c r="P138" s="10">
        <f>Tabla3[[#This Row],[COSTO UNITARIO DOLARES EN HAWTHORNE]]*Tabla3[[#This Row],[CANTIDAD SOLICTADA]]</f>
        <v>0</v>
      </c>
      <c r="Q138" s="41"/>
      <c r="R138" s="229"/>
      <c r="S138" s="229">
        <f>+Tabla3[[#This Row],[COSTO UNITARIO DOLARES CTP]]*Tabla3[[#This Row],[CANTIDAD SOLICTADA]]</f>
        <v>0</v>
      </c>
      <c r="T138" s="41"/>
      <c r="U138" s="14" t="s">
        <v>4</v>
      </c>
      <c r="V138" s="8" t="s">
        <v>249</v>
      </c>
      <c r="W138" s="9">
        <v>46174</v>
      </c>
      <c r="X138" s="10" t="s">
        <v>89</v>
      </c>
      <c r="Y138" s="10" t="s">
        <v>90</v>
      </c>
      <c r="Z138" s="16" t="s">
        <v>44</v>
      </c>
      <c r="AA138" s="25">
        <v>46171</v>
      </c>
      <c r="AB138" s="25">
        <v>46175</v>
      </c>
      <c r="AC138" s="16" t="s">
        <v>256</v>
      </c>
      <c r="AD138" s="16"/>
      <c r="AE138" s="16" t="s">
        <v>140</v>
      </c>
      <c r="AF138" s="16"/>
      <c r="AG138" s="21" t="s">
        <v>252</v>
      </c>
      <c r="XFD138" s="15" t="str">
        <f>+Tabla3[[#This Row],[ESTATUS DE NUM ECONOMICO]]</f>
        <v>INACTIVA</v>
      </c>
    </row>
    <row r="139" spans="1:33 16384:16384" ht="15.75" thickBot="1" x14ac:dyDescent="0.3">
      <c r="A139" s="8">
        <v>32</v>
      </c>
      <c r="B139" s="9">
        <v>46169</v>
      </c>
      <c r="C139" s="10" t="s">
        <v>87</v>
      </c>
      <c r="D139" s="10" t="s">
        <v>254</v>
      </c>
      <c r="E139" s="16">
        <v>80</v>
      </c>
      <c r="F139" s="9">
        <v>46178</v>
      </c>
      <c r="G139" s="212" t="str">
        <f>IFERROR(VLOOKUP(Tabla3[[#This Row],[NUM ECONOMICO]],MAQUINARIA!B:H,7,0), " MAQ")</f>
        <v>INACTIVA</v>
      </c>
      <c r="H139" s="214" t="s">
        <v>247</v>
      </c>
      <c r="I139" s="41">
        <v>1177127</v>
      </c>
      <c r="J139" s="10"/>
      <c r="K139" s="10">
        <v>1</v>
      </c>
      <c r="L139" s="12"/>
      <c r="M139" s="13">
        <f t="shared" si="2"/>
        <v>0</v>
      </c>
      <c r="N139" s="41"/>
      <c r="O139" s="10"/>
      <c r="P139" s="10">
        <f>Tabla3[[#This Row],[COSTO UNITARIO DOLARES EN HAWTHORNE]]*Tabla3[[#This Row],[CANTIDAD SOLICTADA]]</f>
        <v>0</v>
      </c>
      <c r="Q139" s="41"/>
      <c r="R139" s="229"/>
      <c r="S139" s="229">
        <f>+Tabla3[[#This Row],[COSTO UNITARIO DOLARES CTP]]*Tabla3[[#This Row],[CANTIDAD SOLICTADA]]</f>
        <v>0</v>
      </c>
      <c r="T139" s="41"/>
      <c r="U139" s="14" t="s">
        <v>4</v>
      </c>
      <c r="V139" s="8" t="s">
        <v>249</v>
      </c>
      <c r="W139" s="9">
        <v>46174</v>
      </c>
      <c r="X139" s="10" t="s">
        <v>89</v>
      </c>
      <c r="Y139" s="10">
        <v>0</v>
      </c>
      <c r="Z139" s="16" t="s">
        <v>44</v>
      </c>
      <c r="AA139" s="25">
        <v>46171</v>
      </c>
      <c r="AB139" s="25">
        <v>46175</v>
      </c>
      <c r="AC139" s="16" t="s">
        <v>256</v>
      </c>
      <c r="AD139" s="16"/>
      <c r="AE139" s="16" t="s">
        <v>140</v>
      </c>
      <c r="AF139" s="16"/>
      <c r="AG139" s="21" t="s">
        <v>252</v>
      </c>
      <c r="XFD139" s="15" t="str">
        <f>+Tabla3[[#This Row],[ESTATUS DE NUM ECONOMICO]]</f>
        <v>INACTIVA</v>
      </c>
    </row>
    <row r="140" spans="1:33 16384:16384" ht="15.75" thickBot="1" x14ac:dyDescent="0.3">
      <c r="A140" s="8">
        <v>32</v>
      </c>
      <c r="B140" s="9">
        <v>46169</v>
      </c>
      <c r="C140" s="10" t="s">
        <v>87</v>
      </c>
      <c r="D140" s="10" t="s">
        <v>254</v>
      </c>
      <c r="E140" s="16">
        <v>80</v>
      </c>
      <c r="F140" s="9">
        <v>46178</v>
      </c>
      <c r="G140" s="212" t="str">
        <f>IFERROR(VLOOKUP(Tabla3[[#This Row],[NUM ECONOMICO]],MAQUINARIA!B:H,7,0), " MAQ")</f>
        <v>INACTIVA</v>
      </c>
      <c r="H140" s="214" t="s">
        <v>247</v>
      </c>
      <c r="I140" s="41" t="s">
        <v>306</v>
      </c>
      <c r="J140" s="10" t="s">
        <v>253</v>
      </c>
      <c r="K140" s="10">
        <v>1</v>
      </c>
      <c r="L140" s="12"/>
      <c r="M140" s="13">
        <f t="shared" si="2"/>
        <v>0</v>
      </c>
      <c r="N140" s="41"/>
      <c r="O140" s="10"/>
      <c r="P140" s="10">
        <f>Tabla3[[#This Row],[COSTO UNITARIO DOLARES EN HAWTHORNE]]*Tabla3[[#This Row],[CANTIDAD SOLICTADA]]</f>
        <v>0</v>
      </c>
      <c r="Q140" s="41"/>
      <c r="R140" s="229">
        <v>5.3</v>
      </c>
      <c r="S140" s="229">
        <f>+Tabla3[[#This Row],[COSTO UNITARIO DOLARES CTP]]*Tabla3[[#This Row],[CANTIDAD SOLICTADA]]</f>
        <v>5.3</v>
      </c>
      <c r="T140" s="41"/>
      <c r="U140" s="14" t="s">
        <v>4</v>
      </c>
      <c r="V140" s="8" t="s">
        <v>249</v>
      </c>
      <c r="W140" s="9">
        <v>46174</v>
      </c>
      <c r="X140" s="10" t="s">
        <v>89</v>
      </c>
      <c r="Y140" s="10" t="s">
        <v>90</v>
      </c>
      <c r="Z140" s="16" t="s">
        <v>44</v>
      </c>
      <c r="AA140" s="25">
        <v>46171</v>
      </c>
      <c r="AB140" s="25">
        <v>46175</v>
      </c>
      <c r="AC140" s="16" t="s">
        <v>256</v>
      </c>
      <c r="AD140" s="16"/>
      <c r="AE140" s="16" t="s">
        <v>140</v>
      </c>
      <c r="AF140" s="16"/>
      <c r="AG140" s="21" t="s">
        <v>252</v>
      </c>
      <c r="XFD140" s="15" t="str">
        <f>+Tabla3[[#This Row],[ESTATUS DE NUM ECONOMICO]]</f>
        <v>INACTIVA</v>
      </c>
    </row>
    <row r="141" spans="1:33 16384:16384" ht="15.75" thickBot="1" x14ac:dyDescent="0.3">
      <c r="A141" s="8">
        <v>32</v>
      </c>
      <c r="B141" s="9">
        <v>46169</v>
      </c>
      <c r="C141" s="10" t="s">
        <v>87</v>
      </c>
      <c r="D141" s="11"/>
      <c r="E141" s="16">
        <v>81</v>
      </c>
      <c r="F141" s="9">
        <v>46178</v>
      </c>
      <c r="G141" s="212" t="str">
        <f>IFERROR(VLOOKUP(Tabla3[[#This Row],[NUM ECONOMICO]],MAQUINARIA!B:H,7,0), " MAQ")</f>
        <v>INACTIVA</v>
      </c>
      <c r="H141" s="214" t="s">
        <v>247</v>
      </c>
      <c r="I141" s="41" t="s">
        <v>307</v>
      </c>
      <c r="J141" s="10" t="s">
        <v>308</v>
      </c>
      <c r="K141" s="10">
        <v>1</v>
      </c>
      <c r="L141" s="13">
        <v>6576.5</v>
      </c>
      <c r="M141" s="13">
        <f t="shared" si="2"/>
        <v>6576.5</v>
      </c>
      <c r="N141" s="41"/>
      <c r="O141" s="287">
        <v>374.68</v>
      </c>
      <c r="P141" s="287">
        <f>Tabla3[[#This Row],[COSTO UNITARIO DOLARES EN HAWTHORNE]]*Tabla3[[#This Row],[CANTIDAD SOLICTADA]]</f>
        <v>374.68</v>
      </c>
      <c r="Q141" s="41" t="s">
        <v>181</v>
      </c>
      <c r="R141" s="229">
        <v>142.54</v>
      </c>
      <c r="S141" s="229">
        <f>+Tabla3[[#This Row],[COSTO UNITARIO DOLARES CTP]]*Tabla3[[#This Row],[CANTIDAD SOLICTADA]]</f>
        <v>142.54</v>
      </c>
      <c r="T141" s="41"/>
      <c r="U141" s="18" t="s">
        <v>5</v>
      </c>
      <c r="V141" s="211" t="s">
        <v>249</v>
      </c>
      <c r="W141" s="10"/>
      <c r="X141" s="10" t="s">
        <v>89</v>
      </c>
      <c r="Y141" s="10" t="s">
        <v>90</v>
      </c>
      <c r="Z141" s="16" t="s">
        <v>250</v>
      </c>
      <c r="AA141" s="25">
        <v>46170</v>
      </c>
      <c r="AB141" s="25">
        <v>46118</v>
      </c>
      <c r="AC141" s="16"/>
      <c r="AD141" s="16"/>
      <c r="AE141" s="16" t="s">
        <v>251</v>
      </c>
      <c r="AF141" s="16" t="s">
        <v>251</v>
      </c>
      <c r="AG141" s="21" t="s">
        <v>252</v>
      </c>
      <c r="XFD141" s="15" t="str">
        <f>+Tabla3[[#This Row],[ESTATUS DE NUM ECONOMICO]]</f>
        <v>INACTIVA</v>
      </c>
    </row>
    <row r="142" spans="1:33 16384:16384" ht="15.75" thickBot="1" x14ac:dyDescent="0.3">
      <c r="A142" s="8">
        <v>32</v>
      </c>
      <c r="B142" s="9">
        <v>46169</v>
      </c>
      <c r="C142" s="10" t="s">
        <v>87</v>
      </c>
      <c r="D142" s="11"/>
      <c r="E142" s="16">
        <v>81</v>
      </c>
      <c r="F142" s="9">
        <v>46178</v>
      </c>
      <c r="G142" s="212" t="str">
        <f>IFERROR(VLOOKUP(Tabla3[[#This Row],[NUM ECONOMICO]],MAQUINARIA!B:H,7,0), " MAQ")</f>
        <v>INACTIVA</v>
      </c>
      <c r="H142" s="214" t="s">
        <v>247</v>
      </c>
      <c r="I142" s="41" t="s">
        <v>309</v>
      </c>
      <c r="J142" s="10" t="s">
        <v>310</v>
      </c>
      <c r="K142" s="10">
        <v>1</v>
      </c>
      <c r="L142" s="13">
        <v>6418.48</v>
      </c>
      <c r="M142" s="13">
        <f t="shared" si="2"/>
        <v>6418.48</v>
      </c>
      <c r="N142" s="41"/>
      <c r="O142" s="287">
        <v>365.65</v>
      </c>
      <c r="P142" s="287">
        <f>Tabla3[[#This Row],[COSTO UNITARIO DOLARES EN HAWTHORNE]]*Tabla3[[#This Row],[CANTIDAD SOLICTADA]]</f>
        <v>365.65</v>
      </c>
      <c r="Q142" s="41" t="s">
        <v>181</v>
      </c>
      <c r="R142" s="229">
        <v>182.19</v>
      </c>
      <c r="S142" s="229">
        <f>+Tabla3[[#This Row],[COSTO UNITARIO DOLARES CTP]]*Tabla3[[#This Row],[CANTIDAD SOLICTADA]]</f>
        <v>182.19</v>
      </c>
      <c r="T142" s="41"/>
      <c r="U142" s="18" t="s">
        <v>5</v>
      </c>
      <c r="V142" s="211" t="s">
        <v>249</v>
      </c>
      <c r="W142" s="10"/>
      <c r="X142" s="10" t="s">
        <v>89</v>
      </c>
      <c r="Y142" s="10" t="s">
        <v>90</v>
      </c>
      <c r="Z142" s="16" t="s">
        <v>250</v>
      </c>
      <c r="AA142" s="25">
        <v>46170</v>
      </c>
      <c r="AB142" s="25">
        <v>46118</v>
      </c>
      <c r="AC142" s="16"/>
      <c r="AD142" s="16"/>
      <c r="AE142" s="16" t="s">
        <v>251</v>
      </c>
      <c r="AF142" s="16" t="s">
        <v>251</v>
      </c>
      <c r="AG142" s="21" t="s">
        <v>252</v>
      </c>
      <c r="XFD142" s="15" t="str">
        <f>+Tabla3[[#This Row],[ESTATUS DE NUM ECONOMICO]]</f>
        <v>INACTIVA</v>
      </c>
    </row>
    <row r="143" spans="1:33 16384:16384" ht="15.75" thickBot="1" x14ac:dyDescent="0.3">
      <c r="A143" s="8">
        <v>32</v>
      </c>
      <c r="B143" s="9">
        <v>46169</v>
      </c>
      <c r="C143" s="10" t="s">
        <v>87</v>
      </c>
      <c r="D143" s="10" t="s">
        <v>254</v>
      </c>
      <c r="E143" s="16">
        <v>80</v>
      </c>
      <c r="F143" s="9">
        <v>46178</v>
      </c>
      <c r="G143" s="212" t="str">
        <f>IFERROR(VLOOKUP(Tabla3[[#This Row],[NUM ECONOMICO]],MAQUINARIA!B:H,7,0), " MAQ")</f>
        <v>INACTIVA</v>
      </c>
      <c r="H143" s="214" t="s">
        <v>247</v>
      </c>
      <c r="I143" s="41">
        <v>6671516</v>
      </c>
      <c r="J143" s="10"/>
      <c r="K143" s="10">
        <v>1</v>
      </c>
      <c r="L143" s="12"/>
      <c r="M143" s="13">
        <f t="shared" si="2"/>
        <v>0</v>
      </c>
      <c r="N143" s="41"/>
      <c r="O143" s="10"/>
      <c r="P143" s="10">
        <f>Tabla3[[#This Row],[COSTO UNITARIO DOLARES EN HAWTHORNE]]*Tabla3[[#This Row],[CANTIDAD SOLICTADA]]</f>
        <v>0</v>
      </c>
      <c r="Q143" s="41"/>
      <c r="R143" s="229"/>
      <c r="S143" s="229">
        <f>+Tabla3[[#This Row],[COSTO UNITARIO DOLARES CTP]]*Tabla3[[#This Row],[CANTIDAD SOLICTADA]]</f>
        <v>0</v>
      </c>
      <c r="T143" s="41"/>
      <c r="U143" s="14" t="s">
        <v>4</v>
      </c>
      <c r="V143" s="8" t="s">
        <v>249</v>
      </c>
      <c r="W143" s="9">
        <v>46174</v>
      </c>
      <c r="X143" s="10" t="s">
        <v>89</v>
      </c>
      <c r="Y143" s="10" t="s">
        <v>90</v>
      </c>
      <c r="Z143" s="16" t="s">
        <v>44</v>
      </c>
      <c r="AA143" s="25">
        <v>46171</v>
      </c>
      <c r="AB143" s="25">
        <v>46175</v>
      </c>
      <c r="AC143" s="16" t="s">
        <v>256</v>
      </c>
      <c r="AD143" s="16"/>
      <c r="AE143" s="16" t="s">
        <v>140</v>
      </c>
      <c r="AF143" s="16"/>
      <c r="AG143" s="21" t="s">
        <v>252</v>
      </c>
      <c r="XFD143" s="15" t="str">
        <f>+Tabla3[[#This Row],[ESTATUS DE NUM ECONOMICO]]</f>
        <v>INACTIVA</v>
      </c>
    </row>
    <row r="144" spans="1:33 16384:16384" ht="15.75" thickBot="1" x14ac:dyDescent="0.3">
      <c r="A144" s="8">
        <v>32</v>
      </c>
      <c r="B144" s="9">
        <v>46169</v>
      </c>
      <c r="C144" s="10" t="s">
        <v>87</v>
      </c>
      <c r="D144" s="10" t="s">
        <v>254</v>
      </c>
      <c r="E144" s="16">
        <v>80</v>
      </c>
      <c r="F144" s="9">
        <v>46178</v>
      </c>
      <c r="G144" s="212" t="str">
        <f>IFERROR(VLOOKUP(Tabla3[[#This Row],[NUM ECONOMICO]],MAQUINARIA!B:H,7,0), " MAQ")</f>
        <v>INACTIVA</v>
      </c>
      <c r="H144" s="214" t="s">
        <v>247</v>
      </c>
      <c r="I144" s="41">
        <v>3383540</v>
      </c>
      <c r="J144" s="10"/>
      <c r="K144" s="10">
        <v>2</v>
      </c>
      <c r="L144" s="12"/>
      <c r="M144" s="13">
        <f t="shared" si="2"/>
        <v>0</v>
      </c>
      <c r="N144" s="41"/>
      <c r="O144" s="10"/>
      <c r="P144" s="10">
        <f>Tabla3[[#This Row],[COSTO UNITARIO DOLARES EN HAWTHORNE]]*Tabla3[[#This Row],[CANTIDAD SOLICTADA]]</f>
        <v>0</v>
      </c>
      <c r="Q144" s="41"/>
      <c r="R144" s="229"/>
      <c r="S144" s="229">
        <f>+Tabla3[[#This Row],[COSTO UNITARIO DOLARES CTP]]*Tabla3[[#This Row],[CANTIDAD SOLICTADA]]</f>
        <v>0</v>
      </c>
      <c r="T144" s="41"/>
      <c r="U144" s="14" t="s">
        <v>4</v>
      </c>
      <c r="V144" s="8" t="s">
        <v>249</v>
      </c>
      <c r="W144" s="9">
        <v>46174</v>
      </c>
      <c r="X144" s="10" t="s">
        <v>89</v>
      </c>
      <c r="Y144" s="10" t="s">
        <v>90</v>
      </c>
      <c r="Z144" s="16" t="s">
        <v>44</v>
      </c>
      <c r="AA144" s="25">
        <v>46171</v>
      </c>
      <c r="AB144" s="25">
        <v>46175</v>
      </c>
      <c r="AC144" s="16" t="s">
        <v>256</v>
      </c>
      <c r="AD144" s="16"/>
      <c r="AE144" s="16" t="s">
        <v>140</v>
      </c>
      <c r="AF144" s="16"/>
      <c r="AG144" s="21" t="s">
        <v>252</v>
      </c>
      <c r="XFD144" s="15" t="str">
        <f>+Tabla3[[#This Row],[ESTATUS DE NUM ECONOMICO]]</f>
        <v>INACTIVA</v>
      </c>
    </row>
    <row r="145" spans="1:33 16384:16384" ht="15.75" thickBot="1" x14ac:dyDescent="0.3">
      <c r="A145" s="8">
        <v>32</v>
      </c>
      <c r="B145" s="9">
        <v>46169</v>
      </c>
      <c r="C145" s="10" t="s">
        <v>87</v>
      </c>
      <c r="D145" s="10" t="s">
        <v>254</v>
      </c>
      <c r="E145" s="16">
        <v>80</v>
      </c>
      <c r="F145" s="9">
        <v>46178</v>
      </c>
      <c r="G145" s="212" t="str">
        <f>IFERROR(VLOOKUP(Tabla3[[#This Row],[NUM ECONOMICO]],MAQUINARIA!B:H,7,0), " MAQ")</f>
        <v>INACTIVA</v>
      </c>
      <c r="H145" s="214" t="s">
        <v>247</v>
      </c>
      <c r="I145" s="41">
        <v>1300229</v>
      </c>
      <c r="J145" s="10"/>
      <c r="K145" s="10">
        <v>2</v>
      </c>
      <c r="L145" s="12"/>
      <c r="M145" s="13">
        <f t="shared" si="2"/>
        <v>0</v>
      </c>
      <c r="N145" s="41"/>
      <c r="O145" s="10"/>
      <c r="P145" s="10">
        <f>Tabla3[[#This Row],[COSTO UNITARIO DOLARES EN HAWTHORNE]]*Tabla3[[#This Row],[CANTIDAD SOLICTADA]]</f>
        <v>0</v>
      </c>
      <c r="Q145" s="41"/>
      <c r="R145" s="229"/>
      <c r="S145" s="229">
        <f>+Tabla3[[#This Row],[COSTO UNITARIO DOLARES CTP]]*Tabla3[[#This Row],[CANTIDAD SOLICTADA]]</f>
        <v>0</v>
      </c>
      <c r="T145" s="41"/>
      <c r="U145" s="14" t="s">
        <v>4</v>
      </c>
      <c r="V145" s="8" t="s">
        <v>249</v>
      </c>
      <c r="W145" s="9">
        <v>46174</v>
      </c>
      <c r="X145" s="10" t="s">
        <v>89</v>
      </c>
      <c r="Y145" s="10" t="s">
        <v>90</v>
      </c>
      <c r="Z145" s="16" t="s">
        <v>44</v>
      </c>
      <c r="AA145" s="25">
        <v>46171</v>
      </c>
      <c r="AB145" s="25">
        <v>46175</v>
      </c>
      <c r="AC145" s="16" t="s">
        <v>256</v>
      </c>
      <c r="AD145" s="16"/>
      <c r="AE145" s="16" t="s">
        <v>140</v>
      </c>
      <c r="AF145" s="16"/>
      <c r="AG145" s="21" t="s">
        <v>252</v>
      </c>
      <c r="XFD145" s="15" t="str">
        <f>+Tabla3[[#This Row],[ESTATUS DE NUM ECONOMICO]]</f>
        <v>INACTIVA</v>
      </c>
    </row>
    <row r="146" spans="1:33 16384:16384" ht="15.75" thickBot="1" x14ac:dyDescent="0.3">
      <c r="A146" s="8">
        <v>32</v>
      </c>
      <c r="B146" s="9">
        <v>46169</v>
      </c>
      <c r="C146" s="10" t="s">
        <v>87</v>
      </c>
      <c r="D146" s="11"/>
      <c r="E146" s="16">
        <v>81</v>
      </c>
      <c r="F146" s="9">
        <v>46178</v>
      </c>
      <c r="G146" s="212" t="str">
        <f>IFERROR(VLOOKUP(Tabla3[[#This Row],[NUM ECONOMICO]],MAQUINARIA!B:H,7,0), " MAQ")</f>
        <v>INACTIVA</v>
      </c>
      <c r="H146" s="214" t="s">
        <v>247</v>
      </c>
      <c r="I146" s="41" t="s">
        <v>311</v>
      </c>
      <c r="J146" s="10" t="s">
        <v>310</v>
      </c>
      <c r="K146" s="10">
        <v>2</v>
      </c>
      <c r="L146" s="13">
        <v>171.5</v>
      </c>
      <c r="M146" s="13">
        <f t="shared" si="2"/>
        <v>343</v>
      </c>
      <c r="N146" s="41"/>
      <c r="O146" s="287">
        <v>12.15</v>
      </c>
      <c r="P146" s="287">
        <f>Tabla3[[#This Row],[COSTO UNITARIO DOLARES EN HAWTHORNE]]*Tabla3[[#This Row],[CANTIDAD SOLICTADA]]</f>
        <v>24.3</v>
      </c>
      <c r="Q146" s="41" t="s">
        <v>181</v>
      </c>
      <c r="R146" s="229">
        <v>1.0900000000000001</v>
      </c>
      <c r="S146" s="229">
        <f>+Tabla3[[#This Row],[COSTO UNITARIO DOLARES CTP]]*Tabla3[[#This Row],[CANTIDAD SOLICTADA]]</f>
        <v>2.1800000000000002</v>
      </c>
      <c r="T146" s="41"/>
      <c r="U146" s="18" t="s">
        <v>5</v>
      </c>
      <c r="V146" s="211" t="s">
        <v>249</v>
      </c>
      <c r="W146" s="10"/>
      <c r="X146" s="10" t="s">
        <v>89</v>
      </c>
      <c r="Y146" s="10">
        <v>0</v>
      </c>
      <c r="Z146" s="16" t="s">
        <v>250</v>
      </c>
      <c r="AA146" s="25">
        <v>46170</v>
      </c>
      <c r="AB146" s="25">
        <v>46118</v>
      </c>
      <c r="AC146" s="16"/>
      <c r="AD146" s="16"/>
      <c r="AE146" s="16" t="s">
        <v>251</v>
      </c>
      <c r="AF146" s="16" t="s">
        <v>251</v>
      </c>
      <c r="AG146" s="21" t="s">
        <v>252</v>
      </c>
      <c r="XFD146" s="15" t="str">
        <f>+Tabla3[[#This Row],[ESTATUS DE NUM ECONOMICO]]</f>
        <v>INACTIVA</v>
      </c>
    </row>
    <row r="147" spans="1:33 16384:16384" ht="15.75" thickBot="1" x14ac:dyDescent="0.3">
      <c r="A147" s="8">
        <v>32</v>
      </c>
      <c r="B147" s="9">
        <v>46169</v>
      </c>
      <c r="C147" s="10" t="s">
        <v>87</v>
      </c>
      <c r="D147" s="11"/>
      <c r="E147" s="16">
        <v>80</v>
      </c>
      <c r="F147" s="9">
        <v>46178</v>
      </c>
      <c r="G147" s="212" t="str">
        <f>IFERROR(VLOOKUP(Tabla3[[#This Row],[NUM ECONOMICO]],MAQUINARIA!B:H,7,0), " MAQ")</f>
        <v>INACTIVA</v>
      </c>
      <c r="H147" s="214" t="s">
        <v>247</v>
      </c>
      <c r="I147" s="41" t="s">
        <v>312</v>
      </c>
      <c r="J147" s="10"/>
      <c r="K147" s="10">
        <v>2</v>
      </c>
      <c r="L147" s="12"/>
      <c r="M147" s="13">
        <f t="shared" si="2"/>
        <v>0</v>
      </c>
      <c r="N147" s="41"/>
      <c r="O147" s="10"/>
      <c r="P147" s="10">
        <f>Tabla3[[#This Row],[COSTO UNITARIO DOLARES EN HAWTHORNE]]*Tabla3[[#This Row],[CANTIDAD SOLICTADA]]</f>
        <v>0</v>
      </c>
      <c r="Q147" s="41"/>
      <c r="R147" s="229"/>
      <c r="S147" s="229">
        <f>+Tabla3[[#This Row],[COSTO UNITARIO DOLARES CTP]]*Tabla3[[#This Row],[CANTIDAD SOLICTADA]]</f>
        <v>0</v>
      </c>
      <c r="T147" s="41"/>
      <c r="U147" s="14" t="s">
        <v>4</v>
      </c>
      <c r="V147" s="17"/>
      <c r="W147" s="10"/>
      <c r="X147" s="10" t="s">
        <v>96</v>
      </c>
      <c r="Y147" s="10">
        <v>3</v>
      </c>
      <c r="Z147" s="16"/>
      <c r="AA147" s="16"/>
      <c r="AB147" s="16"/>
      <c r="AC147" s="16"/>
      <c r="AD147" s="16"/>
      <c r="AE147" s="16" t="s">
        <v>251</v>
      </c>
      <c r="AF147" s="16"/>
      <c r="AG147" s="21" t="s">
        <v>252</v>
      </c>
      <c r="XFD147" s="15" t="str">
        <f>+Tabla3[[#This Row],[ESTATUS DE NUM ECONOMICO]]</f>
        <v>INACTIVA</v>
      </c>
    </row>
    <row r="148" spans="1:33 16384:16384" ht="15.75" thickBot="1" x14ac:dyDescent="0.3">
      <c r="A148" s="8">
        <v>32</v>
      </c>
      <c r="B148" s="9">
        <v>46169</v>
      </c>
      <c r="C148" s="10" t="s">
        <v>87</v>
      </c>
      <c r="D148" s="11"/>
      <c r="E148" s="16">
        <v>81</v>
      </c>
      <c r="F148" s="9">
        <v>46178</v>
      </c>
      <c r="G148" s="212" t="str">
        <f>IFERROR(VLOOKUP(Tabla3[[#This Row],[NUM ECONOMICO]],MAQUINARIA!B:H,7,0), " MAQ")</f>
        <v>INACTIVA</v>
      </c>
      <c r="H148" s="214" t="s">
        <v>247</v>
      </c>
      <c r="I148" s="41" t="s">
        <v>313</v>
      </c>
      <c r="J148" s="10" t="s">
        <v>292</v>
      </c>
      <c r="K148" s="10">
        <v>2</v>
      </c>
      <c r="L148" s="13">
        <v>46.73</v>
      </c>
      <c r="M148" s="13">
        <f t="shared" si="2"/>
        <v>93.46</v>
      </c>
      <c r="N148" s="41"/>
      <c r="O148" s="287">
        <v>3.31</v>
      </c>
      <c r="P148" s="287">
        <f>Tabla3[[#This Row],[COSTO UNITARIO DOLARES EN HAWTHORNE]]*Tabla3[[#This Row],[CANTIDAD SOLICTADA]]</f>
        <v>6.62</v>
      </c>
      <c r="Q148" s="41" t="s">
        <v>217</v>
      </c>
      <c r="R148" s="229">
        <v>0.13</v>
      </c>
      <c r="S148" s="229">
        <f>+Tabla3[[#This Row],[COSTO UNITARIO DOLARES CTP]]*Tabla3[[#This Row],[CANTIDAD SOLICTADA]]</f>
        <v>0.26</v>
      </c>
      <c r="T148" s="41"/>
      <c r="U148" s="18" t="s">
        <v>5</v>
      </c>
      <c r="V148" s="211" t="s">
        <v>249</v>
      </c>
      <c r="W148" s="10"/>
      <c r="X148" s="10" t="s">
        <v>89</v>
      </c>
      <c r="Y148" s="10">
        <v>1</v>
      </c>
      <c r="Z148" s="16" t="s">
        <v>250</v>
      </c>
      <c r="AA148" s="25">
        <v>46170</v>
      </c>
      <c r="AB148" s="25">
        <v>46118</v>
      </c>
      <c r="AC148" s="16"/>
      <c r="AD148" s="16"/>
      <c r="AE148" s="16" t="s">
        <v>251</v>
      </c>
      <c r="AF148" s="16" t="s">
        <v>251</v>
      </c>
      <c r="AG148" s="21" t="s">
        <v>252</v>
      </c>
      <c r="XFD148" s="15" t="str">
        <f>+Tabla3[[#This Row],[ESTATUS DE NUM ECONOMICO]]</f>
        <v>INACTIVA</v>
      </c>
    </row>
    <row r="149" spans="1:33 16384:16384" ht="15.75" thickBot="1" x14ac:dyDescent="0.3">
      <c r="A149" s="8">
        <v>32</v>
      </c>
      <c r="B149" s="9">
        <v>46169</v>
      </c>
      <c r="C149" s="10" t="s">
        <v>87</v>
      </c>
      <c r="D149" s="11"/>
      <c r="E149" s="16">
        <v>80</v>
      </c>
      <c r="F149" s="9">
        <v>46178</v>
      </c>
      <c r="G149" s="212" t="str">
        <f>IFERROR(VLOOKUP(Tabla3[[#This Row],[NUM ECONOMICO]],MAQUINARIA!B:H,7,0), " MAQ")</f>
        <v>INACTIVA</v>
      </c>
      <c r="H149" s="214" t="s">
        <v>247</v>
      </c>
      <c r="I149" s="41" t="s">
        <v>314</v>
      </c>
      <c r="J149" s="10"/>
      <c r="K149" s="10">
        <v>1</v>
      </c>
      <c r="L149" s="12"/>
      <c r="M149" s="13">
        <f t="shared" si="2"/>
        <v>0</v>
      </c>
      <c r="N149" s="41"/>
      <c r="O149" s="10"/>
      <c r="P149" s="10">
        <f>Tabla3[[#This Row],[COSTO UNITARIO DOLARES EN HAWTHORNE]]*Tabla3[[#This Row],[CANTIDAD SOLICTADA]]</f>
        <v>0</v>
      </c>
      <c r="Q149" s="41"/>
      <c r="R149" s="229"/>
      <c r="S149" s="229">
        <f>+Tabla3[[#This Row],[COSTO UNITARIO DOLARES CTP]]*Tabla3[[#This Row],[CANTIDAD SOLICTADA]]</f>
        <v>0</v>
      </c>
      <c r="T149" s="41"/>
      <c r="U149" s="14" t="s">
        <v>4</v>
      </c>
      <c r="V149" s="17"/>
      <c r="W149" s="10"/>
      <c r="X149" s="10" t="s">
        <v>96</v>
      </c>
      <c r="Y149" s="10">
        <v>1</v>
      </c>
      <c r="Z149" s="16"/>
      <c r="AA149" s="16"/>
      <c r="AB149" s="16"/>
      <c r="AC149" s="16"/>
      <c r="AD149" s="16"/>
      <c r="AE149" s="16" t="s">
        <v>251</v>
      </c>
      <c r="AF149" s="16"/>
      <c r="AG149" s="21" t="s">
        <v>252</v>
      </c>
      <c r="XFD149" s="15" t="str">
        <f>+Tabla3[[#This Row],[ESTATUS DE NUM ECONOMICO]]</f>
        <v>INACTIVA</v>
      </c>
    </row>
    <row r="150" spans="1:33 16384:16384" ht="15.75" thickBot="1" x14ac:dyDescent="0.3">
      <c r="A150" s="8">
        <v>32</v>
      </c>
      <c r="B150" s="9">
        <v>46169</v>
      </c>
      <c r="C150" s="10" t="s">
        <v>87</v>
      </c>
      <c r="D150" s="11"/>
      <c r="E150" s="16">
        <v>80</v>
      </c>
      <c r="F150" s="9">
        <v>46178</v>
      </c>
      <c r="G150" s="212" t="str">
        <f>IFERROR(VLOOKUP(Tabla3[[#This Row],[NUM ECONOMICO]],MAQUINARIA!B:H,7,0), " MAQ")</f>
        <v>INACTIVA</v>
      </c>
      <c r="H150" s="214" t="s">
        <v>247</v>
      </c>
      <c r="I150" s="41" t="s">
        <v>315</v>
      </c>
      <c r="J150" s="10"/>
      <c r="K150" s="10">
        <v>1</v>
      </c>
      <c r="L150" s="12"/>
      <c r="M150" s="13">
        <f t="shared" si="2"/>
        <v>0</v>
      </c>
      <c r="N150" s="41"/>
      <c r="O150" s="10"/>
      <c r="P150" s="10">
        <f>Tabla3[[#This Row],[COSTO UNITARIO DOLARES EN HAWTHORNE]]*Tabla3[[#This Row],[CANTIDAD SOLICTADA]]</f>
        <v>0</v>
      </c>
      <c r="Q150" s="41"/>
      <c r="R150" s="229"/>
      <c r="S150" s="229">
        <f>+Tabla3[[#This Row],[COSTO UNITARIO DOLARES CTP]]*Tabla3[[#This Row],[CANTIDAD SOLICTADA]]</f>
        <v>0</v>
      </c>
      <c r="T150" s="41"/>
      <c r="U150" s="14" t="s">
        <v>4</v>
      </c>
      <c r="V150" s="17"/>
      <c r="W150" s="10"/>
      <c r="X150" s="10" t="s">
        <v>96</v>
      </c>
      <c r="Y150" s="10">
        <v>2</v>
      </c>
      <c r="Z150" s="16"/>
      <c r="AA150" s="16"/>
      <c r="AB150" s="16"/>
      <c r="AC150" s="16"/>
      <c r="AD150" s="16"/>
      <c r="AE150" s="16" t="s">
        <v>251</v>
      </c>
      <c r="AF150" s="16"/>
      <c r="AG150" s="21" t="s">
        <v>252</v>
      </c>
      <c r="XFD150" s="15" t="str">
        <f>+Tabla3[[#This Row],[ESTATUS DE NUM ECONOMICO]]</f>
        <v>INACTIVA</v>
      </c>
    </row>
    <row r="151" spans="1:33 16384:16384" ht="15.75" thickBot="1" x14ac:dyDescent="0.3">
      <c r="A151" s="8">
        <v>32</v>
      </c>
      <c r="B151" s="9">
        <v>46169</v>
      </c>
      <c r="C151" s="10" t="s">
        <v>87</v>
      </c>
      <c r="D151" s="11"/>
      <c r="E151" s="16">
        <v>81</v>
      </c>
      <c r="F151" s="9">
        <v>46178</v>
      </c>
      <c r="G151" s="212" t="str">
        <f>IFERROR(VLOOKUP(Tabla3[[#This Row],[NUM ECONOMICO]],MAQUINARIA!B:H,7,0), " MAQ")</f>
        <v>INACTIVA</v>
      </c>
      <c r="H151" s="214" t="s">
        <v>247</v>
      </c>
      <c r="I151" s="41" t="s">
        <v>316</v>
      </c>
      <c r="J151" s="10" t="s">
        <v>317</v>
      </c>
      <c r="K151" s="10">
        <v>10</v>
      </c>
      <c r="L151" s="13">
        <v>61.25</v>
      </c>
      <c r="M151" s="13">
        <f t="shared" si="2"/>
        <v>612.5</v>
      </c>
      <c r="N151" s="41"/>
      <c r="O151" s="287">
        <v>4.34</v>
      </c>
      <c r="P151" s="287">
        <f>Tabla3[[#This Row],[COSTO UNITARIO DOLARES EN HAWTHORNE]]*Tabla3[[#This Row],[CANTIDAD SOLICTADA]]</f>
        <v>43.4</v>
      </c>
      <c r="Q151" s="41" t="s">
        <v>217</v>
      </c>
      <c r="R151" s="229">
        <v>0.14000000000000001</v>
      </c>
      <c r="S151" s="229">
        <f>+Tabla3[[#This Row],[COSTO UNITARIO DOLARES CTP]]*Tabla3[[#This Row],[CANTIDAD SOLICTADA]]</f>
        <v>1.4000000000000001</v>
      </c>
      <c r="T151" s="41"/>
      <c r="U151" s="18" t="s">
        <v>5</v>
      </c>
      <c r="V151" s="211" t="s">
        <v>249</v>
      </c>
      <c r="W151" s="10"/>
      <c r="X151" s="10" t="s">
        <v>89</v>
      </c>
      <c r="Y151" s="10">
        <v>0</v>
      </c>
      <c r="Z151" s="16" t="s">
        <v>250</v>
      </c>
      <c r="AA151" s="25">
        <v>46170</v>
      </c>
      <c r="AB151" s="25">
        <v>46118</v>
      </c>
      <c r="AC151" s="16"/>
      <c r="AD151" s="16"/>
      <c r="AE151" s="16" t="s">
        <v>251</v>
      </c>
      <c r="AF151" s="16" t="s">
        <v>251</v>
      </c>
      <c r="AG151" s="21" t="s">
        <v>252</v>
      </c>
      <c r="XFD151" s="15" t="str">
        <f>+Tabla3[[#This Row],[ESTATUS DE NUM ECONOMICO]]</f>
        <v>INACTIVA</v>
      </c>
    </row>
    <row r="152" spans="1:33 16384:16384" ht="15.75" thickBot="1" x14ac:dyDescent="0.3">
      <c r="A152" s="8">
        <v>32</v>
      </c>
      <c r="B152" s="9">
        <v>46169</v>
      </c>
      <c r="C152" s="10" t="s">
        <v>87</v>
      </c>
      <c r="D152" s="11"/>
      <c r="E152" s="16">
        <v>81</v>
      </c>
      <c r="F152" s="9">
        <v>46178</v>
      </c>
      <c r="G152" s="212" t="str">
        <f>IFERROR(VLOOKUP(Tabla3[[#This Row],[NUM ECONOMICO]],MAQUINARIA!B:H,7,0), " MAQ")</f>
        <v>INACTIVA</v>
      </c>
      <c r="H152" s="214" t="s">
        <v>247</v>
      </c>
      <c r="I152" s="41" t="s">
        <v>318</v>
      </c>
      <c r="J152" s="10" t="s">
        <v>253</v>
      </c>
      <c r="K152" s="10">
        <v>10</v>
      </c>
      <c r="L152" s="13">
        <v>45.85</v>
      </c>
      <c r="M152" s="13">
        <f t="shared" si="2"/>
        <v>458.5</v>
      </c>
      <c r="N152" s="41"/>
      <c r="O152" s="287">
        <v>3.25</v>
      </c>
      <c r="P152" s="287">
        <f>Tabla3[[#This Row],[COSTO UNITARIO DOLARES EN HAWTHORNE]]*Tabla3[[#This Row],[CANTIDAD SOLICTADA]]</f>
        <v>32.5</v>
      </c>
      <c r="Q152" s="41" t="s">
        <v>217</v>
      </c>
      <c r="R152" s="229">
        <v>0.16</v>
      </c>
      <c r="S152" s="229">
        <f>+Tabla3[[#This Row],[COSTO UNITARIO DOLARES CTP]]*Tabla3[[#This Row],[CANTIDAD SOLICTADA]]</f>
        <v>1.6</v>
      </c>
      <c r="T152" s="41"/>
      <c r="U152" s="18" t="s">
        <v>5</v>
      </c>
      <c r="V152" s="211" t="s">
        <v>249</v>
      </c>
      <c r="W152" s="10"/>
      <c r="X152" s="10" t="s">
        <v>89</v>
      </c>
      <c r="Y152" s="10">
        <v>14</v>
      </c>
      <c r="Z152" s="16" t="s">
        <v>250</v>
      </c>
      <c r="AA152" s="25">
        <v>46170</v>
      </c>
      <c r="AB152" s="25">
        <v>46118</v>
      </c>
      <c r="AC152" s="16"/>
      <c r="AD152" s="16"/>
      <c r="AE152" s="16" t="s">
        <v>251</v>
      </c>
      <c r="AF152" s="16" t="s">
        <v>251</v>
      </c>
      <c r="AG152" s="21" t="s">
        <v>252</v>
      </c>
      <c r="XFD152" s="15" t="str">
        <f>+Tabla3[[#This Row],[ESTATUS DE NUM ECONOMICO]]</f>
        <v>INACTIVA</v>
      </c>
    </row>
    <row r="153" spans="1:33 16384:16384" ht="15.75" thickBot="1" x14ac:dyDescent="0.3">
      <c r="A153" s="8">
        <v>32</v>
      </c>
      <c r="B153" s="9">
        <v>46169</v>
      </c>
      <c r="C153" s="10" t="s">
        <v>87</v>
      </c>
      <c r="D153" s="11"/>
      <c r="E153" s="16">
        <v>81</v>
      </c>
      <c r="F153" s="9">
        <v>46178</v>
      </c>
      <c r="G153" s="212" t="str">
        <f>IFERROR(VLOOKUP(Tabla3[[#This Row],[NUM ECONOMICO]],MAQUINARIA!B:H,7,0), " MAQ")</f>
        <v>INACTIVA</v>
      </c>
      <c r="H153" s="214" t="s">
        <v>247</v>
      </c>
      <c r="I153" s="41" t="s">
        <v>319</v>
      </c>
      <c r="J153" s="10" t="s">
        <v>253</v>
      </c>
      <c r="K153" s="10">
        <v>10</v>
      </c>
      <c r="L153" s="13">
        <v>70.7</v>
      </c>
      <c r="M153" s="13">
        <f t="shared" si="2"/>
        <v>707</v>
      </c>
      <c r="N153" s="41"/>
      <c r="O153" s="287">
        <v>5.04</v>
      </c>
      <c r="P153" s="287">
        <f>Tabla3[[#This Row],[COSTO UNITARIO DOLARES EN HAWTHORNE]]*Tabla3[[#This Row],[CANTIDAD SOLICTADA]]</f>
        <v>50.4</v>
      </c>
      <c r="Q153" s="41" t="s">
        <v>217</v>
      </c>
      <c r="R153" s="229">
        <v>0.28999999999999998</v>
      </c>
      <c r="S153" s="229">
        <f>+Tabla3[[#This Row],[COSTO UNITARIO DOLARES CTP]]*Tabla3[[#This Row],[CANTIDAD SOLICTADA]]</f>
        <v>2.9</v>
      </c>
      <c r="T153" s="41"/>
      <c r="U153" s="18" t="s">
        <v>5</v>
      </c>
      <c r="V153" s="211" t="s">
        <v>249</v>
      </c>
      <c r="W153" s="10"/>
      <c r="X153" s="10" t="s">
        <v>89</v>
      </c>
      <c r="Y153" s="10" t="s">
        <v>90</v>
      </c>
      <c r="Z153" s="16" t="s">
        <v>250</v>
      </c>
      <c r="AA153" s="25">
        <v>46170</v>
      </c>
      <c r="AB153" s="25">
        <v>46118</v>
      </c>
      <c r="AC153" s="16"/>
      <c r="AD153" s="16"/>
      <c r="AE153" s="16" t="s">
        <v>251</v>
      </c>
      <c r="AF153" s="16" t="s">
        <v>251</v>
      </c>
      <c r="AG153" s="21" t="s">
        <v>252</v>
      </c>
      <c r="XFD153" s="15" t="str">
        <f>+Tabla3[[#This Row],[ESTATUS DE NUM ECONOMICO]]</f>
        <v>INACTIVA</v>
      </c>
    </row>
    <row r="154" spans="1:33 16384:16384" ht="15.75" thickBot="1" x14ac:dyDescent="0.3">
      <c r="A154" s="8">
        <v>32</v>
      </c>
      <c r="B154" s="9">
        <v>46169</v>
      </c>
      <c r="C154" s="10" t="s">
        <v>87</v>
      </c>
      <c r="D154" s="11"/>
      <c r="E154" s="16">
        <v>81</v>
      </c>
      <c r="F154" s="9">
        <v>46178</v>
      </c>
      <c r="G154" s="212" t="str">
        <f>IFERROR(VLOOKUP(Tabla3[[#This Row],[NUM ECONOMICO]],MAQUINARIA!B:H,7,0), " MAQ")</f>
        <v>INACTIVA</v>
      </c>
      <c r="H154" s="214" t="s">
        <v>247</v>
      </c>
      <c r="I154" s="41" t="s">
        <v>320</v>
      </c>
      <c r="J154" s="10" t="s">
        <v>321</v>
      </c>
      <c r="K154" s="10">
        <v>20</v>
      </c>
      <c r="L154" s="13">
        <v>79.98</v>
      </c>
      <c r="M154" s="13">
        <f t="shared" si="2"/>
        <v>1599.6000000000001</v>
      </c>
      <c r="N154" s="41"/>
      <c r="O154" s="287">
        <v>5.68</v>
      </c>
      <c r="P154" s="287">
        <f>Tabla3[[#This Row],[COSTO UNITARIO DOLARES EN HAWTHORNE]]*Tabla3[[#This Row],[CANTIDAD SOLICTADA]]</f>
        <v>113.6</v>
      </c>
      <c r="Q154" s="41" t="s">
        <v>181</v>
      </c>
      <c r="R154" s="229">
        <v>0.34</v>
      </c>
      <c r="S154" s="229">
        <f>+Tabla3[[#This Row],[COSTO UNITARIO DOLARES CTP]]*Tabla3[[#This Row],[CANTIDAD SOLICTADA]]</f>
        <v>6.8000000000000007</v>
      </c>
      <c r="T154" s="41"/>
      <c r="U154" s="18" t="s">
        <v>5</v>
      </c>
      <c r="V154" s="211" t="s">
        <v>249</v>
      </c>
      <c r="W154" s="10"/>
      <c r="X154" s="10" t="s">
        <v>89</v>
      </c>
      <c r="Y154" s="10">
        <v>7</v>
      </c>
      <c r="Z154" s="16" t="s">
        <v>250</v>
      </c>
      <c r="AA154" s="25">
        <v>46170</v>
      </c>
      <c r="AB154" s="25">
        <v>46118</v>
      </c>
      <c r="AC154" s="16"/>
      <c r="AD154" s="16"/>
      <c r="AE154" s="16" t="s">
        <v>251</v>
      </c>
      <c r="AF154" s="16" t="s">
        <v>251</v>
      </c>
      <c r="AG154" s="21" t="s">
        <v>252</v>
      </c>
      <c r="XFD154" s="15" t="str">
        <f>+Tabla3[[#This Row],[ESTATUS DE NUM ECONOMICO]]</f>
        <v>INACTIVA</v>
      </c>
    </row>
    <row r="155" spans="1:33 16384:16384" ht="15.75" thickBot="1" x14ac:dyDescent="0.3">
      <c r="A155" s="8">
        <v>32</v>
      </c>
      <c r="B155" s="9">
        <v>46169</v>
      </c>
      <c r="C155" s="10" t="s">
        <v>87</v>
      </c>
      <c r="D155" s="10" t="s">
        <v>254</v>
      </c>
      <c r="E155" s="16">
        <v>80</v>
      </c>
      <c r="F155" s="9">
        <v>46178</v>
      </c>
      <c r="G155" s="212" t="str">
        <f>IFERROR(VLOOKUP(Tabla3[[#This Row],[NUM ECONOMICO]],MAQUINARIA!B:H,7,0), " MAQ")</f>
        <v>INACTIVA</v>
      </c>
      <c r="H155" s="214" t="s">
        <v>247</v>
      </c>
      <c r="I155" s="41" t="s">
        <v>322</v>
      </c>
      <c r="J155" s="10"/>
      <c r="K155" s="10">
        <v>4</v>
      </c>
      <c r="L155" s="12"/>
      <c r="M155" s="13">
        <f t="shared" si="2"/>
        <v>0</v>
      </c>
      <c r="N155" s="41"/>
      <c r="O155" s="10"/>
      <c r="P155" s="10">
        <f>Tabla3[[#This Row],[COSTO UNITARIO DOLARES EN HAWTHORNE]]*Tabla3[[#This Row],[CANTIDAD SOLICTADA]]</f>
        <v>0</v>
      </c>
      <c r="Q155" s="41"/>
      <c r="R155" s="229"/>
      <c r="S155" s="229">
        <f>+Tabla3[[#This Row],[COSTO UNITARIO DOLARES CTP]]*Tabla3[[#This Row],[CANTIDAD SOLICTADA]]</f>
        <v>0</v>
      </c>
      <c r="T155" s="41"/>
      <c r="U155" s="14" t="s">
        <v>4</v>
      </c>
      <c r="V155" s="8" t="s">
        <v>249</v>
      </c>
      <c r="W155" s="9">
        <v>46174</v>
      </c>
      <c r="X155" s="10" t="s">
        <v>89</v>
      </c>
      <c r="Y155" s="10" t="s">
        <v>90</v>
      </c>
      <c r="Z155" s="16" t="s">
        <v>44</v>
      </c>
      <c r="AA155" s="25">
        <v>46171</v>
      </c>
      <c r="AB155" s="25">
        <v>46175</v>
      </c>
      <c r="AC155" s="16" t="s">
        <v>256</v>
      </c>
      <c r="AD155" s="16"/>
      <c r="AE155" s="16" t="s">
        <v>140</v>
      </c>
      <c r="AF155" s="16"/>
      <c r="AG155" s="21" t="s">
        <v>252</v>
      </c>
      <c r="XFD155" s="15" t="str">
        <f>+Tabla3[[#This Row],[ESTATUS DE NUM ECONOMICO]]</f>
        <v>INACTIVA</v>
      </c>
    </row>
    <row r="156" spans="1:33 16384:16384" ht="15.75" thickBot="1" x14ac:dyDescent="0.3">
      <c r="A156" s="8">
        <v>32</v>
      </c>
      <c r="B156" s="9">
        <v>46169</v>
      </c>
      <c r="C156" s="10" t="s">
        <v>87</v>
      </c>
      <c r="D156" s="10" t="s">
        <v>254</v>
      </c>
      <c r="E156" s="16">
        <v>80</v>
      </c>
      <c r="F156" s="9">
        <v>46178</v>
      </c>
      <c r="G156" s="212" t="str">
        <f>IFERROR(VLOOKUP(Tabla3[[#This Row],[NUM ECONOMICO]],MAQUINARIA!B:H,7,0), " MAQ")</f>
        <v>INACTIVA</v>
      </c>
      <c r="H156" s="214" t="s">
        <v>247</v>
      </c>
      <c r="I156" s="41" t="s">
        <v>323</v>
      </c>
      <c r="J156" s="10"/>
      <c r="K156" s="10">
        <v>1</v>
      </c>
      <c r="L156" s="12"/>
      <c r="M156" s="13">
        <f t="shared" si="2"/>
        <v>0</v>
      </c>
      <c r="N156" s="41"/>
      <c r="O156" s="10"/>
      <c r="P156" s="10">
        <f>Tabla3[[#This Row],[COSTO UNITARIO DOLARES EN HAWTHORNE]]*Tabla3[[#This Row],[CANTIDAD SOLICTADA]]</f>
        <v>0</v>
      </c>
      <c r="Q156" s="41"/>
      <c r="R156" s="229"/>
      <c r="S156" s="229">
        <f>+Tabla3[[#This Row],[COSTO UNITARIO DOLARES CTP]]*Tabla3[[#This Row],[CANTIDAD SOLICTADA]]</f>
        <v>0</v>
      </c>
      <c r="T156" s="41"/>
      <c r="U156" s="14" t="s">
        <v>4</v>
      </c>
      <c r="V156" s="8" t="s">
        <v>249</v>
      </c>
      <c r="W156" s="9">
        <v>46174</v>
      </c>
      <c r="X156" s="10" t="s">
        <v>89</v>
      </c>
      <c r="Y156" s="10">
        <v>0</v>
      </c>
      <c r="Z156" s="16" t="s">
        <v>44</v>
      </c>
      <c r="AA156" s="25">
        <v>46171</v>
      </c>
      <c r="AB156" s="25">
        <v>46175</v>
      </c>
      <c r="AC156" s="16" t="s">
        <v>256</v>
      </c>
      <c r="AD156" s="16"/>
      <c r="AE156" s="16" t="s">
        <v>140</v>
      </c>
      <c r="AF156" s="16"/>
      <c r="AG156" s="21" t="s">
        <v>252</v>
      </c>
      <c r="XFD156" s="15" t="str">
        <f>+Tabla3[[#This Row],[ESTATUS DE NUM ECONOMICO]]</f>
        <v>INACTIVA</v>
      </c>
    </row>
    <row r="157" spans="1:33 16384:16384" ht="15.75" thickBot="1" x14ac:dyDescent="0.3">
      <c r="A157" s="8">
        <v>32</v>
      </c>
      <c r="B157" s="9">
        <v>46169</v>
      </c>
      <c r="C157" s="10" t="s">
        <v>87</v>
      </c>
      <c r="D157" s="10" t="s">
        <v>254</v>
      </c>
      <c r="E157" s="16">
        <v>80</v>
      </c>
      <c r="F157" s="9">
        <v>46178</v>
      </c>
      <c r="G157" s="212" t="str">
        <f>IFERROR(VLOOKUP(Tabla3[[#This Row],[NUM ECONOMICO]],MAQUINARIA!B:H,7,0), " MAQ")</f>
        <v>INACTIVA</v>
      </c>
      <c r="H157" s="214" t="s">
        <v>247</v>
      </c>
      <c r="I157" s="41">
        <v>619455</v>
      </c>
      <c r="J157" s="10"/>
      <c r="K157" s="10">
        <v>4</v>
      </c>
      <c r="L157" s="12"/>
      <c r="M157" s="13">
        <f t="shared" si="2"/>
        <v>0</v>
      </c>
      <c r="N157" s="41"/>
      <c r="O157" s="10"/>
      <c r="P157" s="10">
        <f>Tabla3[[#This Row],[COSTO UNITARIO DOLARES EN HAWTHORNE]]*Tabla3[[#This Row],[CANTIDAD SOLICTADA]]</f>
        <v>0</v>
      </c>
      <c r="Q157" s="41"/>
      <c r="R157" s="229"/>
      <c r="S157" s="229">
        <f>+Tabla3[[#This Row],[COSTO UNITARIO DOLARES CTP]]*Tabla3[[#This Row],[CANTIDAD SOLICTADA]]</f>
        <v>0</v>
      </c>
      <c r="T157" s="41"/>
      <c r="U157" s="14" t="s">
        <v>4</v>
      </c>
      <c r="V157" s="8" t="s">
        <v>249</v>
      </c>
      <c r="W157" s="9">
        <v>46174</v>
      </c>
      <c r="X157" s="10" t="s">
        <v>89</v>
      </c>
      <c r="Y157" s="10">
        <v>1</v>
      </c>
      <c r="Z157" s="16" t="s">
        <v>44</v>
      </c>
      <c r="AA157" s="25">
        <v>46171</v>
      </c>
      <c r="AB157" s="25">
        <v>46175</v>
      </c>
      <c r="AC157" s="16" t="s">
        <v>256</v>
      </c>
      <c r="AD157" s="16"/>
      <c r="AE157" s="16" t="s">
        <v>140</v>
      </c>
      <c r="AF157" s="16"/>
      <c r="AG157" s="21" t="s">
        <v>252</v>
      </c>
      <c r="XFD157" s="15" t="str">
        <f>+Tabla3[[#This Row],[ESTATUS DE NUM ECONOMICO]]</f>
        <v>INACTIVA</v>
      </c>
    </row>
    <row r="158" spans="1:33 16384:16384" ht="15.75" thickBot="1" x14ac:dyDescent="0.3">
      <c r="A158" s="8">
        <v>32</v>
      </c>
      <c r="B158" s="9">
        <v>46169</v>
      </c>
      <c r="C158" s="10" t="s">
        <v>87</v>
      </c>
      <c r="D158" s="10" t="s">
        <v>254</v>
      </c>
      <c r="E158" s="16">
        <v>80</v>
      </c>
      <c r="F158" s="9">
        <v>46178</v>
      </c>
      <c r="G158" s="212" t="str">
        <f>IFERROR(VLOOKUP(Tabla3[[#This Row],[NUM ECONOMICO]],MAQUINARIA!B:H,7,0), " MAQ")</f>
        <v>INACTIVA</v>
      </c>
      <c r="H158" s="214" t="s">
        <v>247</v>
      </c>
      <c r="I158" s="41">
        <v>1188586</v>
      </c>
      <c r="J158" s="10"/>
      <c r="K158" s="10">
        <v>2</v>
      </c>
      <c r="L158" s="12"/>
      <c r="M158" s="13">
        <f t="shared" si="2"/>
        <v>0</v>
      </c>
      <c r="N158" s="41"/>
      <c r="O158" s="10"/>
      <c r="P158" s="10">
        <f>Tabla3[[#This Row],[COSTO UNITARIO DOLARES EN HAWTHORNE]]*Tabla3[[#This Row],[CANTIDAD SOLICTADA]]</f>
        <v>0</v>
      </c>
      <c r="Q158" s="41"/>
      <c r="R158" s="229"/>
      <c r="S158" s="229">
        <f>+Tabla3[[#This Row],[COSTO UNITARIO DOLARES CTP]]*Tabla3[[#This Row],[CANTIDAD SOLICTADA]]</f>
        <v>0</v>
      </c>
      <c r="T158" s="41"/>
      <c r="U158" s="14" t="s">
        <v>4</v>
      </c>
      <c r="V158" s="8" t="s">
        <v>249</v>
      </c>
      <c r="W158" s="9">
        <v>46174</v>
      </c>
      <c r="X158" s="10" t="s">
        <v>89</v>
      </c>
      <c r="Y158" s="10" t="s">
        <v>90</v>
      </c>
      <c r="Z158" s="16" t="s">
        <v>44</v>
      </c>
      <c r="AA158" s="25">
        <v>46171</v>
      </c>
      <c r="AB158" s="25">
        <v>46175</v>
      </c>
      <c r="AC158" s="16" t="s">
        <v>256</v>
      </c>
      <c r="AD158" s="16"/>
      <c r="AE158" s="16" t="s">
        <v>140</v>
      </c>
      <c r="AF158" s="16"/>
      <c r="AG158" s="21" t="s">
        <v>252</v>
      </c>
      <c r="XFD158" s="15" t="str">
        <f>+Tabla3[[#This Row],[ESTATUS DE NUM ECONOMICO]]</f>
        <v>INACTIVA</v>
      </c>
    </row>
    <row r="159" spans="1:33 16384:16384" ht="15.75" thickBot="1" x14ac:dyDescent="0.3">
      <c r="A159" s="8">
        <v>32</v>
      </c>
      <c r="B159" s="9">
        <v>46169</v>
      </c>
      <c r="C159" s="10" t="s">
        <v>87</v>
      </c>
      <c r="D159" s="10" t="s">
        <v>254</v>
      </c>
      <c r="E159" s="16">
        <v>80</v>
      </c>
      <c r="F159" s="9">
        <v>46178</v>
      </c>
      <c r="G159" s="212" t="str">
        <f>IFERROR(VLOOKUP(Tabla3[[#This Row],[NUM ECONOMICO]],MAQUINARIA!B:H,7,0), " MAQ")</f>
        <v>INACTIVA</v>
      </c>
      <c r="H159" s="214" t="s">
        <v>247</v>
      </c>
      <c r="I159" s="41" t="s">
        <v>324</v>
      </c>
      <c r="J159" s="10"/>
      <c r="K159" s="10">
        <v>1</v>
      </c>
      <c r="L159" s="12"/>
      <c r="M159" s="13">
        <f t="shared" si="2"/>
        <v>0</v>
      </c>
      <c r="N159" s="41"/>
      <c r="O159" s="10"/>
      <c r="P159" s="10">
        <f>Tabla3[[#This Row],[COSTO UNITARIO DOLARES EN HAWTHORNE]]*Tabla3[[#This Row],[CANTIDAD SOLICTADA]]</f>
        <v>0</v>
      </c>
      <c r="Q159" s="41"/>
      <c r="R159" s="229"/>
      <c r="S159" s="229">
        <f>+Tabla3[[#This Row],[COSTO UNITARIO DOLARES CTP]]*Tabla3[[#This Row],[CANTIDAD SOLICTADA]]</f>
        <v>0</v>
      </c>
      <c r="T159" s="41"/>
      <c r="U159" s="14" t="s">
        <v>4</v>
      </c>
      <c r="V159" s="8" t="s">
        <v>249</v>
      </c>
      <c r="W159" s="9">
        <v>46174</v>
      </c>
      <c r="X159" s="10" t="s">
        <v>89</v>
      </c>
      <c r="Y159" s="10" t="s">
        <v>90</v>
      </c>
      <c r="Z159" s="16" t="s">
        <v>44</v>
      </c>
      <c r="AA159" s="25">
        <v>46171</v>
      </c>
      <c r="AB159" s="25">
        <v>46175</v>
      </c>
      <c r="AC159" s="16" t="s">
        <v>256</v>
      </c>
      <c r="AD159" s="16"/>
      <c r="AE159" s="16" t="s">
        <v>140</v>
      </c>
      <c r="AF159" s="16"/>
      <c r="AG159" s="21" t="s">
        <v>252</v>
      </c>
      <c r="XFD159" s="15" t="str">
        <f>+Tabla3[[#This Row],[ESTATUS DE NUM ECONOMICO]]</f>
        <v>INACTIVA</v>
      </c>
    </row>
    <row r="160" spans="1:33 16384:16384" ht="15.75" thickBot="1" x14ac:dyDescent="0.3">
      <c r="A160" s="8">
        <v>32</v>
      </c>
      <c r="B160" s="9">
        <v>46169</v>
      </c>
      <c r="C160" s="10" t="s">
        <v>87</v>
      </c>
      <c r="D160" s="10" t="s">
        <v>254</v>
      </c>
      <c r="E160" s="16">
        <v>80</v>
      </c>
      <c r="F160" s="9">
        <v>46178</v>
      </c>
      <c r="G160" s="212" t="str">
        <f>IFERROR(VLOOKUP(Tabla3[[#This Row],[NUM ECONOMICO]],MAQUINARIA!B:H,7,0), " MAQ")</f>
        <v>INACTIVA</v>
      </c>
      <c r="H160" s="214" t="s">
        <v>247</v>
      </c>
      <c r="I160" s="41">
        <v>3303517</v>
      </c>
      <c r="J160" s="10"/>
      <c r="K160" s="10">
        <v>1</v>
      </c>
      <c r="L160" s="12"/>
      <c r="M160" s="13">
        <f t="shared" si="2"/>
        <v>0</v>
      </c>
      <c r="N160" s="41"/>
      <c r="O160" s="10"/>
      <c r="P160" s="10">
        <f>Tabla3[[#This Row],[COSTO UNITARIO DOLARES EN HAWTHORNE]]*Tabla3[[#This Row],[CANTIDAD SOLICTADA]]</f>
        <v>0</v>
      </c>
      <c r="Q160" s="41"/>
      <c r="R160" s="229"/>
      <c r="S160" s="229">
        <f>+Tabla3[[#This Row],[COSTO UNITARIO DOLARES CTP]]*Tabla3[[#This Row],[CANTIDAD SOLICTADA]]</f>
        <v>0</v>
      </c>
      <c r="T160" s="41"/>
      <c r="U160" s="14" t="s">
        <v>4</v>
      </c>
      <c r="V160" s="8" t="s">
        <v>249</v>
      </c>
      <c r="W160" s="9">
        <v>46174</v>
      </c>
      <c r="X160" s="10" t="s">
        <v>89</v>
      </c>
      <c r="Y160" s="10" t="s">
        <v>90</v>
      </c>
      <c r="Z160" s="16" t="s">
        <v>44</v>
      </c>
      <c r="AA160" s="25">
        <v>46171</v>
      </c>
      <c r="AB160" s="25">
        <v>46175</v>
      </c>
      <c r="AC160" s="16" t="s">
        <v>256</v>
      </c>
      <c r="AD160" s="16"/>
      <c r="AE160" s="16" t="s">
        <v>140</v>
      </c>
      <c r="AF160" s="16"/>
      <c r="AG160" s="21" t="s">
        <v>252</v>
      </c>
      <c r="XFD160" s="15" t="str">
        <f>+Tabla3[[#This Row],[ESTATUS DE NUM ECONOMICO]]</f>
        <v>INACTIVA</v>
      </c>
    </row>
    <row r="161" spans="1:33 16384:16384" ht="15.75" thickBot="1" x14ac:dyDescent="0.3">
      <c r="A161" s="8">
        <v>32</v>
      </c>
      <c r="B161" s="9">
        <v>46169</v>
      </c>
      <c r="C161" s="10" t="s">
        <v>87</v>
      </c>
      <c r="D161" s="11"/>
      <c r="E161" s="16">
        <v>81</v>
      </c>
      <c r="F161" s="9">
        <v>46178</v>
      </c>
      <c r="G161" s="212" t="str">
        <f>IFERROR(VLOOKUP(Tabla3[[#This Row],[NUM ECONOMICO]],MAQUINARIA!B:H,7,0), " MAQ")</f>
        <v>INACTIVA</v>
      </c>
      <c r="H161" s="214" t="s">
        <v>247</v>
      </c>
      <c r="I161" s="41" t="s">
        <v>325</v>
      </c>
      <c r="J161" s="10" t="s">
        <v>321</v>
      </c>
      <c r="K161" s="10">
        <v>3</v>
      </c>
      <c r="L161" s="13">
        <v>113.4</v>
      </c>
      <c r="M161" s="13">
        <f t="shared" si="2"/>
        <v>340.20000000000005</v>
      </c>
      <c r="N161" s="41"/>
      <c r="O161" s="287">
        <v>8.0399999999999991</v>
      </c>
      <c r="P161" s="287">
        <f>Tabla3[[#This Row],[COSTO UNITARIO DOLARES EN HAWTHORNE]]*Tabla3[[#This Row],[CANTIDAD SOLICTADA]]</f>
        <v>24.119999999999997</v>
      </c>
      <c r="Q161" s="41" t="s">
        <v>181</v>
      </c>
      <c r="R161" s="229">
        <v>0.27</v>
      </c>
      <c r="S161" s="229">
        <f>+Tabla3[[#This Row],[COSTO UNITARIO DOLARES CTP]]*Tabla3[[#This Row],[CANTIDAD SOLICTADA]]</f>
        <v>0.81</v>
      </c>
      <c r="T161" s="41"/>
      <c r="U161" s="18" t="s">
        <v>5</v>
      </c>
      <c r="V161" s="211" t="s">
        <v>249</v>
      </c>
      <c r="W161" s="10"/>
      <c r="X161" s="10" t="s">
        <v>89</v>
      </c>
      <c r="Y161" s="10" t="s">
        <v>90</v>
      </c>
      <c r="Z161" s="16" t="s">
        <v>250</v>
      </c>
      <c r="AA161" s="25">
        <v>46170</v>
      </c>
      <c r="AB161" s="25">
        <v>46118</v>
      </c>
      <c r="AC161" s="16"/>
      <c r="AD161" s="16"/>
      <c r="AE161" s="16" t="s">
        <v>251</v>
      </c>
      <c r="AF161" s="16" t="s">
        <v>251</v>
      </c>
      <c r="AG161" s="21" t="s">
        <v>252</v>
      </c>
      <c r="XFD161" s="15" t="str">
        <f>+Tabla3[[#This Row],[ESTATUS DE NUM ECONOMICO]]</f>
        <v>INACTIVA</v>
      </c>
    </row>
    <row r="162" spans="1:33 16384:16384" ht="15.75" thickBot="1" x14ac:dyDescent="0.3">
      <c r="A162" s="8">
        <v>32</v>
      </c>
      <c r="B162" s="9">
        <v>46169</v>
      </c>
      <c r="C162" s="10" t="s">
        <v>87</v>
      </c>
      <c r="D162" s="11"/>
      <c r="E162" s="16">
        <v>81</v>
      </c>
      <c r="F162" s="9">
        <v>46178</v>
      </c>
      <c r="G162" s="212" t="str">
        <f>IFERROR(VLOOKUP(Tabla3[[#This Row],[NUM ECONOMICO]],MAQUINARIA!B:H,7,0), " MAQ")</f>
        <v>INACTIVA</v>
      </c>
      <c r="H162" s="214" t="s">
        <v>247</v>
      </c>
      <c r="I162" s="41">
        <v>3464897</v>
      </c>
      <c r="J162" s="10" t="s">
        <v>253</v>
      </c>
      <c r="K162" s="10">
        <v>2</v>
      </c>
      <c r="L162" s="13">
        <v>249.2</v>
      </c>
      <c r="M162" s="13">
        <f t="shared" si="2"/>
        <v>498.4</v>
      </c>
      <c r="N162" s="41"/>
      <c r="O162" s="287">
        <v>17.68</v>
      </c>
      <c r="P162" s="287">
        <f>Tabla3[[#This Row],[COSTO UNITARIO DOLARES EN HAWTHORNE]]*Tabla3[[#This Row],[CANTIDAD SOLICTADA]]</f>
        <v>35.36</v>
      </c>
      <c r="Q162" s="41" t="s">
        <v>181</v>
      </c>
      <c r="R162" s="229">
        <v>0.7</v>
      </c>
      <c r="S162" s="229">
        <f>+Tabla3[[#This Row],[COSTO UNITARIO DOLARES CTP]]*Tabla3[[#This Row],[CANTIDAD SOLICTADA]]</f>
        <v>1.4</v>
      </c>
      <c r="T162" s="41"/>
      <c r="U162" s="18" t="s">
        <v>5</v>
      </c>
      <c r="V162" s="211" t="s">
        <v>249</v>
      </c>
      <c r="W162" s="10"/>
      <c r="X162" s="10" t="s">
        <v>89</v>
      </c>
      <c r="Y162" s="10" t="s">
        <v>90</v>
      </c>
      <c r="Z162" s="16" t="s">
        <v>250</v>
      </c>
      <c r="AA162" s="25">
        <v>46170</v>
      </c>
      <c r="AB162" s="25">
        <v>46118</v>
      </c>
      <c r="AC162" s="16"/>
      <c r="AD162" s="16"/>
      <c r="AE162" s="16" t="s">
        <v>251</v>
      </c>
      <c r="AF162" s="16" t="s">
        <v>251</v>
      </c>
      <c r="AG162" s="21" t="s">
        <v>252</v>
      </c>
      <c r="XFD162" s="15" t="str">
        <f>+Tabla3[[#This Row],[ESTATUS DE NUM ECONOMICO]]</f>
        <v>INACTIVA</v>
      </c>
    </row>
    <row r="163" spans="1:33 16384:16384" ht="15.75" thickBot="1" x14ac:dyDescent="0.3">
      <c r="A163" s="8">
        <v>32</v>
      </c>
      <c r="B163" s="9">
        <v>46169</v>
      </c>
      <c r="C163" s="10" t="s">
        <v>87</v>
      </c>
      <c r="D163" s="11"/>
      <c r="E163" s="16">
        <v>81</v>
      </c>
      <c r="F163" s="9">
        <v>46178</v>
      </c>
      <c r="G163" s="212" t="str">
        <f>IFERROR(VLOOKUP(Tabla3[[#This Row],[NUM ECONOMICO]],MAQUINARIA!B:H,7,0), " MAQ")</f>
        <v>INACTIVA</v>
      </c>
      <c r="H163" s="214" t="s">
        <v>247</v>
      </c>
      <c r="I163" s="41" t="s">
        <v>326</v>
      </c>
      <c r="J163" s="10" t="s">
        <v>327</v>
      </c>
      <c r="K163" s="10">
        <v>3</v>
      </c>
      <c r="L163" s="13">
        <v>472.68</v>
      </c>
      <c r="M163" s="13">
        <f t="shared" si="2"/>
        <v>1418.04</v>
      </c>
      <c r="N163" s="41"/>
      <c r="O163" s="287">
        <v>32.17</v>
      </c>
      <c r="P163" s="287">
        <f>Tabla3[[#This Row],[COSTO UNITARIO DOLARES EN HAWTHORNE]]*Tabla3[[#This Row],[CANTIDAD SOLICTADA]]</f>
        <v>96.51</v>
      </c>
      <c r="Q163" s="41" t="s">
        <v>181</v>
      </c>
      <c r="R163" s="229">
        <v>1.82</v>
      </c>
      <c r="S163" s="229">
        <f>+Tabla3[[#This Row],[COSTO UNITARIO DOLARES CTP]]*Tabla3[[#This Row],[CANTIDAD SOLICTADA]]</f>
        <v>5.46</v>
      </c>
      <c r="T163" s="41"/>
      <c r="U163" s="18" t="s">
        <v>5</v>
      </c>
      <c r="V163" s="211" t="s">
        <v>249</v>
      </c>
      <c r="W163" s="10"/>
      <c r="X163" s="10" t="s">
        <v>89</v>
      </c>
      <c r="Y163" s="10" t="s">
        <v>90</v>
      </c>
      <c r="Z163" s="16" t="s">
        <v>250</v>
      </c>
      <c r="AA163" s="25">
        <v>46170</v>
      </c>
      <c r="AB163" s="25">
        <v>46118</v>
      </c>
      <c r="AC163" s="16"/>
      <c r="AD163" s="16"/>
      <c r="AE163" s="16" t="s">
        <v>251</v>
      </c>
      <c r="AF163" s="16" t="s">
        <v>251</v>
      </c>
      <c r="AG163" s="21" t="s">
        <v>252</v>
      </c>
      <c r="XFD163" s="15" t="str">
        <f>+Tabla3[[#This Row],[ESTATUS DE NUM ECONOMICO]]</f>
        <v>INACTIVA</v>
      </c>
    </row>
    <row r="164" spans="1:33 16384:16384" ht="15.75" thickBot="1" x14ac:dyDescent="0.3">
      <c r="A164" s="8">
        <v>32</v>
      </c>
      <c r="B164" s="9">
        <v>46169</v>
      </c>
      <c r="C164" s="10" t="s">
        <v>87</v>
      </c>
      <c r="D164" s="11"/>
      <c r="E164" s="16">
        <v>80</v>
      </c>
      <c r="F164" s="9">
        <v>46178</v>
      </c>
      <c r="G164" s="212" t="str">
        <f>IFERROR(VLOOKUP(Tabla3[[#This Row],[NUM ECONOMICO]],MAQUINARIA!B:H,7,0), " MAQ")</f>
        <v>INACTIVA</v>
      </c>
      <c r="H164" s="214" t="s">
        <v>247</v>
      </c>
      <c r="I164" s="41" t="s">
        <v>328</v>
      </c>
      <c r="J164" s="10"/>
      <c r="K164" s="10">
        <v>1</v>
      </c>
      <c r="L164" s="12"/>
      <c r="M164" s="13">
        <f t="shared" si="2"/>
        <v>0</v>
      </c>
      <c r="N164" s="41"/>
      <c r="O164" s="10"/>
      <c r="P164" s="10">
        <f>Tabla3[[#This Row],[COSTO UNITARIO DOLARES EN HAWTHORNE]]*Tabla3[[#This Row],[CANTIDAD SOLICTADA]]</f>
        <v>0</v>
      </c>
      <c r="Q164" s="41"/>
      <c r="R164" s="229"/>
      <c r="S164" s="229">
        <f>+Tabla3[[#This Row],[COSTO UNITARIO DOLARES CTP]]*Tabla3[[#This Row],[CANTIDAD SOLICTADA]]</f>
        <v>0</v>
      </c>
      <c r="T164" s="41"/>
      <c r="U164" s="14" t="s">
        <v>4</v>
      </c>
      <c r="V164" s="17"/>
      <c r="W164" s="10"/>
      <c r="X164" s="10" t="s">
        <v>96</v>
      </c>
      <c r="Y164" s="10">
        <v>2</v>
      </c>
      <c r="Z164" s="16"/>
      <c r="AA164" s="16"/>
      <c r="AB164" s="16"/>
      <c r="AC164" s="16"/>
      <c r="AD164" s="16"/>
      <c r="AE164" s="16" t="s">
        <v>251</v>
      </c>
      <c r="AF164" s="16"/>
      <c r="AG164" s="21" t="s">
        <v>252</v>
      </c>
      <c r="XFD164" s="15" t="str">
        <f>+Tabla3[[#This Row],[ESTATUS DE NUM ECONOMICO]]</f>
        <v>INACTIVA</v>
      </c>
    </row>
    <row r="165" spans="1:33 16384:16384" ht="15.75" thickBot="1" x14ac:dyDescent="0.3">
      <c r="A165" s="8">
        <v>32</v>
      </c>
      <c r="B165" s="9">
        <v>46169</v>
      </c>
      <c r="C165" s="10" t="s">
        <v>87</v>
      </c>
      <c r="D165" s="10" t="s">
        <v>254</v>
      </c>
      <c r="E165" s="16">
        <v>80</v>
      </c>
      <c r="F165" s="9">
        <v>46178</v>
      </c>
      <c r="G165" s="212" t="str">
        <f>IFERROR(VLOOKUP(Tabla3[[#This Row],[NUM ECONOMICO]],MAQUINARIA!B:H,7,0), " MAQ")</f>
        <v>INACTIVA</v>
      </c>
      <c r="H165" s="214" t="s">
        <v>247</v>
      </c>
      <c r="I165" s="41">
        <v>3308196</v>
      </c>
      <c r="J165" s="10"/>
      <c r="K165" s="10">
        <v>2</v>
      </c>
      <c r="L165" s="12"/>
      <c r="M165" s="13">
        <f t="shared" si="2"/>
        <v>0</v>
      </c>
      <c r="N165" s="41"/>
      <c r="O165" s="10"/>
      <c r="P165" s="10">
        <f>Tabla3[[#This Row],[COSTO UNITARIO DOLARES EN HAWTHORNE]]*Tabla3[[#This Row],[CANTIDAD SOLICTADA]]</f>
        <v>0</v>
      </c>
      <c r="Q165" s="41"/>
      <c r="R165" s="229"/>
      <c r="S165" s="229">
        <f>+Tabla3[[#This Row],[COSTO UNITARIO DOLARES CTP]]*Tabla3[[#This Row],[CANTIDAD SOLICTADA]]</f>
        <v>0</v>
      </c>
      <c r="T165" s="41"/>
      <c r="U165" s="14" t="s">
        <v>4</v>
      </c>
      <c r="V165" s="8" t="s">
        <v>249</v>
      </c>
      <c r="W165" s="9">
        <v>46174</v>
      </c>
      <c r="X165" s="10" t="s">
        <v>89</v>
      </c>
      <c r="Y165" s="10" t="s">
        <v>90</v>
      </c>
      <c r="Z165" s="16" t="s">
        <v>44</v>
      </c>
      <c r="AA165" s="25">
        <v>46171</v>
      </c>
      <c r="AB165" s="25">
        <v>46175</v>
      </c>
      <c r="AC165" s="16" t="s">
        <v>256</v>
      </c>
      <c r="AD165" s="16"/>
      <c r="AE165" s="16" t="s">
        <v>140</v>
      </c>
      <c r="AF165" s="16"/>
      <c r="AG165" s="21" t="s">
        <v>252</v>
      </c>
      <c r="XFD165" s="15" t="str">
        <f>+Tabla3[[#This Row],[ESTATUS DE NUM ECONOMICO]]</f>
        <v>INACTIVA</v>
      </c>
    </row>
    <row r="166" spans="1:33 16384:16384" ht="15.75" thickBot="1" x14ac:dyDescent="0.3">
      <c r="A166" s="8">
        <v>32</v>
      </c>
      <c r="B166" s="9">
        <v>46169</v>
      </c>
      <c r="C166" s="10" t="s">
        <v>87</v>
      </c>
      <c r="D166" s="10" t="s">
        <v>254</v>
      </c>
      <c r="E166" s="16">
        <v>80</v>
      </c>
      <c r="F166" s="9">
        <v>46178</v>
      </c>
      <c r="G166" s="212" t="str">
        <f>IFERROR(VLOOKUP(Tabla3[[#This Row],[NUM ECONOMICO]],MAQUINARIA!B:H,7,0), " MAQ")</f>
        <v>INACTIVA</v>
      </c>
      <c r="H166" s="214" t="s">
        <v>247</v>
      </c>
      <c r="I166" s="41" t="s">
        <v>329</v>
      </c>
      <c r="J166" s="10"/>
      <c r="K166" s="10">
        <v>1</v>
      </c>
      <c r="L166" s="12"/>
      <c r="M166" s="13">
        <f t="shared" si="2"/>
        <v>0</v>
      </c>
      <c r="N166" s="41"/>
      <c r="O166" s="10"/>
      <c r="P166" s="10">
        <f>Tabla3[[#This Row],[COSTO UNITARIO DOLARES EN HAWTHORNE]]*Tabla3[[#This Row],[CANTIDAD SOLICTADA]]</f>
        <v>0</v>
      </c>
      <c r="Q166" s="41"/>
      <c r="R166" s="229"/>
      <c r="S166" s="229">
        <f>+Tabla3[[#This Row],[COSTO UNITARIO DOLARES CTP]]*Tabla3[[#This Row],[CANTIDAD SOLICTADA]]</f>
        <v>0</v>
      </c>
      <c r="T166" s="41"/>
      <c r="U166" s="14" t="s">
        <v>4</v>
      </c>
      <c r="V166" s="8" t="s">
        <v>249</v>
      </c>
      <c r="W166" s="9">
        <v>46174</v>
      </c>
      <c r="X166" s="10" t="s">
        <v>89</v>
      </c>
      <c r="Y166" s="10" t="s">
        <v>90</v>
      </c>
      <c r="Z166" s="16" t="s">
        <v>44</v>
      </c>
      <c r="AA166" s="25">
        <v>46171</v>
      </c>
      <c r="AB166" s="25">
        <v>46175</v>
      </c>
      <c r="AC166" s="16" t="s">
        <v>256</v>
      </c>
      <c r="AD166" s="16"/>
      <c r="AE166" s="16" t="s">
        <v>140</v>
      </c>
      <c r="AF166" s="16"/>
      <c r="AG166" s="21" t="s">
        <v>252</v>
      </c>
      <c r="XFD166" s="15" t="str">
        <f>+Tabla3[[#This Row],[ESTATUS DE NUM ECONOMICO]]</f>
        <v>INACTIVA</v>
      </c>
    </row>
    <row r="167" spans="1:33 16384:16384" ht="15.75" thickBot="1" x14ac:dyDescent="0.3">
      <c r="A167" s="8">
        <v>32</v>
      </c>
      <c r="B167" s="9">
        <v>46169</v>
      </c>
      <c r="C167" s="10" t="s">
        <v>87</v>
      </c>
      <c r="D167" s="10" t="s">
        <v>254</v>
      </c>
      <c r="E167" s="16">
        <v>80</v>
      </c>
      <c r="F167" s="9">
        <v>46178</v>
      </c>
      <c r="G167" s="212" t="str">
        <f>IFERROR(VLOOKUP(Tabla3[[#This Row],[NUM ECONOMICO]],MAQUINARIA!B:H,7,0), " MAQ")</f>
        <v>INACTIVA</v>
      </c>
      <c r="H167" s="214" t="s">
        <v>247</v>
      </c>
      <c r="I167" s="41" t="s">
        <v>330</v>
      </c>
      <c r="J167" s="10" t="s">
        <v>331</v>
      </c>
      <c r="K167" s="10">
        <v>2</v>
      </c>
      <c r="L167" s="12"/>
      <c r="M167" s="13">
        <f t="shared" si="2"/>
        <v>0</v>
      </c>
      <c r="N167" s="41"/>
      <c r="O167" s="10"/>
      <c r="P167" s="10">
        <f>Tabla3[[#This Row],[COSTO UNITARIO DOLARES EN HAWTHORNE]]*Tabla3[[#This Row],[CANTIDAD SOLICTADA]]</f>
        <v>0</v>
      </c>
      <c r="Q167" s="41"/>
      <c r="R167" s="229">
        <v>0.53</v>
      </c>
      <c r="S167" s="229">
        <f>+Tabla3[[#This Row],[COSTO UNITARIO DOLARES CTP]]*Tabla3[[#This Row],[CANTIDAD SOLICTADA]]</f>
        <v>1.06</v>
      </c>
      <c r="T167" s="41"/>
      <c r="U167" s="14" t="s">
        <v>4</v>
      </c>
      <c r="V167" s="8" t="s">
        <v>249</v>
      </c>
      <c r="W167" s="9">
        <v>46174</v>
      </c>
      <c r="X167" s="10" t="s">
        <v>89</v>
      </c>
      <c r="Y167" s="10">
        <v>9</v>
      </c>
      <c r="Z167" s="16" t="s">
        <v>44</v>
      </c>
      <c r="AA167" s="25">
        <v>46171</v>
      </c>
      <c r="AB167" s="25">
        <v>46175</v>
      </c>
      <c r="AC167" s="16" t="s">
        <v>256</v>
      </c>
      <c r="AD167" s="16"/>
      <c r="AE167" s="16" t="s">
        <v>140</v>
      </c>
      <c r="AF167" s="16"/>
      <c r="AG167" s="21" t="s">
        <v>252</v>
      </c>
      <c r="XFD167" s="15" t="str">
        <f>+Tabla3[[#This Row],[ESTATUS DE NUM ECONOMICO]]</f>
        <v>INACTIVA</v>
      </c>
    </row>
    <row r="168" spans="1:33 16384:16384" ht="15.75" thickBot="1" x14ac:dyDescent="0.3">
      <c r="A168" s="8">
        <v>32</v>
      </c>
      <c r="B168" s="9">
        <v>46169</v>
      </c>
      <c r="C168" s="10" t="s">
        <v>87</v>
      </c>
      <c r="D168" s="10" t="s">
        <v>254</v>
      </c>
      <c r="E168" s="16">
        <v>80</v>
      </c>
      <c r="F168" s="9">
        <v>46178</v>
      </c>
      <c r="G168" s="212" t="str">
        <f>IFERROR(VLOOKUP(Tabla3[[#This Row],[NUM ECONOMICO]],MAQUINARIA!B:H,7,0), " MAQ")</f>
        <v>INACTIVA</v>
      </c>
      <c r="H168" s="214" t="s">
        <v>247</v>
      </c>
      <c r="I168" s="41" t="s">
        <v>332</v>
      </c>
      <c r="J168" s="10"/>
      <c r="K168" s="10">
        <v>3</v>
      </c>
      <c r="L168" s="12"/>
      <c r="M168" s="13">
        <f t="shared" si="2"/>
        <v>0</v>
      </c>
      <c r="N168" s="41"/>
      <c r="O168" s="10"/>
      <c r="P168" s="10">
        <f>Tabla3[[#This Row],[COSTO UNITARIO DOLARES EN HAWTHORNE]]*Tabla3[[#This Row],[CANTIDAD SOLICTADA]]</f>
        <v>0</v>
      </c>
      <c r="Q168" s="41"/>
      <c r="R168" s="229"/>
      <c r="S168" s="229">
        <f>+Tabla3[[#This Row],[COSTO UNITARIO DOLARES CTP]]*Tabla3[[#This Row],[CANTIDAD SOLICTADA]]</f>
        <v>0</v>
      </c>
      <c r="T168" s="41"/>
      <c r="U168" s="14" t="s">
        <v>4</v>
      </c>
      <c r="V168" s="8" t="s">
        <v>249</v>
      </c>
      <c r="W168" s="9">
        <v>46174</v>
      </c>
      <c r="X168" s="10" t="s">
        <v>89</v>
      </c>
      <c r="Y168" s="10" t="s">
        <v>90</v>
      </c>
      <c r="Z168" s="16" t="s">
        <v>44</v>
      </c>
      <c r="AA168" s="25">
        <v>46171</v>
      </c>
      <c r="AB168" s="25">
        <v>46175</v>
      </c>
      <c r="AC168" s="16" t="s">
        <v>256</v>
      </c>
      <c r="AD168" s="16"/>
      <c r="AE168" s="16" t="s">
        <v>140</v>
      </c>
      <c r="AF168" s="16"/>
      <c r="AG168" s="21" t="s">
        <v>252</v>
      </c>
      <c r="XFD168" s="15" t="str">
        <f>+Tabla3[[#This Row],[ESTATUS DE NUM ECONOMICO]]</f>
        <v>INACTIVA</v>
      </c>
    </row>
    <row r="169" spans="1:33 16384:16384" ht="15.75" thickBot="1" x14ac:dyDescent="0.3">
      <c r="A169" s="8">
        <v>32</v>
      </c>
      <c r="B169" s="9">
        <v>46169</v>
      </c>
      <c r="C169" s="10" t="s">
        <v>87</v>
      </c>
      <c r="D169" s="10" t="s">
        <v>254</v>
      </c>
      <c r="E169" s="16">
        <v>80</v>
      </c>
      <c r="F169" s="9">
        <v>46178</v>
      </c>
      <c r="G169" s="212" t="str">
        <f>IFERROR(VLOOKUP(Tabla3[[#This Row],[NUM ECONOMICO]],MAQUINARIA!B:H,7,0), " MAQ")</f>
        <v>INACTIVA</v>
      </c>
      <c r="H169" s="214" t="s">
        <v>247</v>
      </c>
      <c r="I169" s="41" t="s">
        <v>333</v>
      </c>
      <c r="J169" s="10"/>
      <c r="K169" s="10">
        <v>4</v>
      </c>
      <c r="L169" s="12"/>
      <c r="M169" s="13">
        <f t="shared" si="2"/>
        <v>0</v>
      </c>
      <c r="N169" s="41"/>
      <c r="O169" s="10"/>
      <c r="P169" s="10">
        <f>Tabla3[[#This Row],[COSTO UNITARIO DOLARES EN HAWTHORNE]]*Tabla3[[#This Row],[CANTIDAD SOLICTADA]]</f>
        <v>0</v>
      </c>
      <c r="Q169" s="41"/>
      <c r="R169" s="229"/>
      <c r="S169" s="229">
        <f>+Tabla3[[#This Row],[COSTO UNITARIO DOLARES CTP]]*Tabla3[[#This Row],[CANTIDAD SOLICTADA]]</f>
        <v>0</v>
      </c>
      <c r="T169" s="41"/>
      <c r="U169" s="14" t="s">
        <v>4</v>
      </c>
      <c r="V169" s="8" t="s">
        <v>249</v>
      </c>
      <c r="W169" s="9">
        <v>46174</v>
      </c>
      <c r="X169" s="10" t="s">
        <v>89</v>
      </c>
      <c r="Y169" s="10">
        <v>0</v>
      </c>
      <c r="Z169" s="16" t="s">
        <v>44</v>
      </c>
      <c r="AA169" s="25">
        <v>46171</v>
      </c>
      <c r="AB169" s="25">
        <v>46175</v>
      </c>
      <c r="AC169" s="16" t="s">
        <v>256</v>
      </c>
      <c r="AD169" s="16"/>
      <c r="AE169" s="16" t="s">
        <v>140</v>
      </c>
      <c r="AF169" s="16"/>
      <c r="AG169" s="21" t="s">
        <v>252</v>
      </c>
      <c r="XFD169" s="15" t="str">
        <f>+Tabla3[[#This Row],[ESTATUS DE NUM ECONOMICO]]</f>
        <v>INACTIVA</v>
      </c>
    </row>
    <row r="170" spans="1:33 16384:16384" ht="15.75" thickBot="1" x14ac:dyDescent="0.3">
      <c r="A170" s="8">
        <v>32</v>
      </c>
      <c r="B170" s="9">
        <v>46169</v>
      </c>
      <c r="C170" s="10" t="s">
        <v>87</v>
      </c>
      <c r="D170" s="10" t="s">
        <v>254</v>
      </c>
      <c r="E170" s="16">
        <v>80</v>
      </c>
      <c r="F170" s="9">
        <v>46178</v>
      </c>
      <c r="G170" s="212" t="str">
        <f>IFERROR(VLOOKUP(Tabla3[[#This Row],[NUM ECONOMICO]],MAQUINARIA!B:H,7,0), " MAQ")</f>
        <v>INACTIVA</v>
      </c>
      <c r="H170" s="214" t="s">
        <v>247</v>
      </c>
      <c r="I170" s="41" t="s">
        <v>334</v>
      </c>
      <c r="J170" s="10"/>
      <c r="K170" s="10">
        <v>6</v>
      </c>
      <c r="L170" s="12"/>
      <c r="M170" s="13">
        <f t="shared" si="2"/>
        <v>0</v>
      </c>
      <c r="N170" s="41"/>
      <c r="O170" s="10"/>
      <c r="P170" s="10">
        <f>Tabla3[[#This Row],[COSTO UNITARIO DOLARES EN HAWTHORNE]]*Tabla3[[#This Row],[CANTIDAD SOLICTADA]]</f>
        <v>0</v>
      </c>
      <c r="Q170" s="41"/>
      <c r="R170" s="229"/>
      <c r="S170" s="229">
        <f>+Tabla3[[#This Row],[COSTO UNITARIO DOLARES CTP]]*Tabla3[[#This Row],[CANTIDAD SOLICTADA]]</f>
        <v>0</v>
      </c>
      <c r="T170" s="41"/>
      <c r="U170" s="14" t="s">
        <v>4</v>
      </c>
      <c r="V170" s="8" t="s">
        <v>249</v>
      </c>
      <c r="W170" s="9">
        <v>46174</v>
      </c>
      <c r="X170" s="10" t="s">
        <v>89</v>
      </c>
      <c r="Y170" s="10" t="s">
        <v>90</v>
      </c>
      <c r="Z170" s="16" t="s">
        <v>44</v>
      </c>
      <c r="AA170" s="25">
        <v>46171</v>
      </c>
      <c r="AB170" s="25">
        <v>46175</v>
      </c>
      <c r="AC170" s="16" t="s">
        <v>256</v>
      </c>
      <c r="AD170" s="16"/>
      <c r="AE170" s="16" t="s">
        <v>140</v>
      </c>
      <c r="AF170" s="16"/>
      <c r="AG170" s="21" t="s">
        <v>252</v>
      </c>
      <c r="XFD170" s="15" t="str">
        <f>+Tabla3[[#This Row],[ESTATUS DE NUM ECONOMICO]]</f>
        <v>INACTIVA</v>
      </c>
    </row>
    <row r="171" spans="1:33 16384:16384" ht="15.75" thickBot="1" x14ac:dyDescent="0.3">
      <c r="A171" s="8">
        <v>32</v>
      </c>
      <c r="B171" s="9">
        <v>46169</v>
      </c>
      <c r="C171" s="10" t="s">
        <v>87</v>
      </c>
      <c r="D171" s="11"/>
      <c r="E171" s="16">
        <v>80</v>
      </c>
      <c r="F171" s="9">
        <v>46178</v>
      </c>
      <c r="G171" s="212" t="str">
        <f>IFERROR(VLOOKUP(Tabla3[[#This Row],[NUM ECONOMICO]],MAQUINARIA!B:H,7,0), " MAQ")</f>
        <v>INACTIVA</v>
      </c>
      <c r="H171" s="214" t="s">
        <v>247</v>
      </c>
      <c r="I171" s="41" t="s">
        <v>335</v>
      </c>
      <c r="J171" s="10"/>
      <c r="K171" s="10">
        <v>1</v>
      </c>
      <c r="L171" s="12"/>
      <c r="M171" s="13">
        <f t="shared" si="2"/>
        <v>0</v>
      </c>
      <c r="N171" s="41"/>
      <c r="O171" s="10"/>
      <c r="P171" s="10">
        <f>Tabla3[[#This Row],[COSTO UNITARIO DOLARES EN HAWTHORNE]]*Tabla3[[#This Row],[CANTIDAD SOLICTADA]]</f>
        <v>0</v>
      </c>
      <c r="Q171" s="41"/>
      <c r="R171" s="229"/>
      <c r="S171" s="229">
        <f>+Tabla3[[#This Row],[COSTO UNITARIO DOLARES CTP]]*Tabla3[[#This Row],[CANTIDAD SOLICTADA]]</f>
        <v>0</v>
      </c>
      <c r="T171" s="41"/>
      <c r="U171" s="14" t="s">
        <v>4</v>
      </c>
      <c r="V171" s="17"/>
      <c r="W171" s="10"/>
      <c r="X171" s="10" t="s">
        <v>96</v>
      </c>
      <c r="Y171" s="10">
        <v>13</v>
      </c>
      <c r="Z171" s="16"/>
      <c r="AA171" s="16"/>
      <c r="AB171" s="16"/>
      <c r="AC171" s="16"/>
      <c r="AD171" s="16"/>
      <c r="AE171" s="16" t="s">
        <v>251</v>
      </c>
      <c r="AF171" s="16"/>
      <c r="AG171" s="21" t="s">
        <v>252</v>
      </c>
      <c r="XFD171" s="15" t="str">
        <f>+Tabla3[[#This Row],[ESTATUS DE NUM ECONOMICO]]</f>
        <v>INACTIVA</v>
      </c>
    </row>
    <row r="172" spans="1:33 16384:16384" ht="15.75" thickBot="1" x14ac:dyDescent="0.3">
      <c r="A172" s="8">
        <v>32</v>
      </c>
      <c r="B172" s="9">
        <v>46169</v>
      </c>
      <c r="C172" s="10" t="s">
        <v>87</v>
      </c>
      <c r="D172" s="10" t="s">
        <v>254</v>
      </c>
      <c r="E172" s="16">
        <v>80</v>
      </c>
      <c r="F172" s="9">
        <v>46178</v>
      </c>
      <c r="G172" s="212" t="str">
        <f>IFERROR(VLOOKUP(Tabla3[[#This Row],[NUM ECONOMICO]],MAQUINARIA!B:H,7,0), " MAQ")</f>
        <v>INACTIVA</v>
      </c>
      <c r="H172" s="214" t="s">
        <v>247</v>
      </c>
      <c r="I172" s="41" t="s">
        <v>336</v>
      </c>
      <c r="J172" s="10"/>
      <c r="K172" s="10">
        <v>1</v>
      </c>
      <c r="L172" s="12"/>
      <c r="M172" s="13">
        <f t="shared" si="2"/>
        <v>0</v>
      </c>
      <c r="N172" s="41"/>
      <c r="O172" s="10"/>
      <c r="P172" s="10">
        <f>Tabla3[[#This Row],[COSTO UNITARIO DOLARES EN HAWTHORNE]]*Tabla3[[#This Row],[CANTIDAD SOLICTADA]]</f>
        <v>0</v>
      </c>
      <c r="Q172" s="41"/>
      <c r="R172" s="229"/>
      <c r="S172" s="229">
        <f>+Tabla3[[#This Row],[COSTO UNITARIO DOLARES CTP]]*Tabla3[[#This Row],[CANTIDAD SOLICTADA]]</f>
        <v>0</v>
      </c>
      <c r="T172" s="41"/>
      <c r="U172" s="14" t="s">
        <v>4</v>
      </c>
      <c r="V172" s="8" t="s">
        <v>249</v>
      </c>
      <c r="W172" s="9">
        <v>46174</v>
      </c>
      <c r="X172" s="10" t="s">
        <v>89</v>
      </c>
      <c r="Y172" s="10">
        <v>0</v>
      </c>
      <c r="Z172" s="16" t="s">
        <v>44</v>
      </c>
      <c r="AA172" s="25">
        <v>46171</v>
      </c>
      <c r="AB172" s="25">
        <v>46175</v>
      </c>
      <c r="AC172" s="16" t="s">
        <v>256</v>
      </c>
      <c r="AD172" s="16"/>
      <c r="AE172" s="16" t="s">
        <v>140</v>
      </c>
      <c r="AF172" s="16"/>
      <c r="AG172" s="21" t="s">
        <v>252</v>
      </c>
      <c r="XFD172" s="15" t="str">
        <f>+Tabla3[[#This Row],[ESTATUS DE NUM ECONOMICO]]</f>
        <v>INACTIVA</v>
      </c>
    </row>
    <row r="173" spans="1:33 16384:16384" ht="15.75" thickBot="1" x14ac:dyDescent="0.3">
      <c r="A173" s="8">
        <v>32</v>
      </c>
      <c r="B173" s="9">
        <v>46169</v>
      </c>
      <c r="C173" s="10" t="s">
        <v>87</v>
      </c>
      <c r="D173" s="11"/>
      <c r="E173" s="16">
        <v>80</v>
      </c>
      <c r="F173" s="9">
        <v>46178</v>
      </c>
      <c r="G173" s="212" t="str">
        <f>IFERROR(VLOOKUP(Tabla3[[#This Row],[NUM ECONOMICO]],MAQUINARIA!B:H,7,0), " MAQ")</f>
        <v>INACTIVA</v>
      </c>
      <c r="H173" s="214" t="s">
        <v>247</v>
      </c>
      <c r="I173" s="41" t="s">
        <v>337</v>
      </c>
      <c r="J173" s="10"/>
      <c r="K173" s="10">
        <v>1</v>
      </c>
      <c r="L173" s="12"/>
      <c r="M173" s="13">
        <f t="shared" si="2"/>
        <v>0</v>
      </c>
      <c r="N173" s="41"/>
      <c r="O173" s="10"/>
      <c r="P173" s="10">
        <f>Tabla3[[#This Row],[COSTO UNITARIO DOLARES EN HAWTHORNE]]*Tabla3[[#This Row],[CANTIDAD SOLICTADA]]</f>
        <v>0</v>
      </c>
      <c r="Q173" s="41"/>
      <c r="R173" s="229"/>
      <c r="S173" s="229">
        <f>+Tabla3[[#This Row],[COSTO UNITARIO DOLARES CTP]]*Tabla3[[#This Row],[CANTIDAD SOLICTADA]]</f>
        <v>0</v>
      </c>
      <c r="T173" s="41"/>
      <c r="U173" s="14" t="s">
        <v>4</v>
      </c>
      <c r="V173" s="17"/>
      <c r="W173" s="10"/>
      <c r="X173" s="10" t="s">
        <v>96</v>
      </c>
      <c r="Y173" s="10">
        <v>18</v>
      </c>
      <c r="Z173" s="16" t="s">
        <v>44</v>
      </c>
      <c r="AA173" s="25">
        <v>46171</v>
      </c>
      <c r="AB173" s="25">
        <v>46175</v>
      </c>
      <c r="AC173" s="16"/>
      <c r="AD173" s="16"/>
      <c r="AE173" s="16" t="s">
        <v>251</v>
      </c>
      <c r="AF173" s="16"/>
      <c r="AG173" s="21" t="s">
        <v>252</v>
      </c>
      <c r="XFD173" s="15" t="str">
        <f>+Tabla3[[#This Row],[ESTATUS DE NUM ECONOMICO]]</f>
        <v>INACTIVA</v>
      </c>
    </row>
    <row r="174" spans="1:33 16384:16384" ht="15.75" thickBot="1" x14ac:dyDescent="0.3">
      <c r="A174" s="8">
        <v>32</v>
      </c>
      <c r="B174" s="9">
        <v>46169</v>
      </c>
      <c r="C174" s="10" t="s">
        <v>87</v>
      </c>
      <c r="D174" s="10" t="s">
        <v>254</v>
      </c>
      <c r="E174" s="16">
        <v>80</v>
      </c>
      <c r="F174" s="9">
        <v>46178</v>
      </c>
      <c r="G174" s="212" t="str">
        <f>IFERROR(VLOOKUP(Tabla3[[#This Row],[NUM ECONOMICO]],MAQUINARIA!B:H,7,0), " MAQ")</f>
        <v>INACTIVA</v>
      </c>
      <c r="H174" s="214" t="s">
        <v>247</v>
      </c>
      <c r="I174" s="41">
        <v>1121574</v>
      </c>
      <c r="J174" s="10"/>
      <c r="K174" s="10">
        <v>2</v>
      </c>
      <c r="L174" s="12"/>
      <c r="M174" s="13">
        <f t="shared" si="2"/>
        <v>0</v>
      </c>
      <c r="N174" s="41"/>
      <c r="O174" s="10"/>
      <c r="P174" s="10">
        <f>Tabla3[[#This Row],[COSTO UNITARIO DOLARES EN HAWTHORNE]]*Tabla3[[#This Row],[CANTIDAD SOLICTADA]]</f>
        <v>0</v>
      </c>
      <c r="Q174" s="41"/>
      <c r="R174" s="229"/>
      <c r="S174" s="229">
        <f>+Tabla3[[#This Row],[COSTO UNITARIO DOLARES CTP]]*Tabla3[[#This Row],[CANTIDAD SOLICTADA]]</f>
        <v>0</v>
      </c>
      <c r="T174" s="41"/>
      <c r="U174" s="14" t="s">
        <v>4</v>
      </c>
      <c r="V174" s="8" t="s">
        <v>249</v>
      </c>
      <c r="W174" s="9">
        <v>46174</v>
      </c>
      <c r="X174" s="10" t="s">
        <v>89</v>
      </c>
      <c r="Y174" s="10">
        <v>2</v>
      </c>
      <c r="Z174" s="16" t="s">
        <v>44</v>
      </c>
      <c r="AA174" s="25">
        <v>46171</v>
      </c>
      <c r="AB174" s="25">
        <v>46175</v>
      </c>
      <c r="AC174" s="16" t="s">
        <v>256</v>
      </c>
      <c r="AD174" s="16"/>
      <c r="AE174" s="16" t="s">
        <v>140</v>
      </c>
      <c r="AF174" s="16"/>
      <c r="AG174" s="21" t="s">
        <v>252</v>
      </c>
      <c r="XFD174" s="15" t="str">
        <f>+Tabla3[[#This Row],[ESTATUS DE NUM ECONOMICO]]</f>
        <v>INACTIVA</v>
      </c>
    </row>
    <row r="175" spans="1:33 16384:16384" ht="15.75" thickBot="1" x14ac:dyDescent="0.3">
      <c r="A175" s="8">
        <v>32</v>
      </c>
      <c r="B175" s="9">
        <v>46169</v>
      </c>
      <c r="C175" s="10" t="s">
        <v>87</v>
      </c>
      <c r="D175" s="11"/>
      <c r="E175" s="16">
        <v>80</v>
      </c>
      <c r="F175" s="9">
        <v>46178</v>
      </c>
      <c r="G175" s="212" t="str">
        <f>IFERROR(VLOOKUP(Tabla3[[#This Row],[NUM ECONOMICO]],MAQUINARIA!B:H,7,0), " MAQ")</f>
        <v>INACTIVA</v>
      </c>
      <c r="H175" s="214" t="s">
        <v>247</v>
      </c>
      <c r="I175" s="41" t="s">
        <v>338</v>
      </c>
      <c r="J175" s="10"/>
      <c r="K175" s="10">
        <v>1</v>
      </c>
      <c r="L175" s="12"/>
      <c r="M175" s="13">
        <f t="shared" si="2"/>
        <v>0</v>
      </c>
      <c r="N175" s="41"/>
      <c r="O175" s="10"/>
      <c r="P175" s="10">
        <f>Tabla3[[#This Row],[COSTO UNITARIO DOLARES EN HAWTHORNE]]*Tabla3[[#This Row],[CANTIDAD SOLICTADA]]</f>
        <v>0</v>
      </c>
      <c r="Q175" s="41"/>
      <c r="R175" s="229"/>
      <c r="S175" s="229">
        <f>+Tabla3[[#This Row],[COSTO UNITARIO DOLARES CTP]]*Tabla3[[#This Row],[CANTIDAD SOLICTADA]]</f>
        <v>0</v>
      </c>
      <c r="T175" s="41"/>
      <c r="U175" s="14" t="s">
        <v>4</v>
      </c>
      <c r="V175" s="17"/>
      <c r="W175" s="10"/>
      <c r="X175" s="10" t="s">
        <v>96</v>
      </c>
      <c r="Y175" s="10">
        <v>7</v>
      </c>
      <c r="Z175" s="16" t="s">
        <v>44</v>
      </c>
      <c r="AA175" s="25">
        <v>46171</v>
      </c>
      <c r="AB175" s="25">
        <v>46175</v>
      </c>
      <c r="AC175" s="16"/>
      <c r="AD175" s="16"/>
      <c r="AE175" s="16" t="s">
        <v>251</v>
      </c>
      <c r="AF175" s="16"/>
      <c r="AG175" s="21" t="s">
        <v>252</v>
      </c>
      <c r="XFD175" s="15" t="str">
        <f>+Tabla3[[#This Row],[ESTATUS DE NUM ECONOMICO]]</f>
        <v>INACTIVA</v>
      </c>
    </row>
    <row r="176" spans="1:33 16384:16384" ht="15.75" thickBot="1" x14ac:dyDescent="0.3">
      <c r="A176" s="8">
        <v>32</v>
      </c>
      <c r="B176" s="9">
        <v>46169</v>
      </c>
      <c r="C176" s="10" t="s">
        <v>87</v>
      </c>
      <c r="D176" s="10" t="s">
        <v>254</v>
      </c>
      <c r="E176" s="16">
        <v>80</v>
      </c>
      <c r="F176" s="9">
        <v>46178</v>
      </c>
      <c r="G176" s="212" t="str">
        <f>IFERROR(VLOOKUP(Tabla3[[#This Row],[NUM ECONOMICO]],MAQUINARIA!B:H,7,0), " MAQ")</f>
        <v>INACTIVA</v>
      </c>
      <c r="H176" s="214" t="s">
        <v>247</v>
      </c>
      <c r="I176" s="41" t="s">
        <v>339</v>
      </c>
      <c r="J176" s="10"/>
      <c r="K176" s="10">
        <v>1</v>
      </c>
      <c r="L176" s="12"/>
      <c r="M176" s="13">
        <f t="shared" si="2"/>
        <v>0</v>
      </c>
      <c r="N176" s="41"/>
      <c r="O176" s="10"/>
      <c r="P176" s="10">
        <f>Tabla3[[#This Row],[COSTO UNITARIO DOLARES EN HAWTHORNE]]*Tabla3[[#This Row],[CANTIDAD SOLICTADA]]</f>
        <v>0</v>
      </c>
      <c r="Q176" s="41"/>
      <c r="R176" s="229"/>
      <c r="S176" s="229">
        <f>+Tabla3[[#This Row],[COSTO UNITARIO DOLARES CTP]]*Tabla3[[#This Row],[CANTIDAD SOLICTADA]]</f>
        <v>0</v>
      </c>
      <c r="T176" s="41"/>
      <c r="U176" s="14" t="s">
        <v>4</v>
      </c>
      <c r="V176" s="8" t="s">
        <v>249</v>
      </c>
      <c r="W176" s="9">
        <v>46174</v>
      </c>
      <c r="X176" s="10" t="s">
        <v>89</v>
      </c>
      <c r="Y176" s="10">
        <v>0</v>
      </c>
      <c r="Z176" s="16" t="s">
        <v>44</v>
      </c>
      <c r="AA176" s="25">
        <v>46171</v>
      </c>
      <c r="AB176" s="25">
        <v>46175</v>
      </c>
      <c r="AC176" s="16" t="s">
        <v>256</v>
      </c>
      <c r="AD176" s="16"/>
      <c r="AE176" s="16" t="s">
        <v>140</v>
      </c>
      <c r="AF176" s="16"/>
      <c r="AG176" s="21" t="s">
        <v>252</v>
      </c>
      <c r="XFD176" s="15" t="str">
        <f>+Tabla3[[#This Row],[ESTATUS DE NUM ECONOMICO]]</f>
        <v>INACTIVA</v>
      </c>
    </row>
    <row r="177" spans="1:33 16384:16384" ht="15.75" thickBot="1" x14ac:dyDescent="0.3">
      <c r="A177" s="8">
        <v>32</v>
      </c>
      <c r="B177" s="9">
        <v>46169</v>
      </c>
      <c r="C177" s="10" t="s">
        <v>87</v>
      </c>
      <c r="D177" s="10" t="s">
        <v>254</v>
      </c>
      <c r="E177" s="16">
        <v>80</v>
      </c>
      <c r="F177" s="9">
        <v>46178</v>
      </c>
      <c r="G177" s="212" t="str">
        <f>IFERROR(VLOOKUP(Tabla3[[#This Row],[NUM ECONOMICO]],MAQUINARIA!B:H,7,0), " MAQ")</f>
        <v>INACTIVA</v>
      </c>
      <c r="H177" s="214" t="s">
        <v>247</v>
      </c>
      <c r="I177" s="41" t="s">
        <v>340</v>
      </c>
      <c r="J177" s="10"/>
      <c r="K177" s="10">
        <v>1</v>
      </c>
      <c r="L177" s="12"/>
      <c r="M177" s="13">
        <f t="shared" si="2"/>
        <v>0</v>
      </c>
      <c r="N177" s="41"/>
      <c r="O177" s="10"/>
      <c r="P177" s="10">
        <f>Tabla3[[#This Row],[COSTO UNITARIO DOLARES EN HAWTHORNE]]*Tabla3[[#This Row],[CANTIDAD SOLICTADA]]</f>
        <v>0</v>
      </c>
      <c r="Q177" s="41"/>
      <c r="R177" s="229"/>
      <c r="S177" s="229">
        <f>+Tabla3[[#This Row],[COSTO UNITARIO DOLARES CTP]]*Tabla3[[#This Row],[CANTIDAD SOLICTADA]]</f>
        <v>0</v>
      </c>
      <c r="T177" s="41"/>
      <c r="U177" s="14" t="s">
        <v>4</v>
      </c>
      <c r="V177" s="8" t="s">
        <v>249</v>
      </c>
      <c r="W177" s="9">
        <v>46174</v>
      </c>
      <c r="X177" s="10" t="s">
        <v>89</v>
      </c>
      <c r="Y177" s="10" t="s">
        <v>90</v>
      </c>
      <c r="Z177" s="16" t="s">
        <v>44</v>
      </c>
      <c r="AA177" s="25">
        <v>46171</v>
      </c>
      <c r="AB177" s="25">
        <v>46175</v>
      </c>
      <c r="AC177" s="16" t="s">
        <v>256</v>
      </c>
      <c r="AD177" s="16"/>
      <c r="AE177" s="16" t="s">
        <v>140</v>
      </c>
      <c r="AF177" s="16"/>
      <c r="AG177" s="21" t="s">
        <v>252</v>
      </c>
      <c r="XFD177" s="15" t="str">
        <f>+Tabla3[[#This Row],[ESTATUS DE NUM ECONOMICO]]</f>
        <v>INACTIVA</v>
      </c>
    </row>
    <row r="178" spans="1:33 16384:16384" ht="15.75" thickBot="1" x14ac:dyDescent="0.3">
      <c r="A178" s="8">
        <v>32</v>
      </c>
      <c r="B178" s="9">
        <v>46169</v>
      </c>
      <c r="C178" s="10" t="s">
        <v>87</v>
      </c>
      <c r="D178" s="10" t="s">
        <v>254</v>
      </c>
      <c r="E178" s="16">
        <v>80</v>
      </c>
      <c r="F178" s="9">
        <v>46178</v>
      </c>
      <c r="G178" s="212" t="str">
        <f>IFERROR(VLOOKUP(Tabla3[[#This Row],[NUM ECONOMICO]],MAQUINARIA!B:H,7,0), " MAQ")</f>
        <v>INACTIVA</v>
      </c>
      <c r="H178" s="214" t="s">
        <v>247</v>
      </c>
      <c r="I178" s="41" t="s">
        <v>341</v>
      </c>
      <c r="J178" s="10"/>
      <c r="K178" s="10">
        <v>2</v>
      </c>
      <c r="L178" s="12"/>
      <c r="M178" s="13">
        <f t="shared" si="2"/>
        <v>0</v>
      </c>
      <c r="N178" s="41"/>
      <c r="O178" s="10"/>
      <c r="P178" s="10">
        <f>Tabla3[[#This Row],[COSTO UNITARIO DOLARES EN HAWTHORNE]]*Tabla3[[#This Row],[CANTIDAD SOLICTADA]]</f>
        <v>0</v>
      </c>
      <c r="Q178" s="41"/>
      <c r="R178" s="229"/>
      <c r="S178" s="229">
        <f>+Tabla3[[#This Row],[COSTO UNITARIO DOLARES CTP]]*Tabla3[[#This Row],[CANTIDAD SOLICTADA]]</f>
        <v>0</v>
      </c>
      <c r="T178" s="41"/>
      <c r="U178" s="14" t="s">
        <v>4</v>
      </c>
      <c r="V178" s="8" t="s">
        <v>249</v>
      </c>
      <c r="W178" s="9">
        <v>46174</v>
      </c>
      <c r="X178" s="10" t="s">
        <v>89</v>
      </c>
      <c r="Y178" s="10">
        <v>1</v>
      </c>
      <c r="Z178" s="16" t="s">
        <v>44</v>
      </c>
      <c r="AA178" s="25">
        <v>46171</v>
      </c>
      <c r="AB178" s="25">
        <v>46175</v>
      </c>
      <c r="AC178" s="16" t="s">
        <v>256</v>
      </c>
      <c r="AD178" s="16"/>
      <c r="AE178" s="16" t="s">
        <v>140</v>
      </c>
      <c r="AF178" s="16"/>
      <c r="AG178" s="21" t="s">
        <v>252</v>
      </c>
      <c r="XFD178" s="15" t="str">
        <f>+Tabla3[[#This Row],[ESTATUS DE NUM ECONOMICO]]</f>
        <v>INACTIVA</v>
      </c>
    </row>
    <row r="179" spans="1:33 16384:16384" ht="15.75" thickBot="1" x14ac:dyDescent="0.3">
      <c r="A179" s="8">
        <v>32</v>
      </c>
      <c r="B179" s="9">
        <v>46169</v>
      </c>
      <c r="C179" s="10" t="s">
        <v>87</v>
      </c>
      <c r="D179" s="11"/>
      <c r="E179" s="16">
        <v>81</v>
      </c>
      <c r="F179" s="9">
        <v>46178</v>
      </c>
      <c r="G179" s="212" t="str">
        <f>IFERROR(VLOOKUP(Tabla3[[#This Row],[NUM ECONOMICO]],MAQUINARIA!B:H,7,0), " MAQ")</f>
        <v>INACTIVA</v>
      </c>
      <c r="H179" s="214" t="s">
        <v>247</v>
      </c>
      <c r="I179" s="41">
        <v>2119087</v>
      </c>
      <c r="J179" s="10" t="s">
        <v>253</v>
      </c>
      <c r="K179" s="10">
        <v>2</v>
      </c>
      <c r="L179" s="13">
        <v>2834.65</v>
      </c>
      <c r="M179" s="13">
        <f t="shared" si="2"/>
        <v>5669.3</v>
      </c>
      <c r="N179" s="41"/>
      <c r="O179" s="287">
        <v>160.07</v>
      </c>
      <c r="P179" s="287">
        <f>Tabla3[[#This Row],[COSTO UNITARIO DOLARES EN HAWTHORNE]]*Tabla3[[#This Row],[CANTIDAD SOLICTADA]]</f>
        <v>320.14</v>
      </c>
      <c r="Q179" s="41" t="s">
        <v>342</v>
      </c>
      <c r="R179" s="229">
        <v>46.88</v>
      </c>
      <c r="S179" s="229">
        <f>+Tabla3[[#This Row],[COSTO UNITARIO DOLARES CTP]]*Tabla3[[#This Row],[CANTIDAD SOLICTADA]]</f>
        <v>93.76</v>
      </c>
      <c r="T179" s="41"/>
      <c r="U179" s="18" t="s">
        <v>5</v>
      </c>
      <c r="V179" s="211" t="s">
        <v>249</v>
      </c>
      <c r="W179" s="10"/>
      <c r="X179" s="10" t="s">
        <v>89</v>
      </c>
      <c r="Y179" s="10" t="s">
        <v>90</v>
      </c>
      <c r="Z179" s="16" t="s">
        <v>250</v>
      </c>
      <c r="AA179" s="25">
        <v>46170</v>
      </c>
      <c r="AB179" s="25">
        <v>46118</v>
      </c>
      <c r="AC179" s="16"/>
      <c r="AD179" s="16"/>
      <c r="AE179" s="16" t="s">
        <v>251</v>
      </c>
      <c r="AF179" s="16" t="s">
        <v>251</v>
      </c>
      <c r="AG179" s="21" t="s">
        <v>252</v>
      </c>
      <c r="XFD179" s="15" t="str">
        <f>+Tabla3[[#This Row],[ESTATUS DE NUM ECONOMICO]]</f>
        <v>INACTIVA</v>
      </c>
    </row>
    <row r="180" spans="1:33 16384:16384" ht="15.75" thickBot="1" x14ac:dyDescent="0.3">
      <c r="A180" s="8">
        <v>32</v>
      </c>
      <c r="B180" s="9">
        <v>46169</v>
      </c>
      <c r="C180" s="10" t="s">
        <v>87</v>
      </c>
      <c r="D180" s="10" t="s">
        <v>254</v>
      </c>
      <c r="E180" s="16">
        <v>80</v>
      </c>
      <c r="F180" s="9">
        <v>46178</v>
      </c>
      <c r="G180" s="212" t="str">
        <f>IFERROR(VLOOKUP(Tabla3[[#This Row],[NUM ECONOMICO]],MAQUINARIA!B:H,7,0), " MAQ")</f>
        <v>INACTIVA</v>
      </c>
      <c r="H180" s="214" t="s">
        <v>247</v>
      </c>
      <c r="I180" s="41" t="s">
        <v>162</v>
      </c>
      <c r="J180" s="10"/>
      <c r="K180" s="10">
        <v>1</v>
      </c>
      <c r="L180" s="12"/>
      <c r="M180" s="13">
        <f t="shared" si="2"/>
        <v>0</v>
      </c>
      <c r="N180" s="41"/>
      <c r="O180" s="10"/>
      <c r="P180" s="10">
        <f>Tabla3[[#This Row],[COSTO UNITARIO DOLARES EN HAWTHORNE]]*Tabla3[[#This Row],[CANTIDAD SOLICTADA]]</f>
        <v>0</v>
      </c>
      <c r="Q180" s="41"/>
      <c r="R180" s="229"/>
      <c r="S180" s="229">
        <f>+Tabla3[[#This Row],[COSTO UNITARIO DOLARES CTP]]*Tabla3[[#This Row],[CANTIDAD SOLICTADA]]</f>
        <v>0</v>
      </c>
      <c r="T180" s="41"/>
      <c r="U180" s="14" t="s">
        <v>4</v>
      </c>
      <c r="V180" s="8" t="s">
        <v>249</v>
      </c>
      <c r="W180" s="9">
        <v>46174</v>
      </c>
      <c r="X180" s="10" t="s">
        <v>96</v>
      </c>
      <c r="Y180" s="10">
        <v>1</v>
      </c>
      <c r="Z180" s="16" t="s">
        <v>44</v>
      </c>
      <c r="AA180" s="25">
        <v>46171</v>
      </c>
      <c r="AB180" s="25">
        <v>46175</v>
      </c>
      <c r="AC180" s="16" t="s">
        <v>256</v>
      </c>
      <c r="AD180" s="16"/>
      <c r="AE180" s="16" t="s">
        <v>140</v>
      </c>
      <c r="AF180" s="16"/>
      <c r="AG180" s="21" t="s">
        <v>252</v>
      </c>
      <c r="XFD180" s="15" t="str">
        <f>+Tabla3[[#This Row],[ESTATUS DE NUM ECONOMICO]]</f>
        <v>INACTIVA</v>
      </c>
    </row>
    <row r="181" spans="1:33 16384:16384" ht="15.75" thickBot="1" x14ac:dyDescent="0.3">
      <c r="A181" s="8">
        <v>32</v>
      </c>
      <c r="B181" s="9">
        <v>46169</v>
      </c>
      <c r="C181" s="10" t="s">
        <v>87</v>
      </c>
      <c r="D181" s="10" t="s">
        <v>254</v>
      </c>
      <c r="E181" s="16">
        <v>80</v>
      </c>
      <c r="F181" s="9">
        <v>46178</v>
      </c>
      <c r="G181" s="212" t="str">
        <f>IFERROR(VLOOKUP(Tabla3[[#This Row],[NUM ECONOMICO]],MAQUINARIA!B:H,7,0), " MAQ")</f>
        <v>INACTIVA</v>
      </c>
      <c r="H181" s="214" t="s">
        <v>247</v>
      </c>
      <c r="I181" s="41" t="s">
        <v>343</v>
      </c>
      <c r="J181" s="10"/>
      <c r="K181" s="10">
        <v>1</v>
      </c>
      <c r="L181" s="12"/>
      <c r="M181" s="13">
        <f t="shared" si="2"/>
        <v>0</v>
      </c>
      <c r="N181" s="41"/>
      <c r="O181" s="10"/>
      <c r="P181" s="10">
        <f>Tabla3[[#This Row],[COSTO UNITARIO DOLARES EN HAWTHORNE]]*Tabla3[[#This Row],[CANTIDAD SOLICTADA]]</f>
        <v>0</v>
      </c>
      <c r="Q181" s="41"/>
      <c r="R181" s="229"/>
      <c r="S181" s="229">
        <f>+Tabla3[[#This Row],[COSTO UNITARIO DOLARES CTP]]*Tabla3[[#This Row],[CANTIDAD SOLICTADA]]</f>
        <v>0</v>
      </c>
      <c r="T181" s="41"/>
      <c r="U181" s="14" t="s">
        <v>4</v>
      </c>
      <c r="V181" s="8" t="s">
        <v>249</v>
      </c>
      <c r="W181" s="9">
        <v>46174</v>
      </c>
      <c r="X181" s="10" t="s">
        <v>89</v>
      </c>
      <c r="Y181" s="10" t="s">
        <v>90</v>
      </c>
      <c r="Z181" s="16" t="s">
        <v>44</v>
      </c>
      <c r="AA181" s="25">
        <v>46171</v>
      </c>
      <c r="AB181" s="25">
        <v>46175</v>
      </c>
      <c r="AC181" s="16" t="s">
        <v>256</v>
      </c>
      <c r="AD181" s="16"/>
      <c r="AE181" s="16" t="s">
        <v>140</v>
      </c>
      <c r="AF181" s="16"/>
      <c r="AG181" s="21" t="s">
        <v>252</v>
      </c>
      <c r="XFD181" s="15" t="str">
        <f>+Tabla3[[#This Row],[ESTATUS DE NUM ECONOMICO]]</f>
        <v>INACTIVA</v>
      </c>
    </row>
    <row r="182" spans="1:33 16384:16384" ht="15.75" thickBot="1" x14ac:dyDescent="0.3">
      <c r="A182" s="8">
        <v>33</v>
      </c>
      <c r="B182" s="9">
        <v>46169</v>
      </c>
      <c r="C182" s="10" t="s">
        <v>87</v>
      </c>
      <c r="D182" s="11"/>
      <c r="E182" s="16"/>
      <c r="F182" s="10"/>
      <c r="G182" s="212" t="str">
        <f>IFERROR(VLOOKUP(Tabla3[[#This Row],[NUM ECONOMICO]],MAQUINARIA!B:H,7,0), " MAQ")</f>
        <v>INACTIVA</v>
      </c>
      <c r="H182" s="214" t="s">
        <v>344</v>
      </c>
      <c r="I182" s="41" t="s">
        <v>345</v>
      </c>
      <c r="J182" s="10"/>
      <c r="K182" s="10">
        <v>1</v>
      </c>
      <c r="L182" s="12"/>
      <c r="M182" s="13">
        <f t="shared" si="2"/>
        <v>0</v>
      </c>
      <c r="N182" s="41"/>
      <c r="O182" s="10"/>
      <c r="P182" s="10">
        <f>Tabla3[[#This Row],[COSTO UNITARIO DOLARES EN HAWTHORNE]]*Tabla3[[#This Row],[CANTIDAD SOLICTADA]]</f>
        <v>0</v>
      </c>
      <c r="Q182" s="41"/>
      <c r="R182" s="229"/>
      <c r="S182" s="229">
        <f>+Tabla3[[#This Row],[COSTO UNITARIO DOLARES CTP]]*Tabla3[[#This Row],[CANTIDAD SOLICTADA]]</f>
        <v>0</v>
      </c>
      <c r="T182" s="41"/>
      <c r="U182" s="14" t="s">
        <v>4</v>
      </c>
      <c r="V182" s="17"/>
      <c r="W182" s="10"/>
      <c r="X182" s="10" t="s">
        <v>96</v>
      </c>
      <c r="Y182" s="10">
        <v>2</v>
      </c>
      <c r="Z182" s="16"/>
      <c r="AA182" s="25">
        <v>46169</v>
      </c>
      <c r="AB182" s="16"/>
      <c r="AC182" s="16" t="s">
        <v>87</v>
      </c>
      <c r="AD182" s="16"/>
      <c r="AE182" s="16"/>
      <c r="AF182" s="16"/>
      <c r="AG182" s="21" t="s">
        <v>346</v>
      </c>
      <c r="XFD182" s="15" t="str">
        <f>+Tabla3[[#This Row],[ESTATUS DE NUM ECONOMICO]]</f>
        <v>INACTIVA</v>
      </c>
    </row>
    <row r="183" spans="1:33 16384:16384" ht="15.75" thickBot="1" x14ac:dyDescent="0.3">
      <c r="A183" s="8">
        <v>33</v>
      </c>
      <c r="B183" s="9">
        <v>46169</v>
      </c>
      <c r="C183" s="10" t="s">
        <v>87</v>
      </c>
      <c r="D183" s="11"/>
      <c r="E183" s="16"/>
      <c r="F183" s="10"/>
      <c r="G183" s="212" t="str">
        <f>IFERROR(VLOOKUP(Tabla3[[#This Row],[NUM ECONOMICO]],MAQUINARIA!B:H,7,0), " MAQ")</f>
        <v>INACTIVA</v>
      </c>
      <c r="H183" s="214" t="s">
        <v>344</v>
      </c>
      <c r="I183" s="41" t="s">
        <v>347</v>
      </c>
      <c r="J183" s="10"/>
      <c r="K183" s="10">
        <v>1</v>
      </c>
      <c r="L183" s="12"/>
      <c r="M183" s="13">
        <f t="shared" si="2"/>
        <v>0</v>
      </c>
      <c r="N183" s="41"/>
      <c r="O183" s="10"/>
      <c r="P183" s="10">
        <f>Tabla3[[#This Row],[COSTO UNITARIO DOLARES EN HAWTHORNE]]*Tabla3[[#This Row],[CANTIDAD SOLICTADA]]</f>
        <v>0</v>
      </c>
      <c r="Q183" s="41"/>
      <c r="R183" s="229"/>
      <c r="S183" s="229">
        <f>+Tabla3[[#This Row],[COSTO UNITARIO DOLARES CTP]]*Tabla3[[#This Row],[CANTIDAD SOLICTADA]]</f>
        <v>0</v>
      </c>
      <c r="T183" s="41"/>
      <c r="U183" s="14" t="s">
        <v>4</v>
      </c>
      <c r="V183" s="17"/>
      <c r="W183" s="10"/>
      <c r="X183" s="10" t="s">
        <v>96</v>
      </c>
      <c r="Y183" s="10">
        <v>7</v>
      </c>
      <c r="Z183" s="16"/>
      <c r="AA183" s="25">
        <v>46169</v>
      </c>
      <c r="AB183" s="16"/>
      <c r="AC183" s="16" t="s">
        <v>87</v>
      </c>
      <c r="AD183" s="16"/>
      <c r="AE183" s="16"/>
      <c r="AF183" s="16"/>
      <c r="AG183" s="21" t="s">
        <v>346</v>
      </c>
      <c r="XFD183" s="15" t="str">
        <f>+Tabla3[[#This Row],[ESTATUS DE NUM ECONOMICO]]</f>
        <v>INACTIVA</v>
      </c>
    </row>
    <row r="184" spans="1:33 16384:16384" ht="15.75" thickBot="1" x14ac:dyDescent="0.3">
      <c r="A184" s="8">
        <v>33</v>
      </c>
      <c r="B184" s="9">
        <v>46169</v>
      </c>
      <c r="C184" s="10" t="s">
        <v>87</v>
      </c>
      <c r="D184" s="11"/>
      <c r="E184" s="16"/>
      <c r="F184" s="10"/>
      <c r="G184" s="212" t="str">
        <f>IFERROR(VLOOKUP(Tabla3[[#This Row],[NUM ECONOMICO]],MAQUINARIA!B:H,7,0), " MAQ")</f>
        <v>INACTIVA</v>
      </c>
      <c r="H184" s="214" t="s">
        <v>344</v>
      </c>
      <c r="I184" s="41" t="s">
        <v>348</v>
      </c>
      <c r="J184" s="10"/>
      <c r="K184" s="10">
        <v>2</v>
      </c>
      <c r="L184" s="12"/>
      <c r="M184" s="13">
        <f t="shared" si="2"/>
        <v>0</v>
      </c>
      <c r="N184" s="41"/>
      <c r="O184" s="10"/>
      <c r="P184" s="10">
        <f>Tabla3[[#This Row],[COSTO UNITARIO DOLARES EN HAWTHORNE]]*Tabla3[[#This Row],[CANTIDAD SOLICTADA]]</f>
        <v>0</v>
      </c>
      <c r="Q184" s="41"/>
      <c r="R184" s="229"/>
      <c r="S184" s="229">
        <f>+Tabla3[[#This Row],[COSTO UNITARIO DOLARES CTP]]*Tabla3[[#This Row],[CANTIDAD SOLICTADA]]</f>
        <v>0</v>
      </c>
      <c r="T184" s="41"/>
      <c r="U184" s="14" t="s">
        <v>4</v>
      </c>
      <c r="V184" s="17"/>
      <c r="W184" s="10"/>
      <c r="X184" s="10" t="s">
        <v>96</v>
      </c>
      <c r="Y184" s="10" t="s">
        <v>90</v>
      </c>
      <c r="Z184" s="16"/>
      <c r="AA184" s="25">
        <v>46169</v>
      </c>
      <c r="AB184" s="16"/>
      <c r="AC184" s="16" t="s">
        <v>87</v>
      </c>
      <c r="AD184" s="16"/>
      <c r="AE184" s="16"/>
      <c r="AF184" s="16"/>
      <c r="AG184" s="21"/>
      <c r="XFD184" s="15" t="str">
        <f>+Tabla3[[#This Row],[ESTATUS DE NUM ECONOMICO]]</f>
        <v>INACTIVA</v>
      </c>
    </row>
    <row r="185" spans="1:33 16384:16384" ht="15.75" thickBot="1" x14ac:dyDescent="0.3">
      <c r="A185" s="8">
        <v>34</v>
      </c>
      <c r="B185" s="9">
        <v>46170</v>
      </c>
      <c r="C185" s="10" t="s">
        <v>87</v>
      </c>
      <c r="D185" s="11"/>
      <c r="E185" s="16">
        <v>43</v>
      </c>
      <c r="F185" s="9">
        <v>46175</v>
      </c>
      <c r="G185" s="212" t="str">
        <f>IFERROR(VLOOKUP(Tabla3[[#This Row],[NUM ECONOMICO]],MAQUINARIA!B:H,7,0), " MAQ")</f>
        <v>INACTIVA</v>
      </c>
      <c r="H185" s="214" t="s">
        <v>349</v>
      </c>
      <c r="I185" s="41" t="s">
        <v>350</v>
      </c>
      <c r="J185" s="10" t="s">
        <v>351</v>
      </c>
      <c r="K185" s="10">
        <v>1</v>
      </c>
      <c r="L185" s="13">
        <v>60982.78</v>
      </c>
      <c r="M185" s="13">
        <f t="shared" si="2"/>
        <v>60982.78</v>
      </c>
      <c r="N185" s="41"/>
      <c r="O185" s="287">
        <v>2047.02</v>
      </c>
      <c r="P185" s="287">
        <f>Tabla3[[#This Row],[COSTO UNITARIO DOLARES EN HAWTHORNE]]*Tabla3[[#This Row],[CANTIDAD SOLICTADA]]</f>
        <v>2047.02</v>
      </c>
      <c r="Q185" s="41" t="s">
        <v>181</v>
      </c>
      <c r="R185" s="229">
        <v>0</v>
      </c>
      <c r="S185" s="229">
        <f>+Tabla3[[#This Row],[COSTO UNITARIO DOLARES CTP]]*Tabla3[[#This Row],[CANTIDAD SOLICTADA]]</f>
        <v>0</v>
      </c>
      <c r="T185" s="41"/>
      <c r="U185" s="18" t="s">
        <v>5</v>
      </c>
      <c r="V185" s="211" t="s">
        <v>352</v>
      </c>
      <c r="W185" s="10"/>
      <c r="X185" s="10" t="s">
        <v>89</v>
      </c>
      <c r="Y185" s="10" t="s">
        <v>90</v>
      </c>
      <c r="Z185" s="16"/>
      <c r="AA185" s="16"/>
      <c r="AB185" s="16"/>
      <c r="AC185" s="16"/>
      <c r="AD185" s="16"/>
      <c r="AE185" s="16" t="s">
        <v>353</v>
      </c>
      <c r="AF185" s="16"/>
      <c r="AG185" s="21" t="s">
        <v>354</v>
      </c>
      <c r="XFD185" s="15" t="str">
        <f>+Tabla3[[#This Row],[ESTATUS DE NUM ECONOMICO]]</f>
        <v>INACTIVA</v>
      </c>
    </row>
    <row r="186" spans="1:33 16384:16384" ht="15.75" thickBot="1" x14ac:dyDescent="0.3">
      <c r="A186" s="8">
        <v>34</v>
      </c>
      <c r="B186" s="9">
        <v>46170</v>
      </c>
      <c r="C186" s="10" t="s">
        <v>87</v>
      </c>
      <c r="D186" s="11"/>
      <c r="E186" s="16">
        <v>43</v>
      </c>
      <c r="F186" s="9">
        <v>46175</v>
      </c>
      <c r="G186" s="212" t="str">
        <f>IFERROR(VLOOKUP(Tabla3[[#This Row],[NUM ECONOMICO]],MAQUINARIA!B:H,7,0), " MAQ")</f>
        <v>INACTIVA</v>
      </c>
      <c r="H186" s="214" t="s">
        <v>349</v>
      </c>
      <c r="I186" s="41" t="s">
        <v>355</v>
      </c>
      <c r="J186" s="10" t="s">
        <v>351</v>
      </c>
      <c r="K186" s="10">
        <v>1</v>
      </c>
      <c r="L186" s="13">
        <v>60982.78</v>
      </c>
      <c r="M186" s="13">
        <f t="shared" si="2"/>
        <v>60982.78</v>
      </c>
      <c r="N186" s="41"/>
      <c r="O186" s="287">
        <v>2042.71</v>
      </c>
      <c r="P186" s="287">
        <f>Tabla3[[#This Row],[COSTO UNITARIO DOLARES EN HAWTHORNE]]*Tabla3[[#This Row],[CANTIDAD SOLICTADA]]</f>
        <v>2042.71</v>
      </c>
      <c r="Q186" s="41" t="s">
        <v>181</v>
      </c>
      <c r="R186" s="229">
        <v>0</v>
      </c>
      <c r="S186" s="229">
        <f>+Tabla3[[#This Row],[COSTO UNITARIO DOLARES CTP]]*Tabla3[[#This Row],[CANTIDAD SOLICTADA]]</f>
        <v>0</v>
      </c>
      <c r="T186" s="41"/>
      <c r="U186" s="18" t="s">
        <v>5</v>
      </c>
      <c r="V186" s="211" t="s">
        <v>352</v>
      </c>
      <c r="W186" s="10"/>
      <c r="X186" s="10" t="s">
        <v>89</v>
      </c>
      <c r="Y186" s="10" t="s">
        <v>90</v>
      </c>
      <c r="Z186" s="16"/>
      <c r="AA186" s="16"/>
      <c r="AB186" s="16"/>
      <c r="AC186" s="16"/>
      <c r="AD186" s="16"/>
      <c r="AE186" s="16" t="s">
        <v>353</v>
      </c>
      <c r="AF186" s="16"/>
      <c r="AG186" s="21" t="s">
        <v>354</v>
      </c>
      <c r="XFD186" s="15" t="str">
        <f>+Tabla3[[#This Row],[ESTATUS DE NUM ECONOMICO]]</f>
        <v>INACTIVA</v>
      </c>
    </row>
    <row r="187" spans="1:33 16384:16384" ht="15.75" thickBot="1" x14ac:dyDescent="0.3">
      <c r="A187" s="8">
        <v>34</v>
      </c>
      <c r="B187" s="9">
        <v>46170</v>
      </c>
      <c r="C187" s="10" t="s">
        <v>87</v>
      </c>
      <c r="D187" s="11"/>
      <c r="E187" s="16">
        <v>43</v>
      </c>
      <c r="F187" s="9">
        <v>46175</v>
      </c>
      <c r="G187" s="212" t="str">
        <f>IFERROR(VLOOKUP(Tabla3[[#This Row],[NUM ECONOMICO]],MAQUINARIA!B:H,7,0), " MAQ")</f>
        <v>INACTIVA</v>
      </c>
      <c r="H187" s="214" t="s">
        <v>349</v>
      </c>
      <c r="I187" s="41">
        <v>2165582</v>
      </c>
      <c r="J187" s="10" t="s">
        <v>356</v>
      </c>
      <c r="K187" s="10">
        <v>7</v>
      </c>
      <c r="L187" s="13">
        <v>1200.5</v>
      </c>
      <c r="M187" s="13">
        <f t="shared" si="2"/>
        <v>8403.5</v>
      </c>
      <c r="N187" s="41"/>
      <c r="O187" s="287">
        <v>77.099999999999994</v>
      </c>
      <c r="P187" s="287">
        <f>Tabla3[[#This Row],[COSTO UNITARIO DOLARES EN HAWTHORNE]]*Tabla3[[#This Row],[CANTIDAD SOLICTADA]]</f>
        <v>539.69999999999993</v>
      </c>
      <c r="Q187" s="41" t="s">
        <v>181</v>
      </c>
      <c r="R187" s="229">
        <v>12.34</v>
      </c>
      <c r="S187" s="229">
        <f>+Tabla3[[#This Row],[COSTO UNITARIO DOLARES CTP]]*Tabla3[[#This Row],[CANTIDAD SOLICTADA]]</f>
        <v>86.38</v>
      </c>
      <c r="T187" s="41"/>
      <c r="U187" s="18" t="s">
        <v>5</v>
      </c>
      <c r="V187" s="211" t="s">
        <v>352</v>
      </c>
      <c r="W187" s="10"/>
      <c r="X187" s="10" t="s">
        <v>89</v>
      </c>
      <c r="Y187" s="10">
        <v>7</v>
      </c>
      <c r="Z187" s="16"/>
      <c r="AA187" s="16"/>
      <c r="AB187" s="16"/>
      <c r="AC187" s="16"/>
      <c r="AD187" s="16"/>
      <c r="AE187" s="16" t="s">
        <v>353</v>
      </c>
      <c r="AF187" s="16"/>
      <c r="AG187" s="21" t="s">
        <v>354</v>
      </c>
      <c r="XFD187" s="15" t="str">
        <f>+Tabla3[[#This Row],[ESTATUS DE NUM ECONOMICO]]</f>
        <v>INACTIVA</v>
      </c>
    </row>
    <row r="188" spans="1:33 16384:16384" ht="15.75" thickBot="1" x14ac:dyDescent="0.3">
      <c r="A188" s="8">
        <v>34</v>
      </c>
      <c r="B188" s="9">
        <v>46170</v>
      </c>
      <c r="C188" s="10" t="s">
        <v>87</v>
      </c>
      <c r="D188" s="11"/>
      <c r="E188" s="16">
        <v>43</v>
      </c>
      <c r="F188" s="9">
        <v>46175</v>
      </c>
      <c r="G188" s="212" t="str">
        <f>IFERROR(VLOOKUP(Tabla3[[#This Row],[NUM ECONOMICO]],MAQUINARIA!B:H,7,0), " MAQ")</f>
        <v>INACTIVA</v>
      </c>
      <c r="H188" s="214" t="s">
        <v>349</v>
      </c>
      <c r="I188" s="41">
        <v>2634920</v>
      </c>
      <c r="J188" s="10" t="s">
        <v>357</v>
      </c>
      <c r="K188" s="10">
        <v>2</v>
      </c>
      <c r="L188" s="13">
        <v>497.53</v>
      </c>
      <c r="M188" s="13">
        <f t="shared" si="2"/>
        <v>995.06</v>
      </c>
      <c r="N188" s="41"/>
      <c r="O188" s="287">
        <v>33.31</v>
      </c>
      <c r="P188" s="287">
        <f>Tabla3[[#This Row],[COSTO UNITARIO DOLARES EN HAWTHORNE]]*Tabla3[[#This Row],[CANTIDAD SOLICTADA]]</f>
        <v>66.62</v>
      </c>
      <c r="Q188" s="41" t="s">
        <v>181</v>
      </c>
      <c r="R188" s="229">
        <v>5.14</v>
      </c>
      <c r="S188" s="229">
        <f>+Tabla3[[#This Row],[COSTO UNITARIO DOLARES CTP]]*Tabla3[[#This Row],[CANTIDAD SOLICTADA]]</f>
        <v>10.28</v>
      </c>
      <c r="T188" s="41"/>
      <c r="U188" s="18" t="s">
        <v>5</v>
      </c>
      <c r="V188" s="211" t="s">
        <v>352</v>
      </c>
      <c r="W188" s="10"/>
      <c r="X188" s="10" t="s">
        <v>89</v>
      </c>
      <c r="Y188" s="10" t="s">
        <v>90</v>
      </c>
      <c r="Z188" s="16"/>
      <c r="AA188" s="16"/>
      <c r="AB188" s="16"/>
      <c r="AC188" s="16"/>
      <c r="AD188" s="16"/>
      <c r="AE188" s="16" t="s">
        <v>353</v>
      </c>
      <c r="AF188" s="16"/>
      <c r="AG188" s="21" t="s">
        <v>354</v>
      </c>
      <c r="XFD188" s="15" t="str">
        <f>+Tabla3[[#This Row],[ESTATUS DE NUM ECONOMICO]]</f>
        <v>INACTIVA</v>
      </c>
    </row>
    <row r="189" spans="1:33 16384:16384" ht="15.75" thickBot="1" x14ac:dyDescent="0.3">
      <c r="A189" s="8">
        <v>34</v>
      </c>
      <c r="B189" s="9">
        <v>46170</v>
      </c>
      <c r="C189" s="10" t="s">
        <v>87</v>
      </c>
      <c r="D189" s="11"/>
      <c r="E189" s="16">
        <v>43</v>
      </c>
      <c r="F189" s="9">
        <v>46175</v>
      </c>
      <c r="G189" s="212" t="str">
        <f>IFERROR(VLOOKUP(Tabla3[[#This Row],[NUM ECONOMICO]],MAQUINARIA!B:H,7,0), " MAQ")</f>
        <v>INACTIVA</v>
      </c>
      <c r="H189" s="214" t="s">
        <v>349</v>
      </c>
      <c r="I189" s="41">
        <v>1662904</v>
      </c>
      <c r="J189" s="10" t="s">
        <v>358</v>
      </c>
      <c r="K189" s="10">
        <v>24</v>
      </c>
      <c r="L189" s="13">
        <v>279.64999999999998</v>
      </c>
      <c r="M189" s="13">
        <f t="shared" si="2"/>
        <v>6711.5999999999995</v>
      </c>
      <c r="N189" s="41"/>
      <c r="O189" s="287">
        <v>19.8</v>
      </c>
      <c r="P189" s="287">
        <f>Tabla3[[#This Row],[COSTO UNITARIO DOLARES EN HAWTHORNE]]*Tabla3[[#This Row],[CANTIDAD SOLICTADA]]</f>
        <v>475.20000000000005</v>
      </c>
      <c r="Q189" s="41" t="s">
        <v>181</v>
      </c>
      <c r="R189" s="229">
        <v>0.7</v>
      </c>
      <c r="S189" s="229">
        <f>+Tabla3[[#This Row],[COSTO UNITARIO DOLARES CTP]]*Tabla3[[#This Row],[CANTIDAD SOLICTADA]]</f>
        <v>16.799999999999997</v>
      </c>
      <c r="T189" s="41"/>
      <c r="U189" s="18" t="s">
        <v>5</v>
      </c>
      <c r="V189" s="211" t="s">
        <v>352</v>
      </c>
      <c r="W189" s="10"/>
      <c r="X189" s="10" t="s">
        <v>89</v>
      </c>
      <c r="Y189" s="10">
        <v>8</v>
      </c>
      <c r="Z189" s="16"/>
      <c r="AA189" s="16"/>
      <c r="AB189" s="16"/>
      <c r="AC189" s="16"/>
      <c r="AD189" s="16"/>
      <c r="AE189" s="16" t="s">
        <v>353</v>
      </c>
      <c r="AF189" s="16"/>
      <c r="AG189" s="21" t="s">
        <v>354</v>
      </c>
      <c r="XFD189" s="15" t="str">
        <f>+Tabla3[[#This Row],[ESTATUS DE NUM ECONOMICO]]</f>
        <v>INACTIVA</v>
      </c>
    </row>
    <row r="190" spans="1:33 16384:16384" ht="15.75" thickBot="1" x14ac:dyDescent="0.3">
      <c r="A190" s="8">
        <v>34</v>
      </c>
      <c r="B190" s="9">
        <v>46170</v>
      </c>
      <c r="C190" s="10" t="s">
        <v>87</v>
      </c>
      <c r="D190" s="11"/>
      <c r="E190" s="16">
        <v>43</v>
      </c>
      <c r="F190" s="9">
        <v>46175</v>
      </c>
      <c r="G190" s="212" t="str">
        <f>IFERROR(VLOOKUP(Tabla3[[#This Row],[NUM ECONOMICO]],MAQUINARIA!B:H,7,0), " MAQ")</f>
        <v>INACTIVA</v>
      </c>
      <c r="H190" s="214" t="s">
        <v>349</v>
      </c>
      <c r="I190" s="41" t="s">
        <v>359</v>
      </c>
      <c r="J190" s="10" t="s">
        <v>360</v>
      </c>
      <c r="K190" s="10">
        <v>12</v>
      </c>
      <c r="L190" s="13">
        <v>104.48</v>
      </c>
      <c r="M190" s="13">
        <f t="shared" si="2"/>
        <v>1253.76</v>
      </c>
      <c r="N190" s="41"/>
      <c r="O190" s="287">
        <v>7.4</v>
      </c>
      <c r="P190" s="287">
        <f>Tabla3[[#This Row],[COSTO UNITARIO DOLARES EN HAWTHORNE]]*Tabla3[[#This Row],[CANTIDAD SOLICTADA]]</f>
        <v>88.800000000000011</v>
      </c>
      <c r="Q190" s="41" t="s">
        <v>181</v>
      </c>
      <c r="R190" s="229">
        <v>0.87</v>
      </c>
      <c r="S190" s="229">
        <f>+Tabla3[[#This Row],[COSTO UNITARIO DOLARES CTP]]*Tabla3[[#This Row],[CANTIDAD SOLICTADA]]</f>
        <v>10.44</v>
      </c>
      <c r="T190" s="41"/>
      <c r="U190" s="18" t="s">
        <v>5</v>
      </c>
      <c r="V190" s="211" t="s">
        <v>352</v>
      </c>
      <c r="W190" s="10"/>
      <c r="X190" s="10" t="s">
        <v>89</v>
      </c>
      <c r="Y190" s="10">
        <v>2</v>
      </c>
      <c r="Z190" s="16"/>
      <c r="AA190" s="16"/>
      <c r="AB190" s="16"/>
      <c r="AC190" s="16"/>
      <c r="AD190" s="16"/>
      <c r="AE190" s="16" t="s">
        <v>353</v>
      </c>
      <c r="AF190" s="16"/>
      <c r="AG190" s="21" t="s">
        <v>354</v>
      </c>
      <c r="XFD190" s="15" t="str">
        <f>+Tabla3[[#This Row],[ESTATUS DE NUM ECONOMICO]]</f>
        <v>INACTIVA</v>
      </c>
    </row>
    <row r="191" spans="1:33 16384:16384" ht="15.75" thickBot="1" x14ac:dyDescent="0.3">
      <c r="A191" s="8">
        <v>34</v>
      </c>
      <c r="B191" s="9">
        <v>46170</v>
      </c>
      <c r="C191" s="10" t="s">
        <v>87</v>
      </c>
      <c r="D191" s="11"/>
      <c r="E191" s="16">
        <v>43</v>
      </c>
      <c r="F191" s="9">
        <v>46175</v>
      </c>
      <c r="G191" s="212" t="str">
        <f>IFERROR(VLOOKUP(Tabla3[[#This Row],[NUM ECONOMICO]],MAQUINARIA!B:H,7,0), " MAQ")</f>
        <v>INACTIVA</v>
      </c>
      <c r="H191" s="214" t="s">
        <v>349</v>
      </c>
      <c r="I191" s="41">
        <v>1178801</v>
      </c>
      <c r="J191" s="10" t="s">
        <v>361</v>
      </c>
      <c r="K191" s="10">
        <v>4</v>
      </c>
      <c r="L191" s="13">
        <v>481.43</v>
      </c>
      <c r="M191" s="13">
        <f t="shared" si="2"/>
        <v>1925.72</v>
      </c>
      <c r="N191" s="41"/>
      <c r="O191" s="287">
        <v>32.75</v>
      </c>
      <c r="P191" s="287">
        <f>Tabla3[[#This Row],[COSTO UNITARIO DOLARES EN HAWTHORNE]]*Tabla3[[#This Row],[CANTIDAD SOLICTADA]]</f>
        <v>131</v>
      </c>
      <c r="Q191" s="41" t="s">
        <v>181</v>
      </c>
      <c r="R191" s="229">
        <v>2.04</v>
      </c>
      <c r="S191" s="229">
        <f>+Tabla3[[#This Row],[COSTO UNITARIO DOLARES CTP]]*Tabla3[[#This Row],[CANTIDAD SOLICTADA]]</f>
        <v>8.16</v>
      </c>
      <c r="T191" s="41"/>
      <c r="U191" s="18" t="s">
        <v>5</v>
      </c>
      <c r="V191" s="211" t="s">
        <v>352</v>
      </c>
      <c r="W191" s="10"/>
      <c r="X191" s="10" t="s">
        <v>89</v>
      </c>
      <c r="Y191" s="10" t="s">
        <v>90</v>
      </c>
      <c r="Z191" s="16"/>
      <c r="AA191" s="16"/>
      <c r="AB191" s="16"/>
      <c r="AC191" s="16"/>
      <c r="AD191" s="16"/>
      <c r="AE191" s="16" t="s">
        <v>353</v>
      </c>
      <c r="AF191" s="16"/>
      <c r="AG191" s="21" t="s">
        <v>354</v>
      </c>
      <c r="XFD191" s="15" t="str">
        <f>+Tabla3[[#This Row],[ESTATUS DE NUM ECONOMICO]]</f>
        <v>INACTIVA</v>
      </c>
    </row>
    <row r="192" spans="1:33 16384:16384" ht="15.75" thickBot="1" x14ac:dyDescent="0.3">
      <c r="A192" s="8">
        <v>34</v>
      </c>
      <c r="B192" s="9">
        <v>46170</v>
      </c>
      <c r="C192" s="10" t="s">
        <v>87</v>
      </c>
      <c r="D192" s="11"/>
      <c r="E192" s="16">
        <v>43</v>
      </c>
      <c r="F192" s="9">
        <v>46175</v>
      </c>
      <c r="G192" s="212" t="str">
        <f>IFERROR(VLOOKUP(Tabla3[[#This Row],[NUM ECONOMICO]],MAQUINARIA!B:H,7,0), " MAQ")</f>
        <v>INACTIVA</v>
      </c>
      <c r="H192" s="214" t="s">
        <v>349</v>
      </c>
      <c r="I192" s="41" t="s">
        <v>362</v>
      </c>
      <c r="J192" s="10" t="s">
        <v>363</v>
      </c>
      <c r="K192" s="10">
        <v>4</v>
      </c>
      <c r="L192" s="13">
        <v>446.95</v>
      </c>
      <c r="M192" s="13">
        <f t="shared" si="2"/>
        <v>1787.8</v>
      </c>
      <c r="N192" s="41"/>
      <c r="O192" s="287">
        <v>30.42</v>
      </c>
      <c r="P192" s="287">
        <f>Tabla3[[#This Row],[COSTO UNITARIO DOLARES EN HAWTHORNE]]*Tabla3[[#This Row],[CANTIDAD SOLICTADA]]</f>
        <v>121.68</v>
      </c>
      <c r="Q192" s="41" t="s">
        <v>181</v>
      </c>
      <c r="R192" s="229"/>
      <c r="S192" s="229">
        <f>+Tabla3[[#This Row],[COSTO UNITARIO DOLARES CTP]]*Tabla3[[#This Row],[CANTIDAD SOLICTADA]]</f>
        <v>0</v>
      </c>
      <c r="T192" s="41"/>
      <c r="U192" s="18" t="s">
        <v>5</v>
      </c>
      <c r="V192" s="211" t="s">
        <v>352</v>
      </c>
      <c r="W192" s="10"/>
      <c r="X192" s="10" t="s">
        <v>89</v>
      </c>
      <c r="Y192" s="10" t="s">
        <v>90</v>
      </c>
      <c r="Z192" s="16"/>
      <c r="AA192" s="16"/>
      <c r="AB192" s="16"/>
      <c r="AC192" s="16"/>
      <c r="AD192" s="16"/>
      <c r="AE192" s="16" t="s">
        <v>353</v>
      </c>
      <c r="AF192" s="16"/>
      <c r="AG192" s="21" t="s">
        <v>354</v>
      </c>
      <c r="XFD192" s="15" t="str">
        <f>+Tabla3[[#This Row],[ESTATUS DE NUM ECONOMICO]]</f>
        <v>INACTIVA</v>
      </c>
    </row>
    <row r="193" spans="1:33 16384:16384" ht="15.75" thickBot="1" x14ac:dyDescent="0.3">
      <c r="A193" s="8">
        <v>34</v>
      </c>
      <c r="B193" s="9">
        <v>46170</v>
      </c>
      <c r="C193" s="10" t="s">
        <v>87</v>
      </c>
      <c r="D193" s="11"/>
      <c r="E193" s="16">
        <v>43</v>
      </c>
      <c r="F193" s="9">
        <v>46175</v>
      </c>
      <c r="G193" s="212" t="str">
        <f>IFERROR(VLOOKUP(Tabla3[[#This Row],[NUM ECONOMICO]],MAQUINARIA!B:H,7,0), " MAQ")</f>
        <v>INACTIVA</v>
      </c>
      <c r="H193" s="214" t="s">
        <v>349</v>
      </c>
      <c r="I193" s="41">
        <v>315085</v>
      </c>
      <c r="J193" s="10" t="s">
        <v>364</v>
      </c>
      <c r="K193" s="10">
        <v>12</v>
      </c>
      <c r="L193" s="13">
        <v>106.75</v>
      </c>
      <c r="M193" s="13">
        <f t="shared" si="2"/>
        <v>1281</v>
      </c>
      <c r="N193" s="41"/>
      <c r="O193" s="287">
        <v>7.56</v>
      </c>
      <c r="P193" s="287">
        <f>Tabla3[[#This Row],[COSTO UNITARIO DOLARES EN HAWTHORNE]]*Tabla3[[#This Row],[CANTIDAD SOLICTADA]]</f>
        <v>90.72</v>
      </c>
      <c r="Q193" s="41" t="s">
        <v>181</v>
      </c>
      <c r="R193" s="229">
        <v>0</v>
      </c>
      <c r="S193" s="229">
        <f>+Tabla3[[#This Row],[COSTO UNITARIO DOLARES CTP]]*Tabla3[[#This Row],[CANTIDAD SOLICTADA]]</f>
        <v>0</v>
      </c>
      <c r="T193" s="41"/>
      <c r="U193" s="18" t="s">
        <v>5</v>
      </c>
      <c r="V193" s="211" t="s">
        <v>352</v>
      </c>
      <c r="W193" s="10"/>
      <c r="X193" s="10" t="s">
        <v>89</v>
      </c>
      <c r="Y193" s="10" t="s">
        <v>90</v>
      </c>
      <c r="Z193" s="16"/>
      <c r="AA193" s="16"/>
      <c r="AB193" s="16"/>
      <c r="AC193" s="16"/>
      <c r="AD193" s="16"/>
      <c r="AE193" s="16" t="s">
        <v>353</v>
      </c>
      <c r="AF193" s="16"/>
      <c r="AG193" s="21" t="s">
        <v>354</v>
      </c>
      <c r="XFD193" s="15" t="str">
        <f>+Tabla3[[#This Row],[ESTATUS DE NUM ECONOMICO]]</f>
        <v>INACTIVA</v>
      </c>
    </row>
    <row r="194" spans="1:33 16384:16384" ht="15.75" thickBot="1" x14ac:dyDescent="0.3">
      <c r="A194" s="8">
        <v>34</v>
      </c>
      <c r="B194" s="9">
        <v>46170</v>
      </c>
      <c r="C194" s="10" t="s">
        <v>87</v>
      </c>
      <c r="D194" s="11"/>
      <c r="E194" s="16">
        <v>43</v>
      </c>
      <c r="F194" s="9">
        <v>46175</v>
      </c>
      <c r="G194" s="212" t="str">
        <f>IFERROR(VLOOKUP(Tabla3[[#This Row],[NUM ECONOMICO]],MAQUINARIA!B:H,7,0), " MAQ")</f>
        <v>INACTIVA</v>
      </c>
      <c r="H194" s="214" t="s">
        <v>349</v>
      </c>
      <c r="I194" s="41" t="s">
        <v>306</v>
      </c>
      <c r="J194" s="10" t="s">
        <v>365</v>
      </c>
      <c r="K194" s="10">
        <v>2</v>
      </c>
      <c r="L194" s="13">
        <v>537.95000000000005</v>
      </c>
      <c r="M194" s="13">
        <f t="shared" ref="M194:M257" si="3">+L194*K194</f>
        <v>1075.9000000000001</v>
      </c>
      <c r="N194" s="41"/>
      <c r="O194" s="287">
        <v>36.6</v>
      </c>
      <c r="P194" s="287">
        <f>Tabla3[[#This Row],[COSTO UNITARIO DOLARES EN HAWTHORNE]]*Tabla3[[#This Row],[CANTIDAD SOLICTADA]]</f>
        <v>73.2</v>
      </c>
      <c r="Q194" s="41" t="s">
        <v>181</v>
      </c>
      <c r="R194" s="229">
        <v>5.3</v>
      </c>
      <c r="S194" s="229">
        <f>+Tabla3[[#This Row],[COSTO UNITARIO DOLARES CTP]]*Tabla3[[#This Row],[CANTIDAD SOLICTADA]]</f>
        <v>10.6</v>
      </c>
      <c r="T194" s="41"/>
      <c r="U194" s="18" t="s">
        <v>5</v>
      </c>
      <c r="V194" s="211" t="s">
        <v>352</v>
      </c>
      <c r="W194" s="10"/>
      <c r="X194" s="10" t="s">
        <v>89</v>
      </c>
      <c r="Y194" s="10" t="s">
        <v>90</v>
      </c>
      <c r="Z194" s="16"/>
      <c r="AA194" s="16"/>
      <c r="AB194" s="16"/>
      <c r="AC194" s="16"/>
      <c r="AD194" s="16"/>
      <c r="AE194" s="16" t="s">
        <v>353</v>
      </c>
      <c r="AF194" s="16"/>
      <c r="AG194" s="21" t="s">
        <v>354</v>
      </c>
      <c r="XFD194" s="15" t="str">
        <f>+Tabla3[[#This Row],[ESTATUS DE NUM ECONOMICO]]</f>
        <v>INACTIVA</v>
      </c>
    </row>
    <row r="195" spans="1:33 16384:16384" ht="15.75" thickBot="1" x14ac:dyDescent="0.3">
      <c r="A195" s="8">
        <v>34</v>
      </c>
      <c r="B195" s="9">
        <v>46170</v>
      </c>
      <c r="C195" s="10" t="s">
        <v>87</v>
      </c>
      <c r="D195" s="11"/>
      <c r="E195" s="16">
        <v>43</v>
      </c>
      <c r="F195" s="9">
        <v>46175</v>
      </c>
      <c r="G195" s="212" t="str">
        <f>IFERROR(VLOOKUP(Tabla3[[#This Row],[NUM ECONOMICO]],MAQUINARIA!B:H,7,0), " MAQ")</f>
        <v>INACTIVA</v>
      </c>
      <c r="H195" s="214" t="s">
        <v>349</v>
      </c>
      <c r="I195" s="41">
        <v>2275538</v>
      </c>
      <c r="J195" s="10" t="s">
        <v>366</v>
      </c>
      <c r="K195" s="10">
        <v>1</v>
      </c>
      <c r="L195" s="13">
        <v>637.88</v>
      </c>
      <c r="M195" s="13">
        <f t="shared" si="3"/>
        <v>637.88</v>
      </c>
      <c r="N195" s="41"/>
      <c r="O195" s="287">
        <v>43.39</v>
      </c>
      <c r="P195" s="287">
        <f>Tabla3[[#This Row],[COSTO UNITARIO DOLARES EN HAWTHORNE]]*Tabla3[[#This Row],[CANTIDAD SOLICTADA]]</f>
        <v>43.39</v>
      </c>
      <c r="Q195" s="41" t="s">
        <v>181</v>
      </c>
      <c r="R195" s="229">
        <v>4.46</v>
      </c>
      <c r="S195" s="229">
        <f>+Tabla3[[#This Row],[COSTO UNITARIO DOLARES CTP]]*Tabla3[[#This Row],[CANTIDAD SOLICTADA]]</f>
        <v>4.46</v>
      </c>
      <c r="T195" s="41"/>
      <c r="U195" s="18" t="s">
        <v>5</v>
      </c>
      <c r="V195" s="211" t="s">
        <v>352</v>
      </c>
      <c r="W195" s="10"/>
      <c r="X195" s="10" t="s">
        <v>89</v>
      </c>
      <c r="Y195" s="10" t="s">
        <v>90</v>
      </c>
      <c r="Z195" s="16"/>
      <c r="AA195" s="16"/>
      <c r="AB195" s="16"/>
      <c r="AC195" s="16"/>
      <c r="AD195" s="16"/>
      <c r="AE195" s="16" t="s">
        <v>353</v>
      </c>
      <c r="AF195" s="16"/>
      <c r="AG195" s="21" t="s">
        <v>354</v>
      </c>
      <c r="XFD195" s="15" t="str">
        <f>+Tabla3[[#This Row],[ESTATUS DE NUM ECONOMICO]]</f>
        <v>INACTIVA</v>
      </c>
    </row>
    <row r="196" spans="1:33 16384:16384" ht="15.75" thickBot="1" x14ac:dyDescent="0.3">
      <c r="A196" s="8">
        <v>34</v>
      </c>
      <c r="B196" s="9">
        <v>46170</v>
      </c>
      <c r="C196" s="10" t="s">
        <v>87</v>
      </c>
      <c r="D196" s="11"/>
      <c r="E196" s="16">
        <v>43</v>
      </c>
      <c r="F196" s="9">
        <v>46175</v>
      </c>
      <c r="G196" s="212" t="str">
        <f>IFERROR(VLOOKUP(Tabla3[[#This Row],[NUM ECONOMICO]],MAQUINARIA!B:H,7,0), " MAQ")</f>
        <v>INACTIVA</v>
      </c>
      <c r="H196" s="214" t="s">
        <v>349</v>
      </c>
      <c r="I196" s="41">
        <v>2386646</v>
      </c>
      <c r="J196" s="10" t="s">
        <v>367</v>
      </c>
      <c r="K196" s="10">
        <v>1</v>
      </c>
      <c r="L196" s="13">
        <v>615.83000000000004</v>
      </c>
      <c r="M196" s="13">
        <f t="shared" si="3"/>
        <v>615.83000000000004</v>
      </c>
      <c r="N196" s="41"/>
      <c r="O196" s="287">
        <v>41.89</v>
      </c>
      <c r="P196" s="287">
        <f>Tabla3[[#This Row],[COSTO UNITARIO DOLARES EN HAWTHORNE]]*Tabla3[[#This Row],[CANTIDAD SOLICTADA]]</f>
        <v>41.89</v>
      </c>
      <c r="Q196" s="41" t="s">
        <v>181</v>
      </c>
      <c r="R196" s="229">
        <v>3.74</v>
      </c>
      <c r="S196" s="229">
        <f>+Tabla3[[#This Row],[COSTO UNITARIO DOLARES CTP]]*Tabla3[[#This Row],[CANTIDAD SOLICTADA]]</f>
        <v>3.74</v>
      </c>
      <c r="T196" s="41"/>
      <c r="U196" s="18" t="s">
        <v>5</v>
      </c>
      <c r="V196" s="211" t="s">
        <v>352</v>
      </c>
      <c r="W196" s="10"/>
      <c r="X196" s="10" t="s">
        <v>89</v>
      </c>
      <c r="Y196" s="10" t="s">
        <v>90</v>
      </c>
      <c r="Z196" s="16"/>
      <c r="AA196" s="16"/>
      <c r="AB196" s="16"/>
      <c r="AC196" s="16"/>
      <c r="AD196" s="16"/>
      <c r="AE196" s="16" t="s">
        <v>353</v>
      </c>
      <c r="AF196" s="16"/>
      <c r="AG196" s="21" t="s">
        <v>354</v>
      </c>
      <c r="XFD196" s="15" t="str">
        <f>+Tabla3[[#This Row],[ESTATUS DE NUM ECONOMICO]]</f>
        <v>INACTIVA</v>
      </c>
    </row>
    <row r="197" spans="1:33 16384:16384" ht="15.75" thickBot="1" x14ac:dyDescent="0.3">
      <c r="A197" s="8">
        <v>34</v>
      </c>
      <c r="B197" s="9">
        <v>46170</v>
      </c>
      <c r="C197" s="10" t="s">
        <v>87</v>
      </c>
      <c r="D197" s="11"/>
      <c r="E197" s="16">
        <v>43</v>
      </c>
      <c r="F197" s="9">
        <v>46175</v>
      </c>
      <c r="G197" s="212" t="str">
        <f>IFERROR(VLOOKUP(Tabla3[[#This Row],[NUM ECONOMICO]],MAQUINARIA!B:H,7,0), " MAQ")</f>
        <v>INACTIVA</v>
      </c>
      <c r="H197" s="214" t="s">
        <v>349</v>
      </c>
      <c r="I197" s="41">
        <v>2391139</v>
      </c>
      <c r="J197" s="10" t="s">
        <v>253</v>
      </c>
      <c r="K197" s="10">
        <v>2</v>
      </c>
      <c r="L197" s="13">
        <v>1076.43</v>
      </c>
      <c r="M197" s="13">
        <f t="shared" si="3"/>
        <v>2152.86</v>
      </c>
      <c r="N197" s="41"/>
      <c r="O197" s="287">
        <v>70.17</v>
      </c>
      <c r="P197" s="287">
        <f>Tabla3[[#This Row],[COSTO UNITARIO DOLARES EN HAWTHORNE]]*Tabla3[[#This Row],[CANTIDAD SOLICTADA]]</f>
        <v>140.34</v>
      </c>
      <c r="Q197" s="41" t="s">
        <v>181</v>
      </c>
      <c r="R197" s="229">
        <v>10.16</v>
      </c>
      <c r="S197" s="229">
        <f>+Tabla3[[#This Row],[COSTO UNITARIO DOLARES CTP]]*Tabla3[[#This Row],[CANTIDAD SOLICTADA]]</f>
        <v>20.32</v>
      </c>
      <c r="T197" s="41"/>
      <c r="U197" s="18" t="s">
        <v>5</v>
      </c>
      <c r="V197" s="211" t="s">
        <v>352</v>
      </c>
      <c r="W197" s="10"/>
      <c r="X197" s="10" t="s">
        <v>89</v>
      </c>
      <c r="Y197" s="10">
        <v>1</v>
      </c>
      <c r="Z197" s="16"/>
      <c r="AA197" s="16"/>
      <c r="AB197" s="16"/>
      <c r="AC197" s="16"/>
      <c r="AD197" s="16"/>
      <c r="AE197" s="16" t="s">
        <v>353</v>
      </c>
      <c r="AF197" s="16"/>
      <c r="AG197" s="21" t="s">
        <v>354</v>
      </c>
      <c r="XFD197" s="15" t="str">
        <f>+Tabla3[[#This Row],[ESTATUS DE NUM ECONOMICO]]</f>
        <v>INACTIVA</v>
      </c>
    </row>
    <row r="198" spans="1:33 16384:16384" ht="15.75" thickBot="1" x14ac:dyDescent="0.3">
      <c r="A198" s="8">
        <v>34</v>
      </c>
      <c r="B198" s="9">
        <v>46170</v>
      </c>
      <c r="C198" s="10" t="s">
        <v>87</v>
      </c>
      <c r="D198" s="11"/>
      <c r="E198" s="16">
        <v>43</v>
      </c>
      <c r="F198" s="9">
        <v>46175</v>
      </c>
      <c r="G198" s="212" t="str">
        <f>IFERROR(VLOOKUP(Tabla3[[#This Row],[NUM ECONOMICO]],MAQUINARIA!B:H,7,0), " MAQ")</f>
        <v>INACTIVA</v>
      </c>
      <c r="H198" s="214" t="s">
        <v>349</v>
      </c>
      <c r="I198" s="41">
        <v>4800204</v>
      </c>
      <c r="J198" s="10" t="s">
        <v>368</v>
      </c>
      <c r="K198" s="10">
        <v>1</v>
      </c>
      <c r="L198" s="13">
        <v>29220.799999999999</v>
      </c>
      <c r="M198" s="13">
        <f t="shared" si="3"/>
        <v>29220.799999999999</v>
      </c>
      <c r="N198" s="41"/>
      <c r="O198" s="287">
        <v>1535.14</v>
      </c>
      <c r="P198" s="287">
        <f>Tabla3[[#This Row],[COSTO UNITARIO DOLARES EN HAWTHORNE]]*Tabla3[[#This Row],[CANTIDAD SOLICTADA]]</f>
        <v>1535.14</v>
      </c>
      <c r="Q198" s="41" t="s">
        <v>369</v>
      </c>
      <c r="R198" s="229">
        <v>826.68</v>
      </c>
      <c r="S198" s="229">
        <f>+Tabla3[[#This Row],[COSTO UNITARIO DOLARES CTP]]*Tabla3[[#This Row],[CANTIDAD SOLICTADA]]</f>
        <v>826.68</v>
      </c>
      <c r="T198" s="41"/>
      <c r="U198" s="18" t="s">
        <v>5</v>
      </c>
      <c r="V198" s="211" t="s">
        <v>352</v>
      </c>
      <c r="W198" s="10"/>
      <c r="X198" s="10" t="s">
        <v>89</v>
      </c>
      <c r="Y198" s="10" t="s">
        <v>90</v>
      </c>
      <c r="Z198" s="16"/>
      <c r="AA198" s="16"/>
      <c r="AB198" s="16"/>
      <c r="AC198" s="16"/>
      <c r="AD198" s="16"/>
      <c r="AE198" s="16" t="s">
        <v>353</v>
      </c>
      <c r="AF198" s="16"/>
      <c r="AG198" s="21" t="s">
        <v>354</v>
      </c>
      <c r="XFD198" s="15" t="str">
        <f>+Tabla3[[#This Row],[ESTATUS DE NUM ECONOMICO]]</f>
        <v>INACTIVA</v>
      </c>
    </row>
    <row r="199" spans="1:33 16384:16384" ht="15.75" thickBot="1" x14ac:dyDescent="0.3">
      <c r="A199" s="8">
        <v>34</v>
      </c>
      <c r="B199" s="9">
        <v>46170</v>
      </c>
      <c r="C199" s="10" t="s">
        <v>87</v>
      </c>
      <c r="D199" s="11"/>
      <c r="E199" s="16">
        <v>43</v>
      </c>
      <c r="F199" s="9">
        <v>46175</v>
      </c>
      <c r="G199" s="212" t="str">
        <f>IFERROR(VLOOKUP(Tabla3[[#This Row],[NUM ECONOMICO]],MAQUINARIA!B:H,7,0), " MAQ")</f>
        <v>INACTIVA</v>
      </c>
      <c r="H199" s="214" t="s">
        <v>349</v>
      </c>
      <c r="I199" s="41">
        <v>4799148</v>
      </c>
      <c r="J199" s="10" t="s">
        <v>370</v>
      </c>
      <c r="K199" s="10">
        <v>1</v>
      </c>
      <c r="L199" s="13">
        <v>7155.75</v>
      </c>
      <c r="M199" s="13">
        <f t="shared" si="3"/>
        <v>7155.75</v>
      </c>
      <c r="N199" s="41"/>
      <c r="O199" s="287">
        <v>384.8</v>
      </c>
      <c r="P199" s="287">
        <f>Tabla3[[#This Row],[COSTO UNITARIO DOLARES EN HAWTHORNE]]*Tabla3[[#This Row],[CANTIDAD SOLICTADA]]</f>
        <v>384.8</v>
      </c>
      <c r="Q199" s="41" t="s">
        <v>181</v>
      </c>
      <c r="R199" s="229">
        <v>47.17</v>
      </c>
      <c r="S199" s="229">
        <f>+Tabla3[[#This Row],[COSTO UNITARIO DOLARES CTP]]*Tabla3[[#This Row],[CANTIDAD SOLICTADA]]</f>
        <v>47.17</v>
      </c>
      <c r="T199" s="41"/>
      <c r="U199" s="18" t="s">
        <v>5</v>
      </c>
      <c r="V199" s="211" t="s">
        <v>352</v>
      </c>
      <c r="W199" s="10"/>
      <c r="X199" s="10" t="s">
        <v>89</v>
      </c>
      <c r="Y199" s="10" t="s">
        <v>90</v>
      </c>
      <c r="Z199" s="16"/>
      <c r="AA199" s="16"/>
      <c r="AB199" s="16"/>
      <c r="AC199" s="16"/>
      <c r="AD199" s="16"/>
      <c r="AE199" s="16" t="s">
        <v>353</v>
      </c>
      <c r="AF199" s="16"/>
      <c r="AG199" s="21" t="s">
        <v>354</v>
      </c>
      <c r="XFD199" s="15" t="str">
        <f>+Tabla3[[#This Row],[ESTATUS DE NUM ECONOMICO]]</f>
        <v>INACTIVA</v>
      </c>
    </row>
    <row r="200" spans="1:33 16384:16384" ht="15.75" thickBot="1" x14ac:dyDescent="0.3">
      <c r="A200" s="8">
        <v>34</v>
      </c>
      <c r="B200" s="9">
        <v>46170</v>
      </c>
      <c r="C200" s="10" t="s">
        <v>87</v>
      </c>
      <c r="D200" s="11"/>
      <c r="E200" s="16">
        <v>43</v>
      </c>
      <c r="F200" s="9">
        <v>46175</v>
      </c>
      <c r="G200" s="212" t="str">
        <f>IFERROR(VLOOKUP(Tabla3[[#This Row],[NUM ECONOMICO]],MAQUINARIA!B:H,7,0), " MAQ")</f>
        <v>INACTIVA</v>
      </c>
      <c r="H200" s="214" t="s">
        <v>349</v>
      </c>
      <c r="I200" s="41">
        <v>1609874</v>
      </c>
      <c r="J200" s="10" t="s">
        <v>371</v>
      </c>
      <c r="K200" s="10">
        <v>1</v>
      </c>
      <c r="L200" s="13">
        <v>1091.6500000000001</v>
      </c>
      <c r="M200" s="13">
        <f t="shared" si="3"/>
        <v>1091.6500000000001</v>
      </c>
      <c r="N200" s="41"/>
      <c r="O200" s="287">
        <v>64.3</v>
      </c>
      <c r="P200" s="287">
        <f>Tabla3[[#This Row],[COSTO UNITARIO DOLARES EN HAWTHORNE]]*Tabla3[[#This Row],[CANTIDAD SOLICTADA]]</f>
        <v>64.3</v>
      </c>
      <c r="Q200" s="41" t="s">
        <v>181</v>
      </c>
      <c r="R200" s="229">
        <v>5.81</v>
      </c>
      <c r="S200" s="229">
        <f>+Tabla3[[#This Row],[COSTO UNITARIO DOLARES CTP]]*Tabla3[[#This Row],[CANTIDAD SOLICTADA]]</f>
        <v>5.81</v>
      </c>
      <c r="T200" s="41"/>
      <c r="U200" s="18" t="s">
        <v>5</v>
      </c>
      <c r="V200" s="211" t="s">
        <v>352</v>
      </c>
      <c r="W200" s="10"/>
      <c r="X200" s="10" t="s">
        <v>89</v>
      </c>
      <c r="Y200" s="10" t="s">
        <v>90</v>
      </c>
      <c r="Z200" s="16"/>
      <c r="AA200" s="16"/>
      <c r="AB200" s="16"/>
      <c r="AC200" s="16"/>
      <c r="AD200" s="16"/>
      <c r="AE200" s="16" t="s">
        <v>353</v>
      </c>
      <c r="AF200" s="16"/>
      <c r="AG200" s="21" t="s">
        <v>354</v>
      </c>
      <c r="XFD200" s="15" t="str">
        <f>+Tabla3[[#This Row],[ESTATUS DE NUM ECONOMICO]]</f>
        <v>INACTIVA</v>
      </c>
    </row>
    <row r="201" spans="1:33 16384:16384" ht="15.75" thickBot="1" x14ac:dyDescent="0.3">
      <c r="A201" s="8">
        <v>34</v>
      </c>
      <c r="B201" s="9">
        <v>46170</v>
      </c>
      <c r="C201" s="10" t="s">
        <v>87</v>
      </c>
      <c r="D201" s="11"/>
      <c r="E201" s="16">
        <v>43</v>
      </c>
      <c r="F201" s="9">
        <v>46175</v>
      </c>
      <c r="G201" s="212" t="str">
        <f>IFERROR(VLOOKUP(Tabla3[[#This Row],[NUM ECONOMICO]],MAQUINARIA!B:H,7,0), " MAQ")</f>
        <v>INACTIVA</v>
      </c>
      <c r="H201" s="214" t="s">
        <v>349</v>
      </c>
      <c r="I201" s="41">
        <v>1656170</v>
      </c>
      <c r="J201" s="10" t="s">
        <v>371</v>
      </c>
      <c r="K201" s="10">
        <v>3</v>
      </c>
      <c r="L201" s="13">
        <v>176.23</v>
      </c>
      <c r="M201" s="13">
        <f t="shared" si="3"/>
        <v>528.68999999999994</v>
      </c>
      <c r="N201" s="41"/>
      <c r="O201" s="287">
        <v>12.11</v>
      </c>
      <c r="P201" s="287">
        <f>Tabla3[[#This Row],[COSTO UNITARIO DOLARES EN HAWTHORNE]]*Tabla3[[#This Row],[CANTIDAD SOLICTADA]]</f>
        <v>36.33</v>
      </c>
      <c r="Q201" s="41" t="s">
        <v>181</v>
      </c>
      <c r="R201" s="229">
        <v>1.61</v>
      </c>
      <c r="S201" s="229">
        <f>+Tabla3[[#This Row],[COSTO UNITARIO DOLARES CTP]]*Tabla3[[#This Row],[CANTIDAD SOLICTADA]]</f>
        <v>4.83</v>
      </c>
      <c r="T201" s="41"/>
      <c r="U201" s="18" t="s">
        <v>5</v>
      </c>
      <c r="V201" s="211" t="s">
        <v>352</v>
      </c>
      <c r="W201" s="10"/>
      <c r="X201" s="10" t="s">
        <v>89</v>
      </c>
      <c r="Y201" s="10" t="s">
        <v>90</v>
      </c>
      <c r="Z201" s="16"/>
      <c r="AA201" s="16"/>
      <c r="AB201" s="16"/>
      <c r="AC201" s="16"/>
      <c r="AD201" s="16"/>
      <c r="AE201" s="16" t="s">
        <v>353</v>
      </c>
      <c r="AF201" s="16"/>
      <c r="AG201" s="21" t="s">
        <v>354</v>
      </c>
      <c r="XFD201" s="15" t="str">
        <f>+Tabla3[[#This Row],[ESTATUS DE NUM ECONOMICO]]</f>
        <v>INACTIVA</v>
      </c>
    </row>
    <row r="202" spans="1:33 16384:16384" ht="15.75" thickBot="1" x14ac:dyDescent="0.3">
      <c r="A202" s="8">
        <v>34</v>
      </c>
      <c r="B202" s="9">
        <v>46170</v>
      </c>
      <c r="C202" s="10" t="s">
        <v>87</v>
      </c>
      <c r="D202" s="11"/>
      <c r="E202" s="16">
        <v>43</v>
      </c>
      <c r="F202" s="9">
        <v>46175</v>
      </c>
      <c r="G202" s="212" t="str">
        <f>IFERROR(VLOOKUP(Tabla3[[#This Row],[NUM ECONOMICO]],MAQUINARIA!B:H,7,0), " MAQ")</f>
        <v>INACTIVA</v>
      </c>
      <c r="H202" s="214" t="s">
        <v>349</v>
      </c>
      <c r="I202" s="41">
        <v>2481394</v>
      </c>
      <c r="J202" s="10" t="s">
        <v>372</v>
      </c>
      <c r="K202" s="10">
        <v>12</v>
      </c>
      <c r="L202" s="13">
        <v>474.95</v>
      </c>
      <c r="M202" s="13">
        <f t="shared" si="3"/>
        <v>5699.4</v>
      </c>
      <c r="N202" s="41"/>
      <c r="O202" s="287">
        <v>30.41</v>
      </c>
      <c r="P202" s="287">
        <f>Tabla3[[#This Row],[COSTO UNITARIO DOLARES EN HAWTHORNE]]*Tabla3[[#This Row],[CANTIDAD SOLICTADA]]</f>
        <v>364.92</v>
      </c>
      <c r="Q202" s="41" t="s">
        <v>181</v>
      </c>
      <c r="R202" s="229">
        <v>2.15</v>
      </c>
      <c r="S202" s="229">
        <f>+Tabla3[[#This Row],[COSTO UNITARIO DOLARES CTP]]*Tabla3[[#This Row],[CANTIDAD SOLICTADA]]</f>
        <v>25.799999999999997</v>
      </c>
      <c r="T202" s="41"/>
      <c r="U202" s="18" t="s">
        <v>5</v>
      </c>
      <c r="V202" s="211" t="s">
        <v>352</v>
      </c>
      <c r="W202" s="10"/>
      <c r="X202" s="10" t="s">
        <v>89</v>
      </c>
      <c r="Y202" s="10" t="s">
        <v>90</v>
      </c>
      <c r="Z202" s="16"/>
      <c r="AA202" s="16"/>
      <c r="AB202" s="16"/>
      <c r="AC202" s="16"/>
      <c r="AD202" s="16"/>
      <c r="AE202" s="16" t="s">
        <v>353</v>
      </c>
      <c r="AF202" s="16"/>
      <c r="AG202" s="21" t="s">
        <v>354</v>
      </c>
      <c r="XFD202" s="15" t="str">
        <f>+Tabla3[[#This Row],[ESTATUS DE NUM ECONOMICO]]</f>
        <v>INACTIVA</v>
      </c>
    </row>
    <row r="203" spans="1:33 16384:16384" ht="15.75" thickBot="1" x14ac:dyDescent="0.3">
      <c r="A203" s="8">
        <v>34</v>
      </c>
      <c r="B203" s="9">
        <v>46170</v>
      </c>
      <c r="C203" s="10" t="s">
        <v>87</v>
      </c>
      <c r="D203" s="11"/>
      <c r="E203" s="16">
        <v>43</v>
      </c>
      <c r="F203" s="9">
        <v>46175</v>
      </c>
      <c r="G203" s="212" t="str">
        <f>IFERROR(VLOOKUP(Tabla3[[#This Row],[NUM ECONOMICO]],MAQUINARIA!B:H,7,0), " MAQ")</f>
        <v>INACTIVA</v>
      </c>
      <c r="H203" s="214" t="s">
        <v>349</v>
      </c>
      <c r="I203" s="41">
        <v>5251864</v>
      </c>
      <c r="J203" s="10" t="s">
        <v>373</v>
      </c>
      <c r="K203" s="10">
        <v>1</v>
      </c>
      <c r="L203" s="13">
        <v>5964.88</v>
      </c>
      <c r="M203" s="13">
        <f t="shared" si="3"/>
        <v>5964.88</v>
      </c>
      <c r="N203" s="41"/>
      <c r="O203" s="287">
        <v>320.76</v>
      </c>
      <c r="P203" s="287">
        <f>Tabla3[[#This Row],[COSTO UNITARIO DOLARES EN HAWTHORNE]]*Tabla3[[#This Row],[CANTIDAD SOLICTADA]]</f>
        <v>320.76</v>
      </c>
      <c r="Q203" s="41" t="s">
        <v>181</v>
      </c>
      <c r="R203" s="229">
        <v>45.68</v>
      </c>
      <c r="S203" s="229">
        <f>+Tabla3[[#This Row],[COSTO UNITARIO DOLARES CTP]]*Tabla3[[#This Row],[CANTIDAD SOLICTADA]]</f>
        <v>45.68</v>
      </c>
      <c r="T203" s="41"/>
      <c r="U203" s="18" t="s">
        <v>5</v>
      </c>
      <c r="V203" s="211" t="s">
        <v>352</v>
      </c>
      <c r="W203" s="10"/>
      <c r="X203" s="10" t="s">
        <v>89</v>
      </c>
      <c r="Y203" s="10" t="s">
        <v>90</v>
      </c>
      <c r="Z203" s="16"/>
      <c r="AA203" s="16"/>
      <c r="AB203" s="16"/>
      <c r="AC203" s="16"/>
      <c r="AD203" s="16"/>
      <c r="AE203" s="16" t="s">
        <v>353</v>
      </c>
      <c r="AF203" s="16"/>
      <c r="AG203" s="21" t="s">
        <v>354</v>
      </c>
      <c r="XFD203" s="15" t="str">
        <f>+Tabla3[[#This Row],[ESTATUS DE NUM ECONOMICO]]</f>
        <v>INACTIVA</v>
      </c>
    </row>
    <row r="204" spans="1:33 16384:16384" ht="15.75" thickBot="1" x14ac:dyDescent="0.3">
      <c r="A204" s="8">
        <v>34</v>
      </c>
      <c r="B204" s="9">
        <v>46170</v>
      </c>
      <c r="C204" s="10" t="s">
        <v>87</v>
      </c>
      <c r="D204" s="11"/>
      <c r="E204" s="16">
        <v>43</v>
      </c>
      <c r="F204" s="9">
        <v>46175</v>
      </c>
      <c r="G204" s="212" t="str">
        <f>IFERROR(VLOOKUP(Tabla3[[#This Row],[NUM ECONOMICO]],MAQUINARIA!B:H,7,0), " MAQ")</f>
        <v>INACTIVA</v>
      </c>
      <c r="H204" s="214" t="s">
        <v>349</v>
      </c>
      <c r="I204" s="41">
        <v>2323226</v>
      </c>
      <c r="J204" s="10" t="s">
        <v>374</v>
      </c>
      <c r="K204" s="10">
        <v>12</v>
      </c>
      <c r="L204" s="13">
        <v>769.3</v>
      </c>
      <c r="M204" s="13">
        <f t="shared" si="3"/>
        <v>9231.5999999999985</v>
      </c>
      <c r="N204" s="41"/>
      <c r="O204" s="287">
        <v>51.54</v>
      </c>
      <c r="P204" s="287">
        <f>Tabla3[[#This Row],[COSTO UNITARIO DOLARES EN HAWTHORNE]]*Tabla3[[#This Row],[CANTIDAD SOLICTADA]]</f>
        <v>618.48</v>
      </c>
      <c r="Q204" s="41" t="s">
        <v>181</v>
      </c>
      <c r="R204" s="229">
        <v>14.88</v>
      </c>
      <c r="S204" s="229">
        <f>+Tabla3[[#This Row],[COSTO UNITARIO DOLARES CTP]]*Tabla3[[#This Row],[CANTIDAD SOLICTADA]]</f>
        <v>178.56</v>
      </c>
      <c r="T204" s="41"/>
      <c r="U204" s="18" t="s">
        <v>5</v>
      </c>
      <c r="V204" s="211" t="s">
        <v>352</v>
      </c>
      <c r="W204" s="10"/>
      <c r="X204" s="10" t="s">
        <v>89</v>
      </c>
      <c r="Y204" s="10" t="s">
        <v>90</v>
      </c>
      <c r="Z204" s="16"/>
      <c r="AA204" s="16"/>
      <c r="AB204" s="16"/>
      <c r="AC204" s="16"/>
      <c r="AD204" s="16"/>
      <c r="AE204" s="16" t="s">
        <v>353</v>
      </c>
      <c r="AF204" s="16"/>
      <c r="AG204" s="21" t="s">
        <v>354</v>
      </c>
      <c r="XFD204" s="15" t="str">
        <f>+Tabla3[[#This Row],[ESTATUS DE NUM ECONOMICO]]</f>
        <v>INACTIVA</v>
      </c>
    </row>
    <row r="205" spans="1:33 16384:16384" ht="15.75" thickBot="1" x14ac:dyDescent="0.3">
      <c r="A205" s="8">
        <v>34</v>
      </c>
      <c r="B205" s="9">
        <v>46170</v>
      </c>
      <c r="C205" s="10" t="s">
        <v>87</v>
      </c>
      <c r="D205" s="11"/>
      <c r="E205" s="16">
        <v>43</v>
      </c>
      <c r="F205" s="9">
        <v>46175</v>
      </c>
      <c r="G205" s="212" t="str">
        <f>IFERROR(VLOOKUP(Tabla3[[#This Row],[NUM ECONOMICO]],MAQUINARIA!B:H,7,0), " MAQ")</f>
        <v>INACTIVA</v>
      </c>
      <c r="H205" s="214" t="s">
        <v>349</v>
      </c>
      <c r="I205" s="41">
        <v>3178766</v>
      </c>
      <c r="J205" s="10" t="s">
        <v>375</v>
      </c>
      <c r="K205" s="10">
        <v>7</v>
      </c>
      <c r="L205" s="13">
        <v>1349.43</v>
      </c>
      <c r="M205" s="13">
        <f t="shared" si="3"/>
        <v>9446.01</v>
      </c>
      <c r="N205" s="41"/>
      <c r="O205" s="287">
        <v>2.86</v>
      </c>
      <c r="P205" s="287">
        <f>Tabla3[[#This Row],[COSTO UNITARIO DOLARES EN HAWTHORNE]]*Tabla3[[#This Row],[CANTIDAD SOLICTADA]]</f>
        <v>20.02</v>
      </c>
      <c r="Q205" s="41" t="s">
        <v>181</v>
      </c>
      <c r="R205" s="229">
        <v>12.22</v>
      </c>
      <c r="S205" s="229">
        <f>+Tabla3[[#This Row],[COSTO UNITARIO DOLARES CTP]]*Tabla3[[#This Row],[CANTIDAD SOLICTADA]]</f>
        <v>85.54</v>
      </c>
      <c r="T205" s="41"/>
      <c r="U205" s="18" t="s">
        <v>5</v>
      </c>
      <c r="V205" s="211" t="s">
        <v>352</v>
      </c>
      <c r="W205" s="10"/>
      <c r="X205" s="10" t="s">
        <v>89</v>
      </c>
      <c r="Y205" s="10" t="s">
        <v>90</v>
      </c>
      <c r="Z205" s="16"/>
      <c r="AA205" s="16"/>
      <c r="AB205" s="16"/>
      <c r="AC205" s="16"/>
      <c r="AD205" s="16"/>
      <c r="AE205" s="16" t="s">
        <v>353</v>
      </c>
      <c r="AF205" s="16"/>
      <c r="AG205" s="21" t="s">
        <v>354</v>
      </c>
      <c r="XFD205" s="15" t="str">
        <f>+Tabla3[[#This Row],[ESTATUS DE NUM ECONOMICO]]</f>
        <v>INACTIVA</v>
      </c>
    </row>
    <row r="206" spans="1:33 16384:16384" ht="15.75" thickBot="1" x14ac:dyDescent="0.3">
      <c r="A206" s="8">
        <v>34</v>
      </c>
      <c r="B206" s="9">
        <v>46170</v>
      </c>
      <c r="C206" s="10" t="s">
        <v>87</v>
      </c>
      <c r="D206" s="11"/>
      <c r="E206" s="16">
        <v>43</v>
      </c>
      <c r="F206" s="9">
        <v>46175</v>
      </c>
      <c r="G206" s="212" t="str">
        <f>IFERROR(VLOOKUP(Tabla3[[#This Row],[NUM ECONOMICO]],MAQUINARIA!B:H,7,0), " MAQ")</f>
        <v>INACTIVA</v>
      </c>
      <c r="H206" s="214" t="s">
        <v>349</v>
      </c>
      <c r="I206" s="41" t="s">
        <v>376</v>
      </c>
      <c r="J206" s="10" t="s">
        <v>377</v>
      </c>
      <c r="K206" s="10">
        <v>1</v>
      </c>
      <c r="L206" s="13">
        <v>11759.48</v>
      </c>
      <c r="M206" s="13">
        <f t="shared" si="3"/>
        <v>11759.48</v>
      </c>
      <c r="N206" s="41"/>
      <c r="O206" s="287">
        <v>536.34</v>
      </c>
      <c r="P206" s="287">
        <f>Tabla3[[#This Row],[COSTO UNITARIO DOLARES EN HAWTHORNE]]*Tabla3[[#This Row],[CANTIDAD SOLICTADA]]</f>
        <v>536.34</v>
      </c>
      <c r="Q206" s="41" t="s">
        <v>181</v>
      </c>
      <c r="R206" s="229">
        <v>0</v>
      </c>
      <c r="S206" s="229">
        <f>+Tabla3[[#This Row],[COSTO UNITARIO DOLARES CTP]]*Tabla3[[#This Row],[CANTIDAD SOLICTADA]]</f>
        <v>0</v>
      </c>
      <c r="T206" s="41"/>
      <c r="U206" s="18" t="s">
        <v>5</v>
      </c>
      <c r="V206" s="211" t="s">
        <v>352</v>
      </c>
      <c r="W206" s="10"/>
      <c r="X206" s="10" t="s">
        <v>89</v>
      </c>
      <c r="Y206" s="10" t="s">
        <v>90</v>
      </c>
      <c r="Z206" s="16"/>
      <c r="AA206" s="16"/>
      <c r="AB206" s="16"/>
      <c r="AC206" s="16"/>
      <c r="AD206" s="16"/>
      <c r="AE206" s="16" t="s">
        <v>353</v>
      </c>
      <c r="AF206" s="16"/>
      <c r="AG206" s="21" t="s">
        <v>354</v>
      </c>
      <c r="XFD206" s="15" t="str">
        <f>+Tabla3[[#This Row],[ESTATUS DE NUM ECONOMICO]]</f>
        <v>INACTIVA</v>
      </c>
    </row>
    <row r="207" spans="1:33 16384:16384" ht="15.75" thickBot="1" x14ac:dyDescent="0.3">
      <c r="A207" s="8">
        <v>34</v>
      </c>
      <c r="B207" s="9">
        <v>46170</v>
      </c>
      <c r="C207" s="10" t="s">
        <v>87</v>
      </c>
      <c r="D207" s="11"/>
      <c r="E207" s="16">
        <v>43</v>
      </c>
      <c r="F207" s="9">
        <v>46175</v>
      </c>
      <c r="G207" s="212" t="str">
        <f>IFERROR(VLOOKUP(Tabla3[[#This Row],[NUM ECONOMICO]],MAQUINARIA!B:H,7,0), " MAQ")</f>
        <v>INACTIVA</v>
      </c>
      <c r="H207" s="214" t="s">
        <v>349</v>
      </c>
      <c r="I207" s="41">
        <v>5245565</v>
      </c>
      <c r="J207" s="10" t="s">
        <v>378</v>
      </c>
      <c r="K207" s="10">
        <v>1</v>
      </c>
      <c r="L207" s="13">
        <v>1590.23</v>
      </c>
      <c r="M207" s="13">
        <f t="shared" si="3"/>
        <v>1590.23</v>
      </c>
      <c r="N207" s="41"/>
      <c r="O207" s="287">
        <v>98.64</v>
      </c>
      <c r="P207" s="287">
        <f>Tabla3[[#This Row],[COSTO UNITARIO DOLARES EN HAWTHORNE]]*Tabla3[[#This Row],[CANTIDAD SOLICTADA]]</f>
        <v>98.64</v>
      </c>
      <c r="Q207" s="41" t="s">
        <v>181</v>
      </c>
      <c r="R207" s="229">
        <v>23.38</v>
      </c>
      <c r="S207" s="229">
        <f>+Tabla3[[#This Row],[COSTO UNITARIO DOLARES CTP]]*Tabla3[[#This Row],[CANTIDAD SOLICTADA]]</f>
        <v>23.38</v>
      </c>
      <c r="T207" s="41"/>
      <c r="U207" s="18" t="s">
        <v>5</v>
      </c>
      <c r="V207" s="211" t="s">
        <v>352</v>
      </c>
      <c r="W207" s="10"/>
      <c r="X207" s="10" t="s">
        <v>89</v>
      </c>
      <c r="Y207" s="10" t="s">
        <v>90</v>
      </c>
      <c r="Z207" s="16"/>
      <c r="AA207" s="16"/>
      <c r="AB207" s="16"/>
      <c r="AC207" s="16"/>
      <c r="AD207" s="16"/>
      <c r="AE207" s="16" t="s">
        <v>353</v>
      </c>
      <c r="AF207" s="16"/>
      <c r="AG207" s="21" t="s">
        <v>354</v>
      </c>
      <c r="XFD207" s="15" t="str">
        <f>+Tabla3[[#This Row],[ESTATUS DE NUM ECONOMICO]]</f>
        <v>INACTIVA</v>
      </c>
    </row>
    <row r="208" spans="1:33 16384:16384" ht="15.75" thickBot="1" x14ac:dyDescent="0.3">
      <c r="A208" s="8">
        <v>34</v>
      </c>
      <c r="B208" s="9">
        <v>46170</v>
      </c>
      <c r="C208" s="10" t="s">
        <v>87</v>
      </c>
      <c r="D208" s="11"/>
      <c r="E208" s="16">
        <v>43</v>
      </c>
      <c r="F208" s="9">
        <v>46175</v>
      </c>
      <c r="G208" s="212" t="str">
        <f>IFERROR(VLOOKUP(Tabla3[[#This Row],[NUM ECONOMICO]],MAQUINARIA!B:H,7,0), " MAQ")</f>
        <v>INACTIVA</v>
      </c>
      <c r="H208" s="214" t="s">
        <v>349</v>
      </c>
      <c r="I208" s="41">
        <v>2502940</v>
      </c>
      <c r="J208" s="10" t="s">
        <v>379</v>
      </c>
      <c r="K208" s="10">
        <v>2</v>
      </c>
      <c r="L208" s="13">
        <v>124.6</v>
      </c>
      <c r="M208" s="13">
        <f t="shared" si="3"/>
        <v>249.2</v>
      </c>
      <c r="N208" s="41"/>
      <c r="O208" s="287">
        <v>8.5500000000000007</v>
      </c>
      <c r="P208" s="287">
        <f>Tabla3[[#This Row],[COSTO UNITARIO DOLARES EN HAWTHORNE]]*Tabla3[[#This Row],[CANTIDAD SOLICTADA]]</f>
        <v>17.100000000000001</v>
      </c>
      <c r="Q208" s="41" t="s">
        <v>181</v>
      </c>
      <c r="R208" s="229">
        <v>0.61</v>
      </c>
      <c r="S208" s="229">
        <f>+Tabla3[[#This Row],[COSTO UNITARIO DOLARES CTP]]*Tabla3[[#This Row],[CANTIDAD SOLICTADA]]</f>
        <v>1.22</v>
      </c>
      <c r="T208" s="41"/>
      <c r="U208" s="18" t="s">
        <v>5</v>
      </c>
      <c r="V208" s="211" t="s">
        <v>352</v>
      </c>
      <c r="W208" s="10"/>
      <c r="X208" s="10" t="s">
        <v>89</v>
      </c>
      <c r="Y208" s="10" t="s">
        <v>90</v>
      </c>
      <c r="Z208" s="16"/>
      <c r="AA208" s="16"/>
      <c r="AB208" s="16"/>
      <c r="AC208" s="16"/>
      <c r="AD208" s="16"/>
      <c r="AE208" s="16" t="s">
        <v>353</v>
      </c>
      <c r="AF208" s="16"/>
      <c r="AG208" s="21" t="s">
        <v>354</v>
      </c>
      <c r="XFD208" s="15" t="str">
        <f>+Tabla3[[#This Row],[ESTATUS DE NUM ECONOMICO]]</f>
        <v>INACTIVA</v>
      </c>
    </row>
    <row r="209" spans="1:33 16384:16384" ht="15.75" thickBot="1" x14ac:dyDescent="0.3">
      <c r="A209" s="8">
        <v>34</v>
      </c>
      <c r="B209" s="9">
        <v>46170</v>
      </c>
      <c r="C209" s="10" t="s">
        <v>87</v>
      </c>
      <c r="D209" s="11"/>
      <c r="E209" s="16">
        <v>43</v>
      </c>
      <c r="F209" s="9">
        <v>46175</v>
      </c>
      <c r="G209" s="212" t="str">
        <f>IFERROR(VLOOKUP(Tabla3[[#This Row],[NUM ECONOMICO]],MAQUINARIA!B:H,7,0), " MAQ")</f>
        <v>INACTIVA</v>
      </c>
      <c r="H209" s="214" t="s">
        <v>349</v>
      </c>
      <c r="I209" s="41">
        <v>3767362</v>
      </c>
      <c r="J209" s="10" t="s">
        <v>380</v>
      </c>
      <c r="K209" s="10">
        <v>1</v>
      </c>
      <c r="L209" s="13">
        <v>6910.93</v>
      </c>
      <c r="M209" s="13">
        <f t="shared" si="3"/>
        <v>6910.93</v>
      </c>
      <c r="N209" s="41"/>
      <c r="O209" s="287">
        <v>409.11</v>
      </c>
      <c r="P209" s="287">
        <f>Tabla3[[#This Row],[COSTO UNITARIO DOLARES EN HAWTHORNE]]*Tabla3[[#This Row],[CANTIDAD SOLICTADA]]</f>
        <v>409.11</v>
      </c>
      <c r="Q209" s="41" t="s">
        <v>181</v>
      </c>
      <c r="R209" s="229">
        <v>211.75</v>
      </c>
      <c r="S209" s="229">
        <f>+Tabla3[[#This Row],[COSTO UNITARIO DOLARES CTP]]*Tabla3[[#This Row],[CANTIDAD SOLICTADA]]</f>
        <v>211.75</v>
      </c>
      <c r="T209" s="41"/>
      <c r="U209" s="18" t="s">
        <v>5</v>
      </c>
      <c r="V209" s="211" t="s">
        <v>352</v>
      </c>
      <c r="W209" s="10"/>
      <c r="X209" s="10" t="s">
        <v>89</v>
      </c>
      <c r="Y209" s="10" t="s">
        <v>90</v>
      </c>
      <c r="Z209" s="16"/>
      <c r="AA209" s="16"/>
      <c r="AB209" s="16"/>
      <c r="AC209" s="16"/>
      <c r="AD209" s="16"/>
      <c r="AE209" s="16" t="s">
        <v>353</v>
      </c>
      <c r="AF209" s="16"/>
      <c r="AG209" s="21" t="s">
        <v>354</v>
      </c>
      <c r="XFD209" s="15" t="str">
        <f>+Tabla3[[#This Row],[ESTATUS DE NUM ECONOMICO]]</f>
        <v>INACTIVA</v>
      </c>
    </row>
    <row r="210" spans="1:33 16384:16384" ht="15.75" thickBot="1" x14ac:dyDescent="0.3">
      <c r="A210" s="8">
        <v>34</v>
      </c>
      <c r="B210" s="9">
        <v>46170</v>
      </c>
      <c r="C210" s="10" t="s">
        <v>87</v>
      </c>
      <c r="D210" s="11"/>
      <c r="E210" s="16">
        <v>43</v>
      </c>
      <c r="F210" s="9">
        <v>46175</v>
      </c>
      <c r="G210" s="212" t="str">
        <f>IFERROR(VLOOKUP(Tabla3[[#This Row],[NUM ECONOMICO]],MAQUINARIA!B:H,7,0), " MAQ")</f>
        <v>INACTIVA</v>
      </c>
      <c r="H210" s="214" t="s">
        <v>349</v>
      </c>
      <c r="I210" s="41">
        <v>2380294</v>
      </c>
      <c r="J210" t="s">
        <v>381</v>
      </c>
      <c r="K210" s="10">
        <v>1</v>
      </c>
      <c r="L210" s="13">
        <v>835.45</v>
      </c>
      <c r="M210" s="13">
        <f t="shared" si="3"/>
        <v>835.45</v>
      </c>
      <c r="N210" s="41"/>
      <c r="O210" s="287">
        <v>56.53</v>
      </c>
      <c r="P210" s="287">
        <f>Tabla3[[#This Row],[COSTO UNITARIO DOLARES EN HAWTHORNE]]*Tabla3[[#This Row],[CANTIDAD SOLICTADA]]</f>
        <v>56.53</v>
      </c>
      <c r="Q210" s="41" t="s">
        <v>181</v>
      </c>
      <c r="R210" s="229">
        <v>13.43</v>
      </c>
      <c r="S210" s="229">
        <f>+Tabla3[[#This Row],[COSTO UNITARIO DOLARES CTP]]*Tabla3[[#This Row],[CANTIDAD SOLICTADA]]</f>
        <v>13.43</v>
      </c>
      <c r="T210" s="41"/>
      <c r="U210" s="18" t="s">
        <v>5</v>
      </c>
      <c r="V210" s="211" t="s">
        <v>352</v>
      </c>
      <c r="W210" s="10"/>
      <c r="X210" s="10" t="s">
        <v>89</v>
      </c>
      <c r="Y210" s="10" t="s">
        <v>90</v>
      </c>
      <c r="Z210" s="16"/>
      <c r="AA210" s="16"/>
      <c r="AB210" s="16"/>
      <c r="AC210" s="16"/>
      <c r="AD210" s="16"/>
      <c r="AE210" s="16" t="s">
        <v>353</v>
      </c>
      <c r="AF210" s="16"/>
      <c r="AG210" s="21" t="s">
        <v>354</v>
      </c>
      <c r="XFD210" s="15" t="str">
        <f>+Tabla3[[#This Row],[ESTATUS DE NUM ECONOMICO]]</f>
        <v>INACTIVA</v>
      </c>
    </row>
    <row r="211" spans="1:33 16384:16384" ht="15.75" thickBot="1" x14ac:dyDescent="0.3">
      <c r="A211" s="8">
        <v>34</v>
      </c>
      <c r="B211" s="9">
        <v>46170</v>
      </c>
      <c r="C211" s="10" t="s">
        <v>87</v>
      </c>
      <c r="D211" s="11"/>
      <c r="E211" s="16">
        <v>43</v>
      </c>
      <c r="F211" s="9">
        <v>46175</v>
      </c>
      <c r="G211" s="212" t="str">
        <f>IFERROR(VLOOKUP(Tabla3[[#This Row],[NUM ECONOMICO]],MAQUINARIA!B:H,7,0), " MAQ")</f>
        <v>INACTIVA</v>
      </c>
      <c r="H211" s="214" t="s">
        <v>349</v>
      </c>
      <c r="I211" s="41">
        <v>2476130</v>
      </c>
      <c r="J211" s="10" t="s">
        <v>382</v>
      </c>
      <c r="K211" s="10">
        <v>1</v>
      </c>
      <c r="L211" s="13">
        <v>919.8</v>
      </c>
      <c r="M211" s="13">
        <f t="shared" si="3"/>
        <v>919.8</v>
      </c>
      <c r="N211" s="41"/>
      <c r="O211" s="287">
        <v>59.64</v>
      </c>
      <c r="P211" s="287">
        <f>Tabla3[[#This Row],[COSTO UNITARIO DOLARES EN HAWTHORNE]]*Tabla3[[#This Row],[CANTIDAD SOLICTADA]]</f>
        <v>59.64</v>
      </c>
      <c r="Q211" s="41" t="s">
        <v>181</v>
      </c>
      <c r="R211" s="229">
        <v>11.86</v>
      </c>
      <c r="S211" s="229">
        <f>+Tabla3[[#This Row],[COSTO UNITARIO DOLARES CTP]]*Tabla3[[#This Row],[CANTIDAD SOLICTADA]]</f>
        <v>11.86</v>
      </c>
      <c r="T211" s="41"/>
      <c r="U211" s="18" t="s">
        <v>5</v>
      </c>
      <c r="V211" s="211" t="s">
        <v>352</v>
      </c>
      <c r="W211" s="10"/>
      <c r="X211" s="10" t="s">
        <v>89</v>
      </c>
      <c r="Y211" s="10" t="s">
        <v>90</v>
      </c>
      <c r="Z211" s="16"/>
      <c r="AA211" s="16"/>
      <c r="AB211" s="16"/>
      <c r="AC211" s="16"/>
      <c r="AD211" s="16"/>
      <c r="AE211" s="16" t="s">
        <v>353</v>
      </c>
      <c r="AF211" s="16"/>
      <c r="AG211" s="21" t="s">
        <v>354</v>
      </c>
      <c r="XFD211" s="15" t="str">
        <f>+Tabla3[[#This Row],[ESTATUS DE NUM ECONOMICO]]</f>
        <v>INACTIVA</v>
      </c>
    </row>
    <row r="212" spans="1:33 16384:16384" ht="15.75" thickBot="1" x14ac:dyDescent="0.3">
      <c r="A212" s="8">
        <v>34</v>
      </c>
      <c r="B212" s="9">
        <v>46170</v>
      </c>
      <c r="C212" s="10" t="s">
        <v>87</v>
      </c>
      <c r="D212" s="11"/>
      <c r="E212" s="16">
        <v>43</v>
      </c>
      <c r="F212" s="9">
        <v>46175</v>
      </c>
      <c r="G212" s="212" t="str">
        <f>IFERROR(VLOOKUP(Tabla3[[#This Row],[NUM ECONOMICO]],MAQUINARIA!B:H,7,0), " MAQ")</f>
        <v>INACTIVA</v>
      </c>
      <c r="H212" s="214" t="s">
        <v>349</v>
      </c>
      <c r="I212" s="41">
        <v>1644187</v>
      </c>
      <c r="J212" s="10" t="s">
        <v>383</v>
      </c>
      <c r="K212" s="10">
        <v>1</v>
      </c>
      <c r="L212" s="13">
        <v>835.45</v>
      </c>
      <c r="M212" s="13">
        <f t="shared" si="3"/>
        <v>835.45</v>
      </c>
      <c r="N212" s="41"/>
      <c r="O212" s="287">
        <v>56.53</v>
      </c>
      <c r="P212" s="287">
        <f>Tabla3[[#This Row],[COSTO UNITARIO DOLARES EN HAWTHORNE]]*Tabla3[[#This Row],[CANTIDAD SOLICTADA]]</f>
        <v>56.53</v>
      </c>
      <c r="Q212" s="41" t="s">
        <v>181</v>
      </c>
      <c r="R212" s="229">
        <v>6.66</v>
      </c>
      <c r="S212" s="229">
        <f>+Tabla3[[#This Row],[COSTO UNITARIO DOLARES CTP]]*Tabla3[[#This Row],[CANTIDAD SOLICTADA]]</f>
        <v>6.66</v>
      </c>
      <c r="T212" s="41"/>
      <c r="U212" s="18" t="s">
        <v>5</v>
      </c>
      <c r="V212" s="211" t="s">
        <v>352</v>
      </c>
      <c r="W212" s="10"/>
      <c r="X212" s="10" t="s">
        <v>89</v>
      </c>
      <c r="Y212" s="10" t="s">
        <v>90</v>
      </c>
      <c r="Z212" s="16"/>
      <c r="AA212" s="16"/>
      <c r="AB212" s="16"/>
      <c r="AC212" s="16"/>
      <c r="AD212" s="16"/>
      <c r="AE212" s="16" t="s">
        <v>353</v>
      </c>
      <c r="AF212" s="16"/>
      <c r="AG212" s="21" t="s">
        <v>354</v>
      </c>
      <c r="XFD212" s="15" t="str">
        <f>+Tabla3[[#This Row],[ESTATUS DE NUM ECONOMICO]]</f>
        <v>INACTIVA</v>
      </c>
    </row>
    <row r="213" spans="1:33 16384:16384" ht="15.75" thickBot="1" x14ac:dyDescent="0.3">
      <c r="A213" s="8">
        <v>34</v>
      </c>
      <c r="B213" s="9">
        <v>46170</v>
      </c>
      <c r="C213" s="10" t="s">
        <v>87</v>
      </c>
      <c r="D213" s="11"/>
      <c r="E213" s="16">
        <v>43</v>
      </c>
      <c r="F213" s="9">
        <v>46175</v>
      </c>
      <c r="G213" s="212" t="str">
        <f>IFERROR(VLOOKUP(Tabla3[[#This Row],[NUM ECONOMICO]],MAQUINARIA!B:H,7,0), " MAQ")</f>
        <v>INACTIVA</v>
      </c>
      <c r="H213" s="214" t="s">
        <v>349</v>
      </c>
      <c r="I213" s="41">
        <v>5863377</v>
      </c>
      <c r="J213" s="10" t="s">
        <v>384</v>
      </c>
      <c r="K213" s="10">
        <v>1</v>
      </c>
      <c r="L213" s="13">
        <v>4267.7299999999996</v>
      </c>
      <c r="M213" s="13">
        <f t="shared" si="3"/>
        <v>4267.7299999999996</v>
      </c>
      <c r="N213" s="41"/>
      <c r="O213" s="287">
        <v>252.64</v>
      </c>
      <c r="P213" s="287">
        <f>Tabla3[[#This Row],[COSTO UNITARIO DOLARES EN HAWTHORNE]]*Tabla3[[#This Row],[CANTIDAD SOLICTADA]]</f>
        <v>252.64</v>
      </c>
      <c r="Q213" s="41" t="s">
        <v>181</v>
      </c>
      <c r="R213" s="229">
        <v>73.81</v>
      </c>
      <c r="S213" s="229">
        <f>+Tabla3[[#This Row],[COSTO UNITARIO DOLARES CTP]]*Tabla3[[#This Row],[CANTIDAD SOLICTADA]]</f>
        <v>73.81</v>
      </c>
      <c r="T213" s="41"/>
      <c r="U213" s="18" t="s">
        <v>5</v>
      </c>
      <c r="V213" s="211" t="s">
        <v>352</v>
      </c>
      <c r="W213" s="10"/>
      <c r="X213" s="10" t="s">
        <v>89</v>
      </c>
      <c r="Y213" s="10" t="s">
        <v>90</v>
      </c>
      <c r="Z213" s="16"/>
      <c r="AA213" s="16"/>
      <c r="AB213" s="16"/>
      <c r="AC213" s="16"/>
      <c r="AD213" s="16"/>
      <c r="AE213" s="16" t="s">
        <v>353</v>
      </c>
      <c r="AF213" s="16"/>
      <c r="AG213" s="21" t="s">
        <v>354</v>
      </c>
      <c r="XFD213" s="15" t="str">
        <f>+Tabla3[[#This Row],[ESTATUS DE NUM ECONOMICO]]</f>
        <v>INACTIVA</v>
      </c>
    </row>
    <row r="214" spans="1:33 16384:16384" ht="15.75" thickBot="1" x14ac:dyDescent="0.3">
      <c r="A214" s="8">
        <v>34</v>
      </c>
      <c r="B214" s="9">
        <v>46170</v>
      </c>
      <c r="C214" s="10" t="s">
        <v>87</v>
      </c>
      <c r="D214" s="11"/>
      <c r="E214" s="16">
        <v>43</v>
      </c>
      <c r="F214" s="9">
        <v>46175</v>
      </c>
      <c r="G214" s="212" t="str">
        <f>IFERROR(VLOOKUP(Tabla3[[#This Row],[NUM ECONOMICO]],MAQUINARIA!B:H,7,0), " MAQ")</f>
        <v>INACTIVA</v>
      </c>
      <c r="H214" s="214" t="s">
        <v>349</v>
      </c>
      <c r="I214" s="41" t="s">
        <v>385</v>
      </c>
      <c r="J214" s="10" t="s">
        <v>386</v>
      </c>
      <c r="K214" s="10">
        <v>1</v>
      </c>
      <c r="L214" s="13">
        <v>114.8</v>
      </c>
      <c r="M214" s="13">
        <f t="shared" si="3"/>
        <v>114.8</v>
      </c>
      <c r="N214" s="41"/>
      <c r="O214" s="287">
        <v>8.14</v>
      </c>
      <c r="P214" s="287">
        <f>Tabla3[[#This Row],[COSTO UNITARIO DOLARES EN HAWTHORNE]]*Tabla3[[#This Row],[CANTIDAD SOLICTADA]]</f>
        <v>8.14</v>
      </c>
      <c r="Q214" s="41" t="s">
        <v>181</v>
      </c>
      <c r="R214" s="229">
        <v>0.34</v>
      </c>
      <c r="S214" s="229">
        <f>+Tabla3[[#This Row],[COSTO UNITARIO DOLARES CTP]]*Tabla3[[#This Row],[CANTIDAD SOLICTADA]]</f>
        <v>0.34</v>
      </c>
      <c r="T214" s="41"/>
      <c r="U214" s="18" t="s">
        <v>5</v>
      </c>
      <c r="V214" s="211" t="s">
        <v>352</v>
      </c>
      <c r="W214" s="10"/>
      <c r="X214" s="10" t="s">
        <v>89</v>
      </c>
      <c r="Y214" s="10">
        <v>25</v>
      </c>
      <c r="Z214" s="16"/>
      <c r="AA214" s="16"/>
      <c r="AB214" s="16"/>
      <c r="AC214" s="16"/>
      <c r="AD214" s="16"/>
      <c r="AE214" s="16" t="s">
        <v>353</v>
      </c>
      <c r="AF214" s="16"/>
      <c r="AG214" s="21" t="s">
        <v>354</v>
      </c>
      <c r="XFD214" s="15" t="str">
        <f>+Tabla3[[#This Row],[ESTATUS DE NUM ECONOMICO]]</f>
        <v>INACTIVA</v>
      </c>
    </row>
    <row r="215" spans="1:33 16384:16384" ht="15.75" thickBot="1" x14ac:dyDescent="0.3">
      <c r="A215" s="8">
        <v>34</v>
      </c>
      <c r="B215" s="9">
        <v>46170</v>
      </c>
      <c r="C215" s="10" t="s">
        <v>87</v>
      </c>
      <c r="D215" s="11"/>
      <c r="E215" s="16">
        <v>43</v>
      </c>
      <c r="F215" s="9">
        <v>46175</v>
      </c>
      <c r="G215" s="212" t="str">
        <f>IFERROR(VLOOKUP(Tabla3[[#This Row],[NUM ECONOMICO]],MAQUINARIA!B:H,7,0), " MAQ")</f>
        <v>INACTIVA</v>
      </c>
      <c r="H215" s="214" t="s">
        <v>349</v>
      </c>
      <c r="I215" s="41">
        <v>1102220</v>
      </c>
      <c r="J215" s="10" t="s">
        <v>387</v>
      </c>
      <c r="K215" s="10">
        <v>1</v>
      </c>
      <c r="L215" s="13">
        <v>270.02999999999997</v>
      </c>
      <c r="M215" s="13">
        <f t="shared" si="3"/>
        <v>270.02999999999997</v>
      </c>
      <c r="N215" s="41"/>
      <c r="O215" s="287">
        <v>19.13</v>
      </c>
      <c r="P215" s="287">
        <f>Tabla3[[#This Row],[COSTO UNITARIO DOLARES EN HAWTHORNE]]*Tabla3[[#This Row],[CANTIDAD SOLICTADA]]</f>
        <v>19.13</v>
      </c>
      <c r="Q215" s="41" t="s">
        <v>181</v>
      </c>
      <c r="R215" s="229">
        <v>3.84</v>
      </c>
      <c r="S215" s="229">
        <f>+Tabla3[[#This Row],[COSTO UNITARIO DOLARES CTP]]*Tabla3[[#This Row],[CANTIDAD SOLICTADA]]</f>
        <v>3.84</v>
      </c>
      <c r="T215" s="41"/>
      <c r="U215" s="18" t="s">
        <v>5</v>
      </c>
      <c r="V215" s="211" t="s">
        <v>352</v>
      </c>
      <c r="W215" s="10"/>
      <c r="X215" s="10" t="s">
        <v>89</v>
      </c>
      <c r="Y215" s="10" t="s">
        <v>90</v>
      </c>
      <c r="Z215" s="16"/>
      <c r="AA215" s="16"/>
      <c r="AB215" s="16"/>
      <c r="AC215" s="16"/>
      <c r="AD215" s="16"/>
      <c r="AE215" s="16" t="s">
        <v>353</v>
      </c>
      <c r="AF215" s="16"/>
      <c r="AG215" s="21" t="s">
        <v>354</v>
      </c>
      <c r="XFD215" s="15" t="str">
        <f>+Tabla3[[#This Row],[ESTATUS DE NUM ECONOMICO]]</f>
        <v>INACTIVA</v>
      </c>
    </row>
    <row r="216" spans="1:33 16384:16384" ht="15.75" thickBot="1" x14ac:dyDescent="0.3">
      <c r="A216" s="8">
        <v>34</v>
      </c>
      <c r="B216" s="9">
        <v>46170</v>
      </c>
      <c r="C216" s="10" t="s">
        <v>87</v>
      </c>
      <c r="D216" s="11"/>
      <c r="E216" s="16">
        <v>43</v>
      </c>
      <c r="F216" s="9">
        <v>46175</v>
      </c>
      <c r="G216" s="212" t="str">
        <f>IFERROR(VLOOKUP(Tabla3[[#This Row],[NUM ECONOMICO]],MAQUINARIA!B:H,7,0), " MAQ")</f>
        <v>INACTIVA</v>
      </c>
      <c r="H216" s="214" t="s">
        <v>349</v>
      </c>
      <c r="I216" s="41">
        <v>1426217</v>
      </c>
      <c r="J216" s="10" t="s">
        <v>388</v>
      </c>
      <c r="K216" s="10">
        <v>1</v>
      </c>
      <c r="L216" s="13">
        <v>593.08000000000004</v>
      </c>
      <c r="M216" s="13">
        <f t="shared" si="3"/>
        <v>593.08000000000004</v>
      </c>
      <c r="N216" s="41"/>
      <c r="O216" s="287">
        <v>40.33</v>
      </c>
      <c r="P216" s="287">
        <f>Tabla3[[#This Row],[COSTO UNITARIO DOLARES EN HAWTHORNE]]*Tabla3[[#This Row],[CANTIDAD SOLICTADA]]</f>
        <v>40.33</v>
      </c>
      <c r="Q216" s="41" t="s">
        <v>181</v>
      </c>
      <c r="R216" s="229">
        <v>2.0099999999999998</v>
      </c>
      <c r="S216" s="229">
        <f>+Tabla3[[#This Row],[COSTO UNITARIO DOLARES CTP]]*Tabla3[[#This Row],[CANTIDAD SOLICTADA]]</f>
        <v>2.0099999999999998</v>
      </c>
      <c r="T216" s="41"/>
      <c r="U216" s="18" t="s">
        <v>5</v>
      </c>
      <c r="V216" s="211" t="s">
        <v>352</v>
      </c>
      <c r="W216" s="10"/>
      <c r="X216" s="10" t="s">
        <v>89</v>
      </c>
      <c r="Y216" s="10" t="s">
        <v>90</v>
      </c>
      <c r="Z216" s="16"/>
      <c r="AA216" s="16"/>
      <c r="AB216" s="16"/>
      <c r="AC216" s="16"/>
      <c r="AD216" s="16"/>
      <c r="AE216" s="16" t="s">
        <v>353</v>
      </c>
      <c r="AF216" s="16"/>
      <c r="AG216" s="21" t="s">
        <v>354</v>
      </c>
      <c r="XFD216" s="15" t="str">
        <f>+Tabla3[[#This Row],[ESTATUS DE NUM ECONOMICO]]</f>
        <v>INACTIVA</v>
      </c>
    </row>
    <row r="217" spans="1:33 16384:16384" ht="15.75" thickBot="1" x14ac:dyDescent="0.3">
      <c r="A217" s="8">
        <v>34</v>
      </c>
      <c r="B217" s="9">
        <v>46170</v>
      </c>
      <c r="C217" s="10" t="s">
        <v>87</v>
      </c>
      <c r="D217" s="11"/>
      <c r="E217" s="16">
        <v>43</v>
      </c>
      <c r="F217" s="9">
        <v>46175</v>
      </c>
      <c r="G217" s="212" t="str">
        <f>IFERROR(VLOOKUP(Tabla3[[#This Row],[NUM ECONOMICO]],MAQUINARIA!B:H,7,0), " MAQ")</f>
        <v>INACTIVA</v>
      </c>
      <c r="H217" s="214" t="s">
        <v>349</v>
      </c>
      <c r="I217" s="41">
        <v>1427072</v>
      </c>
      <c r="J217" s="10" t="s">
        <v>388</v>
      </c>
      <c r="K217" s="10">
        <v>1</v>
      </c>
      <c r="L217" s="13">
        <v>151.19999999999999</v>
      </c>
      <c r="M217" s="13">
        <f t="shared" si="3"/>
        <v>151.19999999999999</v>
      </c>
      <c r="N217" s="41"/>
      <c r="O217" s="287">
        <v>10.7</v>
      </c>
      <c r="P217" s="287">
        <f>Tabla3[[#This Row],[COSTO UNITARIO DOLARES EN HAWTHORNE]]*Tabla3[[#This Row],[CANTIDAD SOLICTADA]]</f>
        <v>10.7</v>
      </c>
      <c r="Q217" s="41" t="s">
        <v>181</v>
      </c>
      <c r="R217" s="229">
        <v>1.01</v>
      </c>
      <c r="S217" s="229">
        <f>+Tabla3[[#This Row],[COSTO UNITARIO DOLARES CTP]]*Tabla3[[#This Row],[CANTIDAD SOLICTADA]]</f>
        <v>1.01</v>
      </c>
      <c r="T217" s="41"/>
      <c r="U217" s="18" t="s">
        <v>5</v>
      </c>
      <c r="V217" s="211" t="s">
        <v>352</v>
      </c>
      <c r="W217" s="10"/>
      <c r="X217" s="10" t="s">
        <v>89</v>
      </c>
      <c r="Y217" s="10" t="s">
        <v>90</v>
      </c>
      <c r="Z217" s="16"/>
      <c r="AA217" s="16"/>
      <c r="AB217" s="16"/>
      <c r="AC217" s="16"/>
      <c r="AD217" s="16"/>
      <c r="AE217" s="16" t="s">
        <v>353</v>
      </c>
      <c r="AF217" s="16"/>
      <c r="AG217" s="21" t="s">
        <v>354</v>
      </c>
      <c r="XFD217" s="15" t="str">
        <f>+Tabla3[[#This Row],[ESTATUS DE NUM ECONOMICO]]</f>
        <v>INACTIVA</v>
      </c>
    </row>
    <row r="218" spans="1:33 16384:16384" ht="15.75" thickBot="1" x14ac:dyDescent="0.3">
      <c r="A218" s="8">
        <v>34</v>
      </c>
      <c r="B218" s="9">
        <v>46170</v>
      </c>
      <c r="C218" s="10" t="s">
        <v>87</v>
      </c>
      <c r="D218" s="11"/>
      <c r="E218" s="16">
        <v>43</v>
      </c>
      <c r="F218" s="9">
        <v>46175</v>
      </c>
      <c r="G218" s="212" t="str">
        <f>IFERROR(VLOOKUP(Tabla3[[#This Row],[NUM ECONOMICO]],MAQUINARIA!B:H,7,0), " MAQ")</f>
        <v>INACTIVA</v>
      </c>
      <c r="H218" s="214" t="s">
        <v>349</v>
      </c>
      <c r="I218" s="41" t="s">
        <v>389</v>
      </c>
      <c r="J218" s="10" t="s">
        <v>390</v>
      </c>
      <c r="K218" s="10">
        <v>1</v>
      </c>
      <c r="L218" s="13">
        <v>21315.18</v>
      </c>
      <c r="M218" s="13">
        <f t="shared" si="3"/>
        <v>21315.18</v>
      </c>
      <c r="N218" s="41"/>
      <c r="O218" s="287">
        <v>937.09</v>
      </c>
      <c r="P218" s="287">
        <f>Tabla3[[#This Row],[COSTO UNITARIO DOLARES EN HAWTHORNE]]*Tabla3[[#This Row],[CANTIDAD SOLICTADA]]</f>
        <v>937.09</v>
      </c>
      <c r="Q218" s="41" t="s">
        <v>181</v>
      </c>
      <c r="R218" s="229">
        <v>0</v>
      </c>
      <c r="S218" s="229">
        <f>+Tabla3[[#This Row],[COSTO UNITARIO DOLARES CTP]]*Tabla3[[#This Row],[CANTIDAD SOLICTADA]]</f>
        <v>0</v>
      </c>
      <c r="T218" s="41"/>
      <c r="U218" s="18" t="s">
        <v>5</v>
      </c>
      <c r="V218" s="211" t="s">
        <v>352</v>
      </c>
      <c r="W218" s="10"/>
      <c r="X218" s="10" t="s">
        <v>89</v>
      </c>
      <c r="Y218" s="10" t="s">
        <v>90</v>
      </c>
      <c r="Z218" s="16"/>
      <c r="AA218" s="16"/>
      <c r="AB218" s="16"/>
      <c r="AC218" s="16"/>
      <c r="AD218" s="16"/>
      <c r="AE218" s="16" t="s">
        <v>353</v>
      </c>
      <c r="AF218" s="16"/>
      <c r="AG218" s="21" t="s">
        <v>354</v>
      </c>
      <c r="XFD218" s="15" t="str">
        <f>+Tabla3[[#This Row],[ESTATUS DE NUM ECONOMICO]]</f>
        <v>INACTIVA</v>
      </c>
    </row>
    <row r="219" spans="1:33 16384:16384" ht="15.75" thickBot="1" x14ac:dyDescent="0.3">
      <c r="A219" s="8">
        <v>34</v>
      </c>
      <c r="B219" s="9">
        <v>46170</v>
      </c>
      <c r="C219" s="10" t="s">
        <v>87</v>
      </c>
      <c r="D219" s="11"/>
      <c r="E219" s="16">
        <v>43</v>
      </c>
      <c r="F219" s="9">
        <v>46175</v>
      </c>
      <c r="G219" s="212" t="str">
        <f>IFERROR(VLOOKUP(Tabla3[[#This Row],[NUM ECONOMICO]],MAQUINARIA!B:H,7,0), " MAQ")</f>
        <v>INACTIVA</v>
      </c>
      <c r="H219" s="214" t="s">
        <v>349</v>
      </c>
      <c r="I219" s="41" t="s">
        <v>391</v>
      </c>
      <c r="J219" s="10" t="s">
        <v>392</v>
      </c>
      <c r="K219" s="10">
        <v>12</v>
      </c>
      <c r="L219" s="13">
        <v>33.08</v>
      </c>
      <c r="M219" s="13">
        <f t="shared" si="3"/>
        <v>396.96</v>
      </c>
      <c r="N219" s="41"/>
      <c r="O219" s="287">
        <v>2.35</v>
      </c>
      <c r="P219" s="287">
        <f>Tabla3[[#This Row],[COSTO UNITARIO DOLARES EN HAWTHORNE]]*Tabla3[[#This Row],[CANTIDAD SOLICTADA]]</f>
        <v>28.200000000000003</v>
      </c>
      <c r="Q219" s="41" t="s">
        <v>181</v>
      </c>
      <c r="R219" s="229">
        <v>0.35</v>
      </c>
      <c r="S219" s="229">
        <f>+Tabla3[[#This Row],[COSTO UNITARIO DOLARES CTP]]*Tabla3[[#This Row],[CANTIDAD SOLICTADA]]</f>
        <v>4.1999999999999993</v>
      </c>
      <c r="T219" s="41"/>
      <c r="U219" s="18" t="s">
        <v>5</v>
      </c>
      <c r="V219" s="211" t="s">
        <v>352</v>
      </c>
      <c r="W219" s="10"/>
      <c r="X219" s="10" t="s">
        <v>89</v>
      </c>
      <c r="Y219" s="10" t="s">
        <v>90</v>
      </c>
      <c r="Z219" s="16"/>
      <c r="AA219" s="16"/>
      <c r="AB219" s="16"/>
      <c r="AC219" s="16"/>
      <c r="AD219" s="16"/>
      <c r="AE219" s="16" t="s">
        <v>353</v>
      </c>
      <c r="AF219" s="16"/>
      <c r="AG219" s="21" t="s">
        <v>354</v>
      </c>
      <c r="XFD219" s="15" t="str">
        <f>+Tabla3[[#This Row],[ESTATUS DE NUM ECONOMICO]]</f>
        <v>INACTIVA</v>
      </c>
    </row>
    <row r="220" spans="1:33 16384:16384" ht="15.75" thickBot="1" x14ac:dyDescent="0.3">
      <c r="A220" s="8">
        <v>34</v>
      </c>
      <c r="B220" s="9">
        <v>46170</v>
      </c>
      <c r="C220" s="10" t="s">
        <v>87</v>
      </c>
      <c r="D220" s="11"/>
      <c r="E220" s="16">
        <v>43</v>
      </c>
      <c r="F220" s="9">
        <v>46175</v>
      </c>
      <c r="G220" s="212" t="str">
        <f>IFERROR(VLOOKUP(Tabla3[[#This Row],[NUM ECONOMICO]],MAQUINARIA!B:H,7,0), " MAQ")</f>
        <v>INACTIVA</v>
      </c>
      <c r="H220" s="214" t="s">
        <v>349</v>
      </c>
      <c r="I220" s="41" t="s">
        <v>393</v>
      </c>
      <c r="J220" s="10" t="s">
        <v>394</v>
      </c>
      <c r="K220" s="10">
        <v>12</v>
      </c>
      <c r="L220" s="13">
        <v>6315.05</v>
      </c>
      <c r="M220" s="13">
        <f t="shared" si="3"/>
        <v>75780.600000000006</v>
      </c>
      <c r="N220" s="41"/>
      <c r="O220" s="287">
        <v>259.12</v>
      </c>
      <c r="P220" s="287">
        <f>Tabla3[[#This Row],[COSTO UNITARIO DOLARES EN HAWTHORNE]]*Tabla3[[#This Row],[CANTIDAD SOLICTADA]]</f>
        <v>3109.44</v>
      </c>
      <c r="Q220" s="41" t="s">
        <v>181</v>
      </c>
      <c r="R220" s="229">
        <v>0</v>
      </c>
      <c r="S220" s="229">
        <f>+Tabla3[[#This Row],[COSTO UNITARIO DOLARES CTP]]*Tabla3[[#This Row],[CANTIDAD SOLICTADA]]</f>
        <v>0</v>
      </c>
      <c r="T220" s="41"/>
      <c r="U220" s="18" t="s">
        <v>5</v>
      </c>
      <c r="V220" s="211" t="s">
        <v>352</v>
      </c>
      <c r="W220" s="10"/>
      <c r="X220" s="10" t="s">
        <v>89</v>
      </c>
      <c r="Y220" s="10" t="s">
        <v>90</v>
      </c>
      <c r="Z220" s="16"/>
      <c r="AA220" s="16"/>
      <c r="AB220" s="16"/>
      <c r="AC220" s="16"/>
      <c r="AD220" s="16"/>
      <c r="AE220" s="16" t="s">
        <v>353</v>
      </c>
      <c r="AF220" s="16"/>
      <c r="AG220" s="21" t="s">
        <v>354</v>
      </c>
      <c r="XFD220" s="15" t="str">
        <f>+Tabla3[[#This Row],[ESTATUS DE NUM ECONOMICO]]</f>
        <v>INACTIVA</v>
      </c>
    </row>
    <row r="221" spans="1:33 16384:16384" ht="15.75" thickBot="1" x14ac:dyDescent="0.3">
      <c r="A221" s="8">
        <v>34</v>
      </c>
      <c r="B221" s="9">
        <v>46170</v>
      </c>
      <c r="C221" s="10" t="s">
        <v>87</v>
      </c>
      <c r="D221" s="11"/>
      <c r="E221" s="16">
        <v>43</v>
      </c>
      <c r="F221" s="9">
        <v>46175</v>
      </c>
      <c r="G221" s="212" t="str">
        <f>IFERROR(VLOOKUP(Tabla3[[#This Row],[NUM ECONOMICO]],MAQUINARIA!B:H,7,0), " MAQ")</f>
        <v>INACTIVA</v>
      </c>
      <c r="H221" s="214" t="s">
        <v>349</v>
      </c>
      <c r="I221" s="41" t="s">
        <v>395</v>
      </c>
      <c r="J221" s="10" t="s">
        <v>396</v>
      </c>
      <c r="K221" s="10">
        <v>12</v>
      </c>
      <c r="L221" s="13">
        <v>4202.45</v>
      </c>
      <c r="M221" s="13">
        <f t="shared" si="3"/>
        <v>50429.399999999994</v>
      </c>
      <c r="N221" s="41"/>
      <c r="O221" s="287">
        <v>172.44</v>
      </c>
      <c r="P221" s="287">
        <f>Tabla3[[#This Row],[COSTO UNITARIO DOLARES EN HAWTHORNE]]*Tabla3[[#This Row],[CANTIDAD SOLICTADA]]</f>
        <v>2069.2799999999997</v>
      </c>
      <c r="Q221" s="41" t="s">
        <v>181</v>
      </c>
      <c r="R221" s="229">
        <v>0</v>
      </c>
      <c r="S221" s="229">
        <f>+Tabla3[[#This Row],[COSTO UNITARIO DOLARES CTP]]*Tabla3[[#This Row],[CANTIDAD SOLICTADA]]</f>
        <v>0</v>
      </c>
      <c r="T221" s="41"/>
      <c r="U221" s="18" t="s">
        <v>5</v>
      </c>
      <c r="V221" s="211" t="s">
        <v>352</v>
      </c>
      <c r="W221" s="10"/>
      <c r="X221" s="10" t="s">
        <v>89</v>
      </c>
      <c r="Y221" s="10" t="s">
        <v>90</v>
      </c>
      <c r="Z221" s="16"/>
      <c r="AA221" s="16"/>
      <c r="AB221" s="16"/>
      <c r="AC221" s="16"/>
      <c r="AD221" s="16"/>
      <c r="AE221" s="16" t="s">
        <v>353</v>
      </c>
      <c r="AF221" s="16"/>
      <c r="AG221" s="21" t="s">
        <v>354</v>
      </c>
      <c r="XFD221" s="15" t="str">
        <f>+Tabla3[[#This Row],[ESTATUS DE NUM ECONOMICO]]</f>
        <v>INACTIVA</v>
      </c>
    </row>
    <row r="222" spans="1:33 16384:16384" ht="15.75" thickBot="1" x14ac:dyDescent="0.3">
      <c r="A222" s="8">
        <v>34</v>
      </c>
      <c r="B222" s="9">
        <v>46170</v>
      </c>
      <c r="C222" s="10" t="s">
        <v>87</v>
      </c>
      <c r="D222" s="11"/>
      <c r="E222" s="16">
        <v>43</v>
      </c>
      <c r="F222" s="9">
        <v>46175</v>
      </c>
      <c r="G222" s="212" t="str">
        <f>IFERROR(VLOOKUP(Tabla3[[#This Row],[NUM ECONOMICO]],MAQUINARIA!B:H,7,0), " MAQ")</f>
        <v>INACTIVA</v>
      </c>
      <c r="H222" s="214" t="s">
        <v>349</v>
      </c>
      <c r="I222" s="41" t="s">
        <v>397</v>
      </c>
      <c r="J222" s="10" t="s">
        <v>398</v>
      </c>
      <c r="K222" s="10">
        <v>12</v>
      </c>
      <c r="L222" s="13">
        <v>4103.05</v>
      </c>
      <c r="M222" s="13">
        <f t="shared" si="3"/>
        <v>49236.600000000006</v>
      </c>
      <c r="N222" s="41"/>
      <c r="O222" s="287">
        <v>168.36</v>
      </c>
      <c r="P222" s="287">
        <f>Tabla3[[#This Row],[COSTO UNITARIO DOLARES EN HAWTHORNE]]*Tabla3[[#This Row],[CANTIDAD SOLICTADA]]</f>
        <v>2020.3200000000002</v>
      </c>
      <c r="Q222" s="41" t="s">
        <v>181</v>
      </c>
      <c r="R222" s="229">
        <v>0</v>
      </c>
      <c r="S222" s="229">
        <f>+Tabla3[[#This Row],[COSTO UNITARIO DOLARES CTP]]*Tabla3[[#This Row],[CANTIDAD SOLICTADA]]</f>
        <v>0</v>
      </c>
      <c r="T222" s="41"/>
      <c r="U222" s="18" t="s">
        <v>5</v>
      </c>
      <c r="V222" s="211" t="s">
        <v>352</v>
      </c>
      <c r="W222" s="10"/>
      <c r="X222" s="10" t="s">
        <v>89</v>
      </c>
      <c r="Y222" s="10" t="s">
        <v>90</v>
      </c>
      <c r="Z222" s="16"/>
      <c r="AA222" s="16"/>
      <c r="AB222" s="16"/>
      <c r="AC222" s="16"/>
      <c r="AD222" s="16"/>
      <c r="AE222" s="16" t="s">
        <v>353</v>
      </c>
      <c r="AF222" s="16"/>
      <c r="AG222" s="21" t="s">
        <v>354</v>
      </c>
      <c r="XFD222" s="15" t="str">
        <f>+Tabla3[[#This Row],[ESTATUS DE NUM ECONOMICO]]</f>
        <v>INACTIVA</v>
      </c>
    </row>
    <row r="223" spans="1:33 16384:16384" ht="15.75" thickBot="1" x14ac:dyDescent="0.3">
      <c r="A223" s="8">
        <v>35</v>
      </c>
      <c r="B223" s="9">
        <v>46170</v>
      </c>
      <c r="C223" s="10" t="s">
        <v>87</v>
      </c>
      <c r="D223" s="10" t="s">
        <v>399</v>
      </c>
      <c r="E223" s="16">
        <v>35</v>
      </c>
      <c r="F223" s="9">
        <v>46171</v>
      </c>
      <c r="G223" s="212" t="str">
        <f>IFERROR(VLOOKUP(Tabla3[[#This Row],[NUM ECONOMICO]],MAQUINARIA!B:H,7,0), " MAQ")</f>
        <v>ACTIVA</v>
      </c>
      <c r="H223" s="214" t="s">
        <v>400</v>
      </c>
      <c r="I223" s="41">
        <v>1335330</v>
      </c>
      <c r="J223" s="10"/>
      <c r="K223" s="10">
        <v>1</v>
      </c>
      <c r="L223" s="12"/>
      <c r="M223" s="13">
        <f t="shared" si="3"/>
        <v>0</v>
      </c>
      <c r="N223" s="41"/>
      <c r="O223" s="10"/>
      <c r="P223" s="10">
        <f>Tabla3[[#This Row],[COSTO UNITARIO DOLARES EN HAWTHORNE]]*Tabla3[[#This Row],[CANTIDAD SOLICTADA]]</f>
        <v>0</v>
      </c>
      <c r="Q223" s="41"/>
      <c r="R223" s="229"/>
      <c r="S223" s="229">
        <f>+Tabla3[[#This Row],[COSTO UNITARIO DOLARES CTP]]*Tabla3[[#This Row],[CANTIDAD SOLICTADA]]</f>
        <v>0</v>
      </c>
      <c r="T223" s="41"/>
      <c r="U223" s="14" t="s">
        <v>4</v>
      </c>
      <c r="V223" s="8" t="s">
        <v>401</v>
      </c>
      <c r="W223" s="9">
        <v>46182</v>
      </c>
      <c r="X223" s="10" t="s">
        <v>89</v>
      </c>
      <c r="Y223" s="10" t="s">
        <v>90</v>
      </c>
      <c r="Z223" s="16" t="s">
        <v>44</v>
      </c>
      <c r="AA223" s="25">
        <v>46174</v>
      </c>
      <c r="AB223" s="25">
        <v>46176</v>
      </c>
      <c r="AC223" s="16" t="s">
        <v>91</v>
      </c>
      <c r="AD223" s="16"/>
      <c r="AE223" s="16" t="s">
        <v>140</v>
      </c>
      <c r="AF223" s="16"/>
      <c r="AG223" s="21" t="s">
        <v>402</v>
      </c>
      <c r="XFD223" s="15" t="str">
        <f>+Tabla3[[#This Row],[ESTATUS DE NUM ECONOMICO]]</f>
        <v>ACTIVA</v>
      </c>
    </row>
    <row r="224" spans="1:33 16384:16384" ht="15.75" thickBot="1" x14ac:dyDescent="0.3">
      <c r="A224" s="8">
        <v>35</v>
      </c>
      <c r="B224" s="9">
        <v>46170</v>
      </c>
      <c r="C224" s="10" t="s">
        <v>87</v>
      </c>
      <c r="D224" s="10" t="s">
        <v>399</v>
      </c>
      <c r="E224" s="16">
        <v>35</v>
      </c>
      <c r="F224" s="9">
        <v>46171</v>
      </c>
      <c r="G224" s="212" t="str">
        <f>IFERROR(VLOOKUP(Tabla3[[#This Row],[NUM ECONOMICO]],MAQUINARIA!B:H,7,0), " MAQ")</f>
        <v>ACTIVA</v>
      </c>
      <c r="H224" s="214" t="s">
        <v>400</v>
      </c>
      <c r="I224" s="41">
        <v>2528038</v>
      </c>
      <c r="J224" s="10"/>
      <c r="K224" s="10">
        <v>1</v>
      </c>
      <c r="L224" s="12"/>
      <c r="M224" s="13">
        <f t="shared" si="3"/>
        <v>0</v>
      </c>
      <c r="N224" s="41"/>
      <c r="O224" s="10"/>
      <c r="P224" s="10">
        <f>Tabla3[[#This Row],[COSTO UNITARIO DOLARES EN HAWTHORNE]]*Tabla3[[#This Row],[CANTIDAD SOLICTADA]]</f>
        <v>0</v>
      </c>
      <c r="Q224" s="41"/>
      <c r="R224" s="229"/>
      <c r="S224" s="229">
        <f>+Tabla3[[#This Row],[COSTO UNITARIO DOLARES CTP]]*Tabla3[[#This Row],[CANTIDAD SOLICTADA]]</f>
        <v>0</v>
      </c>
      <c r="T224" s="41"/>
      <c r="U224" s="14" t="s">
        <v>4</v>
      </c>
      <c r="V224" s="8" t="s">
        <v>401</v>
      </c>
      <c r="W224" s="9">
        <v>46182</v>
      </c>
      <c r="X224" s="10" t="s">
        <v>89</v>
      </c>
      <c r="Y224" s="10" t="s">
        <v>90</v>
      </c>
      <c r="Z224" s="16" t="s">
        <v>44</v>
      </c>
      <c r="AA224" s="25">
        <v>46174</v>
      </c>
      <c r="AB224" s="25">
        <v>46176</v>
      </c>
      <c r="AC224" s="16" t="s">
        <v>91</v>
      </c>
      <c r="AD224" s="16"/>
      <c r="AE224" s="16" t="s">
        <v>140</v>
      </c>
      <c r="AF224" s="16"/>
      <c r="AG224" s="21" t="s">
        <v>402</v>
      </c>
      <c r="XFD224" s="15" t="str">
        <f>+Tabla3[[#This Row],[ESTATUS DE NUM ECONOMICO]]</f>
        <v>ACTIVA</v>
      </c>
    </row>
    <row r="225" spans="1:33 16384:16384" ht="15.75" thickBot="1" x14ac:dyDescent="0.3">
      <c r="A225" s="8">
        <v>35</v>
      </c>
      <c r="B225" s="9">
        <v>46170</v>
      </c>
      <c r="C225" s="10" t="s">
        <v>87</v>
      </c>
      <c r="D225" s="10" t="s">
        <v>399</v>
      </c>
      <c r="E225" s="16">
        <v>35</v>
      </c>
      <c r="F225" s="9">
        <v>46171</v>
      </c>
      <c r="G225" s="212" t="str">
        <f>IFERROR(VLOOKUP(Tabla3[[#This Row],[NUM ECONOMICO]],MAQUINARIA!B:H,7,0), " MAQ")</f>
        <v>ACTIVA</v>
      </c>
      <c r="H225" s="214" t="s">
        <v>400</v>
      </c>
      <c r="I225" s="41">
        <v>2520741</v>
      </c>
      <c r="J225" s="10"/>
      <c r="K225" s="10">
        <v>1</v>
      </c>
      <c r="L225" s="12"/>
      <c r="M225" s="13">
        <f t="shared" si="3"/>
        <v>0</v>
      </c>
      <c r="N225" s="41"/>
      <c r="O225" s="10"/>
      <c r="P225" s="10">
        <f>Tabla3[[#This Row],[COSTO UNITARIO DOLARES EN HAWTHORNE]]*Tabla3[[#This Row],[CANTIDAD SOLICTADA]]</f>
        <v>0</v>
      </c>
      <c r="Q225" s="41"/>
      <c r="R225" s="229"/>
      <c r="S225" s="229">
        <f>+Tabla3[[#This Row],[COSTO UNITARIO DOLARES CTP]]*Tabla3[[#This Row],[CANTIDAD SOLICTADA]]</f>
        <v>0</v>
      </c>
      <c r="T225" s="41"/>
      <c r="U225" s="14" t="s">
        <v>4</v>
      </c>
      <c r="V225" s="8" t="s">
        <v>401</v>
      </c>
      <c r="W225" s="9">
        <v>46182</v>
      </c>
      <c r="X225" s="10" t="s">
        <v>89</v>
      </c>
      <c r="Y225" s="10" t="s">
        <v>90</v>
      </c>
      <c r="Z225" s="16" t="s">
        <v>44</v>
      </c>
      <c r="AA225" s="25">
        <v>46174</v>
      </c>
      <c r="AB225" s="25">
        <v>46176</v>
      </c>
      <c r="AC225" s="16" t="s">
        <v>91</v>
      </c>
      <c r="AD225" s="16"/>
      <c r="AE225" s="16" t="s">
        <v>140</v>
      </c>
      <c r="AF225" s="16"/>
      <c r="AG225" s="21" t="s">
        <v>402</v>
      </c>
      <c r="XFD225" s="15" t="str">
        <f>+Tabla3[[#This Row],[ESTATUS DE NUM ECONOMICO]]</f>
        <v>ACTIVA</v>
      </c>
    </row>
    <row r="226" spans="1:33 16384:16384" ht="15.75" thickBot="1" x14ac:dyDescent="0.3">
      <c r="A226" s="8">
        <v>36</v>
      </c>
      <c r="B226" s="9">
        <v>46170</v>
      </c>
      <c r="C226" s="10" t="s">
        <v>87</v>
      </c>
      <c r="D226" s="11"/>
      <c r="E226" s="16">
        <v>52</v>
      </c>
      <c r="F226" s="10"/>
      <c r="G226" s="212" t="str">
        <f>IFERROR(VLOOKUP(Tabla3[[#This Row],[NUM ECONOMICO]],MAQUINARIA!B:H,7,0), " MAQ")</f>
        <v>ACTIVA</v>
      </c>
      <c r="H226" s="214" t="s">
        <v>224</v>
      </c>
      <c r="I226" s="41" t="s">
        <v>403</v>
      </c>
      <c r="J226" s="10"/>
      <c r="K226" s="10">
        <v>1</v>
      </c>
      <c r="L226" s="12"/>
      <c r="M226" s="13">
        <f t="shared" si="3"/>
        <v>0</v>
      </c>
      <c r="N226" s="41"/>
      <c r="O226" s="10"/>
      <c r="P226" s="10">
        <f>Tabla3[[#This Row],[COSTO UNITARIO DOLARES EN HAWTHORNE]]*Tabla3[[#This Row],[CANTIDAD SOLICTADA]]</f>
        <v>0</v>
      </c>
      <c r="Q226" s="43"/>
      <c r="R226" s="230"/>
      <c r="S226" s="230">
        <f>+Tabla3[[#This Row],[COSTO UNITARIO DOLARES CTP]]*Tabla3[[#This Row],[CANTIDAD SOLICTADA]]</f>
        <v>0</v>
      </c>
      <c r="T226" s="43"/>
      <c r="U226" s="23" t="s">
        <v>7</v>
      </c>
      <c r="V226" s="17"/>
      <c r="W226" s="10"/>
      <c r="X226" s="10" t="s">
        <v>89</v>
      </c>
      <c r="Y226" s="10" t="s">
        <v>90</v>
      </c>
      <c r="Z226" s="16"/>
      <c r="AA226" s="16"/>
      <c r="AB226" s="16"/>
      <c r="AC226" s="16"/>
      <c r="AD226" s="16"/>
      <c r="AE226" s="16" t="s">
        <v>404</v>
      </c>
      <c r="AF226" s="16"/>
      <c r="AG226" s="21"/>
      <c r="XFD226" s="15" t="str">
        <f>+Tabla3[[#This Row],[ESTATUS DE NUM ECONOMICO]]</f>
        <v>ACTIVA</v>
      </c>
    </row>
    <row r="227" spans="1:33 16384:16384" ht="15.75" thickBot="1" x14ac:dyDescent="0.3">
      <c r="A227" s="8">
        <v>37</v>
      </c>
      <c r="B227" s="9">
        <v>46170</v>
      </c>
      <c r="C227" s="10" t="s">
        <v>87</v>
      </c>
      <c r="D227" s="11"/>
      <c r="E227" s="16">
        <v>6</v>
      </c>
      <c r="F227" s="9">
        <v>46171</v>
      </c>
      <c r="G227" s="212" t="str">
        <f>IFERROR(VLOOKUP(Tabla3[[#This Row],[NUM ECONOMICO]],MAQUINARIA!B:H,7,0), " MAQ")</f>
        <v>INACTIVA</v>
      </c>
      <c r="H227" s="214" t="s">
        <v>405</v>
      </c>
      <c r="I227" s="41">
        <v>1262029</v>
      </c>
      <c r="J227" s="10"/>
      <c r="K227" s="10">
        <v>2</v>
      </c>
      <c r="L227" s="13">
        <v>3661.08</v>
      </c>
      <c r="M227" s="13">
        <f t="shared" si="3"/>
        <v>7322.16</v>
      </c>
      <c r="N227" s="41"/>
      <c r="O227" s="10"/>
      <c r="P227" s="10">
        <f>Tabla3[[#This Row],[COSTO UNITARIO DOLARES EN HAWTHORNE]]*Tabla3[[#This Row],[CANTIDAD SOLICTADA]]</f>
        <v>0</v>
      </c>
      <c r="Q227" s="208"/>
      <c r="R227" s="231"/>
      <c r="S227" s="231">
        <f>+Tabla3[[#This Row],[COSTO UNITARIO DOLARES CTP]]*Tabla3[[#This Row],[CANTIDAD SOLICTADA]]</f>
        <v>0</v>
      </c>
      <c r="T227" s="208"/>
      <c r="U227" s="24" t="s">
        <v>4</v>
      </c>
      <c r="V227" s="8" t="s">
        <v>406</v>
      </c>
      <c r="W227" s="9">
        <v>46205</v>
      </c>
      <c r="X227" s="10" t="s">
        <v>89</v>
      </c>
      <c r="Y227" s="10" t="s">
        <v>90</v>
      </c>
      <c r="Z227" s="16" t="s">
        <v>44</v>
      </c>
      <c r="AA227" s="25">
        <v>46200</v>
      </c>
      <c r="AB227" s="25">
        <v>46200</v>
      </c>
      <c r="AC227" s="16" t="s">
        <v>91</v>
      </c>
      <c r="AD227" s="16"/>
      <c r="AE227" s="16" t="s">
        <v>407</v>
      </c>
      <c r="AF227" s="27"/>
      <c r="AG227" s="21" t="s">
        <v>408</v>
      </c>
      <c r="XFD227" s="15" t="str">
        <f>+Tabla3[[#This Row],[ESTATUS DE NUM ECONOMICO]]</f>
        <v>INACTIVA</v>
      </c>
    </row>
    <row r="228" spans="1:33 16384:16384" ht="15.75" thickBot="1" x14ac:dyDescent="0.3">
      <c r="A228" s="8">
        <v>38</v>
      </c>
      <c r="B228" s="9">
        <v>46170</v>
      </c>
      <c r="C228" s="10" t="s">
        <v>87</v>
      </c>
      <c r="D228" s="10" t="s">
        <v>409</v>
      </c>
      <c r="E228" s="16">
        <v>14</v>
      </c>
      <c r="F228" s="9">
        <v>46171</v>
      </c>
      <c r="G228" s="212" t="str">
        <f>IFERROR(VLOOKUP(Tabla3[[#This Row],[NUM ECONOMICO]],MAQUINARIA!B:H,7,0), " MAQ")</f>
        <v>ACTIVA</v>
      </c>
      <c r="H228" s="214" t="s">
        <v>410</v>
      </c>
      <c r="I228" s="41">
        <v>1528340</v>
      </c>
      <c r="J228" s="10"/>
      <c r="K228" s="10">
        <v>1</v>
      </c>
      <c r="L228" s="12"/>
      <c r="M228" s="13">
        <f t="shared" si="3"/>
        <v>0</v>
      </c>
      <c r="N228" s="41"/>
      <c r="O228" s="10"/>
      <c r="P228" s="10">
        <f>Tabla3[[#This Row],[COSTO UNITARIO DOLARES EN HAWTHORNE]]*Tabla3[[#This Row],[CANTIDAD SOLICTADA]]</f>
        <v>0</v>
      </c>
      <c r="Q228" s="41"/>
      <c r="R228" s="229"/>
      <c r="S228" s="229">
        <f>+Tabla3[[#This Row],[COSTO UNITARIO DOLARES CTP]]*Tabla3[[#This Row],[CANTIDAD SOLICTADA]]</f>
        <v>0</v>
      </c>
      <c r="T228" s="41"/>
      <c r="U228" s="14" t="s">
        <v>4</v>
      </c>
      <c r="V228" s="8" t="s">
        <v>411</v>
      </c>
      <c r="W228" s="9">
        <v>46170</v>
      </c>
      <c r="X228" s="10" t="s">
        <v>89</v>
      </c>
      <c r="Y228" s="10" t="s">
        <v>90</v>
      </c>
      <c r="Z228" s="16" t="s">
        <v>44</v>
      </c>
      <c r="AA228" s="16"/>
      <c r="AB228" s="16"/>
      <c r="AC228" s="16"/>
      <c r="AD228" s="16"/>
      <c r="AE228" s="16" t="s">
        <v>412</v>
      </c>
      <c r="AF228" s="16"/>
      <c r="AG228" s="21" t="s">
        <v>413</v>
      </c>
      <c r="XFD228" s="15" t="str">
        <f>+Tabla3[[#This Row],[ESTATUS DE NUM ECONOMICO]]</f>
        <v>ACTIVA</v>
      </c>
    </row>
    <row r="229" spans="1:33 16384:16384" ht="15.75" thickBot="1" x14ac:dyDescent="0.3">
      <c r="A229" s="8">
        <v>38</v>
      </c>
      <c r="B229" s="9">
        <v>46170</v>
      </c>
      <c r="C229" s="10" t="s">
        <v>87</v>
      </c>
      <c r="D229" s="10" t="s">
        <v>409</v>
      </c>
      <c r="E229" s="16">
        <v>14</v>
      </c>
      <c r="F229" s="9">
        <v>46171</v>
      </c>
      <c r="G229" s="212" t="str">
        <f>IFERROR(VLOOKUP(Tabla3[[#This Row],[NUM ECONOMICO]],MAQUINARIA!B:H,7,0), " MAQ")</f>
        <v>ACTIVA</v>
      </c>
      <c r="H229" s="214" t="s">
        <v>410</v>
      </c>
      <c r="I229" s="41">
        <v>1977701</v>
      </c>
      <c r="J229" s="10"/>
      <c r="K229" s="10">
        <v>1</v>
      </c>
      <c r="L229" s="12"/>
      <c r="M229" s="13">
        <f t="shared" si="3"/>
        <v>0</v>
      </c>
      <c r="N229" s="41"/>
      <c r="O229" s="10"/>
      <c r="P229" s="10">
        <f>Tabla3[[#This Row],[COSTO UNITARIO DOLARES EN HAWTHORNE]]*Tabla3[[#This Row],[CANTIDAD SOLICTADA]]</f>
        <v>0</v>
      </c>
      <c r="Q229" s="41"/>
      <c r="R229" s="229"/>
      <c r="S229" s="229">
        <f>+Tabla3[[#This Row],[COSTO UNITARIO DOLARES CTP]]*Tabla3[[#This Row],[CANTIDAD SOLICTADA]]</f>
        <v>0</v>
      </c>
      <c r="T229" s="41"/>
      <c r="U229" s="14" t="s">
        <v>4</v>
      </c>
      <c r="V229" s="8" t="s">
        <v>411</v>
      </c>
      <c r="W229" s="9">
        <v>46170</v>
      </c>
      <c r="X229" s="10" t="s">
        <v>89</v>
      </c>
      <c r="Y229" s="10">
        <v>1</v>
      </c>
      <c r="Z229" s="16" t="s">
        <v>44</v>
      </c>
      <c r="AA229" s="16"/>
      <c r="AB229" s="16"/>
      <c r="AC229" s="16"/>
      <c r="AD229" s="16"/>
      <c r="AE229" s="16" t="s">
        <v>412</v>
      </c>
      <c r="AF229" s="16"/>
      <c r="AG229" s="21" t="s">
        <v>413</v>
      </c>
      <c r="XFD229" s="15" t="str">
        <f>+Tabla3[[#This Row],[ESTATUS DE NUM ECONOMICO]]</f>
        <v>ACTIVA</v>
      </c>
    </row>
    <row r="230" spans="1:33 16384:16384" ht="15.75" thickBot="1" x14ac:dyDescent="0.3">
      <c r="A230" s="8">
        <v>38</v>
      </c>
      <c r="B230" s="9">
        <v>46170</v>
      </c>
      <c r="C230" s="10" t="s">
        <v>87</v>
      </c>
      <c r="D230" s="10" t="s">
        <v>409</v>
      </c>
      <c r="E230" s="16">
        <v>14</v>
      </c>
      <c r="F230" s="9">
        <v>46171</v>
      </c>
      <c r="G230" s="212" t="str">
        <f>IFERROR(VLOOKUP(Tabla3[[#This Row],[NUM ECONOMICO]],MAQUINARIA!B:H,7,0), " MAQ")</f>
        <v>ACTIVA</v>
      </c>
      <c r="H230" s="214" t="s">
        <v>410</v>
      </c>
      <c r="I230" s="41">
        <v>2042122</v>
      </c>
      <c r="J230" s="10"/>
      <c r="K230" s="10">
        <v>1</v>
      </c>
      <c r="L230" s="12"/>
      <c r="M230" s="13">
        <f t="shared" si="3"/>
        <v>0</v>
      </c>
      <c r="N230" s="41"/>
      <c r="O230" s="10"/>
      <c r="P230" s="10">
        <f>Tabla3[[#This Row],[COSTO UNITARIO DOLARES EN HAWTHORNE]]*Tabla3[[#This Row],[CANTIDAD SOLICTADA]]</f>
        <v>0</v>
      </c>
      <c r="Q230" s="41"/>
      <c r="R230" s="229"/>
      <c r="S230" s="229">
        <f>+Tabla3[[#This Row],[COSTO UNITARIO DOLARES CTP]]*Tabla3[[#This Row],[CANTIDAD SOLICTADA]]</f>
        <v>0</v>
      </c>
      <c r="T230" s="41"/>
      <c r="U230" s="14" t="s">
        <v>4</v>
      </c>
      <c r="V230" s="8" t="s">
        <v>411</v>
      </c>
      <c r="W230" s="9">
        <v>46170</v>
      </c>
      <c r="X230" s="10" t="s">
        <v>89</v>
      </c>
      <c r="Y230" s="10" t="s">
        <v>90</v>
      </c>
      <c r="Z230" s="16" t="s">
        <v>44</v>
      </c>
      <c r="AA230" s="16"/>
      <c r="AB230" s="16"/>
      <c r="AC230" s="16"/>
      <c r="AD230" s="16"/>
      <c r="AE230" s="16" t="s">
        <v>412</v>
      </c>
      <c r="AF230" s="16"/>
      <c r="AG230" s="21" t="s">
        <v>413</v>
      </c>
      <c r="XFD230" s="15" t="str">
        <f>+Tabla3[[#This Row],[ESTATUS DE NUM ECONOMICO]]</f>
        <v>ACTIVA</v>
      </c>
    </row>
    <row r="231" spans="1:33 16384:16384" ht="15.75" thickBot="1" x14ac:dyDescent="0.3">
      <c r="A231" s="8">
        <v>39</v>
      </c>
      <c r="B231" s="9">
        <v>46170</v>
      </c>
      <c r="C231" s="10" t="s">
        <v>87</v>
      </c>
      <c r="D231" s="10" t="s">
        <v>414</v>
      </c>
      <c r="E231" s="16">
        <v>9</v>
      </c>
      <c r="F231" s="9">
        <v>46171</v>
      </c>
      <c r="G231" s="212" t="str">
        <f>IFERROR(VLOOKUP(Tabla3[[#This Row],[NUM ECONOMICO]],MAQUINARIA!B:H,7,0), " MAQ")</f>
        <v>ACTIVA</v>
      </c>
      <c r="H231" s="214" t="s">
        <v>415</v>
      </c>
      <c r="I231" s="41">
        <v>1528340</v>
      </c>
      <c r="J231" s="10"/>
      <c r="K231" s="10">
        <v>1</v>
      </c>
      <c r="L231" s="12"/>
      <c r="M231" s="13">
        <f t="shared" si="3"/>
        <v>0</v>
      </c>
      <c r="N231" s="41"/>
      <c r="O231" s="10"/>
      <c r="P231" s="10">
        <f>Tabla3[[#This Row],[COSTO UNITARIO DOLARES EN HAWTHORNE]]*Tabla3[[#This Row],[CANTIDAD SOLICTADA]]</f>
        <v>0</v>
      </c>
      <c r="Q231" s="41"/>
      <c r="R231" s="229"/>
      <c r="S231" s="229">
        <f>+Tabla3[[#This Row],[COSTO UNITARIO DOLARES CTP]]*Tabla3[[#This Row],[CANTIDAD SOLICTADA]]</f>
        <v>0</v>
      </c>
      <c r="T231" s="41"/>
      <c r="U231" s="14" t="s">
        <v>4</v>
      </c>
      <c r="V231" s="8" t="s">
        <v>416</v>
      </c>
      <c r="W231" s="9">
        <v>46182</v>
      </c>
      <c r="X231" s="10" t="s">
        <v>89</v>
      </c>
      <c r="Y231" s="10" t="s">
        <v>90</v>
      </c>
      <c r="Z231" s="16" t="s">
        <v>44</v>
      </c>
      <c r="AA231" s="25">
        <v>46177</v>
      </c>
      <c r="AB231" s="25">
        <v>46175</v>
      </c>
      <c r="AC231" s="16" t="s">
        <v>91</v>
      </c>
      <c r="AD231" s="16"/>
      <c r="AE231" s="16" t="s">
        <v>417</v>
      </c>
      <c r="AF231" s="16"/>
      <c r="AG231" s="21" t="s">
        <v>413</v>
      </c>
      <c r="XFD231" s="15" t="str">
        <f>+Tabla3[[#This Row],[ESTATUS DE NUM ECONOMICO]]</f>
        <v>ACTIVA</v>
      </c>
    </row>
    <row r="232" spans="1:33 16384:16384" ht="15.75" thickBot="1" x14ac:dyDescent="0.3">
      <c r="A232" s="8">
        <v>39</v>
      </c>
      <c r="B232" s="9">
        <v>46170</v>
      </c>
      <c r="C232" s="10" t="s">
        <v>87</v>
      </c>
      <c r="D232" s="10" t="s">
        <v>414</v>
      </c>
      <c r="E232" s="16">
        <v>9</v>
      </c>
      <c r="F232" s="9">
        <v>46171</v>
      </c>
      <c r="G232" s="212" t="str">
        <f>IFERROR(VLOOKUP(Tabla3[[#This Row],[NUM ECONOMICO]],MAQUINARIA!B:H,7,0), " MAQ")</f>
        <v>ACTIVA</v>
      </c>
      <c r="H232" s="214" t="s">
        <v>415</v>
      </c>
      <c r="I232" s="41">
        <v>1977701</v>
      </c>
      <c r="J232" s="10"/>
      <c r="K232" s="10">
        <v>1</v>
      </c>
      <c r="L232" s="12"/>
      <c r="M232" s="13">
        <f t="shared" si="3"/>
        <v>0</v>
      </c>
      <c r="N232" s="41"/>
      <c r="O232" s="10"/>
      <c r="P232" s="10">
        <f>Tabla3[[#This Row],[COSTO UNITARIO DOLARES EN HAWTHORNE]]*Tabla3[[#This Row],[CANTIDAD SOLICTADA]]</f>
        <v>0</v>
      </c>
      <c r="Q232" s="41"/>
      <c r="R232" s="229"/>
      <c r="S232" s="229">
        <f>+Tabla3[[#This Row],[COSTO UNITARIO DOLARES CTP]]*Tabla3[[#This Row],[CANTIDAD SOLICTADA]]</f>
        <v>0</v>
      </c>
      <c r="T232" s="41"/>
      <c r="U232" s="14" t="s">
        <v>4</v>
      </c>
      <c r="V232" s="8" t="s">
        <v>416</v>
      </c>
      <c r="W232" s="9">
        <v>46182</v>
      </c>
      <c r="X232" s="10" t="s">
        <v>89</v>
      </c>
      <c r="Y232" s="10">
        <v>1</v>
      </c>
      <c r="Z232" s="16" t="s">
        <v>44</v>
      </c>
      <c r="AA232" s="25">
        <v>46177</v>
      </c>
      <c r="AB232" s="25">
        <v>46175</v>
      </c>
      <c r="AC232" s="16" t="s">
        <v>91</v>
      </c>
      <c r="AD232" s="16"/>
      <c r="AE232" s="16" t="s">
        <v>417</v>
      </c>
      <c r="AF232" s="16"/>
      <c r="AG232" s="21" t="s">
        <v>413</v>
      </c>
      <c r="XFD232" s="15" t="str">
        <f>+Tabla3[[#This Row],[ESTATUS DE NUM ECONOMICO]]</f>
        <v>ACTIVA</v>
      </c>
    </row>
    <row r="233" spans="1:33 16384:16384" ht="15.75" thickBot="1" x14ac:dyDescent="0.3">
      <c r="A233" s="8">
        <v>39</v>
      </c>
      <c r="B233" s="9">
        <v>46170</v>
      </c>
      <c r="C233" s="10" t="s">
        <v>87</v>
      </c>
      <c r="D233" s="10" t="s">
        <v>414</v>
      </c>
      <c r="E233" s="16">
        <v>9</v>
      </c>
      <c r="F233" s="9">
        <v>46171</v>
      </c>
      <c r="G233" s="212" t="str">
        <f>IFERROR(VLOOKUP(Tabla3[[#This Row],[NUM ECONOMICO]],MAQUINARIA!B:H,7,0), " MAQ")</f>
        <v>ACTIVA</v>
      </c>
      <c r="H233" s="214" t="s">
        <v>415</v>
      </c>
      <c r="I233" s="41">
        <v>2042122</v>
      </c>
      <c r="J233" s="10"/>
      <c r="K233" s="10">
        <v>1</v>
      </c>
      <c r="L233" s="12"/>
      <c r="M233" s="13">
        <f t="shared" si="3"/>
        <v>0</v>
      </c>
      <c r="N233" s="41"/>
      <c r="O233" s="10"/>
      <c r="P233" s="10">
        <f>Tabla3[[#This Row],[COSTO UNITARIO DOLARES EN HAWTHORNE]]*Tabla3[[#This Row],[CANTIDAD SOLICTADA]]</f>
        <v>0</v>
      </c>
      <c r="Q233" s="41"/>
      <c r="R233" s="229"/>
      <c r="S233" s="229">
        <f>+Tabla3[[#This Row],[COSTO UNITARIO DOLARES CTP]]*Tabla3[[#This Row],[CANTIDAD SOLICTADA]]</f>
        <v>0</v>
      </c>
      <c r="T233" s="41"/>
      <c r="U233" s="14" t="s">
        <v>4</v>
      </c>
      <c r="V233" s="8" t="s">
        <v>416</v>
      </c>
      <c r="W233" s="9">
        <v>46182</v>
      </c>
      <c r="X233" s="10" t="s">
        <v>89</v>
      </c>
      <c r="Y233" s="10" t="s">
        <v>90</v>
      </c>
      <c r="Z233" s="16" t="s">
        <v>44</v>
      </c>
      <c r="AA233" s="25">
        <v>46177</v>
      </c>
      <c r="AB233" s="25">
        <v>46175</v>
      </c>
      <c r="AC233" s="16" t="s">
        <v>91</v>
      </c>
      <c r="AD233" s="16"/>
      <c r="AE233" s="16" t="s">
        <v>417</v>
      </c>
      <c r="AF233" s="16"/>
      <c r="AG233" s="21" t="s">
        <v>413</v>
      </c>
      <c r="XFD233" s="15" t="str">
        <f>+Tabla3[[#This Row],[ESTATUS DE NUM ECONOMICO]]</f>
        <v>ACTIVA</v>
      </c>
    </row>
    <row r="234" spans="1:33 16384:16384" ht="15.75" thickBot="1" x14ac:dyDescent="0.3">
      <c r="A234" s="8">
        <v>40</v>
      </c>
      <c r="B234" s="9">
        <v>46171</v>
      </c>
      <c r="C234" s="10" t="s">
        <v>87</v>
      </c>
      <c r="D234" s="10" t="s">
        <v>418</v>
      </c>
      <c r="E234" s="16">
        <v>63</v>
      </c>
      <c r="F234" s="9">
        <v>46144</v>
      </c>
      <c r="G234" s="212" t="str">
        <f>IFERROR(VLOOKUP(Tabla3[[#This Row],[NUM ECONOMICO]],MAQUINARIA!B:H,7,0), " MAQ")</f>
        <v>INACTIVA</v>
      </c>
      <c r="H234" s="214" t="s">
        <v>210</v>
      </c>
      <c r="I234" s="41">
        <v>1090076</v>
      </c>
      <c r="J234" s="10"/>
      <c r="K234" s="10">
        <v>2</v>
      </c>
      <c r="L234" s="12"/>
      <c r="M234" s="13">
        <f t="shared" si="3"/>
        <v>0</v>
      </c>
      <c r="N234" s="41"/>
      <c r="O234" s="10"/>
      <c r="P234" s="10">
        <f>Tabla3[[#This Row],[COSTO UNITARIO DOLARES EN HAWTHORNE]]*Tabla3[[#This Row],[CANTIDAD SOLICTADA]]</f>
        <v>0</v>
      </c>
      <c r="Q234" s="41"/>
      <c r="R234" s="229"/>
      <c r="S234" s="229">
        <f>+Tabla3[[#This Row],[COSTO UNITARIO DOLARES CTP]]*Tabla3[[#This Row],[CANTIDAD SOLICTADA]]</f>
        <v>0</v>
      </c>
      <c r="T234" s="41"/>
      <c r="U234" s="19" t="s">
        <v>7</v>
      </c>
      <c r="V234" s="8" t="s">
        <v>419</v>
      </c>
      <c r="W234" s="9">
        <v>46171</v>
      </c>
      <c r="X234" s="10" t="s">
        <v>89</v>
      </c>
      <c r="Y234" s="10">
        <v>3</v>
      </c>
      <c r="Z234" s="16" t="s">
        <v>44</v>
      </c>
      <c r="AA234" s="25">
        <v>46171</v>
      </c>
      <c r="AB234" s="25">
        <v>46171</v>
      </c>
      <c r="AC234" s="16" t="s">
        <v>238</v>
      </c>
      <c r="AD234" s="16"/>
      <c r="AE234" s="16" t="s">
        <v>420</v>
      </c>
      <c r="AF234" s="16"/>
      <c r="AG234" s="21" t="s">
        <v>421</v>
      </c>
      <c r="XFD234" s="15" t="str">
        <f>+Tabla3[[#This Row],[ESTATUS DE NUM ECONOMICO]]</f>
        <v>INACTIVA</v>
      </c>
    </row>
    <row r="235" spans="1:33 16384:16384" ht="15.75" thickBot="1" x14ac:dyDescent="0.3">
      <c r="A235" s="8">
        <v>40</v>
      </c>
      <c r="B235" s="9">
        <v>46171</v>
      </c>
      <c r="C235" s="10" t="s">
        <v>87</v>
      </c>
      <c r="D235" s="10" t="s">
        <v>418</v>
      </c>
      <c r="E235" s="16">
        <v>63</v>
      </c>
      <c r="F235" s="9">
        <v>46144</v>
      </c>
      <c r="G235" s="212" t="str">
        <f>IFERROR(VLOOKUP(Tabla3[[#This Row],[NUM ECONOMICO]],MAQUINARIA!B:H,7,0), " MAQ")</f>
        <v>INACTIVA</v>
      </c>
      <c r="H235" s="214" t="s">
        <v>210</v>
      </c>
      <c r="I235" s="41" t="s">
        <v>297</v>
      </c>
      <c r="J235" s="10"/>
      <c r="K235" s="10">
        <v>2</v>
      </c>
      <c r="L235" s="12"/>
      <c r="M235" s="13">
        <f t="shared" si="3"/>
        <v>0</v>
      </c>
      <c r="N235" s="41"/>
      <c r="O235" s="10"/>
      <c r="P235" s="10">
        <f>Tabla3[[#This Row],[COSTO UNITARIO DOLARES EN HAWTHORNE]]*Tabla3[[#This Row],[CANTIDAD SOLICTADA]]</f>
        <v>0</v>
      </c>
      <c r="Q235" s="41"/>
      <c r="R235" s="229"/>
      <c r="S235" s="229">
        <f>+Tabla3[[#This Row],[COSTO UNITARIO DOLARES CTP]]*Tabla3[[#This Row],[CANTIDAD SOLICTADA]]</f>
        <v>0</v>
      </c>
      <c r="T235" s="41"/>
      <c r="U235" s="19" t="s">
        <v>7</v>
      </c>
      <c r="V235" s="8" t="s">
        <v>419</v>
      </c>
      <c r="W235" s="9">
        <v>46171</v>
      </c>
      <c r="X235" s="10" t="s">
        <v>89</v>
      </c>
      <c r="Y235" s="10">
        <v>0</v>
      </c>
      <c r="Z235" s="16" t="s">
        <v>44</v>
      </c>
      <c r="AA235" s="25">
        <v>46171</v>
      </c>
      <c r="AB235" s="25">
        <v>46171</v>
      </c>
      <c r="AC235" s="16" t="s">
        <v>238</v>
      </c>
      <c r="AD235" s="16"/>
      <c r="AE235" s="16" t="s">
        <v>420</v>
      </c>
      <c r="AF235" s="16"/>
      <c r="AG235" s="21" t="s">
        <v>421</v>
      </c>
      <c r="XFD235" s="15" t="str">
        <f>+Tabla3[[#This Row],[ESTATUS DE NUM ECONOMICO]]</f>
        <v>INACTIVA</v>
      </c>
    </row>
    <row r="236" spans="1:33 16384:16384" ht="15.75" thickBot="1" x14ac:dyDescent="0.3">
      <c r="A236" s="8">
        <v>41</v>
      </c>
      <c r="B236" s="9">
        <v>46171</v>
      </c>
      <c r="C236" s="10" t="s">
        <v>87</v>
      </c>
      <c r="D236" s="10" t="s">
        <v>422</v>
      </c>
      <c r="E236" s="16"/>
      <c r="F236" s="10"/>
      <c r="G236" s="212" t="str">
        <f>IFERROR(VLOOKUP(Tabla3[[#This Row],[NUM ECONOMICO]],MAQUINARIA!B:H,7,0), " MAQ")</f>
        <v>ACTIVA</v>
      </c>
      <c r="H236" s="214" t="s">
        <v>234</v>
      </c>
      <c r="I236" s="41">
        <v>4568471</v>
      </c>
      <c r="J236" s="10"/>
      <c r="K236" s="10">
        <v>53</v>
      </c>
      <c r="L236" s="12"/>
      <c r="M236" s="13">
        <f t="shared" si="3"/>
        <v>0</v>
      </c>
      <c r="N236" s="41"/>
      <c r="O236" s="10"/>
      <c r="P236" s="10">
        <f>Tabla3[[#This Row],[COSTO UNITARIO DOLARES EN HAWTHORNE]]*Tabla3[[#This Row],[CANTIDAD SOLICTADA]]</f>
        <v>0</v>
      </c>
      <c r="Q236" s="41"/>
      <c r="R236" s="229"/>
      <c r="S236" s="229">
        <f>+Tabla3[[#This Row],[COSTO UNITARIO DOLARES CTP]]*Tabla3[[#This Row],[CANTIDAD SOLICTADA]]</f>
        <v>0</v>
      </c>
      <c r="T236" s="41"/>
      <c r="U236" s="14" t="s">
        <v>4</v>
      </c>
      <c r="V236" s="8" t="s">
        <v>423</v>
      </c>
      <c r="W236" s="9">
        <v>46171</v>
      </c>
      <c r="X236" s="10" t="s">
        <v>89</v>
      </c>
      <c r="Y236" s="10" t="s">
        <v>90</v>
      </c>
      <c r="Z236" s="16" t="s">
        <v>44</v>
      </c>
      <c r="AA236" s="25">
        <v>46171</v>
      </c>
      <c r="AB236" s="25">
        <v>46171</v>
      </c>
      <c r="AC236" s="16" t="s">
        <v>87</v>
      </c>
      <c r="AD236" s="16"/>
      <c r="AE236" s="16" t="s">
        <v>424</v>
      </c>
      <c r="AF236" s="16"/>
      <c r="AG236" s="21" t="s">
        <v>425</v>
      </c>
      <c r="XFD236" s="15" t="str">
        <f>+Tabla3[[#This Row],[ESTATUS DE NUM ECONOMICO]]</f>
        <v>ACTIVA</v>
      </c>
    </row>
    <row r="237" spans="1:33 16384:16384" ht="15.75" thickBot="1" x14ac:dyDescent="0.3">
      <c r="A237" s="8">
        <v>41</v>
      </c>
      <c r="B237" s="9">
        <v>46171</v>
      </c>
      <c r="C237" s="10" t="s">
        <v>87</v>
      </c>
      <c r="D237" s="10" t="s">
        <v>422</v>
      </c>
      <c r="E237" s="16"/>
      <c r="F237" s="10"/>
      <c r="G237" s="212" t="str">
        <f>IFERROR(VLOOKUP(Tabla3[[#This Row],[NUM ECONOMICO]],MAQUINARIA!B:H,7,0), " MAQ")</f>
        <v>ACTIVA</v>
      </c>
      <c r="H237" s="214" t="s">
        <v>234</v>
      </c>
      <c r="I237" s="41" t="s">
        <v>426</v>
      </c>
      <c r="J237" s="10"/>
      <c r="K237" s="10">
        <v>1</v>
      </c>
      <c r="L237" s="12"/>
      <c r="M237" s="13">
        <f t="shared" si="3"/>
        <v>0</v>
      </c>
      <c r="N237" s="41"/>
      <c r="O237" s="10"/>
      <c r="P237" s="10">
        <f>Tabla3[[#This Row],[COSTO UNITARIO DOLARES EN HAWTHORNE]]*Tabla3[[#This Row],[CANTIDAD SOLICTADA]]</f>
        <v>0</v>
      </c>
      <c r="Q237" s="41"/>
      <c r="R237" s="229"/>
      <c r="S237" s="229">
        <f>+Tabla3[[#This Row],[COSTO UNITARIO DOLARES CTP]]*Tabla3[[#This Row],[CANTIDAD SOLICTADA]]</f>
        <v>0</v>
      </c>
      <c r="T237" s="41"/>
      <c r="U237" s="14" t="s">
        <v>4</v>
      </c>
      <c r="V237" s="8" t="s">
        <v>423</v>
      </c>
      <c r="W237" s="9">
        <v>46171</v>
      </c>
      <c r="X237" s="10" t="s">
        <v>89</v>
      </c>
      <c r="Y237" s="10" t="s">
        <v>90</v>
      </c>
      <c r="Z237" s="16" t="s">
        <v>44</v>
      </c>
      <c r="AA237" s="25">
        <v>46171</v>
      </c>
      <c r="AB237" s="25">
        <v>46171</v>
      </c>
      <c r="AC237" s="16" t="s">
        <v>87</v>
      </c>
      <c r="AD237" s="16"/>
      <c r="AE237" s="16" t="s">
        <v>424</v>
      </c>
      <c r="AF237" s="16"/>
      <c r="AG237" s="21" t="s">
        <v>425</v>
      </c>
      <c r="XFD237" s="15" t="str">
        <f>+Tabla3[[#This Row],[ESTATUS DE NUM ECONOMICO]]</f>
        <v>ACTIVA</v>
      </c>
    </row>
    <row r="238" spans="1:33 16384:16384" ht="15.75" thickBot="1" x14ac:dyDescent="0.3">
      <c r="A238" s="8">
        <v>41</v>
      </c>
      <c r="B238" s="9">
        <v>46171</v>
      </c>
      <c r="C238" s="10" t="s">
        <v>87</v>
      </c>
      <c r="D238" s="10" t="s">
        <v>422</v>
      </c>
      <c r="E238" s="16"/>
      <c r="F238" s="10"/>
      <c r="G238" s="212" t="str">
        <f>IFERROR(VLOOKUP(Tabla3[[#This Row],[NUM ECONOMICO]],MAQUINARIA!B:H,7,0), " MAQ")</f>
        <v>ACTIVA</v>
      </c>
      <c r="H238" s="214" t="s">
        <v>234</v>
      </c>
      <c r="I238" s="41" t="s">
        <v>427</v>
      </c>
      <c r="J238" s="10"/>
      <c r="K238" s="10">
        <v>1</v>
      </c>
      <c r="L238" s="12"/>
      <c r="M238" s="13">
        <f t="shared" si="3"/>
        <v>0</v>
      </c>
      <c r="N238" s="41"/>
      <c r="O238" s="10"/>
      <c r="P238" s="10">
        <f>Tabla3[[#This Row],[COSTO UNITARIO DOLARES EN HAWTHORNE]]*Tabla3[[#This Row],[CANTIDAD SOLICTADA]]</f>
        <v>0</v>
      </c>
      <c r="Q238" s="41"/>
      <c r="R238" s="229"/>
      <c r="S238" s="229">
        <f>+Tabla3[[#This Row],[COSTO UNITARIO DOLARES CTP]]*Tabla3[[#This Row],[CANTIDAD SOLICTADA]]</f>
        <v>0</v>
      </c>
      <c r="T238" s="41"/>
      <c r="U238" s="14" t="s">
        <v>4</v>
      </c>
      <c r="V238" s="8" t="s">
        <v>423</v>
      </c>
      <c r="W238" s="9">
        <v>46171</v>
      </c>
      <c r="X238" s="10" t="s">
        <v>89</v>
      </c>
      <c r="Y238" s="10" t="s">
        <v>90</v>
      </c>
      <c r="Z238" s="16" t="s">
        <v>44</v>
      </c>
      <c r="AA238" s="25">
        <v>46171</v>
      </c>
      <c r="AB238" s="25">
        <v>46171</v>
      </c>
      <c r="AC238" s="16" t="s">
        <v>87</v>
      </c>
      <c r="AD238" s="16"/>
      <c r="AE238" s="16" t="s">
        <v>424</v>
      </c>
      <c r="AF238" s="16"/>
      <c r="AG238" s="21" t="s">
        <v>425</v>
      </c>
      <c r="XFD238" s="15" t="str">
        <f>+Tabla3[[#This Row],[ESTATUS DE NUM ECONOMICO]]</f>
        <v>ACTIVA</v>
      </c>
    </row>
    <row r="239" spans="1:33 16384:16384" ht="15.75" thickBot="1" x14ac:dyDescent="0.3">
      <c r="A239" s="8">
        <v>41</v>
      </c>
      <c r="B239" s="9">
        <v>46171</v>
      </c>
      <c r="C239" s="10" t="s">
        <v>87</v>
      </c>
      <c r="D239" s="10" t="s">
        <v>422</v>
      </c>
      <c r="E239" s="16"/>
      <c r="F239" s="10"/>
      <c r="G239" s="212" t="str">
        <f>IFERROR(VLOOKUP(Tabla3[[#This Row],[NUM ECONOMICO]],MAQUINARIA!B:H,7,0), " MAQ")</f>
        <v>ACTIVA</v>
      </c>
      <c r="H239" s="214" t="s">
        <v>234</v>
      </c>
      <c r="I239" s="41" t="s">
        <v>428</v>
      </c>
      <c r="J239" s="10"/>
      <c r="K239" s="10">
        <v>2</v>
      </c>
      <c r="L239" s="12"/>
      <c r="M239" s="13">
        <f t="shared" si="3"/>
        <v>0</v>
      </c>
      <c r="N239" s="41"/>
      <c r="O239" s="10"/>
      <c r="P239" s="10">
        <f>Tabla3[[#This Row],[COSTO UNITARIO DOLARES EN HAWTHORNE]]*Tabla3[[#This Row],[CANTIDAD SOLICTADA]]</f>
        <v>0</v>
      </c>
      <c r="Q239" s="41"/>
      <c r="R239" s="229"/>
      <c r="S239" s="229">
        <f>+Tabla3[[#This Row],[COSTO UNITARIO DOLARES CTP]]*Tabla3[[#This Row],[CANTIDAD SOLICTADA]]</f>
        <v>0</v>
      </c>
      <c r="T239" s="41"/>
      <c r="U239" s="14" t="s">
        <v>4</v>
      </c>
      <c r="V239" s="8" t="s">
        <v>423</v>
      </c>
      <c r="W239" s="9">
        <v>46171</v>
      </c>
      <c r="X239" s="10" t="s">
        <v>89</v>
      </c>
      <c r="Y239" s="10">
        <v>0</v>
      </c>
      <c r="Z239" s="16" t="s">
        <v>44</v>
      </c>
      <c r="AA239" s="25">
        <v>46171</v>
      </c>
      <c r="AB239" s="25">
        <v>46171</v>
      </c>
      <c r="AC239" s="16" t="s">
        <v>87</v>
      </c>
      <c r="AD239" s="16"/>
      <c r="AE239" s="16" t="s">
        <v>424</v>
      </c>
      <c r="AF239" s="16"/>
      <c r="AG239" s="21" t="s">
        <v>425</v>
      </c>
      <c r="XFD239" s="15" t="str">
        <f>+Tabla3[[#This Row],[ESTATUS DE NUM ECONOMICO]]</f>
        <v>ACTIVA</v>
      </c>
    </row>
    <row r="240" spans="1:33 16384:16384" ht="15.75" thickBot="1" x14ac:dyDescent="0.3">
      <c r="A240" s="8">
        <v>41</v>
      </c>
      <c r="B240" s="9">
        <v>46171</v>
      </c>
      <c r="C240" s="10" t="s">
        <v>87</v>
      </c>
      <c r="D240" s="10" t="s">
        <v>422</v>
      </c>
      <c r="E240" s="16"/>
      <c r="F240" s="10" t="s">
        <v>429</v>
      </c>
      <c r="G240" s="212" t="str">
        <f>IFERROR(VLOOKUP(Tabla3[[#This Row],[NUM ECONOMICO]],MAQUINARIA!B:H,7,0), " MAQ")</f>
        <v>ACTIVA</v>
      </c>
      <c r="H240" s="214" t="s">
        <v>234</v>
      </c>
      <c r="I240" s="41">
        <v>4568416</v>
      </c>
      <c r="J240" s="10"/>
      <c r="K240" s="10">
        <v>50</v>
      </c>
      <c r="L240" s="12"/>
      <c r="M240" s="13">
        <f t="shared" si="3"/>
        <v>0</v>
      </c>
      <c r="N240" s="41"/>
      <c r="O240" s="10"/>
      <c r="P240" s="10">
        <f>Tabla3[[#This Row],[COSTO UNITARIO DOLARES EN HAWTHORNE]]*Tabla3[[#This Row],[CANTIDAD SOLICTADA]]</f>
        <v>0</v>
      </c>
      <c r="Q240" s="41"/>
      <c r="R240" s="229"/>
      <c r="S240" s="229">
        <f>+Tabla3[[#This Row],[COSTO UNITARIO DOLARES CTP]]*Tabla3[[#This Row],[CANTIDAD SOLICTADA]]</f>
        <v>0</v>
      </c>
      <c r="T240" s="41"/>
      <c r="U240" s="14" t="s">
        <v>4</v>
      </c>
      <c r="V240" s="8" t="s">
        <v>423</v>
      </c>
      <c r="W240" s="9">
        <v>46171</v>
      </c>
      <c r="X240" s="10" t="s">
        <v>89</v>
      </c>
      <c r="Y240" s="10" t="s">
        <v>90</v>
      </c>
      <c r="Z240" s="16" t="s">
        <v>44</v>
      </c>
      <c r="AA240" s="25">
        <v>46171</v>
      </c>
      <c r="AB240" s="25">
        <v>46171</v>
      </c>
      <c r="AC240" s="16" t="s">
        <v>87</v>
      </c>
      <c r="AD240" s="16"/>
      <c r="AE240" s="16" t="s">
        <v>424</v>
      </c>
      <c r="AF240" s="16"/>
      <c r="AG240" s="21" t="s">
        <v>425</v>
      </c>
      <c r="XFD240" s="15" t="str">
        <f>+Tabla3[[#This Row],[ESTATUS DE NUM ECONOMICO]]</f>
        <v>ACTIVA</v>
      </c>
    </row>
    <row r="241" spans="1:33 16384:16384" ht="15.75" thickBot="1" x14ac:dyDescent="0.3">
      <c r="A241" s="8">
        <v>41</v>
      </c>
      <c r="B241" s="9">
        <v>46171</v>
      </c>
      <c r="C241" s="10" t="s">
        <v>87</v>
      </c>
      <c r="D241" s="10" t="s">
        <v>422</v>
      </c>
      <c r="E241" s="16"/>
      <c r="F241" s="10"/>
      <c r="G241" s="212" t="str">
        <f>IFERROR(VLOOKUP(Tabla3[[#This Row],[NUM ECONOMICO]],MAQUINARIA!B:H,7,0), " MAQ")</f>
        <v>ACTIVA</v>
      </c>
      <c r="H241" s="214" t="s">
        <v>234</v>
      </c>
      <c r="I241" s="41">
        <v>1242117</v>
      </c>
      <c r="J241" s="10"/>
      <c r="K241" s="10">
        <v>1</v>
      </c>
      <c r="L241" s="12"/>
      <c r="M241" s="13">
        <f t="shared" si="3"/>
        <v>0</v>
      </c>
      <c r="N241" s="41"/>
      <c r="O241" s="10"/>
      <c r="P241" s="10">
        <f>Tabla3[[#This Row],[COSTO UNITARIO DOLARES EN HAWTHORNE]]*Tabla3[[#This Row],[CANTIDAD SOLICTADA]]</f>
        <v>0</v>
      </c>
      <c r="Q241" s="41"/>
      <c r="R241" s="229"/>
      <c r="S241" s="229">
        <f>+Tabla3[[#This Row],[COSTO UNITARIO DOLARES CTP]]*Tabla3[[#This Row],[CANTIDAD SOLICTADA]]</f>
        <v>0</v>
      </c>
      <c r="T241" s="41"/>
      <c r="U241" s="14" t="s">
        <v>4</v>
      </c>
      <c r="V241" s="8" t="s">
        <v>423</v>
      </c>
      <c r="W241" s="9">
        <v>46171</v>
      </c>
      <c r="X241" s="10" t="s">
        <v>89</v>
      </c>
      <c r="Y241" s="10" t="s">
        <v>90</v>
      </c>
      <c r="Z241" s="16" t="s">
        <v>44</v>
      </c>
      <c r="AA241" s="25">
        <v>46171</v>
      </c>
      <c r="AB241" s="25">
        <v>46171</v>
      </c>
      <c r="AC241" s="16" t="s">
        <v>87</v>
      </c>
      <c r="AD241" s="16"/>
      <c r="AE241" s="16" t="s">
        <v>424</v>
      </c>
      <c r="AF241" s="16"/>
      <c r="AG241" s="21" t="s">
        <v>425</v>
      </c>
      <c r="XFD241" s="15" t="str">
        <f>+Tabla3[[#This Row],[ESTATUS DE NUM ECONOMICO]]</f>
        <v>ACTIVA</v>
      </c>
    </row>
    <row r="242" spans="1:33 16384:16384" ht="15.75" thickBot="1" x14ac:dyDescent="0.3">
      <c r="A242" s="8">
        <v>41</v>
      </c>
      <c r="B242" s="9">
        <v>46171</v>
      </c>
      <c r="C242" s="10" t="s">
        <v>87</v>
      </c>
      <c r="D242" s="10" t="s">
        <v>422</v>
      </c>
      <c r="E242" s="16"/>
      <c r="F242" s="10"/>
      <c r="G242" s="212" t="str">
        <f>IFERROR(VLOOKUP(Tabla3[[#This Row],[NUM ECONOMICO]],MAQUINARIA!B:H,7,0), " MAQ")</f>
        <v>ACTIVA</v>
      </c>
      <c r="H242" s="214" t="s">
        <v>234</v>
      </c>
      <c r="I242" s="41">
        <v>1242132</v>
      </c>
      <c r="J242" s="10"/>
      <c r="K242" s="10">
        <v>1</v>
      </c>
      <c r="L242" s="12"/>
      <c r="M242" s="13">
        <f t="shared" si="3"/>
        <v>0</v>
      </c>
      <c r="N242" s="41"/>
      <c r="O242" s="10"/>
      <c r="P242" s="10">
        <f>Tabla3[[#This Row],[COSTO UNITARIO DOLARES EN HAWTHORNE]]*Tabla3[[#This Row],[CANTIDAD SOLICTADA]]</f>
        <v>0</v>
      </c>
      <c r="Q242" s="41"/>
      <c r="R242" s="229"/>
      <c r="S242" s="229">
        <f>+Tabla3[[#This Row],[COSTO UNITARIO DOLARES CTP]]*Tabla3[[#This Row],[CANTIDAD SOLICTADA]]</f>
        <v>0</v>
      </c>
      <c r="T242" s="41"/>
      <c r="U242" s="14" t="s">
        <v>4</v>
      </c>
      <c r="V242" s="8" t="s">
        <v>423</v>
      </c>
      <c r="W242" s="9">
        <v>46171</v>
      </c>
      <c r="X242" s="10" t="s">
        <v>89</v>
      </c>
      <c r="Y242" s="10" t="s">
        <v>90</v>
      </c>
      <c r="Z242" s="16" t="s">
        <v>44</v>
      </c>
      <c r="AA242" s="25">
        <v>46171</v>
      </c>
      <c r="AB242" s="25">
        <v>46171</v>
      </c>
      <c r="AC242" s="16" t="s">
        <v>87</v>
      </c>
      <c r="AD242" s="16"/>
      <c r="AE242" s="16" t="s">
        <v>424</v>
      </c>
      <c r="AF242" s="16"/>
      <c r="AG242" s="21" t="s">
        <v>425</v>
      </c>
      <c r="XFD242" s="15" t="str">
        <f>+Tabla3[[#This Row],[ESTATUS DE NUM ECONOMICO]]</f>
        <v>ACTIVA</v>
      </c>
    </row>
    <row r="243" spans="1:33 16384:16384" ht="15.75" thickBot="1" x14ac:dyDescent="0.3">
      <c r="A243" s="8">
        <v>41</v>
      </c>
      <c r="B243" s="9">
        <v>46171</v>
      </c>
      <c r="C243" s="10" t="s">
        <v>87</v>
      </c>
      <c r="D243" s="10" t="s">
        <v>422</v>
      </c>
      <c r="E243" s="16"/>
      <c r="F243" s="10"/>
      <c r="G243" s="212" t="str">
        <f>IFERROR(VLOOKUP(Tabla3[[#This Row],[NUM ECONOMICO]],MAQUINARIA!B:H,7,0), " MAQ")</f>
        <v>ACTIVA</v>
      </c>
      <c r="H243" s="214" t="s">
        <v>234</v>
      </c>
      <c r="I243" s="41" t="s">
        <v>335</v>
      </c>
      <c r="J243" s="10"/>
      <c r="K243" s="10">
        <v>2</v>
      </c>
      <c r="L243" s="12"/>
      <c r="M243" s="13">
        <f t="shared" si="3"/>
        <v>0</v>
      </c>
      <c r="N243" s="41"/>
      <c r="O243" s="10"/>
      <c r="P243" s="10">
        <f>Tabla3[[#This Row],[COSTO UNITARIO DOLARES EN HAWTHORNE]]*Tabla3[[#This Row],[CANTIDAD SOLICTADA]]</f>
        <v>0</v>
      </c>
      <c r="Q243" s="41"/>
      <c r="R243" s="229"/>
      <c r="S243" s="229">
        <f>+Tabla3[[#This Row],[COSTO UNITARIO DOLARES CTP]]*Tabla3[[#This Row],[CANTIDAD SOLICTADA]]</f>
        <v>0</v>
      </c>
      <c r="T243" s="41"/>
      <c r="U243" s="14" t="s">
        <v>4</v>
      </c>
      <c r="V243" s="8" t="s">
        <v>423</v>
      </c>
      <c r="W243" s="9">
        <v>46171</v>
      </c>
      <c r="X243" s="10" t="s">
        <v>89</v>
      </c>
      <c r="Y243" s="10">
        <v>13</v>
      </c>
      <c r="Z243" s="16" t="s">
        <v>44</v>
      </c>
      <c r="AA243" s="25">
        <v>46171</v>
      </c>
      <c r="AB243" s="25">
        <v>46171</v>
      </c>
      <c r="AC243" s="16" t="s">
        <v>87</v>
      </c>
      <c r="AD243" s="16"/>
      <c r="AE243" s="16" t="s">
        <v>424</v>
      </c>
      <c r="AF243" s="16"/>
      <c r="AG243" s="21" t="s">
        <v>425</v>
      </c>
      <c r="XFD243" s="15" t="str">
        <f>+Tabla3[[#This Row],[ESTATUS DE NUM ECONOMICO]]</f>
        <v>ACTIVA</v>
      </c>
    </row>
    <row r="244" spans="1:33 16384:16384" ht="15.75" thickBot="1" x14ac:dyDescent="0.3">
      <c r="A244" s="8">
        <v>42</v>
      </c>
      <c r="B244" s="9">
        <v>46171</v>
      </c>
      <c r="C244" s="10" t="s">
        <v>195</v>
      </c>
      <c r="D244" s="10" t="s">
        <v>418</v>
      </c>
      <c r="E244" s="16">
        <v>63</v>
      </c>
      <c r="F244" s="9">
        <v>46144</v>
      </c>
      <c r="G244" s="212" t="str">
        <f>IFERROR(VLOOKUP(Tabla3[[#This Row],[NUM ECONOMICO]],MAQUINARIA!B:H,7,0), " MAQ")</f>
        <v>INACTIVA</v>
      </c>
      <c r="H244" s="214" t="s">
        <v>210</v>
      </c>
      <c r="I244" s="41">
        <v>1090076</v>
      </c>
      <c r="J244" s="10"/>
      <c r="K244" s="10">
        <v>2</v>
      </c>
      <c r="L244" s="12"/>
      <c r="M244" s="13">
        <f t="shared" si="3"/>
        <v>0</v>
      </c>
      <c r="N244" s="41"/>
      <c r="O244" s="10"/>
      <c r="P244" s="10">
        <f>Tabla3[[#This Row],[COSTO UNITARIO DOLARES EN HAWTHORNE]]*Tabla3[[#This Row],[CANTIDAD SOLICTADA]]</f>
        <v>0</v>
      </c>
      <c r="Q244" s="41"/>
      <c r="R244" s="229"/>
      <c r="S244" s="229">
        <f>+Tabla3[[#This Row],[COSTO UNITARIO DOLARES CTP]]*Tabla3[[#This Row],[CANTIDAD SOLICTADA]]</f>
        <v>0</v>
      </c>
      <c r="T244" s="41"/>
      <c r="U244" s="14" t="s">
        <v>4</v>
      </c>
      <c r="V244" s="8" t="s">
        <v>419</v>
      </c>
      <c r="W244" s="9">
        <v>46171</v>
      </c>
      <c r="X244" s="10" t="s">
        <v>89</v>
      </c>
      <c r="Y244" s="10">
        <v>3</v>
      </c>
      <c r="Z244" s="16" t="s">
        <v>44</v>
      </c>
      <c r="AA244" s="25">
        <v>46171</v>
      </c>
      <c r="AB244" s="25">
        <v>46171</v>
      </c>
      <c r="AC244" s="16" t="s">
        <v>238</v>
      </c>
      <c r="AD244" s="16"/>
      <c r="AE244" s="16" t="s">
        <v>420</v>
      </c>
      <c r="AF244" s="16"/>
      <c r="AG244" s="21" t="s">
        <v>430</v>
      </c>
      <c r="XFD244" s="15" t="str">
        <f>+Tabla3[[#This Row],[ESTATUS DE NUM ECONOMICO]]</f>
        <v>INACTIVA</v>
      </c>
    </row>
    <row r="245" spans="1:33 16384:16384" ht="15.75" thickBot="1" x14ac:dyDescent="0.3">
      <c r="A245" s="8">
        <v>42</v>
      </c>
      <c r="B245" s="9">
        <v>46171</v>
      </c>
      <c r="C245" s="10" t="s">
        <v>195</v>
      </c>
      <c r="D245" s="10" t="s">
        <v>418</v>
      </c>
      <c r="E245" s="16">
        <v>63</v>
      </c>
      <c r="F245" s="9">
        <v>46144</v>
      </c>
      <c r="G245" s="212" t="str">
        <f>IFERROR(VLOOKUP(Tabla3[[#This Row],[NUM ECONOMICO]],MAQUINARIA!B:H,7,0), " MAQ")</f>
        <v>INACTIVA</v>
      </c>
      <c r="H245" s="214" t="s">
        <v>210</v>
      </c>
      <c r="I245" s="41" t="s">
        <v>297</v>
      </c>
      <c r="J245" s="10"/>
      <c r="K245" s="10">
        <v>2</v>
      </c>
      <c r="L245" s="12"/>
      <c r="M245" s="13">
        <f t="shared" si="3"/>
        <v>0</v>
      </c>
      <c r="N245" s="41"/>
      <c r="O245" s="10"/>
      <c r="P245" s="10">
        <f>Tabla3[[#This Row],[COSTO UNITARIO DOLARES EN HAWTHORNE]]*Tabla3[[#This Row],[CANTIDAD SOLICTADA]]</f>
        <v>0</v>
      </c>
      <c r="Q245" s="41"/>
      <c r="R245" s="229"/>
      <c r="S245" s="229">
        <f>+Tabla3[[#This Row],[COSTO UNITARIO DOLARES CTP]]*Tabla3[[#This Row],[CANTIDAD SOLICTADA]]</f>
        <v>0</v>
      </c>
      <c r="T245" s="41"/>
      <c r="U245" s="14" t="s">
        <v>4</v>
      </c>
      <c r="V245" s="8" t="s">
        <v>419</v>
      </c>
      <c r="W245" s="9">
        <v>46171</v>
      </c>
      <c r="X245" s="10" t="s">
        <v>89</v>
      </c>
      <c r="Y245" s="10">
        <v>0</v>
      </c>
      <c r="Z245" s="16" t="s">
        <v>44</v>
      </c>
      <c r="AA245" s="25">
        <v>46171</v>
      </c>
      <c r="AB245" s="25">
        <v>46171</v>
      </c>
      <c r="AC245" s="16" t="s">
        <v>238</v>
      </c>
      <c r="AD245" s="16"/>
      <c r="AE245" s="16" t="s">
        <v>420</v>
      </c>
      <c r="AF245" s="16"/>
      <c r="AG245" s="21" t="s">
        <v>430</v>
      </c>
      <c r="XFD245" s="15" t="str">
        <f>+Tabla3[[#This Row],[ESTATUS DE NUM ECONOMICO]]</f>
        <v>INACTIVA</v>
      </c>
    </row>
    <row r="246" spans="1:33 16384:16384" ht="15.75" thickBot="1" x14ac:dyDescent="0.3">
      <c r="A246" s="8">
        <v>43</v>
      </c>
      <c r="B246" s="9">
        <v>46171</v>
      </c>
      <c r="C246" s="10" t="s">
        <v>87</v>
      </c>
      <c r="D246" s="10" t="s">
        <v>431</v>
      </c>
      <c r="E246" s="16">
        <v>84</v>
      </c>
      <c r="F246" s="9">
        <v>46176</v>
      </c>
      <c r="G246" s="212" t="str">
        <f>IFERROR(VLOOKUP(Tabla3[[#This Row],[NUM ECONOMICO]],MAQUINARIA!B:H,7,0), " MAQ")</f>
        <v>ACTIVA</v>
      </c>
      <c r="H246" s="214" t="s">
        <v>234</v>
      </c>
      <c r="I246" s="41">
        <v>1059149</v>
      </c>
      <c r="J246" s="10"/>
      <c r="K246" s="10">
        <v>1</v>
      </c>
      <c r="L246" s="12"/>
      <c r="M246" s="13">
        <f t="shared" si="3"/>
        <v>0</v>
      </c>
      <c r="N246" s="41"/>
      <c r="O246" s="10"/>
      <c r="P246" s="10">
        <f>Tabla3[[#This Row],[COSTO UNITARIO DOLARES EN HAWTHORNE]]*Tabla3[[#This Row],[CANTIDAD SOLICTADA]]</f>
        <v>0</v>
      </c>
      <c r="Q246" s="41"/>
      <c r="R246" s="229"/>
      <c r="S246" s="229">
        <f>+Tabla3[[#This Row],[COSTO UNITARIO DOLARES CTP]]*Tabla3[[#This Row],[CANTIDAD SOLICTADA]]</f>
        <v>0</v>
      </c>
      <c r="T246" s="41"/>
      <c r="U246" s="14" t="s">
        <v>4</v>
      </c>
      <c r="V246" s="8" t="s">
        <v>432</v>
      </c>
      <c r="W246" s="9">
        <v>46171</v>
      </c>
      <c r="X246" s="10" t="s">
        <v>89</v>
      </c>
      <c r="Y246" s="10" t="s">
        <v>90</v>
      </c>
      <c r="Z246" s="16" t="s">
        <v>44</v>
      </c>
      <c r="AA246" s="25">
        <v>46171</v>
      </c>
      <c r="AB246" s="25">
        <v>46174</v>
      </c>
      <c r="AC246" s="16" t="s">
        <v>87</v>
      </c>
      <c r="AD246" s="16"/>
      <c r="AE246" s="16" t="s">
        <v>433</v>
      </c>
      <c r="AF246" s="16"/>
      <c r="AG246" s="21"/>
      <c r="XFD246" s="15" t="str">
        <f>+Tabla3[[#This Row],[ESTATUS DE NUM ECONOMICO]]</f>
        <v>ACTIVA</v>
      </c>
    </row>
    <row r="247" spans="1:33 16384:16384" ht="15.75" thickBot="1" x14ac:dyDescent="0.3">
      <c r="A247" s="8">
        <v>44</v>
      </c>
      <c r="B247" s="9">
        <v>46171</v>
      </c>
      <c r="C247" s="10" t="s">
        <v>87</v>
      </c>
      <c r="D247" s="10" t="s">
        <v>434</v>
      </c>
      <c r="E247" s="16">
        <v>55</v>
      </c>
      <c r="F247" s="10"/>
      <c r="G247" s="212" t="str">
        <f>IFERROR(VLOOKUP(Tabla3[[#This Row],[NUM ECONOMICO]],MAQUINARIA!B:H,7,0), " MAQ")</f>
        <v>ACTIVA</v>
      </c>
      <c r="H247" s="214" t="s">
        <v>224</v>
      </c>
      <c r="I247" s="41">
        <v>1544492</v>
      </c>
      <c r="J247" s="10" t="s">
        <v>205</v>
      </c>
      <c r="K247" s="10">
        <v>1</v>
      </c>
      <c r="L247" s="12"/>
      <c r="M247" s="13">
        <f t="shared" si="3"/>
        <v>0</v>
      </c>
      <c r="N247" s="41"/>
      <c r="O247" s="10"/>
      <c r="P247" s="10">
        <f>Tabla3[[#This Row],[COSTO UNITARIO DOLARES EN HAWTHORNE]]*Tabla3[[#This Row],[CANTIDAD SOLICTADA]]</f>
        <v>0</v>
      </c>
      <c r="Q247" s="41"/>
      <c r="R247" s="229">
        <v>6.22</v>
      </c>
      <c r="S247" s="229">
        <f>+Tabla3[[#This Row],[COSTO UNITARIO DOLARES CTP]]*Tabla3[[#This Row],[CANTIDAD SOLICTADA]]</f>
        <v>6.22</v>
      </c>
      <c r="T247" s="41"/>
      <c r="U247" s="14" t="s">
        <v>4</v>
      </c>
      <c r="V247" s="8" t="s">
        <v>435</v>
      </c>
      <c r="W247" s="9">
        <v>46171</v>
      </c>
      <c r="X247" s="10" t="s">
        <v>89</v>
      </c>
      <c r="Y247" s="10">
        <v>1</v>
      </c>
      <c r="Z247" s="16" t="s">
        <v>44</v>
      </c>
      <c r="AA247" s="25">
        <v>46171</v>
      </c>
      <c r="AB247" s="25">
        <v>46174</v>
      </c>
      <c r="AC247" s="16" t="s">
        <v>238</v>
      </c>
      <c r="AD247" s="16"/>
      <c r="AE247" s="16" t="s">
        <v>433</v>
      </c>
      <c r="AF247" s="16"/>
      <c r="AG247" s="21" t="s">
        <v>436</v>
      </c>
      <c r="XFD247" s="15" t="str">
        <f>+Tabla3[[#This Row],[ESTATUS DE NUM ECONOMICO]]</f>
        <v>ACTIVA</v>
      </c>
    </row>
    <row r="248" spans="1:33 16384:16384" ht="15.75" thickBot="1" x14ac:dyDescent="0.3">
      <c r="A248" s="8">
        <v>44</v>
      </c>
      <c r="B248" s="9">
        <v>46171</v>
      </c>
      <c r="C248" s="10" t="s">
        <v>87</v>
      </c>
      <c r="D248" s="10" t="s">
        <v>434</v>
      </c>
      <c r="E248" s="16">
        <v>55</v>
      </c>
      <c r="F248" s="10"/>
      <c r="G248" s="212" t="str">
        <f>IFERROR(VLOOKUP(Tabla3[[#This Row],[NUM ECONOMICO]],MAQUINARIA!B:H,7,0), " MAQ")</f>
        <v>ACTIVA</v>
      </c>
      <c r="H248" s="214" t="s">
        <v>224</v>
      </c>
      <c r="I248" s="41" t="s">
        <v>437</v>
      </c>
      <c r="J248" s="10"/>
      <c r="K248" s="10">
        <v>2</v>
      </c>
      <c r="L248" s="12"/>
      <c r="M248" s="13">
        <f t="shared" si="3"/>
        <v>0</v>
      </c>
      <c r="N248" s="41"/>
      <c r="O248" s="10"/>
      <c r="P248" s="10">
        <f>Tabla3[[#This Row],[COSTO UNITARIO DOLARES EN HAWTHORNE]]*Tabla3[[#This Row],[CANTIDAD SOLICTADA]]</f>
        <v>0</v>
      </c>
      <c r="Q248" s="41"/>
      <c r="R248" s="229"/>
      <c r="S248" s="229">
        <f>+Tabla3[[#This Row],[COSTO UNITARIO DOLARES CTP]]*Tabla3[[#This Row],[CANTIDAD SOLICTADA]]</f>
        <v>0</v>
      </c>
      <c r="T248" s="41"/>
      <c r="U248" s="14" t="s">
        <v>4</v>
      </c>
      <c r="V248" s="8" t="s">
        <v>435</v>
      </c>
      <c r="W248" s="9">
        <v>46171</v>
      </c>
      <c r="X248" s="10" t="s">
        <v>89</v>
      </c>
      <c r="Y248" s="10">
        <v>0</v>
      </c>
      <c r="Z248" s="16" t="s">
        <v>44</v>
      </c>
      <c r="AA248" s="25">
        <v>46171</v>
      </c>
      <c r="AB248" s="25">
        <v>46174</v>
      </c>
      <c r="AC248" s="16" t="s">
        <v>238</v>
      </c>
      <c r="AD248" s="16"/>
      <c r="AE248" s="16" t="s">
        <v>433</v>
      </c>
      <c r="AF248" s="16"/>
      <c r="AG248" s="21" t="s">
        <v>436</v>
      </c>
      <c r="XFD248" s="15" t="str">
        <f>+Tabla3[[#This Row],[ESTATUS DE NUM ECONOMICO]]</f>
        <v>ACTIVA</v>
      </c>
    </row>
    <row r="249" spans="1:33 16384:16384" ht="15.75" thickBot="1" x14ac:dyDescent="0.3">
      <c r="A249" s="8">
        <v>44</v>
      </c>
      <c r="B249" s="9">
        <v>46171</v>
      </c>
      <c r="C249" s="10" t="s">
        <v>87</v>
      </c>
      <c r="D249" s="10" t="s">
        <v>434</v>
      </c>
      <c r="E249" s="16">
        <v>55</v>
      </c>
      <c r="F249" s="10"/>
      <c r="G249" s="212" t="str">
        <f>IFERROR(VLOOKUP(Tabla3[[#This Row],[NUM ECONOMICO]],MAQUINARIA!B:H,7,0), " MAQ")</f>
        <v>ACTIVA</v>
      </c>
      <c r="H249" s="214" t="s">
        <v>224</v>
      </c>
      <c r="I249" s="41" t="s">
        <v>333</v>
      </c>
      <c r="J249" s="10"/>
      <c r="K249" s="10">
        <v>2</v>
      </c>
      <c r="L249" s="12"/>
      <c r="M249" s="13">
        <f t="shared" si="3"/>
        <v>0</v>
      </c>
      <c r="N249" s="41"/>
      <c r="O249" s="10"/>
      <c r="P249" s="10">
        <f>Tabla3[[#This Row],[COSTO UNITARIO DOLARES EN HAWTHORNE]]*Tabla3[[#This Row],[CANTIDAD SOLICTADA]]</f>
        <v>0</v>
      </c>
      <c r="Q249" s="41"/>
      <c r="R249" s="229"/>
      <c r="S249" s="229">
        <f>+Tabla3[[#This Row],[COSTO UNITARIO DOLARES CTP]]*Tabla3[[#This Row],[CANTIDAD SOLICTADA]]</f>
        <v>0</v>
      </c>
      <c r="T249" s="41"/>
      <c r="U249" s="14" t="s">
        <v>4</v>
      </c>
      <c r="V249" s="8" t="s">
        <v>435</v>
      </c>
      <c r="W249" s="9">
        <v>46171</v>
      </c>
      <c r="X249" s="10" t="s">
        <v>89</v>
      </c>
      <c r="Y249" s="10">
        <v>0</v>
      </c>
      <c r="Z249" s="16" t="s">
        <v>44</v>
      </c>
      <c r="AA249" s="25">
        <v>46171</v>
      </c>
      <c r="AB249" s="25">
        <v>46174</v>
      </c>
      <c r="AC249" s="16" t="s">
        <v>238</v>
      </c>
      <c r="AD249" s="16"/>
      <c r="AE249" s="16" t="s">
        <v>433</v>
      </c>
      <c r="AF249" s="16"/>
      <c r="AG249" s="21" t="s">
        <v>436</v>
      </c>
      <c r="XFD249" s="15" t="str">
        <f>+Tabla3[[#This Row],[ESTATUS DE NUM ECONOMICO]]</f>
        <v>ACTIVA</v>
      </c>
    </row>
    <row r="250" spans="1:33 16384:16384" ht="15.75" thickBot="1" x14ac:dyDescent="0.3">
      <c r="A250" s="8">
        <v>44</v>
      </c>
      <c r="B250" s="9">
        <v>46171</v>
      </c>
      <c r="C250" s="10" t="s">
        <v>87</v>
      </c>
      <c r="D250" s="10" t="s">
        <v>434</v>
      </c>
      <c r="E250" s="16">
        <v>55</v>
      </c>
      <c r="F250" s="10"/>
      <c r="G250" s="212" t="str">
        <f>IFERROR(VLOOKUP(Tabla3[[#This Row],[NUM ECONOMICO]],MAQUINARIA!B:H,7,0), " MAQ")</f>
        <v>ACTIVA</v>
      </c>
      <c r="H250" s="214" t="s">
        <v>224</v>
      </c>
      <c r="I250" s="41" t="s">
        <v>438</v>
      </c>
      <c r="J250" s="10"/>
      <c r="K250" s="10">
        <v>2</v>
      </c>
      <c r="L250" s="12"/>
      <c r="M250" s="13">
        <f t="shared" si="3"/>
        <v>0</v>
      </c>
      <c r="N250" s="41"/>
      <c r="O250" s="10"/>
      <c r="P250" s="10">
        <f>Tabla3[[#This Row],[COSTO UNITARIO DOLARES EN HAWTHORNE]]*Tabla3[[#This Row],[CANTIDAD SOLICTADA]]</f>
        <v>0</v>
      </c>
      <c r="Q250" s="41"/>
      <c r="R250" s="229"/>
      <c r="S250" s="229">
        <f>+Tabla3[[#This Row],[COSTO UNITARIO DOLARES CTP]]*Tabla3[[#This Row],[CANTIDAD SOLICTADA]]</f>
        <v>0</v>
      </c>
      <c r="T250" s="41"/>
      <c r="U250" s="14" t="s">
        <v>4</v>
      </c>
      <c r="V250" s="8" t="s">
        <v>435</v>
      </c>
      <c r="W250" s="9">
        <v>46171</v>
      </c>
      <c r="X250" s="10" t="s">
        <v>89</v>
      </c>
      <c r="Y250" s="10">
        <v>4</v>
      </c>
      <c r="Z250" s="16" t="s">
        <v>44</v>
      </c>
      <c r="AA250" s="25">
        <v>46171</v>
      </c>
      <c r="AB250" s="25">
        <v>46174</v>
      </c>
      <c r="AC250" s="16" t="s">
        <v>238</v>
      </c>
      <c r="AD250" s="16"/>
      <c r="AE250" s="16" t="s">
        <v>433</v>
      </c>
      <c r="AF250" s="16"/>
      <c r="AG250" s="21" t="s">
        <v>436</v>
      </c>
      <c r="XFD250" s="15" t="str">
        <f>+Tabla3[[#This Row],[ESTATUS DE NUM ECONOMICO]]</f>
        <v>ACTIVA</v>
      </c>
    </row>
    <row r="251" spans="1:33 16384:16384" ht="15.75" thickBot="1" x14ac:dyDescent="0.3">
      <c r="A251" s="8">
        <v>44</v>
      </c>
      <c r="B251" s="9">
        <v>46171</v>
      </c>
      <c r="C251" s="10" t="s">
        <v>87</v>
      </c>
      <c r="D251" s="10" t="s">
        <v>434</v>
      </c>
      <c r="E251" s="16"/>
      <c r="F251" s="10"/>
      <c r="G251" s="212" t="str">
        <f>IFERROR(VLOOKUP(Tabla3[[#This Row],[NUM ECONOMICO]],MAQUINARIA!B:H,7,0), " MAQ")</f>
        <v>ACTIVA</v>
      </c>
      <c r="H251" s="214" t="s">
        <v>224</v>
      </c>
      <c r="I251" s="41">
        <v>4568409</v>
      </c>
      <c r="J251" s="10"/>
      <c r="K251" s="10">
        <v>129</v>
      </c>
      <c r="L251" s="12"/>
      <c r="M251" s="13">
        <f t="shared" si="3"/>
        <v>0</v>
      </c>
      <c r="N251" s="41"/>
      <c r="O251" s="10"/>
      <c r="P251" s="10">
        <f>Tabla3[[#This Row],[COSTO UNITARIO DOLARES EN HAWTHORNE]]*Tabla3[[#This Row],[CANTIDAD SOLICTADA]]</f>
        <v>0</v>
      </c>
      <c r="Q251" s="41"/>
      <c r="R251" s="229"/>
      <c r="S251" s="229">
        <f>+Tabla3[[#This Row],[COSTO UNITARIO DOLARES CTP]]*Tabla3[[#This Row],[CANTIDAD SOLICTADA]]</f>
        <v>0</v>
      </c>
      <c r="T251" s="41"/>
      <c r="U251" s="14" t="s">
        <v>4</v>
      </c>
      <c r="V251" s="8" t="s">
        <v>435</v>
      </c>
      <c r="W251" s="9">
        <v>46171</v>
      </c>
      <c r="X251" s="10" t="s">
        <v>89</v>
      </c>
      <c r="Y251" s="10" t="s">
        <v>90</v>
      </c>
      <c r="Z251" s="16" t="s">
        <v>44</v>
      </c>
      <c r="AA251" s="25">
        <v>46171</v>
      </c>
      <c r="AB251" s="25">
        <v>46174</v>
      </c>
      <c r="AC251" s="16" t="s">
        <v>238</v>
      </c>
      <c r="AD251" s="16"/>
      <c r="AE251" s="16" t="s">
        <v>433</v>
      </c>
      <c r="AF251" s="16"/>
      <c r="AG251" s="21" t="s">
        <v>436</v>
      </c>
      <c r="XFD251" s="15" t="str">
        <f>+Tabla3[[#This Row],[ESTATUS DE NUM ECONOMICO]]</f>
        <v>ACTIVA</v>
      </c>
    </row>
    <row r="252" spans="1:33 16384:16384" ht="15.75" thickBot="1" x14ac:dyDescent="0.3">
      <c r="A252" s="8">
        <v>44</v>
      </c>
      <c r="B252" s="9">
        <v>46171</v>
      </c>
      <c r="C252" s="10" t="s">
        <v>87</v>
      </c>
      <c r="D252" s="10" t="s">
        <v>434</v>
      </c>
      <c r="E252" s="16"/>
      <c r="F252" s="10"/>
      <c r="G252" s="212" t="str">
        <f>IFERROR(VLOOKUP(Tabla3[[#This Row],[NUM ECONOMICO]],MAQUINARIA!B:H,7,0), " MAQ")</f>
        <v>ACTIVA</v>
      </c>
      <c r="H252" s="214" t="s">
        <v>224</v>
      </c>
      <c r="I252" s="41">
        <v>1242111</v>
      </c>
      <c r="J252" s="10"/>
      <c r="K252" s="10">
        <v>2</v>
      </c>
      <c r="L252" s="12"/>
      <c r="M252" s="13">
        <f t="shared" si="3"/>
        <v>0</v>
      </c>
      <c r="N252" s="41"/>
      <c r="O252" s="10"/>
      <c r="P252" s="10">
        <f>Tabla3[[#This Row],[COSTO UNITARIO DOLARES EN HAWTHORNE]]*Tabla3[[#This Row],[CANTIDAD SOLICTADA]]</f>
        <v>0</v>
      </c>
      <c r="Q252" s="41"/>
      <c r="R252" s="229"/>
      <c r="S252" s="229">
        <f>+Tabla3[[#This Row],[COSTO UNITARIO DOLARES CTP]]*Tabla3[[#This Row],[CANTIDAD SOLICTADA]]</f>
        <v>0</v>
      </c>
      <c r="T252" s="41"/>
      <c r="U252" s="14" t="s">
        <v>4</v>
      </c>
      <c r="V252" s="8" t="s">
        <v>435</v>
      </c>
      <c r="W252" s="9">
        <v>46171</v>
      </c>
      <c r="X252" s="10" t="s">
        <v>89</v>
      </c>
      <c r="Y252" s="10" t="s">
        <v>90</v>
      </c>
      <c r="Z252" s="16" t="s">
        <v>44</v>
      </c>
      <c r="AA252" s="25">
        <v>46171</v>
      </c>
      <c r="AB252" s="25">
        <v>46174</v>
      </c>
      <c r="AC252" s="16" t="s">
        <v>238</v>
      </c>
      <c r="AD252" s="16"/>
      <c r="AE252" s="16" t="s">
        <v>433</v>
      </c>
      <c r="AF252" s="16"/>
      <c r="AG252" s="21" t="s">
        <v>436</v>
      </c>
      <c r="XFD252" s="15" t="str">
        <f>+Tabla3[[#This Row],[ESTATUS DE NUM ECONOMICO]]</f>
        <v>ACTIVA</v>
      </c>
    </row>
    <row r="253" spans="1:33 16384:16384" ht="15.75" thickBot="1" x14ac:dyDescent="0.3">
      <c r="A253" s="8">
        <v>44</v>
      </c>
      <c r="B253" s="9">
        <v>46171</v>
      </c>
      <c r="C253" s="10" t="s">
        <v>87</v>
      </c>
      <c r="D253" s="10" t="s">
        <v>434</v>
      </c>
      <c r="E253" s="16"/>
      <c r="F253" s="10"/>
      <c r="G253" s="212" t="str">
        <f>IFERROR(VLOOKUP(Tabla3[[#This Row],[NUM ECONOMICO]],MAQUINARIA!B:H,7,0), " MAQ")</f>
        <v>ACTIVA</v>
      </c>
      <c r="H253" s="214" t="s">
        <v>224</v>
      </c>
      <c r="I253" s="41" t="s">
        <v>438</v>
      </c>
      <c r="J253" s="10"/>
      <c r="K253" s="10">
        <v>2</v>
      </c>
      <c r="L253" s="12"/>
      <c r="M253" s="13">
        <f t="shared" si="3"/>
        <v>0</v>
      </c>
      <c r="N253" s="41"/>
      <c r="O253" s="10"/>
      <c r="P253" s="10">
        <f>Tabla3[[#This Row],[COSTO UNITARIO DOLARES EN HAWTHORNE]]*Tabla3[[#This Row],[CANTIDAD SOLICTADA]]</f>
        <v>0</v>
      </c>
      <c r="Q253" s="41"/>
      <c r="R253" s="229"/>
      <c r="S253" s="229">
        <f>+Tabla3[[#This Row],[COSTO UNITARIO DOLARES CTP]]*Tabla3[[#This Row],[CANTIDAD SOLICTADA]]</f>
        <v>0</v>
      </c>
      <c r="T253" s="41"/>
      <c r="U253" s="14" t="s">
        <v>4</v>
      </c>
      <c r="V253" s="8" t="s">
        <v>435</v>
      </c>
      <c r="W253" s="9">
        <v>46171</v>
      </c>
      <c r="X253" s="10" t="s">
        <v>89</v>
      </c>
      <c r="Y253" s="10">
        <v>4</v>
      </c>
      <c r="Z253" s="16" t="s">
        <v>44</v>
      </c>
      <c r="AA253" s="25">
        <v>46171</v>
      </c>
      <c r="AB253" s="25">
        <v>46174</v>
      </c>
      <c r="AC253" s="16" t="s">
        <v>238</v>
      </c>
      <c r="AD253" s="16"/>
      <c r="AE253" s="16" t="s">
        <v>433</v>
      </c>
      <c r="AF253" s="16"/>
      <c r="AG253" s="21" t="s">
        <v>436</v>
      </c>
      <c r="XFD253" s="15" t="str">
        <f>+Tabla3[[#This Row],[ESTATUS DE NUM ECONOMICO]]</f>
        <v>ACTIVA</v>
      </c>
    </row>
    <row r="254" spans="1:33 16384:16384" ht="15.75" thickBot="1" x14ac:dyDescent="0.3">
      <c r="A254" s="8">
        <v>44</v>
      </c>
      <c r="B254" s="9">
        <v>46171</v>
      </c>
      <c r="C254" s="10" t="s">
        <v>87</v>
      </c>
      <c r="D254" s="10" t="s">
        <v>434</v>
      </c>
      <c r="E254" s="16"/>
      <c r="F254" s="10"/>
      <c r="G254" s="212" t="str">
        <f>IFERROR(VLOOKUP(Tabla3[[#This Row],[NUM ECONOMICO]],MAQUINARIA!B:H,7,0), " MAQ")</f>
        <v>ACTIVA</v>
      </c>
      <c r="H254" s="214" t="s">
        <v>224</v>
      </c>
      <c r="I254" s="41">
        <v>4568409</v>
      </c>
      <c r="J254" s="10"/>
      <c r="K254" s="10">
        <v>129</v>
      </c>
      <c r="L254" s="12"/>
      <c r="M254" s="13">
        <f t="shared" si="3"/>
        <v>0</v>
      </c>
      <c r="N254" s="41"/>
      <c r="O254" s="10"/>
      <c r="P254" s="10">
        <f>Tabla3[[#This Row],[COSTO UNITARIO DOLARES EN HAWTHORNE]]*Tabla3[[#This Row],[CANTIDAD SOLICTADA]]</f>
        <v>0</v>
      </c>
      <c r="Q254" s="41"/>
      <c r="R254" s="229"/>
      <c r="S254" s="229">
        <f>+Tabla3[[#This Row],[COSTO UNITARIO DOLARES CTP]]*Tabla3[[#This Row],[CANTIDAD SOLICTADA]]</f>
        <v>0</v>
      </c>
      <c r="T254" s="41"/>
      <c r="U254" s="14" t="s">
        <v>4</v>
      </c>
      <c r="V254" s="8" t="s">
        <v>435</v>
      </c>
      <c r="W254" s="9">
        <v>46171</v>
      </c>
      <c r="X254" s="10" t="s">
        <v>89</v>
      </c>
      <c r="Y254" s="10" t="s">
        <v>90</v>
      </c>
      <c r="Z254" s="16" t="s">
        <v>44</v>
      </c>
      <c r="AA254" s="25">
        <v>46171</v>
      </c>
      <c r="AB254" s="25">
        <v>46174</v>
      </c>
      <c r="AC254" s="16" t="s">
        <v>238</v>
      </c>
      <c r="AD254" s="16"/>
      <c r="AE254" s="16" t="s">
        <v>433</v>
      </c>
      <c r="AF254" s="16"/>
      <c r="AG254" s="21" t="s">
        <v>436</v>
      </c>
      <c r="XFD254" s="15" t="str">
        <f>+Tabla3[[#This Row],[ESTATUS DE NUM ECONOMICO]]</f>
        <v>ACTIVA</v>
      </c>
    </row>
    <row r="255" spans="1:33 16384:16384" ht="15.75" thickBot="1" x14ac:dyDescent="0.3">
      <c r="A255" s="8">
        <v>44</v>
      </c>
      <c r="B255" s="9">
        <v>46171</v>
      </c>
      <c r="C255" s="10" t="s">
        <v>87</v>
      </c>
      <c r="D255" s="10" t="s">
        <v>434</v>
      </c>
      <c r="E255" s="16"/>
      <c r="F255" s="10"/>
      <c r="G255" s="212" t="str">
        <f>IFERROR(VLOOKUP(Tabla3[[#This Row],[NUM ECONOMICO]],MAQUINARIA!B:H,7,0), " MAQ")</f>
        <v>ACTIVA</v>
      </c>
      <c r="H255" s="214" t="s">
        <v>224</v>
      </c>
      <c r="I255" s="41">
        <v>1242111</v>
      </c>
      <c r="J255" s="10"/>
      <c r="K255" s="10">
        <v>2</v>
      </c>
      <c r="L255" s="12"/>
      <c r="M255" s="13">
        <f t="shared" si="3"/>
        <v>0</v>
      </c>
      <c r="N255" s="41"/>
      <c r="O255" s="10"/>
      <c r="P255" s="10">
        <f>Tabla3[[#This Row],[COSTO UNITARIO DOLARES EN HAWTHORNE]]*Tabla3[[#This Row],[CANTIDAD SOLICTADA]]</f>
        <v>0</v>
      </c>
      <c r="Q255" s="41"/>
      <c r="R255" s="229"/>
      <c r="S255" s="229">
        <f>+Tabla3[[#This Row],[COSTO UNITARIO DOLARES CTP]]*Tabla3[[#This Row],[CANTIDAD SOLICTADA]]</f>
        <v>0</v>
      </c>
      <c r="T255" s="41"/>
      <c r="U255" s="14" t="s">
        <v>4</v>
      </c>
      <c r="V255" s="8" t="s">
        <v>435</v>
      </c>
      <c r="W255" s="9">
        <v>46171</v>
      </c>
      <c r="X255" s="10" t="s">
        <v>89</v>
      </c>
      <c r="Y255" s="10" t="s">
        <v>90</v>
      </c>
      <c r="Z255" s="16" t="s">
        <v>44</v>
      </c>
      <c r="AA255" s="25">
        <v>46171</v>
      </c>
      <c r="AB255" s="25">
        <v>46174</v>
      </c>
      <c r="AC255" s="16" t="s">
        <v>238</v>
      </c>
      <c r="AD255" s="16"/>
      <c r="AE255" s="16" t="s">
        <v>433</v>
      </c>
      <c r="AF255" s="16"/>
      <c r="AG255" s="21" t="s">
        <v>436</v>
      </c>
      <c r="XFD255" s="15" t="str">
        <f>+Tabla3[[#This Row],[ESTATUS DE NUM ECONOMICO]]</f>
        <v>ACTIVA</v>
      </c>
    </row>
    <row r="256" spans="1:33 16384:16384" ht="15.75" thickBot="1" x14ac:dyDescent="0.3">
      <c r="A256" s="8">
        <v>44</v>
      </c>
      <c r="B256" s="9">
        <v>46171</v>
      </c>
      <c r="C256" s="10" t="s">
        <v>87</v>
      </c>
      <c r="D256" s="10" t="s">
        <v>434</v>
      </c>
      <c r="E256" s="16"/>
      <c r="F256" s="10"/>
      <c r="G256" s="212" t="str">
        <f>IFERROR(VLOOKUP(Tabla3[[#This Row],[NUM ECONOMICO]],MAQUINARIA!B:H,7,0), " MAQ")</f>
        <v>ACTIVA</v>
      </c>
      <c r="H256" s="214" t="s">
        <v>224</v>
      </c>
      <c r="I256" s="41" t="s">
        <v>438</v>
      </c>
      <c r="J256" s="10"/>
      <c r="K256" s="10">
        <v>2</v>
      </c>
      <c r="L256" s="12"/>
      <c r="M256" s="13">
        <f t="shared" si="3"/>
        <v>0</v>
      </c>
      <c r="N256" s="41"/>
      <c r="O256" s="10"/>
      <c r="P256" s="10">
        <f>Tabla3[[#This Row],[COSTO UNITARIO DOLARES EN HAWTHORNE]]*Tabla3[[#This Row],[CANTIDAD SOLICTADA]]</f>
        <v>0</v>
      </c>
      <c r="Q256" s="41"/>
      <c r="R256" s="229"/>
      <c r="S256" s="229">
        <f>+Tabla3[[#This Row],[COSTO UNITARIO DOLARES CTP]]*Tabla3[[#This Row],[CANTIDAD SOLICTADA]]</f>
        <v>0</v>
      </c>
      <c r="T256" s="41"/>
      <c r="U256" s="14" t="s">
        <v>4</v>
      </c>
      <c r="V256" s="8" t="s">
        <v>435</v>
      </c>
      <c r="W256" s="9">
        <v>46171</v>
      </c>
      <c r="X256" s="10" t="s">
        <v>89</v>
      </c>
      <c r="Y256" s="10">
        <v>4</v>
      </c>
      <c r="Z256" s="16" t="s">
        <v>44</v>
      </c>
      <c r="AA256" s="25">
        <v>46171</v>
      </c>
      <c r="AB256" s="25">
        <v>46174</v>
      </c>
      <c r="AC256" s="16" t="s">
        <v>238</v>
      </c>
      <c r="AD256" s="16"/>
      <c r="AE256" s="16" t="s">
        <v>433</v>
      </c>
      <c r="AF256" s="16"/>
      <c r="AG256" s="21" t="s">
        <v>436</v>
      </c>
      <c r="XFD256" s="15" t="str">
        <f>+Tabla3[[#This Row],[ESTATUS DE NUM ECONOMICO]]</f>
        <v>ACTIVA</v>
      </c>
    </row>
    <row r="257" spans="1:33 16384:16384" ht="15.75" thickBot="1" x14ac:dyDescent="0.3">
      <c r="A257" s="8">
        <v>45</v>
      </c>
      <c r="B257" s="9">
        <v>46171</v>
      </c>
      <c r="C257" s="10" t="s">
        <v>112</v>
      </c>
      <c r="D257" s="10" t="s">
        <v>439</v>
      </c>
      <c r="E257" s="16">
        <v>13</v>
      </c>
      <c r="F257" s="9">
        <v>46171</v>
      </c>
      <c r="G257" s="212" t="str">
        <f>IFERROR(VLOOKUP(Tabla3[[#This Row],[NUM ECONOMICO]],MAQUINARIA!B:H,7,0), " MAQ")</f>
        <v>ACTIVA</v>
      </c>
      <c r="H257" s="214" t="s">
        <v>440</v>
      </c>
      <c r="I257" s="41" t="s">
        <v>441</v>
      </c>
      <c r="J257" s="10"/>
      <c r="K257" s="10">
        <v>1</v>
      </c>
      <c r="L257" s="12"/>
      <c r="M257" s="13">
        <f t="shared" si="3"/>
        <v>0</v>
      </c>
      <c r="N257" s="41"/>
      <c r="O257" s="10"/>
      <c r="P257" s="10">
        <f>Tabla3[[#This Row],[COSTO UNITARIO DOLARES EN HAWTHORNE]]*Tabla3[[#This Row],[CANTIDAD SOLICTADA]]</f>
        <v>0</v>
      </c>
      <c r="Q257" s="41"/>
      <c r="R257" s="229"/>
      <c r="S257" s="229">
        <f>+Tabla3[[#This Row],[COSTO UNITARIO DOLARES CTP]]*Tabla3[[#This Row],[CANTIDAD SOLICTADA]]</f>
        <v>0</v>
      </c>
      <c r="T257" s="41"/>
      <c r="U257" s="14" t="s">
        <v>4</v>
      </c>
      <c r="V257" s="8" t="s">
        <v>442</v>
      </c>
      <c r="W257" s="9">
        <v>46174</v>
      </c>
      <c r="X257" s="10" t="s">
        <v>89</v>
      </c>
      <c r="Y257" s="10" t="s">
        <v>90</v>
      </c>
      <c r="Z257" s="16" t="s">
        <v>44</v>
      </c>
      <c r="AA257" s="25">
        <v>46171</v>
      </c>
      <c r="AB257" s="25">
        <v>46174</v>
      </c>
      <c r="AC257" s="16" t="s">
        <v>238</v>
      </c>
      <c r="AD257" s="16"/>
      <c r="AE257" s="16" t="s">
        <v>407</v>
      </c>
      <c r="AF257" s="16"/>
      <c r="AG257" s="21" t="s">
        <v>443</v>
      </c>
      <c r="XFD257" s="15" t="str">
        <f>+Tabla3[[#This Row],[ESTATUS DE NUM ECONOMICO]]</f>
        <v>ACTIVA</v>
      </c>
    </row>
    <row r="258" spans="1:33 16384:16384" ht="15.75" thickBot="1" x14ac:dyDescent="0.3">
      <c r="A258" s="8">
        <v>45</v>
      </c>
      <c r="B258" s="9">
        <v>46171</v>
      </c>
      <c r="C258" s="10" t="s">
        <v>112</v>
      </c>
      <c r="D258" s="10" t="s">
        <v>439</v>
      </c>
      <c r="E258" s="16">
        <v>13</v>
      </c>
      <c r="F258" s="9">
        <v>46171</v>
      </c>
      <c r="G258" s="212" t="str">
        <f>IFERROR(VLOOKUP(Tabla3[[#This Row],[NUM ECONOMICO]],MAQUINARIA!B:H,7,0), " MAQ")</f>
        <v>ACTIVA</v>
      </c>
      <c r="H258" s="214" t="s">
        <v>440</v>
      </c>
      <c r="I258" s="41">
        <v>5134490</v>
      </c>
      <c r="J258" s="10"/>
      <c r="K258" s="10">
        <v>1</v>
      </c>
      <c r="L258" s="12"/>
      <c r="M258" s="13">
        <f t="shared" ref="M258:M321" si="4">+L258*K258</f>
        <v>0</v>
      </c>
      <c r="N258" s="41"/>
      <c r="O258" s="10"/>
      <c r="P258" s="10">
        <f>Tabla3[[#This Row],[COSTO UNITARIO DOLARES EN HAWTHORNE]]*Tabla3[[#This Row],[CANTIDAD SOLICTADA]]</f>
        <v>0</v>
      </c>
      <c r="Q258" s="41"/>
      <c r="R258" s="229"/>
      <c r="S258" s="229">
        <f>+Tabla3[[#This Row],[COSTO UNITARIO DOLARES CTP]]*Tabla3[[#This Row],[CANTIDAD SOLICTADA]]</f>
        <v>0</v>
      </c>
      <c r="T258" s="41"/>
      <c r="U258" s="14" t="s">
        <v>4</v>
      </c>
      <c r="V258" s="8" t="s">
        <v>442</v>
      </c>
      <c r="W258" s="9">
        <v>46174</v>
      </c>
      <c r="X258" s="10" t="s">
        <v>89</v>
      </c>
      <c r="Y258" s="10" t="s">
        <v>90</v>
      </c>
      <c r="Z258" s="16" t="s">
        <v>44</v>
      </c>
      <c r="AA258" s="25">
        <v>46171</v>
      </c>
      <c r="AB258" s="25">
        <v>46174</v>
      </c>
      <c r="AC258" s="16" t="s">
        <v>238</v>
      </c>
      <c r="AD258" s="16"/>
      <c r="AE258" s="16" t="s">
        <v>407</v>
      </c>
      <c r="AF258" s="16"/>
      <c r="AG258" s="21" t="s">
        <v>443</v>
      </c>
      <c r="XFD258" s="15" t="str">
        <f>+Tabla3[[#This Row],[ESTATUS DE NUM ECONOMICO]]</f>
        <v>ACTIVA</v>
      </c>
    </row>
    <row r="259" spans="1:33 16384:16384" ht="15.75" thickBot="1" x14ac:dyDescent="0.3">
      <c r="A259" s="8">
        <v>45</v>
      </c>
      <c r="B259" s="9">
        <v>46171</v>
      </c>
      <c r="C259" s="10" t="s">
        <v>112</v>
      </c>
      <c r="D259" s="10" t="s">
        <v>439</v>
      </c>
      <c r="E259" s="16">
        <v>13</v>
      </c>
      <c r="F259" s="9">
        <v>46171</v>
      </c>
      <c r="G259" s="212" t="str">
        <f>IFERROR(VLOOKUP(Tabla3[[#This Row],[NUM ECONOMICO]],MAQUINARIA!B:H,7,0), " MAQ")</f>
        <v>ACTIVA</v>
      </c>
      <c r="H259" s="214" t="s">
        <v>440</v>
      </c>
      <c r="I259" s="41" t="s">
        <v>444</v>
      </c>
      <c r="J259" s="10"/>
      <c r="K259" s="10">
        <v>1</v>
      </c>
      <c r="L259" s="12"/>
      <c r="M259" s="13">
        <f t="shared" si="4"/>
        <v>0</v>
      </c>
      <c r="N259" s="41"/>
      <c r="O259" s="10"/>
      <c r="P259" s="10">
        <f>Tabla3[[#This Row],[COSTO UNITARIO DOLARES EN HAWTHORNE]]*Tabla3[[#This Row],[CANTIDAD SOLICTADA]]</f>
        <v>0</v>
      </c>
      <c r="Q259" s="41"/>
      <c r="R259" s="229"/>
      <c r="S259" s="229">
        <f>+Tabla3[[#This Row],[COSTO UNITARIO DOLARES CTP]]*Tabla3[[#This Row],[CANTIDAD SOLICTADA]]</f>
        <v>0</v>
      </c>
      <c r="T259" s="41"/>
      <c r="U259" s="14" t="s">
        <v>4</v>
      </c>
      <c r="V259" s="8" t="s">
        <v>442</v>
      </c>
      <c r="W259" s="9">
        <v>46174</v>
      </c>
      <c r="X259" s="10" t="s">
        <v>89</v>
      </c>
      <c r="Y259" s="10" t="s">
        <v>90</v>
      </c>
      <c r="Z259" s="16" t="s">
        <v>44</v>
      </c>
      <c r="AA259" s="25">
        <v>46171</v>
      </c>
      <c r="AB259" s="25">
        <v>46174</v>
      </c>
      <c r="AC259" s="16" t="s">
        <v>238</v>
      </c>
      <c r="AD259" s="16"/>
      <c r="AE259" s="16" t="s">
        <v>407</v>
      </c>
      <c r="AF259" s="16"/>
      <c r="AG259" s="21" t="s">
        <v>443</v>
      </c>
      <c r="XFD259" s="15" t="str">
        <f>+Tabla3[[#This Row],[ESTATUS DE NUM ECONOMICO]]</f>
        <v>ACTIVA</v>
      </c>
    </row>
    <row r="260" spans="1:33 16384:16384" ht="15.75" thickBot="1" x14ac:dyDescent="0.3">
      <c r="A260" s="8">
        <v>45</v>
      </c>
      <c r="B260" s="9">
        <v>46171</v>
      </c>
      <c r="C260" s="10" t="s">
        <v>112</v>
      </c>
      <c r="D260" s="10" t="s">
        <v>439</v>
      </c>
      <c r="E260" s="16">
        <v>13</v>
      </c>
      <c r="F260" s="9">
        <v>46171</v>
      </c>
      <c r="G260" s="212" t="str">
        <f>IFERROR(VLOOKUP(Tabla3[[#This Row],[NUM ECONOMICO]],MAQUINARIA!B:H,7,0), " MAQ")</f>
        <v>ACTIVA</v>
      </c>
      <c r="H260" s="214" t="s">
        <v>440</v>
      </c>
      <c r="I260" s="41" t="s">
        <v>445</v>
      </c>
      <c r="J260" s="10"/>
      <c r="K260" s="10">
        <v>1</v>
      </c>
      <c r="L260" s="12"/>
      <c r="M260" s="13">
        <f t="shared" si="4"/>
        <v>0</v>
      </c>
      <c r="N260" s="41"/>
      <c r="O260" s="10"/>
      <c r="P260" s="10">
        <f>Tabla3[[#This Row],[COSTO UNITARIO DOLARES EN HAWTHORNE]]*Tabla3[[#This Row],[CANTIDAD SOLICTADA]]</f>
        <v>0</v>
      </c>
      <c r="Q260" s="41"/>
      <c r="R260" s="229"/>
      <c r="S260" s="229">
        <f>+Tabla3[[#This Row],[COSTO UNITARIO DOLARES CTP]]*Tabla3[[#This Row],[CANTIDAD SOLICTADA]]</f>
        <v>0</v>
      </c>
      <c r="T260" s="41"/>
      <c r="U260" s="14" t="s">
        <v>4</v>
      </c>
      <c r="V260" s="8" t="s">
        <v>442</v>
      </c>
      <c r="W260" s="9">
        <v>46174</v>
      </c>
      <c r="X260" s="10" t="s">
        <v>89</v>
      </c>
      <c r="Y260" s="10" t="s">
        <v>90</v>
      </c>
      <c r="Z260" s="16" t="s">
        <v>44</v>
      </c>
      <c r="AA260" s="25">
        <v>46171</v>
      </c>
      <c r="AB260" s="25">
        <v>46174</v>
      </c>
      <c r="AC260" s="16" t="s">
        <v>238</v>
      </c>
      <c r="AD260" s="16"/>
      <c r="AE260" s="16" t="s">
        <v>407</v>
      </c>
      <c r="AF260" s="16"/>
      <c r="AG260" s="21" t="s">
        <v>443</v>
      </c>
      <c r="XFD260" s="15" t="str">
        <f>+Tabla3[[#This Row],[ESTATUS DE NUM ECONOMICO]]</f>
        <v>ACTIVA</v>
      </c>
    </row>
    <row r="261" spans="1:33 16384:16384" ht="15.75" thickBot="1" x14ac:dyDescent="0.3">
      <c r="A261" s="8">
        <v>45</v>
      </c>
      <c r="B261" s="9">
        <v>46171</v>
      </c>
      <c r="C261" s="10" t="s">
        <v>112</v>
      </c>
      <c r="D261" s="10" t="s">
        <v>439</v>
      </c>
      <c r="E261" s="16">
        <v>13</v>
      </c>
      <c r="F261" s="9">
        <v>46171</v>
      </c>
      <c r="G261" s="212" t="str">
        <f>IFERROR(VLOOKUP(Tabla3[[#This Row],[NUM ECONOMICO]],MAQUINARIA!B:H,7,0), " MAQ")</f>
        <v>ACTIVA</v>
      </c>
      <c r="H261" s="214" t="s">
        <v>440</v>
      </c>
      <c r="I261" s="41" t="s">
        <v>446</v>
      </c>
      <c r="J261" s="10"/>
      <c r="K261" s="10">
        <v>1</v>
      </c>
      <c r="L261" s="12"/>
      <c r="M261" s="13">
        <f t="shared" si="4"/>
        <v>0</v>
      </c>
      <c r="N261" s="41"/>
      <c r="O261" s="10"/>
      <c r="P261" s="10">
        <f>Tabla3[[#This Row],[COSTO UNITARIO DOLARES EN HAWTHORNE]]*Tabla3[[#This Row],[CANTIDAD SOLICTADA]]</f>
        <v>0</v>
      </c>
      <c r="Q261" s="41"/>
      <c r="R261" s="229"/>
      <c r="S261" s="229">
        <f>+Tabla3[[#This Row],[COSTO UNITARIO DOLARES CTP]]*Tabla3[[#This Row],[CANTIDAD SOLICTADA]]</f>
        <v>0</v>
      </c>
      <c r="T261" s="41"/>
      <c r="U261" s="14" t="s">
        <v>4</v>
      </c>
      <c r="V261" s="8" t="s">
        <v>442</v>
      </c>
      <c r="W261" s="9">
        <v>46174</v>
      </c>
      <c r="X261" s="10" t="s">
        <v>89</v>
      </c>
      <c r="Y261" s="10">
        <v>2</v>
      </c>
      <c r="Z261" s="16" t="s">
        <v>44</v>
      </c>
      <c r="AA261" s="25">
        <v>46171</v>
      </c>
      <c r="AB261" s="25">
        <v>46174</v>
      </c>
      <c r="AC261" s="16" t="s">
        <v>238</v>
      </c>
      <c r="AD261" s="16"/>
      <c r="AE261" s="16" t="s">
        <v>407</v>
      </c>
      <c r="AF261" s="16"/>
      <c r="AG261" s="21" t="s">
        <v>443</v>
      </c>
      <c r="XFD261" s="15" t="str">
        <f>+Tabla3[[#This Row],[ESTATUS DE NUM ECONOMICO]]</f>
        <v>ACTIVA</v>
      </c>
    </row>
    <row r="262" spans="1:33 16384:16384" ht="15.75" thickBot="1" x14ac:dyDescent="0.3">
      <c r="A262" s="8">
        <v>45</v>
      </c>
      <c r="B262" s="9">
        <v>46171</v>
      </c>
      <c r="C262" s="10" t="s">
        <v>112</v>
      </c>
      <c r="D262" s="10" t="s">
        <v>439</v>
      </c>
      <c r="E262" s="16">
        <v>13</v>
      </c>
      <c r="F262" s="9">
        <v>46171</v>
      </c>
      <c r="G262" s="212" t="str">
        <f>IFERROR(VLOOKUP(Tabla3[[#This Row],[NUM ECONOMICO]],MAQUINARIA!B:H,7,0), " MAQ")</f>
        <v>ACTIVA</v>
      </c>
      <c r="H262" s="214" t="s">
        <v>440</v>
      </c>
      <c r="I262" s="41">
        <v>1261814</v>
      </c>
      <c r="J262" s="10"/>
      <c r="K262" s="10">
        <v>2</v>
      </c>
      <c r="L262" s="12"/>
      <c r="M262" s="13">
        <f t="shared" si="4"/>
        <v>0</v>
      </c>
      <c r="N262" s="41"/>
      <c r="O262" s="10"/>
      <c r="P262" s="10">
        <f>Tabla3[[#This Row],[COSTO UNITARIO DOLARES EN HAWTHORNE]]*Tabla3[[#This Row],[CANTIDAD SOLICTADA]]</f>
        <v>0</v>
      </c>
      <c r="Q262" s="41"/>
      <c r="R262" s="229"/>
      <c r="S262" s="229">
        <f>+Tabla3[[#This Row],[COSTO UNITARIO DOLARES CTP]]*Tabla3[[#This Row],[CANTIDAD SOLICTADA]]</f>
        <v>0</v>
      </c>
      <c r="T262" s="41"/>
      <c r="U262" s="14" t="s">
        <v>4</v>
      </c>
      <c r="V262" s="8" t="s">
        <v>442</v>
      </c>
      <c r="W262" s="9">
        <v>46174</v>
      </c>
      <c r="X262" s="10" t="s">
        <v>89</v>
      </c>
      <c r="Y262" s="10" t="s">
        <v>90</v>
      </c>
      <c r="Z262" s="16" t="s">
        <v>44</v>
      </c>
      <c r="AA262" s="25">
        <v>46171</v>
      </c>
      <c r="AB262" s="25">
        <v>46174</v>
      </c>
      <c r="AC262" s="16" t="s">
        <v>238</v>
      </c>
      <c r="AD262" s="16"/>
      <c r="AE262" s="16" t="s">
        <v>407</v>
      </c>
      <c r="AF262" s="16"/>
      <c r="AG262" s="21" t="s">
        <v>443</v>
      </c>
      <c r="XFD262" s="15" t="str">
        <f>+Tabla3[[#This Row],[ESTATUS DE NUM ECONOMICO]]</f>
        <v>ACTIVA</v>
      </c>
    </row>
    <row r="263" spans="1:33 16384:16384" ht="15.75" thickBot="1" x14ac:dyDescent="0.3">
      <c r="A263" s="8">
        <v>45</v>
      </c>
      <c r="B263" s="9">
        <v>46171</v>
      </c>
      <c r="C263" s="10" t="s">
        <v>112</v>
      </c>
      <c r="D263" s="10" t="s">
        <v>439</v>
      </c>
      <c r="E263" s="16">
        <v>13</v>
      </c>
      <c r="F263" s="9">
        <v>46171</v>
      </c>
      <c r="G263" s="212" t="str">
        <f>IFERROR(VLOOKUP(Tabla3[[#This Row],[NUM ECONOMICO]],MAQUINARIA!B:H,7,0), " MAQ")</f>
        <v>ACTIVA</v>
      </c>
      <c r="H263" s="214" t="s">
        <v>440</v>
      </c>
      <c r="I263" s="41" t="s">
        <v>447</v>
      </c>
      <c r="J263" s="10"/>
      <c r="K263" s="10">
        <v>1</v>
      </c>
      <c r="L263" s="12"/>
      <c r="M263" s="13">
        <f t="shared" si="4"/>
        <v>0</v>
      </c>
      <c r="N263" s="41"/>
      <c r="O263" s="10"/>
      <c r="P263" s="10">
        <f>Tabla3[[#This Row],[COSTO UNITARIO DOLARES EN HAWTHORNE]]*Tabla3[[#This Row],[CANTIDAD SOLICTADA]]</f>
        <v>0</v>
      </c>
      <c r="Q263" s="41"/>
      <c r="R263" s="229"/>
      <c r="S263" s="229">
        <f>+Tabla3[[#This Row],[COSTO UNITARIO DOLARES CTP]]*Tabla3[[#This Row],[CANTIDAD SOLICTADA]]</f>
        <v>0</v>
      </c>
      <c r="T263" s="41"/>
      <c r="U263" s="14" t="s">
        <v>4</v>
      </c>
      <c r="V263" s="8" t="s">
        <v>442</v>
      </c>
      <c r="W263" s="9">
        <v>46174</v>
      </c>
      <c r="X263" s="10" t="s">
        <v>89</v>
      </c>
      <c r="Y263" s="10" t="s">
        <v>90</v>
      </c>
      <c r="Z263" s="16" t="s">
        <v>44</v>
      </c>
      <c r="AA263" s="25">
        <v>46171</v>
      </c>
      <c r="AB263" s="25">
        <v>46174</v>
      </c>
      <c r="AC263" s="16" t="s">
        <v>238</v>
      </c>
      <c r="AD263" s="16"/>
      <c r="AE263" s="16" t="s">
        <v>407</v>
      </c>
      <c r="AF263" s="16"/>
      <c r="AG263" s="21" t="s">
        <v>443</v>
      </c>
      <c r="XFD263" s="15" t="str">
        <f>+Tabla3[[#This Row],[ESTATUS DE NUM ECONOMICO]]</f>
        <v>ACTIVA</v>
      </c>
    </row>
    <row r="264" spans="1:33 16384:16384" ht="15.75" thickBot="1" x14ac:dyDescent="0.3">
      <c r="A264" s="8">
        <v>46</v>
      </c>
      <c r="B264" s="9">
        <v>46171</v>
      </c>
      <c r="C264" s="10" t="s">
        <v>112</v>
      </c>
      <c r="D264" s="10" t="s">
        <v>448</v>
      </c>
      <c r="E264" s="16">
        <v>15</v>
      </c>
      <c r="F264" s="9">
        <v>46171</v>
      </c>
      <c r="G264" s="212" t="str">
        <f>IFERROR(VLOOKUP(Tabla3[[#This Row],[NUM ECONOMICO]],MAQUINARIA!B:H,7,0), " MAQ")</f>
        <v>ACTIVA</v>
      </c>
      <c r="H264" s="214" t="s">
        <v>449</v>
      </c>
      <c r="I264" s="41" t="s">
        <v>445</v>
      </c>
      <c r="J264" s="10"/>
      <c r="K264" s="10">
        <v>1</v>
      </c>
      <c r="L264" s="12"/>
      <c r="M264" s="13">
        <f t="shared" si="4"/>
        <v>0</v>
      </c>
      <c r="N264" s="41"/>
      <c r="O264" s="10"/>
      <c r="P264" s="10">
        <f>Tabla3[[#This Row],[COSTO UNITARIO DOLARES EN HAWTHORNE]]*Tabla3[[#This Row],[CANTIDAD SOLICTADA]]</f>
        <v>0</v>
      </c>
      <c r="Q264" s="41"/>
      <c r="R264" s="229"/>
      <c r="S264" s="229">
        <f>+Tabla3[[#This Row],[COSTO UNITARIO DOLARES CTP]]*Tabla3[[#This Row],[CANTIDAD SOLICTADA]]</f>
        <v>0</v>
      </c>
      <c r="T264" s="41"/>
      <c r="U264" s="14" t="s">
        <v>4</v>
      </c>
      <c r="V264" s="8" t="s">
        <v>450</v>
      </c>
      <c r="W264" s="9">
        <v>46174</v>
      </c>
      <c r="X264" s="10" t="s">
        <v>89</v>
      </c>
      <c r="Y264" s="10" t="s">
        <v>90</v>
      </c>
      <c r="Z264" s="16" t="s">
        <v>44</v>
      </c>
      <c r="AA264" s="25">
        <v>46171</v>
      </c>
      <c r="AB264" s="25">
        <v>46174</v>
      </c>
      <c r="AC264" s="16" t="s">
        <v>238</v>
      </c>
      <c r="AD264" s="16"/>
      <c r="AE264" s="16" t="s">
        <v>407</v>
      </c>
      <c r="AF264" s="16"/>
      <c r="AG264" s="21" t="s">
        <v>443</v>
      </c>
      <c r="XFD264" s="15" t="str">
        <f>+Tabla3[[#This Row],[ESTATUS DE NUM ECONOMICO]]</f>
        <v>ACTIVA</v>
      </c>
    </row>
    <row r="265" spans="1:33 16384:16384" ht="15.75" thickBot="1" x14ac:dyDescent="0.3">
      <c r="A265" s="8">
        <v>46</v>
      </c>
      <c r="B265" s="9">
        <v>46171</v>
      </c>
      <c r="C265" s="10" t="s">
        <v>112</v>
      </c>
      <c r="D265" s="10" t="s">
        <v>448</v>
      </c>
      <c r="E265" s="16">
        <v>15</v>
      </c>
      <c r="F265" s="9">
        <v>46171</v>
      </c>
      <c r="G265" s="212" t="str">
        <f>IFERROR(VLOOKUP(Tabla3[[#This Row],[NUM ECONOMICO]],MAQUINARIA!B:H,7,0), " MAQ")</f>
        <v>ACTIVA</v>
      </c>
      <c r="H265" s="214" t="s">
        <v>449</v>
      </c>
      <c r="I265" s="41">
        <v>5134490</v>
      </c>
      <c r="J265" s="10"/>
      <c r="K265" s="10">
        <v>1</v>
      </c>
      <c r="L265" s="12"/>
      <c r="M265" s="13">
        <f t="shared" si="4"/>
        <v>0</v>
      </c>
      <c r="N265" s="41"/>
      <c r="O265" s="10"/>
      <c r="P265" s="10">
        <f>Tabla3[[#This Row],[COSTO UNITARIO DOLARES EN HAWTHORNE]]*Tabla3[[#This Row],[CANTIDAD SOLICTADA]]</f>
        <v>0</v>
      </c>
      <c r="Q265" s="41"/>
      <c r="R265" s="229"/>
      <c r="S265" s="229">
        <f>+Tabla3[[#This Row],[COSTO UNITARIO DOLARES CTP]]*Tabla3[[#This Row],[CANTIDAD SOLICTADA]]</f>
        <v>0</v>
      </c>
      <c r="T265" s="41"/>
      <c r="U265" s="14" t="s">
        <v>4</v>
      </c>
      <c r="V265" s="8" t="s">
        <v>450</v>
      </c>
      <c r="W265" s="9">
        <v>46174</v>
      </c>
      <c r="X265" s="10" t="s">
        <v>89</v>
      </c>
      <c r="Y265" s="10" t="s">
        <v>90</v>
      </c>
      <c r="Z265" s="16" t="s">
        <v>44</v>
      </c>
      <c r="AA265" s="25">
        <v>46171</v>
      </c>
      <c r="AB265" s="25">
        <v>46174</v>
      </c>
      <c r="AC265" s="16" t="s">
        <v>238</v>
      </c>
      <c r="AD265" s="16"/>
      <c r="AE265" s="16" t="s">
        <v>407</v>
      </c>
      <c r="AF265" s="16"/>
      <c r="AG265" s="21" t="s">
        <v>443</v>
      </c>
      <c r="XFD265" s="15" t="str">
        <f>+Tabla3[[#This Row],[ESTATUS DE NUM ECONOMICO]]</f>
        <v>ACTIVA</v>
      </c>
    </row>
    <row r="266" spans="1:33 16384:16384" ht="15.75" thickBot="1" x14ac:dyDescent="0.3">
      <c r="A266" s="8">
        <v>46</v>
      </c>
      <c r="B266" s="9">
        <v>46171</v>
      </c>
      <c r="C266" s="10" t="s">
        <v>112</v>
      </c>
      <c r="D266" s="10" t="s">
        <v>448</v>
      </c>
      <c r="E266" s="16">
        <v>15</v>
      </c>
      <c r="F266" s="9">
        <v>46171</v>
      </c>
      <c r="G266" s="212" t="str">
        <f>IFERROR(VLOOKUP(Tabla3[[#This Row],[NUM ECONOMICO]],MAQUINARIA!B:H,7,0), " MAQ")</f>
        <v>ACTIVA</v>
      </c>
      <c r="H266" s="214" t="s">
        <v>449</v>
      </c>
      <c r="I266" s="41" t="s">
        <v>447</v>
      </c>
      <c r="J266" s="10"/>
      <c r="K266" s="10">
        <v>1</v>
      </c>
      <c r="L266" s="12"/>
      <c r="M266" s="13">
        <f t="shared" si="4"/>
        <v>0</v>
      </c>
      <c r="N266" s="41"/>
      <c r="O266" s="10"/>
      <c r="P266" s="10">
        <f>Tabla3[[#This Row],[COSTO UNITARIO DOLARES EN HAWTHORNE]]*Tabla3[[#This Row],[CANTIDAD SOLICTADA]]</f>
        <v>0</v>
      </c>
      <c r="Q266" s="41"/>
      <c r="R266" s="229"/>
      <c r="S266" s="229">
        <f>+Tabla3[[#This Row],[COSTO UNITARIO DOLARES CTP]]*Tabla3[[#This Row],[CANTIDAD SOLICTADA]]</f>
        <v>0</v>
      </c>
      <c r="T266" s="41"/>
      <c r="U266" s="14" t="s">
        <v>4</v>
      </c>
      <c r="V266" s="8" t="s">
        <v>450</v>
      </c>
      <c r="W266" s="9">
        <v>46174</v>
      </c>
      <c r="X266" s="10" t="s">
        <v>89</v>
      </c>
      <c r="Y266" s="10" t="s">
        <v>90</v>
      </c>
      <c r="Z266" s="16" t="s">
        <v>44</v>
      </c>
      <c r="AA266" s="25">
        <v>46171</v>
      </c>
      <c r="AB266" s="25">
        <v>46174</v>
      </c>
      <c r="AC266" s="16" t="s">
        <v>238</v>
      </c>
      <c r="AD266" s="16"/>
      <c r="AE266" s="16" t="s">
        <v>407</v>
      </c>
      <c r="AF266" s="16"/>
      <c r="AG266" s="21" t="s">
        <v>443</v>
      </c>
      <c r="XFD266" s="15" t="str">
        <f>+Tabla3[[#This Row],[ESTATUS DE NUM ECONOMICO]]</f>
        <v>ACTIVA</v>
      </c>
    </row>
    <row r="267" spans="1:33 16384:16384" ht="15.75" thickBot="1" x14ac:dyDescent="0.3">
      <c r="A267" s="8">
        <v>46</v>
      </c>
      <c r="B267" s="9">
        <v>46171</v>
      </c>
      <c r="C267" s="10" t="s">
        <v>112</v>
      </c>
      <c r="D267" s="10" t="s">
        <v>448</v>
      </c>
      <c r="E267" s="16">
        <v>15</v>
      </c>
      <c r="F267" s="9">
        <v>46171</v>
      </c>
      <c r="G267" s="212" t="str">
        <f>IFERROR(VLOOKUP(Tabla3[[#This Row],[NUM ECONOMICO]],MAQUINARIA!B:H,7,0), " MAQ")</f>
        <v>ACTIVA</v>
      </c>
      <c r="H267" s="214" t="s">
        <v>449</v>
      </c>
      <c r="I267" s="41" t="s">
        <v>446</v>
      </c>
      <c r="J267" s="10"/>
      <c r="K267" s="10">
        <v>1</v>
      </c>
      <c r="L267" s="12"/>
      <c r="M267" s="13">
        <f t="shared" si="4"/>
        <v>0</v>
      </c>
      <c r="N267" s="41"/>
      <c r="O267" s="10"/>
      <c r="P267" s="10">
        <f>Tabla3[[#This Row],[COSTO UNITARIO DOLARES EN HAWTHORNE]]*Tabla3[[#This Row],[CANTIDAD SOLICTADA]]</f>
        <v>0</v>
      </c>
      <c r="Q267" s="41"/>
      <c r="R267" s="229"/>
      <c r="S267" s="229">
        <f>+Tabla3[[#This Row],[COSTO UNITARIO DOLARES CTP]]*Tabla3[[#This Row],[CANTIDAD SOLICTADA]]</f>
        <v>0</v>
      </c>
      <c r="T267" s="41"/>
      <c r="U267" s="14" t="s">
        <v>4</v>
      </c>
      <c r="V267" s="8" t="s">
        <v>450</v>
      </c>
      <c r="W267" s="9">
        <v>46174</v>
      </c>
      <c r="X267" s="10" t="s">
        <v>89</v>
      </c>
      <c r="Y267" s="10">
        <v>2</v>
      </c>
      <c r="Z267" s="16" t="s">
        <v>44</v>
      </c>
      <c r="AA267" s="25">
        <v>46171</v>
      </c>
      <c r="AB267" s="25">
        <v>46174</v>
      </c>
      <c r="AC267" s="16" t="s">
        <v>238</v>
      </c>
      <c r="AD267" s="16"/>
      <c r="AE267" s="16" t="s">
        <v>407</v>
      </c>
      <c r="AF267" s="16"/>
      <c r="AG267" s="21" t="s">
        <v>443</v>
      </c>
      <c r="XFD267" s="15" t="str">
        <f>+Tabla3[[#This Row],[ESTATUS DE NUM ECONOMICO]]</f>
        <v>ACTIVA</v>
      </c>
    </row>
    <row r="268" spans="1:33 16384:16384" ht="15.75" thickBot="1" x14ac:dyDescent="0.3">
      <c r="A268" s="8">
        <v>46</v>
      </c>
      <c r="B268" s="9">
        <v>46171</v>
      </c>
      <c r="C268" s="10" t="s">
        <v>112</v>
      </c>
      <c r="D268" s="10" t="s">
        <v>448</v>
      </c>
      <c r="E268" s="16">
        <v>15</v>
      </c>
      <c r="F268" s="9">
        <v>46171</v>
      </c>
      <c r="G268" s="212" t="str">
        <f>IFERROR(VLOOKUP(Tabla3[[#This Row],[NUM ECONOMICO]],MAQUINARIA!B:H,7,0), " MAQ")</f>
        <v>ACTIVA</v>
      </c>
      <c r="H268" s="214" t="s">
        <v>449</v>
      </c>
      <c r="I268" s="41">
        <v>1261814</v>
      </c>
      <c r="J268" s="10"/>
      <c r="K268" s="10">
        <v>1</v>
      </c>
      <c r="L268" s="12"/>
      <c r="M268" s="13">
        <f t="shared" si="4"/>
        <v>0</v>
      </c>
      <c r="N268" s="41"/>
      <c r="O268" s="10"/>
      <c r="P268" s="10">
        <f>Tabla3[[#This Row],[COSTO UNITARIO DOLARES EN HAWTHORNE]]*Tabla3[[#This Row],[CANTIDAD SOLICTADA]]</f>
        <v>0</v>
      </c>
      <c r="Q268" s="41"/>
      <c r="R268" s="229"/>
      <c r="S268" s="229">
        <f>+Tabla3[[#This Row],[COSTO UNITARIO DOLARES CTP]]*Tabla3[[#This Row],[CANTIDAD SOLICTADA]]</f>
        <v>0</v>
      </c>
      <c r="T268" s="41"/>
      <c r="U268" s="14" t="s">
        <v>4</v>
      </c>
      <c r="V268" s="8" t="s">
        <v>450</v>
      </c>
      <c r="W268" s="9">
        <v>46174</v>
      </c>
      <c r="X268" s="10" t="s">
        <v>89</v>
      </c>
      <c r="Y268" s="10" t="s">
        <v>90</v>
      </c>
      <c r="Z268" s="16" t="s">
        <v>44</v>
      </c>
      <c r="AA268" s="25">
        <v>46171</v>
      </c>
      <c r="AB268" s="25">
        <v>46174</v>
      </c>
      <c r="AC268" s="16" t="s">
        <v>238</v>
      </c>
      <c r="AD268" s="16"/>
      <c r="AE268" s="16" t="s">
        <v>407</v>
      </c>
      <c r="AF268" s="16"/>
      <c r="AG268" s="21" t="s">
        <v>443</v>
      </c>
      <c r="XFD268" s="15" t="str">
        <f>+Tabla3[[#This Row],[ESTATUS DE NUM ECONOMICO]]</f>
        <v>ACTIVA</v>
      </c>
    </row>
    <row r="269" spans="1:33 16384:16384" ht="15.75" thickBot="1" x14ac:dyDescent="0.3">
      <c r="A269" s="8">
        <v>46</v>
      </c>
      <c r="B269" s="9">
        <v>46171</v>
      </c>
      <c r="C269" s="10" t="s">
        <v>112</v>
      </c>
      <c r="D269" s="10" t="s">
        <v>448</v>
      </c>
      <c r="E269" s="16">
        <v>15</v>
      </c>
      <c r="F269" s="9">
        <v>46171</v>
      </c>
      <c r="G269" s="212" t="str">
        <f>IFERROR(VLOOKUP(Tabla3[[#This Row],[NUM ECONOMICO]],MAQUINARIA!B:H,7,0), " MAQ")</f>
        <v>ACTIVA</v>
      </c>
      <c r="H269" s="214" t="s">
        <v>449</v>
      </c>
      <c r="I269" s="41" t="s">
        <v>441</v>
      </c>
      <c r="J269" s="10"/>
      <c r="K269" s="10">
        <v>1</v>
      </c>
      <c r="L269" s="12"/>
      <c r="M269" s="13">
        <f t="shared" si="4"/>
        <v>0</v>
      </c>
      <c r="N269" s="41"/>
      <c r="O269" s="10"/>
      <c r="P269" s="10">
        <f>Tabla3[[#This Row],[COSTO UNITARIO DOLARES EN HAWTHORNE]]*Tabla3[[#This Row],[CANTIDAD SOLICTADA]]</f>
        <v>0</v>
      </c>
      <c r="Q269" s="41"/>
      <c r="R269" s="229"/>
      <c r="S269" s="229">
        <f>+Tabla3[[#This Row],[COSTO UNITARIO DOLARES CTP]]*Tabla3[[#This Row],[CANTIDAD SOLICTADA]]</f>
        <v>0</v>
      </c>
      <c r="T269" s="41"/>
      <c r="U269" s="14" t="s">
        <v>4</v>
      </c>
      <c r="V269" s="8" t="s">
        <v>450</v>
      </c>
      <c r="W269" s="9">
        <v>46174</v>
      </c>
      <c r="X269" s="10" t="s">
        <v>89</v>
      </c>
      <c r="Y269" s="10" t="s">
        <v>90</v>
      </c>
      <c r="Z269" s="16" t="s">
        <v>44</v>
      </c>
      <c r="AA269" s="25">
        <v>46171</v>
      </c>
      <c r="AB269" s="25">
        <v>46174</v>
      </c>
      <c r="AC269" s="16" t="s">
        <v>238</v>
      </c>
      <c r="AD269" s="16"/>
      <c r="AE269" s="16" t="s">
        <v>407</v>
      </c>
      <c r="AF269" s="16"/>
      <c r="AG269" s="21" t="s">
        <v>443</v>
      </c>
      <c r="XFD269" s="15" t="str">
        <f>+Tabla3[[#This Row],[ESTATUS DE NUM ECONOMICO]]</f>
        <v>ACTIVA</v>
      </c>
    </row>
    <row r="270" spans="1:33 16384:16384" ht="15.75" thickBot="1" x14ac:dyDescent="0.3">
      <c r="A270" s="8">
        <v>46</v>
      </c>
      <c r="B270" s="9">
        <v>46171</v>
      </c>
      <c r="C270" s="10" t="s">
        <v>112</v>
      </c>
      <c r="D270" s="10" t="s">
        <v>448</v>
      </c>
      <c r="E270" s="16">
        <v>15</v>
      </c>
      <c r="F270" s="9">
        <v>46171</v>
      </c>
      <c r="G270" s="212" t="str">
        <f>IFERROR(VLOOKUP(Tabla3[[#This Row],[NUM ECONOMICO]],MAQUINARIA!B:H,7,0), " MAQ")</f>
        <v>ACTIVA</v>
      </c>
      <c r="H270" s="214" t="s">
        <v>449</v>
      </c>
      <c r="I270" s="41" t="s">
        <v>451</v>
      </c>
      <c r="J270" s="10"/>
      <c r="K270" s="10">
        <v>1</v>
      </c>
      <c r="L270" s="12"/>
      <c r="M270" s="13">
        <f t="shared" si="4"/>
        <v>0</v>
      </c>
      <c r="N270" s="41"/>
      <c r="O270" s="10"/>
      <c r="P270" s="10">
        <f>Tabla3[[#This Row],[COSTO UNITARIO DOLARES EN HAWTHORNE]]*Tabla3[[#This Row],[CANTIDAD SOLICTADA]]</f>
        <v>0</v>
      </c>
      <c r="Q270" s="41"/>
      <c r="R270" s="229"/>
      <c r="S270" s="229">
        <f>+Tabla3[[#This Row],[COSTO UNITARIO DOLARES CTP]]*Tabla3[[#This Row],[CANTIDAD SOLICTADA]]</f>
        <v>0</v>
      </c>
      <c r="T270" s="41"/>
      <c r="U270" s="14" t="s">
        <v>4</v>
      </c>
      <c r="V270" s="8" t="s">
        <v>450</v>
      </c>
      <c r="W270" s="9">
        <v>46174</v>
      </c>
      <c r="X270" s="10" t="s">
        <v>89</v>
      </c>
      <c r="Y270" s="10" t="s">
        <v>90</v>
      </c>
      <c r="Z270" s="16" t="s">
        <v>44</v>
      </c>
      <c r="AA270" s="25">
        <v>46171</v>
      </c>
      <c r="AB270" s="25">
        <v>46174</v>
      </c>
      <c r="AC270" s="16" t="s">
        <v>238</v>
      </c>
      <c r="AD270" s="16"/>
      <c r="AE270" s="16" t="s">
        <v>407</v>
      </c>
      <c r="AF270" s="16"/>
      <c r="AG270" s="21" t="s">
        <v>443</v>
      </c>
      <c r="XFD270" s="15" t="str">
        <f>+Tabla3[[#This Row],[ESTATUS DE NUM ECONOMICO]]</f>
        <v>ACTIVA</v>
      </c>
    </row>
    <row r="271" spans="1:33 16384:16384" ht="15.75" thickBot="1" x14ac:dyDescent="0.3">
      <c r="A271" s="8">
        <v>46</v>
      </c>
      <c r="B271" s="9">
        <v>46171</v>
      </c>
      <c r="C271" s="10" t="s">
        <v>112</v>
      </c>
      <c r="D271" s="10" t="s">
        <v>448</v>
      </c>
      <c r="E271" s="16">
        <v>15</v>
      </c>
      <c r="F271" s="9">
        <v>46171</v>
      </c>
      <c r="G271" s="212" t="str">
        <f>IFERROR(VLOOKUP(Tabla3[[#This Row],[NUM ECONOMICO]],MAQUINARIA!B:H,7,0), " MAQ")</f>
        <v>ACTIVA</v>
      </c>
      <c r="H271" s="214" t="s">
        <v>449</v>
      </c>
      <c r="I271" s="41" t="s">
        <v>452</v>
      </c>
      <c r="J271" s="10"/>
      <c r="K271" s="10">
        <v>2</v>
      </c>
      <c r="L271" s="12"/>
      <c r="M271" s="13">
        <f t="shared" si="4"/>
        <v>0</v>
      </c>
      <c r="N271" s="41"/>
      <c r="O271" s="10"/>
      <c r="P271" s="10">
        <f>Tabla3[[#This Row],[COSTO UNITARIO DOLARES EN HAWTHORNE]]*Tabla3[[#This Row],[CANTIDAD SOLICTADA]]</f>
        <v>0</v>
      </c>
      <c r="Q271" s="41"/>
      <c r="R271" s="229"/>
      <c r="S271" s="229">
        <f>+Tabla3[[#This Row],[COSTO UNITARIO DOLARES CTP]]*Tabla3[[#This Row],[CANTIDAD SOLICTADA]]</f>
        <v>0</v>
      </c>
      <c r="T271" s="41"/>
      <c r="U271" s="14" t="s">
        <v>4</v>
      </c>
      <c r="V271" s="8" t="s">
        <v>450</v>
      </c>
      <c r="W271" s="9">
        <v>46174</v>
      </c>
      <c r="X271" s="10" t="s">
        <v>89</v>
      </c>
      <c r="Y271" s="10" t="s">
        <v>90</v>
      </c>
      <c r="Z271" s="16" t="s">
        <v>44</v>
      </c>
      <c r="AA271" s="25">
        <v>46171</v>
      </c>
      <c r="AB271" s="25">
        <v>46174</v>
      </c>
      <c r="AC271" s="16" t="s">
        <v>238</v>
      </c>
      <c r="AD271" s="16"/>
      <c r="AE271" s="16" t="s">
        <v>407</v>
      </c>
      <c r="AF271" s="16"/>
      <c r="AG271" s="21" t="s">
        <v>443</v>
      </c>
      <c r="XFD271" s="15" t="str">
        <f>+Tabla3[[#This Row],[ESTATUS DE NUM ECONOMICO]]</f>
        <v>ACTIVA</v>
      </c>
    </row>
    <row r="272" spans="1:33 16384:16384" ht="15.75" thickBot="1" x14ac:dyDescent="0.3">
      <c r="A272" s="8">
        <v>47</v>
      </c>
      <c r="B272" s="9">
        <v>46171</v>
      </c>
      <c r="C272" s="10" t="s">
        <v>112</v>
      </c>
      <c r="D272" s="10" t="s">
        <v>453</v>
      </c>
      <c r="E272" s="16">
        <v>18</v>
      </c>
      <c r="F272" s="9">
        <v>46171</v>
      </c>
      <c r="G272" s="212" t="str">
        <f>IFERROR(VLOOKUP(Tabla3[[#This Row],[NUM ECONOMICO]],MAQUINARIA!B:H,7,0), " MAQ")</f>
        <v>SINIESTRADO</v>
      </c>
      <c r="H272" s="214" t="s">
        <v>454</v>
      </c>
      <c r="I272" s="41" t="s">
        <v>444</v>
      </c>
      <c r="J272" s="10"/>
      <c r="K272" s="10">
        <v>2</v>
      </c>
      <c r="L272" s="12"/>
      <c r="M272" s="13">
        <f t="shared" si="4"/>
        <v>0</v>
      </c>
      <c r="N272" s="41"/>
      <c r="O272" s="10"/>
      <c r="P272" s="10">
        <f>Tabla3[[#This Row],[COSTO UNITARIO DOLARES EN HAWTHORNE]]*Tabla3[[#This Row],[CANTIDAD SOLICTADA]]</f>
        <v>0</v>
      </c>
      <c r="Q272" s="41"/>
      <c r="R272" s="229"/>
      <c r="S272" s="229">
        <f>+Tabla3[[#This Row],[COSTO UNITARIO DOLARES CTP]]*Tabla3[[#This Row],[CANTIDAD SOLICTADA]]</f>
        <v>0</v>
      </c>
      <c r="T272" s="41"/>
      <c r="U272" s="14" t="s">
        <v>4</v>
      </c>
      <c r="V272" s="8" t="s">
        <v>455</v>
      </c>
      <c r="W272" s="9">
        <v>46174</v>
      </c>
      <c r="X272" s="10" t="s">
        <v>89</v>
      </c>
      <c r="Y272" s="10" t="s">
        <v>90</v>
      </c>
      <c r="Z272" s="16" t="s">
        <v>44</v>
      </c>
      <c r="AA272" s="25">
        <v>46171</v>
      </c>
      <c r="AB272" s="25">
        <v>46174</v>
      </c>
      <c r="AC272" s="16" t="s">
        <v>238</v>
      </c>
      <c r="AD272" s="16"/>
      <c r="AE272" s="16" t="s">
        <v>407</v>
      </c>
      <c r="AF272" s="16"/>
      <c r="AG272" s="21" t="s">
        <v>443</v>
      </c>
      <c r="XFD272" s="15" t="str">
        <f>+Tabla3[[#This Row],[ESTATUS DE NUM ECONOMICO]]</f>
        <v>SINIESTRADO</v>
      </c>
    </row>
    <row r="273" spans="1:33 16384:16384" ht="15.75" thickBot="1" x14ac:dyDescent="0.3">
      <c r="A273" s="8">
        <v>47</v>
      </c>
      <c r="B273" s="9">
        <v>46171</v>
      </c>
      <c r="C273" s="10" t="s">
        <v>112</v>
      </c>
      <c r="D273" s="10" t="s">
        <v>453</v>
      </c>
      <c r="E273" s="16">
        <v>18</v>
      </c>
      <c r="F273" s="9">
        <v>46171</v>
      </c>
      <c r="G273" s="212" t="str">
        <f>IFERROR(VLOOKUP(Tabla3[[#This Row],[NUM ECONOMICO]],MAQUINARIA!B:H,7,0), " MAQ")</f>
        <v>SINIESTRADO</v>
      </c>
      <c r="H273" s="214" t="s">
        <v>454</v>
      </c>
      <c r="I273" s="41" t="s">
        <v>456</v>
      </c>
      <c r="J273" s="10"/>
      <c r="K273" s="10">
        <v>1</v>
      </c>
      <c r="L273" s="12"/>
      <c r="M273" s="13">
        <f t="shared" si="4"/>
        <v>0</v>
      </c>
      <c r="N273" s="41"/>
      <c r="O273" s="10"/>
      <c r="P273" s="10">
        <f>Tabla3[[#This Row],[COSTO UNITARIO DOLARES EN HAWTHORNE]]*Tabla3[[#This Row],[CANTIDAD SOLICTADA]]</f>
        <v>0</v>
      </c>
      <c r="Q273" s="41"/>
      <c r="R273" s="229"/>
      <c r="S273" s="229">
        <f>+Tabla3[[#This Row],[COSTO UNITARIO DOLARES CTP]]*Tabla3[[#This Row],[CANTIDAD SOLICTADA]]</f>
        <v>0</v>
      </c>
      <c r="T273" s="41"/>
      <c r="U273" s="14" t="s">
        <v>4</v>
      </c>
      <c r="V273" s="8" t="s">
        <v>455</v>
      </c>
      <c r="W273" s="9">
        <v>46174</v>
      </c>
      <c r="X273" s="10" t="s">
        <v>89</v>
      </c>
      <c r="Y273" s="10" t="s">
        <v>90</v>
      </c>
      <c r="Z273" s="16" t="s">
        <v>44</v>
      </c>
      <c r="AA273" s="25">
        <v>46171</v>
      </c>
      <c r="AB273" s="25">
        <v>46174</v>
      </c>
      <c r="AC273" s="16" t="s">
        <v>238</v>
      </c>
      <c r="AD273" s="16"/>
      <c r="AE273" s="16" t="s">
        <v>407</v>
      </c>
      <c r="AF273" s="16"/>
      <c r="AG273" s="21" t="s">
        <v>443</v>
      </c>
      <c r="XFD273" s="15" t="str">
        <f>+Tabla3[[#This Row],[ESTATUS DE NUM ECONOMICO]]</f>
        <v>SINIESTRADO</v>
      </c>
    </row>
    <row r="274" spans="1:33 16384:16384" ht="15.75" thickBot="1" x14ac:dyDescent="0.3">
      <c r="A274" s="8">
        <v>47</v>
      </c>
      <c r="B274" s="9">
        <v>46171</v>
      </c>
      <c r="C274" s="10" t="s">
        <v>112</v>
      </c>
      <c r="D274" s="10" t="s">
        <v>453</v>
      </c>
      <c r="E274" s="16">
        <v>18</v>
      </c>
      <c r="F274" s="9">
        <v>46171</v>
      </c>
      <c r="G274" s="212" t="str">
        <f>IFERROR(VLOOKUP(Tabla3[[#This Row],[NUM ECONOMICO]],MAQUINARIA!B:H,7,0), " MAQ")</f>
        <v>SINIESTRADO</v>
      </c>
      <c r="H274" s="214" t="s">
        <v>454</v>
      </c>
      <c r="I274" s="41" t="s">
        <v>446</v>
      </c>
      <c r="J274" s="10"/>
      <c r="K274" s="10">
        <v>1</v>
      </c>
      <c r="L274" s="12"/>
      <c r="M274" s="13">
        <f t="shared" si="4"/>
        <v>0</v>
      </c>
      <c r="N274" s="41"/>
      <c r="O274" s="10"/>
      <c r="P274" s="10">
        <f>Tabla3[[#This Row],[COSTO UNITARIO DOLARES EN HAWTHORNE]]*Tabla3[[#This Row],[CANTIDAD SOLICTADA]]</f>
        <v>0</v>
      </c>
      <c r="Q274" s="41"/>
      <c r="R274" s="229"/>
      <c r="S274" s="229">
        <f>+Tabla3[[#This Row],[COSTO UNITARIO DOLARES CTP]]*Tabla3[[#This Row],[CANTIDAD SOLICTADA]]</f>
        <v>0</v>
      </c>
      <c r="T274" s="41"/>
      <c r="U274" s="14" t="s">
        <v>4</v>
      </c>
      <c r="V274" s="8" t="s">
        <v>455</v>
      </c>
      <c r="W274" s="9">
        <v>46174</v>
      </c>
      <c r="X274" s="10" t="s">
        <v>89</v>
      </c>
      <c r="Y274" s="10">
        <v>2</v>
      </c>
      <c r="Z274" s="16" t="s">
        <v>44</v>
      </c>
      <c r="AA274" s="25">
        <v>46171</v>
      </c>
      <c r="AB274" s="25">
        <v>46174</v>
      </c>
      <c r="AC274" s="16" t="s">
        <v>238</v>
      </c>
      <c r="AD274" s="16"/>
      <c r="AE274" s="16" t="s">
        <v>407</v>
      </c>
      <c r="AF274" s="16"/>
      <c r="AG274" s="21" t="s">
        <v>443</v>
      </c>
      <c r="XFD274" s="15" t="str">
        <f>+Tabla3[[#This Row],[ESTATUS DE NUM ECONOMICO]]</f>
        <v>SINIESTRADO</v>
      </c>
    </row>
    <row r="275" spans="1:33 16384:16384" ht="15.75" thickBot="1" x14ac:dyDescent="0.3">
      <c r="A275" s="8">
        <v>47</v>
      </c>
      <c r="B275" s="9">
        <v>46171</v>
      </c>
      <c r="C275" s="10" t="s">
        <v>112</v>
      </c>
      <c r="D275" s="10" t="s">
        <v>453</v>
      </c>
      <c r="E275" s="16">
        <v>18</v>
      </c>
      <c r="F275" s="9">
        <v>46171</v>
      </c>
      <c r="G275" s="212" t="str">
        <f>IFERROR(VLOOKUP(Tabla3[[#This Row],[NUM ECONOMICO]],MAQUINARIA!B:H,7,0), " MAQ")</f>
        <v>SINIESTRADO</v>
      </c>
      <c r="H275" s="214" t="s">
        <v>454</v>
      </c>
      <c r="I275" s="41" t="s">
        <v>447</v>
      </c>
      <c r="J275" s="10"/>
      <c r="K275" s="10">
        <v>1</v>
      </c>
      <c r="L275" s="12"/>
      <c r="M275" s="13">
        <f t="shared" si="4"/>
        <v>0</v>
      </c>
      <c r="N275" s="41"/>
      <c r="O275" s="10"/>
      <c r="P275" s="10">
        <f>Tabla3[[#This Row],[COSTO UNITARIO DOLARES EN HAWTHORNE]]*Tabla3[[#This Row],[CANTIDAD SOLICTADA]]</f>
        <v>0</v>
      </c>
      <c r="Q275" s="41"/>
      <c r="R275" s="229"/>
      <c r="S275" s="229">
        <f>+Tabla3[[#This Row],[COSTO UNITARIO DOLARES CTP]]*Tabla3[[#This Row],[CANTIDAD SOLICTADA]]</f>
        <v>0</v>
      </c>
      <c r="T275" s="41"/>
      <c r="U275" s="14" t="s">
        <v>4</v>
      </c>
      <c r="V275" s="8" t="s">
        <v>455</v>
      </c>
      <c r="W275" s="9">
        <v>46174</v>
      </c>
      <c r="X275" s="10" t="s">
        <v>89</v>
      </c>
      <c r="Y275" s="10" t="s">
        <v>90</v>
      </c>
      <c r="Z275" s="16" t="s">
        <v>44</v>
      </c>
      <c r="AA275" s="25">
        <v>46171</v>
      </c>
      <c r="AB275" s="25">
        <v>46174</v>
      </c>
      <c r="AC275" s="16" t="s">
        <v>238</v>
      </c>
      <c r="AD275" s="16"/>
      <c r="AE275" s="16" t="s">
        <v>407</v>
      </c>
      <c r="AF275" s="16"/>
      <c r="AG275" s="21" t="s">
        <v>443</v>
      </c>
      <c r="XFD275" s="15" t="str">
        <f>+Tabla3[[#This Row],[ESTATUS DE NUM ECONOMICO]]</f>
        <v>SINIESTRADO</v>
      </c>
    </row>
    <row r="276" spans="1:33 16384:16384" ht="15.75" thickBot="1" x14ac:dyDescent="0.3">
      <c r="A276" s="8">
        <v>48</v>
      </c>
      <c r="B276" s="9">
        <v>46171</v>
      </c>
      <c r="C276" s="10" t="s">
        <v>112</v>
      </c>
      <c r="D276" s="10" t="s">
        <v>457</v>
      </c>
      <c r="E276" s="16">
        <v>18</v>
      </c>
      <c r="F276" s="9">
        <v>46171</v>
      </c>
      <c r="G276" s="212" t="str">
        <f>IFERROR(VLOOKUP(Tabla3[[#This Row],[NUM ECONOMICO]],MAQUINARIA!B:H,7,0), " MAQ")</f>
        <v>ACTIVA</v>
      </c>
      <c r="H276" s="214" t="s">
        <v>113</v>
      </c>
      <c r="I276" s="41" t="s">
        <v>445</v>
      </c>
      <c r="J276" s="10"/>
      <c r="K276" s="10">
        <v>1</v>
      </c>
      <c r="L276" s="12"/>
      <c r="M276" s="13">
        <f t="shared" si="4"/>
        <v>0</v>
      </c>
      <c r="N276" s="41"/>
      <c r="O276" s="10"/>
      <c r="P276" s="10">
        <f>Tabla3[[#This Row],[COSTO UNITARIO DOLARES EN HAWTHORNE]]*Tabla3[[#This Row],[CANTIDAD SOLICTADA]]</f>
        <v>0</v>
      </c>
      <c r="Q276" s="41"/>
      <c r="R276" s="229"/>
      <c r="S276" s="229">
        <f>+Tabla3[[#This Row],[COSTO UNITARIO DOLARES CTP]]*Tabla3[[#This Row],[CANTIDAD SOLICTADA]]</f>
        <v>0</v>
      </c>
      <c r="T276" s="41"/>
      <c r="U276" s="14" t="s">
        <v>4</v>
      </c>
      <c r="V276" s="8" t="s">
        <v>458</v>
      </c>
      <c r="W276" s="9">
        <v>46174</v>
      </c>
      <c r="X276" s="10" t="s">
        <v>89</v>
      </c>
      <c r="Y276" s="10" t="s">
        <v>90</v>
      </c>
      <c r="Z276" s="16" t="s">
        <v>44</v>
      </c>
      <c r="AA276" s="25">
        <v>46171</v>
      </c>
      <c r="AB276" s="25">
        <v>46174</v>
      </c>
      <c r="AC276" s="16" t="s">
        <v>238</v>
      </c>
      <c r="AD276" s="16"/>
      <c r="AE276" s="16" t="s">
        <v>407</v>
      </c>
      <c r="AF276" s="16"/>
      <c r="AG276" s="21" t="s">
        <v>443</v>
      </c>
      <c r="XFD276" s="15" t="str">
        <f>+Tabla3[[#This Row],[ESTATUS DE NUM ECONOMICO]]</f>
        <v>ACTIVA</v>
      </c>
    </row>
    <row r="277" spans="1:33 16384:16384" ht="15.75" thickBot="1" x14ac:dyDescent="0.3">
      <c r="A277" s="8">
        <v>48</v>
      </c>
      <c r="B277" s="9">
        <v>46171</v>
      </c>
      <c r="C277" s="10" t="s">
        <v>112</v>
      </c>
      <c r="D277" s="10" t="s">
        <v>457</v>
      </c>
      <c r="E277" s="16">
        <v>18</v>
      </c>
      <c r="F277" s="9">
        <v>46171</v>
      </c>
      <c r="G277" s="212" t="str">
        <f>IFERROR(VLOOKUP(Tabla3[[#This Row],[NUM ECONOMICO]],MAQUINARIA!B:H,7,0), " MAQ")</f>
        <v>ACTIVA</v>
      </c>
      <c r="H277" s="214" t="s">
        <v>113</v>
      </c>
      <c r="I277" s="41" t="s">
        <v>444</v>
      </c>
      <c r="J277" s="10"/>
      <c r="K277" s="10">
        <v>2</v>
      </c>
      <c r="L277" s="12"/>
      <c r="M277" s="13">
        <f t="shared" si="4"/>
        <v>0</v>
      </c>
      <c r="N277" s="41"/>
      <c r="O277" s="10"/>
      <c r="P277" s="10">
        <f>Tabla3[[#This Row],[COSTO UNITARIO DOLARES EN HAWTHORNE]]*Tabla3[[#This Row],[CANTIDAD SOLICTADA]]</f>
        <v>0</v>
      </c>
      <c r="Q277" s="41"/>
      <c r="R277" s="229"/>
      <c r="S277" s="229">
        <f>+Tabla3[[#This Row],[COSTO UNITARIO DOLARES CTP]]*Tabla3[[#This Row],[CANTIDAD SOLICTADA]]</f>
        <v>0</v>
      </c>
      <c r="T277" s="41"/>
      <c r="U277" s="14" t="s">
        <v>4</v>
      </c>
      <c r="V277" s="8" t="s">
        <v>458</v>
      </c>
      <c r="W277" s="9">
        <v>46174</v>
      </c>
      <c r="X277" s="10" t="s">
        <v>89</v>
      </c>
      <c r="Y277" s="10" t="s">
        <v>90</v>
      </c>
      <c r="Z277" s="16" t="s">
        <v>44</v>
      </c>
      <c r="AA277" s="25">
        <v>46171</v>
      </c>
      <c r="AB277" s="25">
        <v>46174</v>
      </c>
      <c r="AC277" s="16" t="s">
        <v>238</v>
      </c>
      <c r="AD277" s="16"/>
      <c r="AE277" s="16" t="s">
        <v>407</v>
      </c>
      <c r="AF277" s="16"/>
      <c r="AG277" s="21" t="s">
        <v>443</v>
      </c>
      <c r="XFD277" s="15" t="str">
        <f>+Tabla3[[#This Row],[ESTATUS DE NUM ECONOMICO]]</f>
        <v>ACTIVA</v>
      </c>
    </row>
    <row r="278" spans="1:33 16384:16384" ht="15.75" thickBot="1" x14ac:dyDescent="0.3">
      <c r="A278" s="8">
        <v>48</v>
      </c>
      <c r="B278" s="9">
        <v>46171</v>
      </c>
      <c r="C278" s="10" t="s">
        <v>112</v>
      </c>
      <c r="D278" s="10" t="s">
        <v>457</v>
      </c>
      <c r="E278" s="16">
        <v>18</v>
      </c>
      <c r="F278" s="9">
        <v>46171</v>
      </c>
      <c r="G278" s="212" t="str">
        <f>IFERROR(VLOOKUP(Tabla3[[#This Row],[NUM ECONOMICO]],MAQUINARIA!B:H,7,0), " MAQ")</f>
        <v>ACTIVA</v>
      </c>
      <c r="H278" s="214" t="s">
        <v>113</v>
      </c>
      <c r="I278" s="41" t="s">
        <v>456</v>
      </c>
      <c r="J278" s="10"/>
      <c r="K278" s="10">
        <v>1</v>
      </c>
      <c r="L278" s="12"/>
      <c r="M278" s="13">
        <f t="shared" si="4"/>
        <v>0</v>
      </c>
      <c r="N278" s="41"/>
      <c r="O278" s="10"/>
      <c r="P278" s="10">
        <f>Tabla3[[#This Row],[COSTO UNITARIO DOLARES EN HAWTHORNE]]*Tabla3[[#This Row],[CANTIDAD SOLICTADA]]</f>
        <v>0</v>
      </c>
      <c r="Q278" s="41"/>
      <c r="R278" s="229"/>
      <c r="S278" s="229">
        <f>+Tabla3[[#This Row],[COSTO UNITARIO DOLARES CTP]]*Tabla3[[#This Row],[CANTIDAD SOLICTADA]]</f>
        <v>0</v>
      </c>
      <c r="T278" s="41"/>
      <c r="U278" s="14" t="s">
        <v>4</v>
      </c>
      <c r="V278" s="8" t="s">
        <v>458</v>
      </c>
      <c r="W278" s="9">
        <v>46174</v>
      </c>
      <c r="X278" s="10" t="s">
        <v>89</v>
      </c>
      <c r="Y278" s="10" t="s">
        <v>90</v>
      </c>
      <c r="Z278" s="16" t="s">
        <v>44</v>
      </c>
      <c r="AA278" s="25">
        <v>46171</v>
      </c>
      <c r="AB278" s="25">
        <v>46174</v>
      </c>
      <c r="AC278" s="16" t="s">
        <v>238</v>
      </c>
      <c r="AD278" s="16"/>
      <c r="AE278" s="16" t="s">
        <v>407</v>
      </c>
      <c r="AF278" s="16"/>
      <c r="AG278" s="21" t="s">
        <v>443</v>
      </c>
      <c r="XFD278" s="15" t="str">
        <f>+Tabla3[[#This Row],[ESTATUS DE NUM ECONOMICO]]</f>
        <v>ACTIVA</v>
      </c>
    </row>
    <row r="279" spans="1:33 16384:16384" ht="15.75" thickBot="1" x14ac:dyDescent="0.3">
      <c r="A279" s="8">
        <v>48</v>
      </c>
      <c r="B279" s="9">
        <v>46171</v>
      </c>
      <c r="C279" s="10" t="s">
        <v>112</v>
      </c>
      <c r="D279" s="10" t="s">
        <v>457</v>
      </c>
      <c r="E279" s="16">
        <v>18</v>
      </c>
      <c r="F279" s="9">
        <v>46171</v>
      </c>
      <c r="G279" s="212" t="str">
        <f>IFERROR(VLOOKUP(Tabla3[[#This Row],[NUM ECONOMICO]],MAQUINARIA!B:H,7,0), " MAQ")</f>
        <v>ACTIVA</v>
      </c>
      <c r="H279" s="214" t="s">
        <v>113</v>
      </c>
      <c r="I279" s="41" t="s">
        <v>459</v>
      </c>
      <c r="J279" s="10"/>
      <c r="K279" s="10">
        <v>1</v>
      </c>
      <c r="L279" s="12"/>
      <c r="M279" s="13">
        <f t="shared" si="4"/>
        <v>0</v>
      </c>
      <c r="N279" s="41"/>
      <c r="O279" s="10"/>
      <c r="P279" s="10">
        <f>Tabla3[[#This Row],[COSTO UNITARIO DOLARES EN HAWTHORNE]]*Tabla3[[#This Row],[CANTIDAD SOLICTADA]]</f>
        <v>0</v>
      </c>
      <c r="Q279" s="41"/>
      <c r="R279" s="229"/>
      <c r="S279" s="229">
        <f>+Tabla3[[#This Row],[COSTO UNITARIO DOLARES CTP]]*Tabla3[[#This Row],[CANTIDAD SOLICTADA]]</f>
        <v>0</v>
      </c>
      <c r="T279" s="41"/>
      <c r="U279" s="14" t="s">
        <v>4</v>
      </c>
      <c r="V279" s="8" t="s">
        <v>458</v>
      </c>
      <c r="W279" s="9">
        <v>46174</v>
      </c>
      <c r="X279" s="10" t="s">
        <v>89</v>
      </c>
      <c r="Y279" s="10" t="s">
        <v>90</v>
      </c>
      <c r="Z279" s="16" t="s">
        <v>44</v>
      </c>
      <c r="AA279" s="25">
        <v>46171</v>
      </c>
      <c r="AB279" s="25">
        <v>46174</v>
      </c>
      <c r="AC279" s="16" t="s">
        <v>238</v>
      </c>
      <c r="AD279" s="16"/>
      <c r="AE279" s="16" t="s">
        <v>407</v>
      </c>
      <c r="AF279" s="16"/>
      <c r="AG279" s="21" t="s">
        <v>443</v>
      </c>
      <c r="XFD279" s="15" t="str">
        <f>+Tabla3[[#This Row],[ESTATUS DE NUM ECONOMICO]]</f>
        <v>ACTIVA</v>
      </c>
    </row>
    <row r="280" spans="1:33 16384:16384" ht="15.75" thickBot="1" x14ac:dyDescent="0.3">
      <c r="A280" s="8">
        <v>48</v>
      </c>
      <c r="B280" s="9">
        <v>46171</v>
      </c>
      <c r="C280" s="10" t="s">
        <v>112</v>
      </c>
      <c r="D280" s="10" t="s">
        <v>457</v>
      </c>
      <c r="E280" s="16">
        <v>18</v>
      </c>
      <c r="F280" s="9">
        <v>46171</v>
      </c>
      <c r="G280" s="212" t="str">
        <f>IFERROR(VLOOKUP(Tabla3[[#This Row],[NUM ECONOMICO]],MAQUINARIA!B:H,7,0), " MAQ")</f>
        <v>ACTIVA</v>
      </c>
      <c r="H280" s="214" t="s">
        <v>113</v>
      </c>
      <c r="I280" s="41" t="s">
        <v>447</v>
      </c>
      <c r="J280" s="10"/>
      <c r="K280" s="10">
        <v>1</v>
      </c>
      <c r="L280" s="12"/>
      <c r="M280" s="13">
        <f t="shared" si="4"/>
        <v>0</v>
      </c>
      <c r="N280" s="41"/>
      <c r="O280" s="10"/>
      <c r="P280" s="10">
        <f>Tabla3[[#This Row],[COSTO UNITARIO DOLARES EN HAWTHORNE]]*Tabla3[[#This Row],[CANTIDAD SOLICTADA]]</f>
        <v>0</v>
      </c>
      <c r="Q280" s="41"/>
      <c r="R280" s="229"/>
      <c r="S280" s="229">
        <f>+Tabla3[[#This Row],[COSTO UNITARIO DOLARES CTP]]*Tabla3[[#This Row],[CANTIDAD SOLICTADA]]</f>
        <v>0</v>
      </c>
      <c r="T280" s="41"/>
      <c r="U280" s="14" t="s">
        <v>4</v>
      </c>
      <c r="V280" s="8" t="s">
        <v>458</v>
      </c>
      <c r="W280" s="9">
        <v>46174</v>
      </c>
      <c r="X280" s="10" t="s">
        <v>89</v>
      </c>
      <c r="Y280" s="10" t="s">
        <v>90</v>
      </c>
      <c r="Z280" s="16" t="s">
        <v>44</v>
      </c>
      <c r="AA280" s="25">
        <v>46171</v>
      </c>
      <c r="AB280" s="25">
        <v>46174</v>
      </c>
      <c r="AC280" s="16" t="s">
        <v>238</v>
      </c>
      <c r="AD280" s="16"/>
      <c r="AE280" s="16" t="s">
        <v>407</v>
      </c>
      <c r="AF280" s="16"/>
      <c r="AG280" s="21" t="s">
        <v>443</v>
      </c>
      <c r="XFD280" s="15" t="str">
        <f>+Tabla3[[#This Row],[ESTATUS DE NUM ECONOMICO]]</f>
        <v>ACTIVA</v>
      </c>
    </row>
    <row r="281" spans="1:33 16384:16384" ht="15.75" thickBot="1" x14ac:dyDescent="0.3">
      <c r="A281" s="8">
        <v>48</v>
      </c>
      <c r="B281" s="9">
        <v>46171</v>
      </c>
      <c r="C281" s="10" t="s">
        <v>112</v>
      </c>
      <c r="D281" s="10" t="s">
        <v>457</v>
      </c>
      <c r="E281" s="16">
        <v>18</v>
      </c>
      <c r="F281" s="9">
        <v>46171</v>
      </c>
      <c r="G281" s="212" t="str">
        <f>IFERROR(VLOOKUP(Tabla3[[#This Row],[NUM ECONOMICO]],MAQUINARIA!B:H,7,0), " MAQ")</f>
        <v>ACTIVA</v>
      </c>
      <c r="H281" s="214" t="s">
        <v>113</v>
      </c>
      <c r="I281" s="41" t="s">
        <v>446</v>
      </c>
      <c r="J281" s="10"/>
      <c r="K281" s="10">
        <v>1</v>
      </c>
      <c r="L281" s="12"/>
      <c r="M281" s="13">
        <f t="shared" si="4"/>
        <v>0</v>
      </c>
      <c r="N281" s="41"/>
      <c r="O281" s="10"/>
      <c r="P281" s="10">
        <f>Tabla3[[#This Row],[COSTO UNITARIO DOLARES EN HAWTHORNE]]*Tabla3[[#This Row],[CANTIDAD SOLICTADA]]</f>
        <v>0</v>
      </c>
      <c r="Q281" s="41"/>
      <c r="R281" s="229"/>
      <c r="S281" s="229">
        <f>+Tabla3[[#This Row],[COSTO UNITARIO DOLARES CTP]]*Tabla3[[#This Row],[CANTIDAD SOLICTADA]]</f>
        <v>0</v>
      </c>
      <c r="T281" s="41"/>
      <c r="U281" s="14" t="s">
        <v>4</v>
      </c>
      <c r="V281" s="8" t="s">
        <v>458</v>
      </c>
      <c r="W281" s="9">
        <v>46174</v>
      </c>
      <c r="X281" s="10" t="s">
        <v>89</v>
      </c>
      <c r="Y281" s="10">
        <v>2</v>
      </c>
      <c r="Z281" s="16" t="s">
        <v>44</v>
      </c>
      <c r="AA281" s="25">
        <v>46171</v>
      </c>
      <c r="AB281" s="25">
        <v>46174</v>
      </c>
      <c r="AC281" s="16" t="s">
        <v>238</v>
      </c>
      <c r="AD281" s="16"/>
      <c r="AE281" s="16" t="s">
        <v>407</v>
      </c>
      <c r="AF281" s="16"/>
      <c r="AG281" s="21" t="s">
        <v>443</v>
      </c>
      <c r="XFD281" s="15" t="str">
        <f>+Tabla3[[#This Row],[ESTATUS DE NUM ECONOMICO]]</f>
        <v>ACTIVA</v>
      </c>
    </row>
    <row r="282" spans="1:33 16384:16384" ht="15.75" thickBot="1" x14ac:dyDescent="0.3">
      <c r="A282" s="8">
        <v>49</v>
      </c>
      <c r="B282" s="9">
        <v>46171</v>
      </c>
      <c r="C282" s="10" t="s">
        <v>112</v>
      </c>
      <c r="D282" s="10" t="s">
        <v>460</v>
      </c>
      <c r="E282" s="16">
        <v>19</v>
      </c>
      <c r="F282" s="9">
        <v>46171</v>
      </c>
      <c r="G282" s="212" t="str">
        <f>IFERROR(VLOOKUP(Tabla3[[#This Row],[NUM ECONOMICO]],MAQUINARIA!B:H,7,0), " MAQ")</f>
        <v>INACTIVA</v>
      </c>
      <c r="H282" s="214" t="s">
        <v>344</v>
      </c>
      <c r="I282" s="41" t="s">
        <v>445</v>
      </c>
      <c r="J282" s="10"/>
      <c r="K282" s="10">
        <v>1</v>
      </c>
      <c r="L282" s="12"/>
      <c r="M282" s="13">
        <f t="shared" si="4"/>
        <v>0</v>
      </c>
      <c r="N282" s="41"/>
      <c r="O282" s="10"/>
      <c r="P282" s="10">
        <f>Tabla3[[#This Row],[COSTO UNITARIO DOLARES EN HAWTHORNE]]*Tabla3[[#This Row],[CANTIDAD SOLICTADA]]</f>
        <v>0</v>
      </c>
      <c r="Q282" s="41"/>
      <c r="R282" s="229"/>
      <c r="S282" s="229">
        <f>+Tabla3[[#This Row],[COSTO UNITARIO DOLARES CTP]]*Tabla3[[#This Row],[CANTIDAD SOLICTADA]]</f>
        <v>0</v>
      </c>
      <c r="T282" s="41"/>
      <c r="U282" s="14" t="s">
        <v>4</v>
      </c>
      <c r="V282" s="8" t="s">
        <v>461</v>
      </c>
      <c r="W282" s="9">
        <v>46174</v>
      </c>
      <c r="X282" s="10" t="s">
        <v>89</v>
      </c>
      <c r="Y282" s="10" t="s">
        <v>90</v>
      </c>
      <c r="Z282" s="16" t="s">
        <v>44</v>
      </c>
      <c r="AA282" s="25">
        <v>46171</v>
      </c>
      <c r="AB282" s="25">
        <v>46174</v>
      </c>
      <c r="AC282" s="16" t="s">
        <v>238</v>
      </c>
      <c r="AD282" s="16"/>
      <c r="AE282" s="16" t="s">
        <v>407</v>
      </c>
      <c r="AF282" s="16"/>
      <c r="AG282" s="21" t="s">
        <v>443</v>
      </c>
      <c r="XFD282" s="15" t="str">
        <f>+Tabla3[[#This Row],[ESTATUS DE NUM ECONOMICO]]</f>
        <v>INACTIVA</v>
      </c>
    </row>
    <row r="283" spans="1:33 16384:16384" ht="15.75" thickBot="1" x14ac:dyDescent="0.3">
      <c r="A283" s="8">
        <v>49</v>
      </c>
      <c r="B283" s="9">
        <v>46171</v>
      </c>
      <c r="C283" s="10" t="s">
        <v>112</v>
      </c>
      <c r="D283" s="10" t="s">
        <v>460</v>
      </c>
      <c r="E283" s="16">
        <v>19</v>
      </c>
      <c r="F283" s="9">
        <v>46171</v>
      </c>
      <c r="G283" s="212" t="str">
        <f>IFERROR(VLOOKUP(Tabla3[[#This Row],[NUM ECONOMICO]],MAQUINARIA!B:H,7,0), " MAQ")</f>
        <v>INACTIVA</v>
      </c>
      <c r="H283" s="214" t="s">
        <v>344</v>
      </c>
      <c r="I283" s="41" t="s">
        <v>444</v>
      </c>
      <c r="J283" s="10"/>
      <c r="K283" s="10">
        <v>2</v>
      </c>
      <c r="L283" s="12"/>
      <c r="M283" s="13">
        <f t="shared" si="4"/>
        <v>0</v>
      </c>
      <c r="N283" s="41"/>
      <c r="O283" s="10"/>
      <c r="P283" s="10">
        <f>Tabla3[[#This Row],[COSTO UNITARIO DOLARES EN HAWTHORNE]]*Tabla3[[#This Row],[CANTIDAD SOLICTADA]]</f>
        <v>0</v>
      </c>
      <c r="Q283" s="41"/>
      <c r="R283" s="229"/>
      <c r="S283" s="229">
        <f>+Tabla3[[#This Row],[COSTO UNITARIO DOLARES CTP]]*Tabla3[[#This Row],[CANTIDAD SOLICTADA]]</f>
        <v>0</v>
      </c>
      <c r="T283" s="41"/>
      <c r="U283" s="14" t="s">
        <v>4</v>
      </c>
      <c r="V283" s="8" t="s">
        <v>461</v>
      </c>
      <c r="W283" s="9">
        <v>46174</v>
      </c>
      <c r="X283" s="10" t="s">
        <v>89</v>
      </c>
      <c r="Y283" s="10" t="s">
        <v>90</v>
      </c>
      <c r="Z283" s="16" t="s">
        <v>44</v>
      </c>
      <c r="AA283" s="25">
        <v>46171</v>
      </c>
      <c r="AB283" s="25">
        <v>46174</v>
      </c>
      <c r="AC283" s="16" t="s">
        <v>238</v>
      </c>
      <c r="AD283" s="16"/>
      <c r="AE283" s="16" t="s">
        <v>407</v>
      </c>
      <c r="AF283" s="16"/>
      <c r="AG283" s="21" t="s">
        <v>443</v>
      </c>
      <c r="XFD283" s="15" t="str">
        <f>+Tabla3[[#This Row],[ESTATUS DE NUM ECONOMICO]]</f>
        <v>INACTIVA</v>
      </c>
    </row>
    <row r="284" spans="1:33 16384:16384" ht="15.75" thickBot="1" x14ac:dyDescent="0.3">
      <c r="A284" s="8">
        <v>49</v>
      </c>
      <c r="B284" s="9">
        <v>46171</v>
      </c>
      <c r="C284" s="10" t="s">
        <v>112</v>
      </c>
      <c r="D284" s="10" t="s">
        <v>460</v>
      </c>
      <c r="E284" s="16">
        <v>19</v>
      </c>
      <c r="F284" s="9">
        <v>46171</v>
      </c>
      <c r="G284" s="212" t="str">
        <f>IFERROR(VLOOKUP(Tabla3[[#This Row],[NUM ECONOMICO]],MAQUINARIA!B:H,7,0), " MAQ")</f>
        <v>INACTIVA</v>
      </c>
      <c r="H284" s="214" t="s">
        <v>344</v>
      </c>
      <c r="I284" s="41" t="s">
        <v>456</v>
      </c>
      <c r="J284" s="10"/>
      <c r="K284" s="10">
        <v>1</v>
      </c>
      <c r="L284" s="12"/>
      <c r="M284" s="13">
        <f t="shared" si="4"/>
        <v>0</v>
      </c>
      <c r="N284" s="41"/>
      <c r="O284" s="10"/>
      <c r="P284" s="10">
        <f>Tabla3[[#This Row],[COSTO UNITARIO DOLARES EN HAWTHORNE]]*Tabla3[[#This Row],[CANTIDAD SOLICTADA]]</f>
        <v>0</v>
      </c>
      <c r="Q284" s="41"/>
      <c r="R284" s="229"/>
      <c r="S284" s="229">
        <f>+Tabla3[[#This Row],[COSTO UNITARIO DOLARES CTP]]*Tabla3[[#This Row],[CANTIDAD SOLICTADA]]</f>
        <v>0</v>
      </c>
      <c r="T284" s="41"/>
      <c r="U284" s="14" t="s">
        <v>4</v>
      </c>
      <c r="V284" s="8" t="s">
        <v>461</v>
      </c>
      <c r="W284" s="9">
        <v>46174</v>
      </c>
      <c r="X284" s="10" t="s">
        <v>89</v>
      </c>
      <c r="Y284" s="10" t="s">
        <v>90</v>
      </c>
      <c r="Z284" s="16" t="s">
        <v>44</v>
      </c>
      <c r="AA284" s="25">
        <v>46171</v>
      </c>
      <c r="AB284" s="25">
        <v>46174</v>
      </c>
      <c r="AC284" s="16" t="s">
        <v>238</v>
      </c>
      <c r="AD284" s="16"/>
      <c r="AE284" s="16" t="s">
        <v>407</v>
      </c>
      <c r="AF284" s="16"/>
      <c r="AG284" s="21" t="s">
        <v>443</v>
      </c>
      <c r="XFD284" s="15" t="str">
        <f>+Tabla3[[#This Row],[ESTATUS DE NUM ECONOMICO]]</f>
        <v>INACTIVA</v>
      </c>
    </row>
    <row r="285" spans="1:33 16384:16384" ht="15.75" thickBot="1" x14ac:dyDescent="0.3">
      <c r="A285" s="8">
        <v>49</v>
      </c>
      <c r="B285" s="9">
        <v>46171</v>
      </c>
      <c r="C285" s="10" t="s">
        <v>112</v>
      </c>
      <c r="D285" s="10" t="s">
        <v>460</v>
      </c>
      <c r="E285" s="16">
        <v>19</v>
      </c>
      <c r="F285" s="9">
        <v>46171</v>
      </c>
      <c r="G285" s="212" t="str">
        <f>IFERROR(VLOOKUP(Tabla3[[#This Row],[NUM ECONOMICO]],MAQUINARIA!B:H,7,0), " MAQ")</f>
        <v>INACTIVA</v>
      </c>
      <c r="H285" s="214" t="s">
        <v>344</v>
      </c>
      <c r="I285" s="41" t="s">
        <v>447</v>
      </c>
      <c r="J285" s="10"/>
      <c r="K285" s="10">
        <v>1</v>
      </c>
      <c r="L285" s="12"/>
      <c r="M285" s="13">
        <f t="shared" si="4"/>
        <v>0</v>
      </c>
      <c r="N285" s="41"/>
      <c r="O285" s="10"/>
      <c r="P285" s="10">
        <f>Tabla3[[#This Row],[COSTO UNITARIO DOLARES EN HAWTHORNE]]*Tabla3[[#This Row],[CANTIDAD SOLICTADA]]</f>
        <v>0</v>
      </c>
      <c r="Q285" s="41"/>
      <c r="R285" s="229"/>
      <c r="S285" s="229">
        <f>+Tabla3[[#This Row],[COSTO UNITARIO DOLARES CTP]]*Tabla3[[#This Row],[CANTIDAD SOLICTADA]]</f>
        <v>0</v>
      </c>
      <c r="T285" s="41"/>
      <c r="U285" s="14" t="s">
        <v>4</v>
      </c>
      <c r="V285" s="8" t="s">
        <v>461</v>
      </c>
      <c r="W285" s="9">
        <v>46174</v>
      </c>
      <c r="X285" s="10" t="s">
        <v>89</v>
      </c>
      <c r="Y285" s="10" t="s">
        <v>90</v>
      </c>
      <c r="Z285" s="16" t="s">
        <v>44</v>
      </c>
      <c r="AA285" s="25">
        <v>46171</v>
      </c>
      <c r="AB285" s="25">
        <v>46174</v>
      </c>
      <c r="AC285" s="16" t="s">
        <v>238</v>
      </c>
      <c r="AD285" s="16"/>
      <c r="AE285" s="16" t="s">
        <v>407</v>
      </c>
      <c r="AF285" s="16"/>
      <c r="AG285" s="21" t="s">
        <v>443</v>
      </c>
      <c r="XFD285" s="15" t="str">
        <f>+Tabla3[[#This Row],[ESTATUS DE NUM ECONOMICO]]</f>
        <v>INACTIVA</v>
      </c>
    </row>
    <row r="286" spans="1:33 16384:16384" ht="15.75" thickBot="1" x14ac:dyDescent="0.3">
      <c r="A286" s="8">
        <v>49</v>
      </c>
      <c r="B286" s="9">
        <v>46171</v>
      </c>
      <c r="C286" s="10" t="s">
        <v>112</v>
      </c>
      <c r="D286" s="10" t="s">
        <v>460</v>
      </c>
      <c r="E286" s="16">
        <v>19</v>
      </c>
      <c r="F286" s="9">
        <v>46171</v>
      </c>
      <c r="G286" s="212" t="str">
        <f>IFERROR(VLOOKUP(Tabla3[[#This Row],[NUM ECONOMICO]],MAQUINARIA!B:H,7,0), " MAQ")</f>
        <v>INACTIVA</v>
      </c>
      <c r="H286" s="214" t="s">
        <v>344</v>
      </c>
      <c r="I286" s="41" t="s">
        <v>446</v>
      </c>
      <c r="J286" s="10"/>
      <c r="K286" s="10">
        <v>1</v>
      </c>
      <c r="L286" s="12"/>
      <c r="M286" s="13">
        <f t="shared" si="4"/>
        <v>0</v>
      </c>
      <c r="N286" s="41"/>
      <c r="O286" s="10"/>
      <c r="P286" s="10">
        <f>Tabla3[[#This Row],[COSTO UNITARIO DOLARES EN HAWTHORNE]]*Tabla3[[#This Row],[CANTIDAD SOLICTADA]]</f>
        <v>0</v>
      </c>
      <c r="Q286" s="41"/>
      <c r="R286" s="229"/>
      <c r="S286" s="229">
        <f>+Tabla3[[#This Row],[COSTO UNITARIO DOLARES CTP]]*Tabla3[[#This Row],[CANTIDAD SOLICTADA]]</f>
        <v>0</v>
      </c>
      <c r="T286" s="41"/>
      <c r="U286" s="14" t="s">
        <v>4</v>
      </c>
      <c r="V286" s="8" t="s">
        <v>461</v>
      </c>
      <c r="W286" s="9">
        <v>46174</v>
      </c>
      <c r="X286" s="10" t="s">
        <v>89</v>
      </c>
      <c r="Y286" s="10">
        <v>2</v>
      </c>
      <c r="Z286" s="16" t="s">
        <v>44</v>
      </c>
      <c r="AA286" s="25">
        <v>46171</v>
      </c>
      <c r="AB286" s="25">
        <v>46174</v>
      </c>
      <c r="AC286" s="16" t="s">
        <v>238</v>
      </c>
      <c r="AD286" s="16"/>
      <c r="AE286" s="16" t="s">
        <v>407</v>
      </c>
      <c r="AF286" s="16"/>
      <c r="AG286" s="21" t="s">
        <v>443</v>
      </c>
      <c r="XFD286" s="15" t="str">
        <f>+Tabla3[[#This Row],[ESTATUS DE NUM ECONOMICO]]</f>
        <v>INACTIVA</v>
      </c>
    </row>
    <row r="287" spans="1:33 16384:16384" ht="15.75" thickBot="1" x14ac:dyDescent="0.3">
      <c r="A287" s="8">
        <v>50</v>
      </c>
      <c r="B287" s="9">
        <v>46171</v>
      </c>
      <c r="C287" s="10" t="s">
        <v>112</v>
      </c>
      <c r="D287" s="10" t="s">
        <v>462</v>
      </c>
      <c r="E287" s="16">
        <v>1341</v>
      </c>
      <c r="F287" s="9">
        <v>46171</v>
      </c>
      <c r="G287" s="212" t="str">
        <f>IFERROR(VLOOKUP(Tabla3[[#This Row],[NUM ECONOMICO]],MAQUINARIA!B:H,7,0), " MAQ")</f>
        <v xml:space="preserve"> MAQ</v>
      </c>
      <c r="H287" s="214" t="s">
        <v>463</v>
      </c>
      <c r="I287" s="41" t="s">
        <v>444</v>
      </c>
      <c r="J287" s="10"/>
      <c r="K287" s="10">
        <v>12</v>
      </c>
      <c r="L287" s="12"/>
      <c r="M287" s="13">
        <f t="shared" si="4"/>
        <v>0</v>
      </c>
      <c r="N287" s="41"/>
      <c r="O287" s="10"/>
      <c r="P287" s="10">
        <f>Tabla3[[#This Row],[COSTO UNITARIO DOLARES EN HAWTHORNE]]*Tabla3[[#This Row],[CANTIDAD SOLICTADA]]</f>
        <v>0</v>
      </c>
      <c r="Q287" s="41"/>
      <c r="R287" s="229"/>
      <c r="S287" s="229">
        <f>+Tabla3[[#This Row],[COSTO UNITARIO DOLARES CTP]]*Tabla3[[#This Row],[CANTIDAD SOLICTADA]]</f>
        <v>0</v>
      </c>
      <c r="T287" s="41"/>
      <c r="U287" s="14" t="s">
        <v>4</v>
      </c>
      <c r="V287" s="8" t="s">
        <v>464</v>
      </c>
      <c r="W287" s="9">
        <v>46199</v>
      </c>
      <c r="X287" s="10" t="s">
        <v>89</v>
      </c>
      <c r="Y287" s="10" t="s">
        <v>90</v>
      </c>
      <c r="Z287" s="16" t="s">
        <v>44</v>
      </c>
      <c r="AA287" s="25">
        <v>46171</v>
      </c>
      <c r="AB287" s="25">
        <v>46174</v>
      </c>
      <c r="AC287" s="16" t="s">
        <v>238</v>
      </c>
      <c r="AD287" s="16"/>
      <c r="AE287" s="16" t="s">
        <v>420</v>
      </c>
      <c r="AF287" s="16"/>
      <c r="AG287" s="21" t="s">
        <v>443</v>
      </c>
      <c r="XFD287" s="15" t="str">
        <f>+Tabla3[[#This Row],[ESTATUS DE NUM ECONOMICO]]</f>
        <v xml:space="preserve"> MAQ</v>
      </c>
    </row>
    <row r="288" spans="1:33 16384:16384" ht="15.75" thickBot="1" x14ac:dyDescent="0.3">
      <c r="A288" s="8">
        <v>50</v>
      </c>
      <c r="B288" s="9">
        <v>46171</v>
      </c>
      <c r="C288" s="10" t="s">
        <v>112</v>
      </c>
      <c r="D288" s="10" t="s">
        <v>462</v>
      </c>
      <c r="E288" s="16">
        <v>1341</v>
      </c>
      <c r="F288" s="9">
        <v>46171</v>
      </c>
      <c r="G288" s="212" t="str">
        <f>IFERROR(VLOOKUP(Tabla3[[#This Row],[NUM ECONOMICO]],MAQUINARIA!B:H,7,0), " MAQ")</f>
        <v xml:space="preserve"> MAQ</v>
      </c>
      <c r="H288" s="214" t="s">
        <v>463</v>
      </c>
      <c r="I288" s="41" t="s">
        <v>447</v>
      </c>
      <c r="J288" s="10"/>
      <c r="K288" s="10">
        <v>6</v>
      </c>
      <c r="L288" s="12"/>
      <c r="M288" s="13">
        <f t="shared" si="4"/>
        <v>0</v>
      </c>
      <c r="N288" s="41"/>
      <c r="O288" s="10"/>
      <c r="P288" s="10">
        <f>Tabla3[[#This Row],[COSTO UNITARIO DOLARES EN HAWTHORNE]]*Tabla3[[#This Row],[CANTIDAD SOLICTADA]]</f>
        <v>0</v>
      </c>
      <c r="Q288" s="41"/>
      <c r="R288" s="229"/>
      <c r="S288" s="229">
        <f>+Tabla3[[#This Row],[COSTO UNITARIO DOLARES CTP]]*Tabla3[[#This Row],[CANTIDAD SOLICTADA]]</f>
        <v>0</v>
      </c>
      <c r="T288" s="41"/>
      <c r="U288" s="14" t="s">
        <v>4</v>
      </c>
      <c r="V288" s="8" t="s">
        <v>464</v>
      </c>
      <c r="W288" s="9">
        <v>46199</v>
      </c>
      <c r="X288" s="10" t="s">
        <v>89</v>
      </c>
      <c r="Y288" s="10" t="s">
        <v>90</v>
      </c>
      <c r="Z288" s="16" t="s">
        <v>44</v>
      </c>
      <c r="AA288" s="25">
        <v>46171</v>
      </c>
      <c r="AB288" s="25">
        <v>46174</v>
      </c>
      <c r="AC288" s="16" t="s">
        <v>238</v>
      </c>
      <c r="AD288" s="16"/>
      <c r="AE288" s="16" t="s">
        <v>420</v>
      </c>
      <c r="AF288" s="16"/>
      <c r="AG288" s="21" t="s">
        <v>443</v>
      </c>
      <c r="XFD288" s="15" t="str">
        <f>+Tabla3[[#This Row],[ESTATUS DE NUM ECONOMICO]]</f>
        <v xml:space="preserve"> MAQ</v>
      </c>
    </row>
    <row r="289" spans="1:33 16384:16384" ht="15.75" thickBot="1" x14ac:dyDescent="0.3">
      <c r="A289" s="8">
        <v>50</v>
      </c>
      <c r="B289" s="9">
        <v>46171</v>
      </c>
      <c r="C289" s="10" t="s">
        <v>112</v>
      </c>
      <c r="D289" s="10" t="s">
        <v>462</v>
      </c>
      <c r="E289" s="16">
        <v>1341</v>
      </c>
      <c r="F289" s="9">
        <v>46171</v>
      </c>
      <c r="G289" s="212" t="str">
        <f>IFERROR(VLOOKUP(Tabla3[[#This Row],[NUM ECONOMICO]],MAQUINARIA!B:H,7,0), " MAQ")</f>
        <v xml:space="preserve"> MAQ</v>
      </c>
      <c r="H289" s="214" t="s">
        <v>463</v>
      </c>
      <c r="I289" s="41" t="s">
        <v>446</v>
      </c>
      <c r="J289" s="10"/>
      <c r="K289" s="10">
        <v>6</v>
      </c>
      <c r="L289" s="12"/>
      <c r="M289" s="13">
        <f t="shared" si="4"/>
        <v>0</v>
      </c>
      <c r="N289" s="41"/>
      <c r="O289" s="10"/>
      <c r="P289" s="10">
        <f>Tabla3[[#This Row],[COSTO UNITARIO DOLARES EN HAWTHORNE]]*Tabla3[[#This Row],[CANTIDAD SOLICTADA]]</f>
        <v>0</v>
      </c>
      <c r="Q289" s="41"/>
      <c r="R289" s="229"/>
      <c r="S289" s="229">
        <f>+Tabla3[[#This Row],[COSTO UNITARIO DOLARES CTP]]*Tabla3[[#This Row],[CANTIDAD SOLICTADA]]</f>
        <v>0</v>
      </c>
      <c r="T289" s="41"/>
      <c r="U289" s="14" t="s">
        <v>4</v>
      </c>
      <c r="V289" s="8" t="s">
        <v>464</v>
      </c>
      <c r="W289" s="9">
        <v>46199</v>
      </c>
      <c r="X289" s="10" t="s">
        <v>89</v>
      </c>
      <c r="Y289" s="10">
        <v>2</v>
      </c>
      <c r="Z289" s="16" t="s">
        <v>44</v>
      </c>
      <c r="AA289" s="25">
        <v>46171</v>
      </c>
      <c r="AB289" s="25">
        <v>46174</v>
      </c>
      <c r="AC289" s="16" t="s">
        <v>238</v>
      </c>
      <c r="AD289" s="16"/>
      <c r="AE289" s="16" t="s">
        <v>420</v>
      </c>
      <c r="AF289" s="16"/>
      <c r="AG289" s="21" t="s">
        <v>443</v>
      </c>
      <c r="XFD289" s="15" t="str">
        <f>+Tabla3[[#This Row],[ESTATUS DE NUM ECONOMICO]]</f>
        <v xml:space="preserve"> MAQ</v>
      </c>
    </row>
    <row r="290" spans="1:33 16384:16384" ht="15.75" thickBot="1" x14ac:dyDescent="0.3">
      <c r="A290" s="8">
        <v>50</v>
      </c>
      <c r="B290" s="9">
        <v>46171</v>
      </c>
      <c r="C290" s="10" t="s">
        <v>112</v>
      </c>
      <c r="D290" s="10" t="s">
        <v>462</v>
      </c>
      <c r="E290" s="16">
        <v>1341</v>
      </c>
      <c r="F290" s="9">
        <v>46171</v>
      </c>
      <c r="G290" s="212" t="str">
        <f>IFERROR(VLOOKUP(Tabla3[[#This Row],[NUM ECONOMICO]],MAQUINARIA!B:H,7,0), " MAQ")</f>
        <v xml:space="preserve"> MAQ</v>
      </c>
      <c r="H290" s="214" t="s">
        <v>463</v>
      </c>
      <c r="I290" s="41" t="s">
        <v>465</v>
      </c>
      <c r="J290" s="10"/>
      <c r="K290" s="10">
        <v>4</v>
      </c>
      <c r="L290" s="12"/>
      <c r="M290" s="13">
        <f t="shared" si="4"/>
        <v>0</v>
      </c>
      <c r="N290" s="41"/>
      <c r="O290" s="10"/>
      <c r="P290" s="10">
        <f>Tabla3[[#This Row],[COSTO UNITARIO DOLARES EN HAWTHORNE]]*Tabla3[[#This Row],[CANTIDAD SOLICTADA]]</f>
        <v>0</v>
      </c>
      <c r="Q290" s="41"/>
      <c r="R290" s="229"/>
      <c r="S290" s="229">
        <f>+Tabla3[[#This Row],[COSTO UNITARIO DOLARES CTP]]*Tabla3[[#This Row],[CANTIDAD SOLICTADA]]</f>
        <v>0</v>
      </c>
      <c r="T290" s="41"/>
      <c r="U290" s="14" t="s">
        <v>4</v>
      </c>
      <c r="V290" s="8" t="s">
        <v>464</v>
      </c>
      <c r="W290" s="9">
        <v>46199</v>
      </c>
      <c r="X290" s="10" t="s">
        <v>89</v>
      </c>
      <c r="Y290" s="10" t="s">
        <v>90</v>
      </c>
      <c r="Z290" s="16" t="s">
        <v>44</v>
      </c>
      <c r="AA290" s="25">
        <v>46171</v>
      </c>
      <c r="AB290" s="25">
        <v>46174</v>
      </c>
      <c r="AC290" s="16" t="s">
        <v>238</v>
      </c>
      <c r="AD290" s="16"/>
      <c r="AE290" s="16" t="s">
        <v>420</v>
      </c>
      <c r="AF290" s="16"/>
      <c r="AG290" s="21" t="s">
        <v>443</v>
      </c>
      <c r="XFD290" s="15" t="str">
        <f>+Tabla3[[#This Row],[ESTATUS DE NUM ECONOMICO]]</f>
        <v xml:space="preserve"> MAQ</v>
      </c>
    </row>
    <row r="291" spans="1:33 16384:16384" ht="15.75" thickBot="1" x14ac:dyDescent="0.3">
      <c r="A291" s="8">
        <v>50</v>
      </c>
      <c r="B291" s="9">
        <v>46171</v>
      </c>
      <c r="C291" s="10" t="s">
        <v>112</v>
      </c>
      <c r="D291" s="10" t="s">
        <v>462</v>
      </c>
      <c r="E291" s="16">
        <v>1341</v>
      </c>
      <c r="F291" s="9">
        <v>46171</v>
      </c>
      <c r="G291" s="212" t="str">
        <f>IFERROR(VLOOKUP(Tabla3[[#This Row],[NUM ECONOMICO]],MAQUINARIA!B:H,7,0), " MAQ")</f>
        <v xml:space="preserve"> MAQ</v>
      </c>
      <c r="H291" s="214" t="s">
        <v>463</v>
      </c>
      <c r="I291" s="41" t="s">
        <v>466</v>
      </c>
      <c r="J291" s="10"/>
      <c r="K291" s="10">
        <v>4</v>
      </c>
      <c r="L291" s="12"/>
      <c r="M291" s="13">
        <f t="shared" si="4"/>
        <v>0</v>
      </c>
      <c r="N291" s="41"/>
      <c r="O291" s="10"/>
      <c r="P291" s="10">
        <f>Tabla3[[#This Row],[COSTO UNITARIO DOLARES EN HAWTHORNE]]*Tabla3[[#This Row],[CANTIDAD SOLICTADA]]</f>
        <v>0</v>
      </c>
      <c r="Q291" s="41"/>
      <c r="R291" s="229"/>
      <c r="S291" s="229">
        <f>+Tabla3[[#This Row],[COSTO UNITARIO DOLARES CTP]]*Tabla3[[#This Row],[CANTIDAD SOLICTADA]]</f>
        <v>0</v>
      </c>
      <c r="T291" s="41"/>
      <c r="U291" s="14" t="s">
        <v>4</v>
      </c>
      <c r="V291" s="8" t="s">
        <v>464</v>
      </c>
      <c r="W291" s="9">
        <v>46199</v>
      </c>
      <c r="X291" s="10" t="s">
        <v>89</v>
      </c>
      <c r="Y291" s="10" t="s">
        <v>90</v>
      </c>
      <c r="Z291" s="16" t="s">
        <v>44</v>
      </c>
      <c r="AA291" s="25">
        <v>46171</v>
      </c>
      <c r="AB291" s="25">
        <v>46174</v>
      </c>
      <c r="AC291" s="16" t="s">
        <v>238</v>
      </c>
      <c r="AD291" s="16"/>
      <c r="AE291" s="16" t="s">
        <v>420</v>
      </c>
      <c r="AF291" s="16"/>
      <c r="AG291" s="21" t="s">
        <v>443</v>
      </c>
      <c r="XFD291" s="15" t="str">
        <f>+Tabla3[[#This Row],[ESTATUS DE NUM ECONOMICO]]</f>
        <v xml:space="preserve"> MAQ</v>
      </c>
    </row>
    <row r="292" spans="1:33 16384:16384" ht="15.75" thickBot="1" x14ac:dyDescent="0.3">
      <c r="A292" s="8">
        <v>51</v>
      </c>
      <c r="B292" s="9">
        <v>46171</v>
      </c>
      <c r="C292" s="10" t="s">
        <v>112</v>
      </c>
      <c r="D292" s="10" t="s">
        <v>467</v>
      </c>
      <c r="E292" s="16">
        <v>1390</v>
      </c>
      <c r="F292" s="9">
        <v>46171</v>
      </c>
      <c r="G292" s="212" t="str">
        <f>IFERROR(VLOOKUP(Tabla3[[#This Row],[NUM ECONOMICO]],MAQUINARIA!B:H,7,0), " MAQ")</f>
        <v xml:space="preserve"> MAQ</v>
      </c>
      <c r="H292" s="214" t="s">
        <v>463</v>
      </c>
      <c r="I292" s="41">
        <v>3383540</v>
      </c>
      <c r="J292" s="10"/>
      <c r="K292" s="10">
        <v>2</v>
      </c>
      <c r="L292" s="12"/>
      <c r="M292" s="13">
        <f t="shared" si="4"/>
        <v>0</v>
      </c>
      <c r="N292" s="41"/>
      <c r="O292" s="10"/>
      <c r="P292" s="10">
        <f>Tabla3[[#This Row],[COSTO UNITARIO DOLARES EN HAWTHORNE]]*Tabla3[[#This Row],[CANTIDAD SOLICTADA]]</f>
        <v>0</v>
      </c>
      <c r="Q292" s="41"/>
      <c r="R292" s="229"/>
      <c r="S292" s="229">
        <f>+Tabla3[[#This Row],[COSTO UNITARIO DOLARES CTP]]*Tabla3[[#This Row],[CANTIDAD SOLICTADA]]</f>
        <v>0</v>
      </c>
      <c r="T292" s="41"/>
      <c r="U292" s="14" t="s">
        <v>4</v>
      </c>
      <c r="V292" s="8" t="s">
        <v>468</v>
      </c>
      <c r="W292" s="9">
        <v>46174</v>
      </c>
      <c r="X292" s="10" t="s">
        <v>89</v>
      </c>
      <c r="Y292" s="10" t="s">
        <v>90</v>
      </c>
      <c r="Z292" s="16" t="s">
        <v>44</v>
      </c>
      <c r="AA292" s="25">
        <v>46171</v>
      </c>
      <c r="AB292" s="25">
        <v>46174</v>
      </c>
      <c r="AC292" s="16" t="s">
        <v>238</v>
      </c>
      <c r="AD292" s="16"/>
      <c r="AE292" s="16" t="s">
        <v>407</v>
      </c>
      <c r="AF292" s="16"/>
      <c r="AG292" s="21" t="s">
        <v>443</v>
      </c>
      <c r="XFD292" s="15" t="str">
        <f>+Tabla3[[#This Row],[ESTATUS DE NUM ECONOMICO]]</f>
        <v xml:space="preserve"> MAQ</v>
      </c>
    </row>
    <row r="293" spans="1:33 16384:16384" ht="15.75" thickBot="1" x14ac:dyDescent="0.3">
      <c r="A293" s="8">
        <v>51</v>
      </c>
      <c r="B293" s="9">
        <v>46171</v>
      </c>
      <c r="C293" s="10" t="s">
        <v>112</v>
      </c>
      <c r="D293" s="10" t="s">
        <v>467</v>
      </c>
      <c r="E293" s="16">
        <v>1390</v>
      </c>
      <c r="F293" s="9">
        <v>46171</v>
      </c>
      <c r="G293" s="212" t="str">
        <f>IFERROR(VLOOKUP(Tabla3[[#This Row],[NUM ECONOMICO]],MAQUINARIA!B:H,7,0), " MAQ")</f>
        <v xml:space="preserve"> MAQ</v>
      </c>
      <c r="H293" s="214" t="s">
        <v>463</v>
      </c>
      <c r="I293" s="41">
        <v>3283655</v>
      </c>
      <c r="J293" s="10"/>
      <c r="K293" s="10">
        <v>2</v>
      </c>
      <c r="L293" s="12"/>
      <c r="M293" s="13">
        <f t="shared" si="4"/>
        <v>0</v>
      </c>
      <c r="N293" s="41"/>
      <c r="O293" s="10"/>
      <c r="P293" s="10">
        <f>Tabla3[[#This Row],[COSTO UNITARIO DOLARES EN HAWTHORNE]]*Tabla3[[#This Row],[CANTIDAD SOLICTADA]]</f>
        <v>0</v>
      </c>
      <c r="Q293" s="41"/>
      <c r="R293" s="229"/>
      <c r="S293" s="229">
        <f>+Tabla3[[#This Row],[COSTO UNITARIO DOLARES CTP]]*Tabla3[[#This Row],[CANTIDAD SOLICTADA]]</f>
        <v>0</v>
      </c>
      <c r="T293" s="41"/>
      <c r="U293" s="14" t="s">
        <v>4</v>
      </c>
      <c r="V293" s="8" t="s">
        <v>468</v>
      </c>
      <c r="W293" s="9">
        <v>46174</v>
      </c>
      <c r="X293" s="10" t="s">
        <v>89</v>
      </c>
      <c r="Y293" s="10" t="s">
        <v>90</v>
      </c>
      <c r="Z293" s="16" t="s">
        <v>44</v>
      </c>
      <c r="AA293" s="25">
        <v>46171</v>
      </c>
      <c r="AB293" s="25">
        <v>46174</v>
      </c>
      <c r="AC293" s="16" t="s">
        <v>238</v>
      </c>
      <c r="AD293" s="16"/>
      <c r="AE293" s="16" t="s">
        <v>407</v>
      </c>
      <c r="AF293" s="16"/>
      <c r="AG293" s="21" t="s">
        <v>443</v>
      </c>
      <c r="XFD293" s="15" t="str">
        <f>+Tabla3[[#This Row],[ESTATUS DE NUM ECONOMICO]]</f>
        <v xml:space="preserve"> MAQ</v>
      </c>
    </row>
    <row r="294" spans="1:33 16384:16384" ht="15.75" thickBot="1" x14ac:dyDescent="0.3">
      <c r="A294" s="8">
        <v>51</v>
      </c>
      <c r="B294" s="9">
        <v>46171</v>
      </c>
      <c r="C294" s="10" t="s">
        <v>112</v>
      </c>
      <c r="D294" s="10" t="s">
        <v>467</v>
      </c>
      <c r="E294" s="16">
        <v>1390</v>
      </c>
      <c r="F294" s="9">
        <v>46171</v>
      </c>
      <c r="G294" s="212" t="str">
        <f>IFERROR(VLOOKUP(Tabla3[[#This Row],[NUM ECONOMICO]],MAQUINARIA!B:H,7,0), " MAQ")</f>
        <v xml:space="preserve"> MAQ</v>
      </c>
      <c r="H294" s="214" t="s">
        <v>463</v>
      </c>
      <c r="I294" s="41" t="s">
        <v>444</v>
      </c>
      <c r="J294" s="10"/>
      <c r="K294" s="10">
        <v>2</v>
      </c>
      <c r="L294" s="12"/>
      <c r="M294" s="13">
        <f t="shared" si="4"/>
        <v>0</v>
      </c>
      <c r="N294" s="41"/>
      <c r="O294" s="10"/>
      <c r="P294" s="10">
        <f>Tabla3[[#This Row],[COSTO UNITARIO DOLARES EN HAWTHORNE]]*Tabla3[[#This Row],[CANTIDAD SOLICTADA]]</f>
        <v>0</v>
      </c>
      <c r="Q294" s="41"/>
      <c r="R294" s="229"/>
      <c r="S294" s="229">
        <f>+Tabla3[[#This Row],[COSTO UNITARIO DOLARES CTP]]*Tabla3[[#This Row],[CANTIDAD SOLICTADA]]</f>
        <v>0</v>
      </c>
      <c r="T294" s="41"/>
      <c r="U294" s="14" t="s">
        <v>4</v>
      </c>
      <c r="V294" s="8" t="s">
        <v>468</v>
      </c>
      <c r="W294" s="9">
        <v>46174</v>
      </c>
      <c r="X294" s="10" t="s">
        <v>89</v>
      </c>
      <c r="Y294" s="10" t="s">
        <v>90</v>
      </c>
      <c r="Z294" s="16" t="s">
        <v>44</v>
      </c>
      <c r="AA294" s="25">
        <v>46171</v>
      </c>
      <c r="AB294" s="25">
        <v>46174</v>
      </c>
      <c r="AC294" s="16" t="s">
        <v>238</v>
      </c>
      <c r="AD294" s="16"/>
      <c r="AE294" s="16" t="s">
        <v>407</v>
      </c>
      <c r="AF294" s="16"/>
      <c r="AG294" s="21" t="s">
        <v>443</v>
      </c>
      <c r="XFD294" s="15" t="str">
        <f>+Tabla3[[#This Row],[ESTATUS DE NUM ECONOMICO]]</f>
        <v xml:space="preserve"> MAQ</v>
      </c>
    </row>
    <row r="295" spans="1:33 16384:16384" ht="15.75" thickBot="1" x14ac:dyDescent="0.3">
      <c r="A295" s="8">
        <v>51</v>
      </c>
      <c r="B295" s="9">
        <v>46171</v>
      </c>
      <c r="C295" s="10" t="s">
        <v>112</v>
      </c>
      <c r="D295" s="10" t="s">
        <v>467</v>
      </c>
      <c r="E295" s="16">
        <v>1390</v>
      </c>
      <c r="F295" s="9">
        <v>46171</v>
      </c>
      <c r="G295" s="212" t="str">
        <f>IFERROR(VLOOKUP(Tabla3[[#This Row],[NUM ECONOMICO]],MAQUINARIA!B:H,7,0), " MAQ")</f>
        <v xml:space="preserve"> MAQ</v>
      </c>
      <c r="H295" s="214" t="s">
        <v>463</v>
      </c>
      <c r="I295" s="41">
        <v>3261643</v>
      </c>
      <c r="J295" s="10"/>
      <c r="K295" s="10">
        <v>1</v>
      </c>
      <c r="L295" s="12"/>
      <c r="M295" s="13">
        <f t="shared" si="4"/>
        <v>0</v>
      </c>
      <c r="N295" s="41"/>
      <c r="O295" s="10"/>
      <c r="P295" s="10">
        <f>Tabla3[[#This Row],[COSTO UNITARIO DOLARES EN HAWTHORNE]]*Tabla3[[#This Row],[CANTIDAD SOLICTADA]]</f>
        <v>0</v>
      </c>
      <c r="Q295" s="41"/>
      <c r="R295" s="229"/>
      <c r="S295" s="229">
        <f>+Tabla3[[#This Row],[COSTO UNITARIO DOLARES CTP]]*Tabla3[[#This Row],[CANTIDAD SOLICTADA]]</f>
        <v>0</v>
      </c>
      <c r="T295" s="41"/>
      <c r="U295" s="14" t="s">
        <v>4</v>
      </c>
      <c r="V295" s="8" t="s">
        <v>468</v>
      </c>
      <c r="W295" s="9">
        <v>46174</v>
      </c>
      <c r="X295" s="10" t="s">
        <v>89</v>
      </c>
      <c r="Y295" s="10" t="s">
        <v>90</v>
      </c>
      <c r="Z295" s="16" t="s">
        <v>44</v>
      </c>
      <c r="AA295" s="25">
        <v>46171</v>
      </c>
      <c r="AB295" s="25">
        <v>46174</v>
      </c>
      <c r="AC295" s="16" t="s">
        <v>238</v>
      </c>
      <c r="AD295" s="16"/>
      <c r="AE295" s="16" t="s">
        <v>407</v>
      </c>
      <c r="AF295" s="16"/>
      <c r="AG295" s="21" t="s">
        <v>443</v>
      </c>
      <c r="XFD295" s="15" t="str">
        <f>+Tabla3[[#This Row],[ESTATUS DE NUM ECONOMICO]]</f>
        <v xml:space="preserve"> MAQ</v>
      </c>
    </row>
    <row r="296" spans="1:33 16384:16384" ht="15.75" thickBot="1" x14ac:dyDescent="0.3">
      <c r="A296" s="8">
        <v>51</v>
      </c>
      <c r="B296" s="9">
        <v>46171</v>
      </c>
      <c r="C296" s="10" t="s">
        <v>112</v>
      </c>
      <c r="D296" s="10" t="s">
        <v>467</v>
      </c>
      <c r="E296" s="16">
        <v>1390</v>
      </c>
      <c r="F296" s="9">
        <v>46171</v>
      </c>
      <c r="G296" s="212" t="str">
        <f>IFERROR(VLOOKUP(Tabla3[[#This Row],[NUM ECONOMICO]],MAQUINARIA!B:H,7,0), " MAQ")</f>
        <v xml:space="preserve"> MAQ</v>
      </c>
      <c r="H296" s="214" t="s">
        <v>463</v>
      </c>
      <c r="I296" s="41">
        <v>2492337</v>
      </c>
      <c r="J296" s="10"/>
      <c r="K296" s="10">
        <v>1</v>
      </c>
      <c r="L296" s="12"/>
      <c r="M296" s="13">
        <f t="shared" si="4"/>
        <v>0</v>
      </c>
      <c r="N296" s="41"/>
      <c r="O296" s="10"/>
      <c r="P296" s="10">
        <f>Tabla3[[#This Row],[COSTO UNITARIO DOLARES EN HAWTHORNE]]*Tabla3[[#This Row],[CANTIDAD SOLICTADA]]</f>
        <v>0</v>
      </c>
      <c r="Q296" s="41"/>
      <c r="R296" s="229"/>
      <c r="S296" s="229">
        <f>+Tabla3[[#This Row],[COSTO UNITARIO DOLARES CTP]]*Tabla3[[#This Row],[CANTIDAD SOLICTADA]]</f>
        <v>0</v>
      </c>
      <c r="T296" s="41"/>
      <c r="U296" s="14" t="s">
        <v>4</v>
      </c>
      <c r="V296" s="8" t="s">
        <v>468</v>
      </c>
      <c r="W296" s="9">
        <v>46174</v>
      </c>
      <c r="X296" s="10" t="s">
        <v>89</v>
      </c>
      <c r="Y296" s="10">
        <v>4</v>
      </c>
      <c r="Z296" s="16" t="s">
        <v>44</v>
      </c>
      <c r="AA296" s="25">
        <v>46171</v>
      </c>
      <c r="AB296" s="25">
        <v>46174</v>
      </c>
      <c r="AC296" s="16" t="s">
        <v>238</v>
      </c>
      <c r="AD296" s="16"/>
      <c r="AE296" s="16" t="s">
        <v>407</v>
      </c>
      <c r="AF296" s="16"/>
      <c r="AG296" s="21" t="s">
        <v>443</v>
      </c>
      <c r="XFD296" s="15" t="str">
        <f>+Tabla3[[#This Row],[ESTATUS DE NUM ECONOMICO]]</f>
        <v xml:space="preserve"> MAQ</v>
      </c>
    </row>
    <row r="297" spans="1:33 16384:16384" ht="15.75" thickBot="1" x14ac:dyDescent="0.3">
      <c r="A297" s="8">
        <v>51</v>
      </c>
      <c r="B297" s="9">
        <v>46171</v>
      </c>
      <c r="C297" s="10" t="s">
        <v>112</v>
      </c>
      <c r="D297" s="10" t="s">
        <v>467</v>
      </c>
      <c r="E297" s="16">
        <v>1390</v>
      </c>
      <c r="F297" s="9">
        <v>46171</v>
      </c>
      <c r="G297" s="212" t="str">
        <f>IFERROR(VLOOKUP(Tabla3[[#This Row],[NUM ECONOMICO]],MAQUINARIA!B:H,7,0), " MAQ")</f>
        <v xml:space="preserve"> MAQ</v>
      </c>
      <c r="H297" s="214" t="s">
        <v>463</v>
      </c>
      <c r="I297" s="41" t="s">
        <v>459</v>
      </c>
      <c r="J297" s="10"/>
      <c r="K297" s="10">
        <v>1</v>
      </c>
      <c r="L297" s="12"/>
      <c r="M297" s="13">
        <f t="shared" si="4"/>
        <v>0</v>
      </c>
      <c r="N297" s="41"/>
      <c r="O297" s="10"/>
      <c r="P297" s="10">
        <f>Tabla3[[#This Row],[COSTO UNITARIO DOLARES EN HAWTHORNE]]*Tabla3[[#This Row],[CANTIDAD SOLICTADA]]</f>
        <v>0</v>
      </c>
      <c r="Q297" s="41"/>
      <c r="R297" s="229"/>
      <c r="S297" s="229">
        <f>+Tabla3[[#This Row],[COSTO UNITARIO DOLARES CTP]]*Tabla3[[#This Row],[CANTIDAD SOLICTADA]]</f>
        <v>0</v>
      </c>
      <c r="T297" s="41"/>
      <c r="U297" s="14" t="s">
        <v>4</v>
      </c>
      <c r="V297" s="8" t="s">
        <v>468</v>
      </c>
      <c r="W297" s="9">
        <v>46174</v>
      </c>
      <c r="X297" s="10" t="s">
        <v>89</v>
      </c>
      <c r="Y297" s="10" t="s">
        <v>90</v>
      </c>
      <c r="Z297" s="16" t="s">
        <v>44</v>
      </c>
      <c r="AA297" s="25">
        <v>46171</v>
      </c>
      <c r="AB297" s="25">
        <v>46174</v>
      </c>
      <c r="AC297" s="16" t="s">
        <v>238</v>
      </c>
      <c r="AD297" s="16"/>
      <c r="AE297" s="16" t="s">
        <v>407</v>
      </c>
      <c r="AF297" s="16"/>
      <c r="AG297" s="21" t="s">
        <v>443</v>
      </c>
      <c r="XFD297" s="15" t="str">
        <f>+Tabla3[[#This Row],[ESTATUS DE NUM ECONOMICO]]</f>
        <v xml:space="preserve"> MAQ</v>
      </c>
    </row>
    <row r="298" spans="1:33 16384:16384" ht="15.75" thickBot="1" x14ac:dyDescent="0.3">
      <c r="A298" s="8">
        <v>51</v>
      </c>
      <c r="B298" s="9">
        <v>46171</v>
      </c>
      <c r="C298" s="10" t="s">
        <v>112</v>
      </c>
      <c r="D298" s="10" t="s">
        <v>467</v>
      </c>
      <c r="E298" s="16">
        <v>1390</v>
      </c>
      <c r="F298" s="9">
        <v>46171</v>
      </c>
      <c r="G298" s="212" t="str">
        <f>IFERROR(VLOOKUP(Tabla3[[#This Row],[NUM ECONOMICO]],MAQUINARIA!B:H,7,0), " MAQ")</f>
        <v xml:space="preserve"> MAQ</v>
      </c>
      <c r="H298" s="214" t="s">
        <v>463</v>
      </c>
      <c r="I298" s="41" t="s">
        <v>465</v>
      </c>
      <c r="J298" s="10"/>
      <c r="K298" s="10">
        <v>2</v>
      </c>
      <c r="L298" s="12"/>
      <c r="M298" s="13">
        <f t="shared" si="4"/>
        <v>0</v>
      </c>
      <c r="N298" s="41"/>
      <c r="O298" s="10"/>
      <c r="P298" s="10">
        <f>Tabla3[[#This Row],[COSTO UNITARIO DOLARES EN HAWTHORNE]]*Tabla3[[#This Row],[CANTIDAD SOLICTADA]]</f>
        <v>0</v>
      </c>
      <c r="Q298" s="41"/>
      <c r="R298" s="229"/>
      <c r="S298" s="229">
        <f>+Tabla3[[#This Row],[COSTO UNITARIO DOLARES CTP]]*Tabla3[[#This Row],[CANTIDAD SOLICTADA]]</f>
        <v>0</v>
      </c>
      <c r="T298" s="41"/>
      <c r="U298" s="14" t="s">
        <v>4</v>
      </c>
      <c r="V298" s="8" t="s">
        <v>468</v>
      </c>
      <c r="W298" s="9">
        <v>46174</v>
      </c>
      <c r="X298" s="10" t="s">
        <v>89</v>
      </c>
      <c r="Y298" s="10" t="s">
        <v>90</v>
      </c>
      <c r="Z298" s="16" t="s">
        <v>44</v>
      </c>
      <c r="AA298" s="25">
        <v>46171</v>
      </c>
      <c r="AB298" s="25">
        <v>46174</v>
      </c>
      <c r="AC298" s="16" t="s">
        <v>238</v>
      </c>
      <c r="AD298" s="16"/>
      <c r="AE298" s="16" t="s">
        <v>407</v>
      </c>
      <c r="AF298" s="16"/>
      <c r="AG298" s="21" t="s">
        <v>443</v>
      </c>
      <c r="XFD298" s="15" t="str">
        <f>+Tabla3[[#This Row],[ESTATUS DE NUM ECONOMICO]]</f>
        <v xml:space="preserve"> MAQ</v>
      </c>
    </row>
    <row r="299" spans="1:33 16384:16384" ht="15.75" thickBot="1" x14ac:dyDescent="0.3">
      <c r="A299" s="8">
        <v>51</v>
      </c>
      <c r="B299" s="9">
        <v>46171</v>
      </c>
      <c r="C299" s="10" t="s">
        <v>112</v>
      </c>
      <c r="D299" s="10" t="s">
        <v>467</v>
      </c>
      <c r="E299" s="16">
        <v>1390</v>
      </c>
      <c r="F299" s="9">
        <v>46171</v>
      </c>
      <c r="G299" s="212" t="str">
        <f>IFERROR(VLOOKUP(Tabla3[[#This Row],[NUM ECONOMICO]],MAQUINARIA!B:H,7,0), " MAQ")</f>
        <v xml:space="preserve"> MAQ</v>
      </c>
      <c r="H299" s="214" t="s">
        <v>463</v>
      </c>
      <c r="I299" s="41" t="s">
        <v>466</v>
      </c>
      <c r="J299" s="10"/>
      <c r="K299" s="10">
        <v>2</v>
      </c>
      <c r="L299" s="12"/>
      <c r="M299" s="13">
        <f t="shared" si="4"/>
        <v>0</v>
      </c>
      <c r="N299" s="41"/>
      <c r="O299" s="10"/>
      <c r="P299" s="10">
        <f>Tabla3[[#This Row],[COSTO UNITARIO DOLARES EN HAWTHORNE]]*Tabla3[[#This Row],[CANTIDAD SOLICTADA]]</f>
        <v>0</v>
      </c>
      <c r="Q299" s="41"/>
      <c r="R299" s="229"/>
      <c r="S299" s="229">
        <f>+Tabla3[[#This Row],[COSTO UNITARIO DOLARES CTP]]*Tabla3[[#This Row],[CANTIDAD SOLICTADA]]</f>
        <v>0</v>
      </c>
      <c r="T299" s="41"/>
      <c r="U299" s="14" t="s">
        <v>4</v>
      </c>
      <c r="V299" s="8" t="s">
        <v>468</v>
      </c>
      <c r="W299" s="9">
        <v>46174</v>
      </c>
      <c r="X299" s="10" t="s">
        <v>89</v>
      </c>
      <c r="Y299" s="10" t="s">
        <v>90</v>
      </c>
      <c r="Z299" s="16" t="s">
        <v>44</v>
      </c>
      <c r="AA299" s="25">
        <v>46171</v>
      </c>
      <c r="AB299" s="25">
        <v>46174</v>
      </c>
      <c r="AC299" s="16" t="s">
        <v>238</v>
      </c>
      <c r="AD299" s="16"/>
      <c r="AE299" s="16" t="s">
        <v>407</v>
      </c>
      <c r="AF299" s="16"/>
      <c r="AG299" s="21" t="s">
        <v>443</v>
      </c>
      <c r="XFD299" s="15" t="str">
        <f>+Tabla3[[#This Row],[ESTATUS DE NUM ECONOMICO]]</f>
        <v xml:space="preserve"> MAQ</v>
      </c>
    </row>
    <row r="300" spans="1:33 16384:16384" ht="15.75" thickBot="1" x14ac:dyDescent="0.3">
      <c r="A300" s="8">
        <v>52</v>
      </c>
      <c r="B300" s="9">
        <v>46171</v>
      </c>
      <c r="C300" s="10" t="s">
        <v>112</v>
      </c>
      <c r="D300" s="10" t="s">
        <v>469</v>
      </c>
      <c r="E300" s="16">
        <v>22</v>
      </c>
      <c r="F300" s="9">
        <v>46171</v>
      </c>
      <c r="G300" s="212" t="str">
        <f>IFERROR(VLOOKUP(Tabla3[[#This Row],[NUM ECONOMICO]],MAQUINARIA!B:H,7,0), " MAQ")</f>
        <v>ACTIVA</v>
      </c>
      <c r="H300" s="214" t="s">
        <v>470</v>
      </c>
      <c r="I300" s="41" t="s">
        <v>445</v>
      </c>
      <c r="J300" s="10"/>
      <c r="K300" s="10">
        <v>1</v>
      </c>
      <c r="L300" s="12"/>
      <c r="M300" s="13">
        <f t="shared" si="4"/>
        <v>0</v>
      </c>
      <c r="N300" s="41"/>
      <c r="O300" s="10"/>
      <c r="P300" s="10">
        <f>Tabla3[[#This Row],[COSTO UNITARIO DOLARES EN HAWTHORNE]]*Tabla3[[#This Row],[CANTIDAD SOLICTADA]]</f>
        <v>0</v>
      </c>
      <c r="Q300" s="41"/>
      <c r="R300" s="229"/>
      <c r="S300" s="229">
        <f>+Tabla3[[#This Row],[COSTO UNITARIO DOLARES CTP]]*Tabla3[[#This Row],[CANTIDAD SOLICTADA]]</f>
        <v>0</v>
      </c>
      <c r="T300" s="41"/>
      <c r="U300" s="14" t="s">
        <v>4</v>
      </c>
      <c r="V300" s="8" t="s">
        <v>471</v>
      </c>
      <c r="W300" s="9">
        <v>46174</v>
      </c>
      <c r="X300" s="10" t="s">
        <v>89</v>
      </c>
      <c r="Y300" s="10" t="s">
        <v>90</v>
      </c>
      <c r="Z300" s="16" t="s">
        <v>44</v>
      </c>
      <c r="AA300" s="25">
        <v>46171</v>
      </c>
      <c r="AB300" s="25">
        <v>46174</v>
      </c>
      <c r="AC300" s="16" t="s">
        <v>238</v>
      </c>
      <c r="AD300" s="16"/>
      <c r="AE300" s="16" t="s">
        <v>407</v>
      </c>
      <c r="AF300" s="16"/>
      <c r="AG300" s="21" t="s">
        <v>443</v>
      </c>
      <c r="XFD300" s="15" t="str">
        <f>+Tabla3[[#This Row],[ESTATUS DE NUM ECONOMICO]]</f>
        <v>ACTIVA</v>
      </c>
    </row>
    <row r="301" spans="1:33 16384:16384" ht="15.75" thickBot="1" x14ac:dyDescent="0.3">
      <c r="A301" s="8">
        <v>52</v>
      </c>
      <c r="B301" s="9">
        <v>46171</v>
      </c>
      <c r="C301" s="10" t="s">
        <v>112</v>
      </c>
      <c r="D301" s="10" t="s">
        <v>469</v>
      </c>
      <c r="E301" s="16">
        <v>22</v>
      </c>
      <c r="F301" s="9">
        <v>46171</v>
      </c>
      <c r="G301" s="212" t="str">
        <f>IFERROR(VLOOKUP(Tabla3[[#This Row],[NUM ECONOMICO]],MAQUINARIA!B:H,7,0), " MAQ")</f>
        <v>ACTIVA</v>
      </c>
      <c r="H301" s="214" t="s">
        <v>470</v>
      </c>
      <c r="I301" s="41" t="s">
        <v>444</v>
      </c>
      <c r="J301" s="10"/>
      <c r="K301" s="10">
        <v>2</v>
      </c>
      <c r="L301" s="12"/>
      <c r="M301" s="13">
        <f t="shared" si="4"/>
        <v>0</v>
      </c>
      <c r="N301" s="41"/>
      <c r="O301" s="10"/>
      <c r="P301" s="10">
        <f>Tabla3[[#This Row],[COSTO UNITARIO DOLARES EN HAWTHORNE]]*Tabla3[[#This Row],[CANTIDAD SOLICTADA]]</f>
        <v>0</v>
      </c>
      <c r="Q301" s="41"/>
      <c r="R301" s="229"/>
      <c r="S301" s="229">
        <f>+Tabla3[[#This Row],[COSTO UNITARIO DOLARES CTP]]*Tabla3[[#This Row],[CANTIDAD SOLICTADA]]</f>
        <v>0</v>
      </c>
      <c r="T301" s="41"/>
      <c r="U301" s="14" t="s">
        <v>4</v>
      </c>
      <c r="V301" s="8" t="s">
        <v>471</v>
      </c>
      <c r="W301" s="9">
        <v>46174</v>
      </c>
      <c r="X301" s="10" t="s">
        <v>89</v>
      </c>
      <c r="Y301" s="10" t="s">
        <v>90</v>
      </c>
      <c r="Z301" s="16" t="s">
        <v>44</v>
      </c>
      <c r="AA301" s="25">
        <v>46171</v>
      </c>
      <c r="AB301" s="25">
        <v>46174</v>
      </c>
      <c r="AC301" s="16" t="s">
        <v>238</v>
      </c>
      <c r="AD301" s="16"/>
      <c r="AE301" s="16" t="s">
        <v>407</v>
      </c>
      <c r="AF301" s="16"/>
      <c r="AG301" s="21" t="s">
        <v>443</v>
      </c>
      <c r="XFD301" s="15" t="str">
        <f>+Tabla3[[#This Row],[ESTATUS DE NUM ECONOMICO]]</f>
        <v>ACTIVA</v>
      </c>
    </row>
    <row r="302" spans="1:33 16384:16384" ht="15.75" thickBot="1" x14ac:dyDescent="0.3">
      <c r="A302" s="8">
        <v>52</v>
      </c>
      <c r="B302" s="9">
        <v>46171</v>
      </c>
      <c r="C302" s="10" t="s">
        <v>112</v>
      </c>
      <c r="D302" s="10" t="s">
        <v>469</v>
      </c>
      <c r="E302" s="16">
        <v>22</v>
      </c>
      <c r="F302" s="9">
        <v>46171</v>
      </c>
      <c r="G302" s="212" t="str">
        <f>IFERROR(VLOOKUP(Tabla3[[#This Row],[NUM ECONOMICO]],MAQUINARIA!B:H,7,0), " MAQ")</f>
        <v>ACTIVA</v>
      </c>
      <c r="H302" s="214" t="s">
        <v>470</v>
      </c>
      <c r="I302" s="41" t="s">
        <v>456</v>
      </c>
      <c r="J302" s="10"/>
      <c r="K302" s="10">
        <v>1</v>
      </c>
      <c r="L302" s="12"/>
      <c r="M302" s="13">
        <f t="shared" si="4"/>
        <v>0</v>
      </c>
      <c r="N302" s="41"/>
      <c r="O302" s="10"/>
      <c r="P302" s="10">
        <f>Tabla3[[#This Row],[COSTO UNITARIO DOLARES EN HAWTHORNE]]*Tabla3[[#This Row],[CANTIDAD SOLICTADA]]</f>
        <v>0</v>
      </c>
      <c r="Q302" s="41"/>
      <c r="R302" s="229"/>
      <c r="S302" s="229">
        <f>+Tabla3[[#This Row],[COSTO UNITARIO DOLARES CTP]]*Tabla3[[#This Row],[CANTIDAD SOLICTADA]]</f>
        <v>0</v>
      </c>
      <c r="T302" s="41"/>
      <c r="U302" s="14" t="s">
        <v>4</v>
      </c>
      <c r="V302" s="8" t="s">
        <v>471</v>
      </c>
      <c r="W302" s="9">
        <v>46174</v>
      </c>
      <c r="X302" s="10" t="s">
        <v>89</v>
      </c>
      <c r="Y302" s="10" t="s">
        <v>90</v>
      </c>
      <c r="Z302" s="16" t="s">
        <v>44</v>
      </c>
      <c r="AA302" s="25">
        <v>46171</v>
      </c>
      <c r="AB302" s="25">
        <v>46174</v>
      </c>
      <c r="AC302" s="16" t="s">
        <v>238</v>
      </c>
      <c r="AD302" s="16"/>
      <c r="AE302" s="16" t="s">
        <v>407</v>
      </c>
      <c r="AF302" s="16"/>
      <c r="AG302" s="21" t="s">
        <v>443</v>
      </c>
      <c r="XFD302" s="15" t="str">
        <f>+Tabla3[[#This Row],[ESTATUS DE NUM ECONOMICO]]</f>
        <v>ACTIVA</v>
      </c>
    </row>
    <row r="303" spans="1:33 16384:16384" ht="15.75" thickBot="1" x14ac:dyDescent="0.3">
      <c r="A303" s="8">
        <v>52</v>
      </c>
      <c r="B303" s="9">
        <v>46171</v>
      </c>
      <c r="C303" s="10" t="s">
        <v>112</v>
      </c>
      <c r="D303" s="10" t="s">
        <v>469</v>
      </c>
      <c r="E303" s="16">
        <v>22</v>
      </c>
      <c r="F303" s="9">
        <v>46171</v>
      </c>
      <c r="G303" s="212" t="str">
        <f>IFERROR(VLOOKUP(Tabla3[[#This Row],[NUM ECONOMICO]],MAQUINARIA!B:H,7,0), " MAQ")</f>
        <v>ACTIVA</v>
      </c>
      <c r="H303" s="214" t="s">
        <v>470</v>
      </c>
      <c r="I303" s="41" t="s">
        <v>459</v>
      </c>
      <c r="J303" s="10"/>
      <c r="K303" s="10">
        <v>1</v>
      </c>
      <c r="L303" s="12"/>
      <c r="M303" s="13">
        <f t="shared" si="4"/>
        <v>0</v>
      </c>
      <c r="N303" s="41"/>
      <c r="O303" s="10"/>
      <c r="P303" s="10">
        <f>Tabla3[[#This Row],[COSTO UNITARIO DOLARES EN HAWTHORNE]]*Tabla3[[#This Row],[CANTIDAD SOLICTADA]]</f>
        <v>0</v>
      </c>
      <c r="Q303" s="41"/>
      <c r="R303" s="229"/>
      <c r="S303" s="229">
        <f>+Tabla3[[#This Row],[COSTO UNITARIO DOLARES CTP]]*Tabla3[[#This Row],[CANTIDAD SOLICTADA]]</f>
        <v>0</v>
      </c>
      <c r="T303" s="41"/>
      <c r="U303" s="14" t="s">
        <v>4</v>
      </c>
      <c r="V303" s="8" t="s">
        <v>471</v>
      </c>
      <c r="W303" s="9">
        <v>46174</v>
      </c>
      <c r="X303" s="10" t="s">
        <v>89</v>
      </c>
      <c r="Y303" s="10" t="s">
        <v>90</v>
      </c>
      <c r="Z303" s="16" t="s">
        <v>44</v>
      </c>
      <c r="AA303" s="25">
        <v>46171</v>
      </c>
      <c r="AB303" s="25">
        <v>46174</v>
      </c>
      <c r="AC303" s="16" t="s">
        <v>238</v>
      </c>
      <c r="AD303" s="16"/>
      <c r="AE303" s="16" t="s">
        <v>407</v>
      </c>
      <c r="AF303" s="16"/>
      <c r="AG303" s="21" t="s">
        <v>443</v>
      </c>
      <c r="XFD303" s="15" t="str">
        <f>+Tabla3[[#This Row],[ESTATUS DE NUM ECONOMICO]]</f>
        <v>ACTIVA</v>
      </c>
    </row>
    <row r="304" spans="1:33 16384:16384" ht="15.75" thickBot="1" x14ac:dyDescent="0.3">
      <c r="A304" s="8">
        <v>52</v>
      </c>
      <c r="B304" s="9">
        <v>46171</v>
      </c>
      <c r="C304" s="10" t="s">
        <v>112</v>
      </c>
      <c r="D304" s="10" t="s">
        <v>469</v>
      </c>
      <c r="E304" s="16">
        <v>22</v>
      </c>
      <c r="F304" s="9">
        <v>46171</v>
      </c>
      <c r="G304" s="212" t="str">
        <f>IFERROR(VLOOKUP(Tabla3[[#This Row],[NUM ECONOMICO]],MAQUINARIA!B:H,7,0), " MAQ")</f>
        <v>ACTIVA</v>
      </c>
      <c r="H304" s="214" t="s">
        <v>470</v>
      </c>
      <c r="I304" s="41" t="s">
        <v>472</v>
      </c>
      <c r="J304" s="10"/>
      <c r="K304" s="10">
        <v>1</v>
      </c>
      <c r="L304" s="12"/>
      <c r="M304" s="13">
        <f t="shared" si="4"/>
        <v>0</v>
      </c>
      <c r="N304" s="41"/>
      <c r="O304" s="10"/>
      <c r="P304" s="10">
        <f>Tabla3[[#This Row],[COSTO UNITARIO DOLARES EN HAWTHORNE]]*Tabla3[[#This Row],[CANTIDAD SOLICTADA]]</f>
        <v>0</v>
      </c>
      <c r="Q304" s="41"/>
      <c r="R304" s="229"/>
      <c r="S304" s="229">
        <f>+Tabla3[[#This Row],[COSTO UNITARIO DOLARES CTP]]*Tabla3[[#This Row],[CANTIDAD SOLICTADA]]</f>
        <v>0</v>
      </c>
      <c r="T304" s="41"/>
      <c r="U304" s="14" t="s">
        <v>4</v>
      </c>
      <c r="V304" s="8" t="s">
        <v>471</v>
      </c>
      <c r="W304" s="9">
        <v>46174</v>
      </c>
      <c r="X304" s="10" t="s">
        <v>89</v>
      </c>
      <c r="Y304" s="10">
        <v>2</v>
      </c>
      <c r="Z304" s="16" t="s">
        <v>44</v>
      </c>
      <c r="AA304" s="25">
        <v>46171</v>
      </c>
      <c r="AB304" s="25">
        <v>46174</v>
      </c>
      <c r="AC304" s="16" t="s">
        <v>238</v>
      </c>
      <c r="AD304" s="16"/>
      <c r="AE304" s="16" t="s">
        <v>407</v>
      </c>
      <c r="AF304" s="16"/>
      <c r="AG304" s="21" t="s">
        <v>443</v>
      </c>
      <c r="XFD304" s="15" t="str">
        <f>+Tabla3[[#This Row],[ESTATUS DE NUM ECONOMICO]]</f>
        <v>ACTIVA</v>
      </c>
    </row>
    <row r="305" spans="1:33 16384:16384" ht="15.75" thickBot="1" x14ac:dyDescent="0.3">
      <c r="A305" s="8">
        <v>52</v>
      </c>
      <c r="B305" s="9">
        <v>46171</v>
      </c>
      <c r="C305" s="10" t="s">
        <v>112</v>
      </c>
      <c r="D305" s="10" t="s">
        <v>469</v>
      </c>
      <c r="E305" s="16">
        <v>22</v>
      </c>
      <c r="F305" s="9">
        <v>46171</v>
      </c>
      <c r="G305" s="212" t="str">
        <f>IFERROR(VLOOKUP(Tabla3[[#This Row],[NUM ECONOMICO]],MAQUINARIA!B:H,7,0), " MAQ")</f>
        <v>ACTIVA</v>
      </c>
      <c r="H305" s="214" t="s">
        <v>470</v>
      </c>
      <c r="I305" s="41" t="s">
        <v>466</v>
      </c>
      <c r="J305" s="10"/>
      <c r="K305" s="10">
        <v>1</v>
      </c>
      <c r="L305" s="12"/>
      <c r="M305" s="13">
        <f t="shared" si="4"/>
        <v>0</v>
      </c>
      <c r="N305" s="41"/>
      <c r="O305" s="10"/>
      <c r="P305" s="10">
        <f>Tabla3[[#This Row],[COSTO UNITARIO DOLARES EN HAWTHORNE]]*Tabla3[[#This Row],[CANTIDAD SOLICTADA]]</f>
        <v>0</v>
      </c>
      <c r="Q305" s="41"/>
      <c r="R305" s="229"/>
      <c r="S305" s="229">
        <f>+Tabla3[[#This Row],[COSTO UNITARIO DOLARES CTP]]*Tabla3[[#This Row],[CANTIDAD SOLICTADA]]</f>
        <v>0</v>
      </c>
      <c r="T305" s="41"/>
      <c r="U305" s="14" t="s">
        <v>4</v>
      </c>
      <c r="V305" s="8" t="s">
        <v>471</v>
      </c>
      <c r="W305" s="9">
        <v>46174</v>
      </c>
      <c r="X305" s="10" t="s">
        <v>89</v>
      </c>
      <c r="Y305" s="10" t="s">
        <v>90</v>
      </c>
      <c r="Z305" s="16" t="s">
        <v>44</v>
      </c>
      <c r="AA305" s="25">
        <v>46171</v>
      </c>
      <c r="AB305" s="25">
        <v>46174</v>
      </c>
      <c r="AC305" s="16" t="s">
        <v>238</v>
      </c>
      <c r="AD305" s="16"/>
      <c r="AE305" s="16" t="s">
        <v>407</v>
      </c>
      <c r="AF305" s="16"/>
      <c r="AG305" s="21" t="s">
        <v>443</v>
      </c>
      <c r="XFD305" s="15" t="str">
        <f>+Tabla3[[#This Row],[ESTATUS DE NUM ECONOMICO]]</f>
        <v>ACTIVA</v>
      </c>
    </row>
    <row r="306" spans="1:33 16384:16384" ht="15.75" thickBot="1" x14ac:dyDescent="0.3">
      <c r="A306" s="8">
        <v>53</v>
      </c>
      <c r="B306" s="9">
        <v>46172</v>
      </c>
      <c r="C306" s="10" t="s">
        <v>195</v>
      </c>
      <c r="D306" s="10" t="s">
        <v>473</v>
      </c>
      <c r="E306" s="16">
        <v>27</v>
      </c>
      <c r="F306" s="9">
        <v>46172</v>
      </c>
      <c r="G306" s="212" t="str">
        <f>IFERROR(VLOOKUP(Tabla3[[#This Row],[NUM ECONOMICO]],MAQUINARIA!B:H,7,0), " MAQ")</f>
        <v>ACTIVA</v>
      </c>
      <c r="H306" s="214" t="s">
        <v>196</v>
      </c>
      <c r="I306" s="41" t="s">
        <v>197</v>
      </c>
      <c r="J306" s="10"/>
      <c r="K306" s="10">
        <v>1</v>
      </c>
      <c r="L306" s="12"/>
      <c r="M306" s="13">
        <f t="shared" si="4"/>
        <v>0</v>
      </c>
      <c r="N306" s="41"/>
      <c r="O306" s="10"/>
      <c r="P306" s="10">
        <f>Tabla3[[#This Row],[COSTO UNITARIO DOLARES EN HAWTHORNE]]*Tabla3[[#This Row],[CANTIDAD SOLICTADA]]</f>
        <v>0</v>
      </c>
      <c r="Q306" s="41"/>
      <c r="R306" s="229"/>
      <c r="S306" s="229">
        <f>+Tabla3[[#This Row],[COSTO UNITARIO DOLARES CTP]]*Tabla3[[#This Row],[CANTIDAD SOLICTADA]]</f>
        <v>0</v>
      </c>
      <c r="T306" s="41"/>
      <c r="U306" s="14" t="s">
        <v>4</v>
      </c>
      <c r="V306" s="8" t="s">
        <v>198</v>
      </c>
      <c r="W306" s="25">
        <v>46176</v>
      </c>
      <c r="X306" s="10" t="s">
        <v>89</v>
      </c>
      <c r="Y306" s="10" t="s">
        <v>90</v>
      </c>
      <c r="Z306" s="16" t="s">
        <v>44</v>
      </c>
      <c r="AA306" s="205">
        <v>46172</v>
      </c>
      <c r="AB306" s="205">
        <v>46175</v>
      </c>
      <c r="AC306" s="16" t="s">
        <v>91</v>
      </c>
      <c r="AD306" s="16"/>
      <c r="AE306" s="16" t="s">
        <v>474</v>
      </c>
      <c r="AF306" s="16"/>
      <c r="AG306" s="21" t="s">
        <v>475</v>
      </c>
      <c r="XFD306" s="15" t="str">
        <f>+Tabla3[[#This Row],[ESTATUS DE NUM ECONOMICO]]</f>
        <v>ACTIVA</v>
      </c>
    </row>
    <row r="307" spans="1:33 16384:16384" ht="15.75" thickBot="1" x14ac:dyDescent="0.3">
      <c r="A307" s="8">
        <v>53</v>
      </c>
      <c r="B307" s="9">
        <v>46172</v>
      </c>
      <c r="C307" s="10" t="s">
        <v>195</v>
      </c>
      <c r="D307" s="10" t="s">
        <v>473</v>
      </c>
      <c r="E307" s="16">
        <v>27</v>
      </c>
      <c r="F307" s="9">
        <v>46172</v>
      </c>
      <c r="G307" s="212" t="str">
        <f>IFERROR(VLOOKUP(Tabla3[[#This Row],[NUM ECONOMICO]],MAQUINARIA!B:H,7,0), " MAQ")</f>
        <v>ACTIVA</v>
      </c>
      <c r="H307" s="214" t="s">
        <v>196</v>
      </c>
      <c r="I307" s="41" t="s">
        <v>200</v>
      </c>
      <c r="J307" s="10"/>
      <c r="K307" s="10">
        <v>1</v>
      </c>
      <c r="L307" s="12"/>
      <c r="M307" s="13">
        <f t="shared" si="4"/>
        <v>0</v>
      </c>
      <c r="N307" s="41"/>
      <c r="O307" s="10"/>
      <c r="P307" s="10">
        <f>Tabla3[[#This Row],[COSTO UNITARIO DOLARES EN HAWTHORNE]]*Tabla3[[#This Row],[CANTIDAD SOLICTADA]]</f>
        <v>0</v>
      </c>
      <c r="Q307" s="41"/>
      <c r="R307" s="229"/>
      <c r="S307" s="229">
        <f>+Tabla3[[#This Row],[COSTO UNITARIO DOLARES CTP]]*Tabla3[[#This Row],[CANTIDAD SOLICTADA]]</f>
        <v>0</v>
      </c>
      <c r="T307" s="41"/>
      <c r="U307" s="14" t="s">
        <v>4</v>
      </c>
      <c r="V307" s="8" t="s">
        <v>198</v>
      </c>
      <c r="W307" s="25">
        <v>46172</v>
      </c>
      <c r="X307" s="10" t="s">
        <v>89</v>
      </c>
      <c r="Y307" s="10" t="s">
        <v>90</v>
      </c>
      <c r="Z307" s="16" t="s">
        <v>44</v>
      </c>
      <c r="AA307" s="205">
        <v>46172</v>
      </c>
      <c r="AB307" s="205">
        <v>46172</v>
      </c>
      <c r="AC307" s="16" t="s">
        <v>91</v>
      </c>
      <c r="AD307" s="16"/>
      <c r="AE307" s="16" t="s">
        <v>476</v>
      </c>
      <c r="AF307" s="16"/>
      <c r="AG307" s="21" t="s">
        <v>475</v>
      </c>
      <c r="XFD307" s="15" t="str">
        <f>+Tabla3[[#This Row],[ESTATUS DE NUM ECONOMICO]]</f>
        <v>ACTIVA</v>
      </c>
    </row>
    <row r="308" spans="1:33 16384:16384" ht="15.75" thickBot="1" x14ac:dyDescent="0.3">
      <c r="A308" s="8">
        <v>53</v>
      </c>
      <c r="B308" s="9">
        <v>46172</v>
      </c>
      <c r="C308" s="10" t="s">
        <v>195</v>
      </c>
      <c r="D308" s="10" t="s">
        <v>473</v>
      </c>
      <c r="E308" s="16">
        <v>27</v>
      </c>
      <c r="F308" s="9">
        <v>46172</v>
      </c>
      <c r="G308" s="212" t="str">
        <f>IFERROR(VLOOKUP(Tabla3[[#This Row],[NUM ECONOMICO]],MAQUINARIA!B:H,7,0), " MAQ")</f>
        <v>ACTIVA</v>
      </c>
      <c r="H308" s="214" t="s">
        <v>196</v>
      </c>
      <c r="I308" s="41" t="s">
        <v>201</v>
      </c>
      <c r="J308" s="10"/>
      <c r="K308" s="10">
        <v>28</v>
      </c>
      <c r="L308" s="12"/>
      <c r="M308" s="13">
        <f t="shared" si="4"/>
        <v>0</v>
      </c>
      <c r="N308" s="41"/>
      <c r="O308" s="10"/>
      <c r="P308" s="10">
        <f>Tabla3[[#This Row],[COSTO UNITARIO DOLARES EN HAWTHORNE]]*Tabla3[[#This Row],[CANTIDAD SOLICTADA]]</f>
        <v>0</v>
      </c>
      <c r="Q308" s="41"/>
      <c r="R308" s="229"/>
      <c r="S308" s="229">
        <f>+Tabla3[[#This Row],[COSTO UNITARIO DOLARES CTP]]*Tabla3[[#This Row],[CANTIDAD SOLICTADA]]</f>
        <v>0</v>
      </c>
      <c r="T308" s="41"/>
      <c r="U308" s="14" t="s">
        <v>4</v>
      </c>
      <c r="V308" s="8" t="s">
        <v>198</v>
      </c>
      <c r="W308" s="25">
        <v>46172</v>
      </c>
      <c r="X308" s="10" t="s">
        <v>89</v>
      </c>
      <c r="Y308" s="10">
        <v>0</v>
      </c>
      <c r="Z308" s="16" t="s">
        <v>44</v>
      </c>
      <c r="AA308" s="205">
        <v>46172</v>
      </c>
      <c r="AB308" s="205">
        <v>46172</v>
      </c>
      <c r="AC308" s="16" t="s">
        <v>91</v>
      </c>
      <c r="AD308" s="16"/>
      <c r="AE308" s="16" t="s">
        <v>476</v>
      </c>
      <c r="AF308" s="16"/>
      <c r="AG308" s="21" t="s">
        <v>475</v>
      </c>
      <c r="XFD308" s="15" t="str">
        <f>+Tabla3[[#This Row],[ESTATUS DE NUM ECONOMICO]]</f>
        <v>ACTIVA</v>
      </c>
    </row>
    <row r="309" spans="1:33 16384:16384" ht="15.75" thickBot="1" x14ac:dyDescent="0.3">
      <c r="A309" s="8">
        <v>53</v>
      </c>
      <c r="B309" s="9">
        <v>46172</v>
      </c>
      <c r="C309" s="10" t="s">
        <v>195</v>
      </c>
      <c r="D309" s="10" t="s">
        <v>473</v>
      </c>
      <c r="E309" s="16">
        <v>27</v>
      </c>
      <c r="F309" s="9">
        <v>46172</v>
      </c>
      <c r="G309" s="212" t="str">
        <f>IFERROR(VLOOKUP(Tabla3[[#This Row],[NUM ECONOMICO]],MAQUINARIA!B:H,7,0), " MAQ")</f>
        <v>ACTIVA</v>
      </c>
      <c r="H309" s="214" t="s">
        <v>196</v>
      </c>
      <c r="I309" s="41" t="s">
        <v>202</v>
      </c>
      <c r="J309" s="10"/>
      <c r="K309" s="10">
        <v>28</v>
      </c>
      <c r="L309" s="12"/>
      <c r="M309" s="13">
        <f t="shared" si="4"/>
        <v>0</v>
      </c>
      <c r="N309" s="41"/>
      <c r="O309" s="10"/>
      <c r="P309" s="10">
        <f>Tabla3[[#This Row],[COSTO UNITARIO DOLARES EN HAWTHORNE]]*Tabla3[[#This Row],[CANTIDAD SOLICTADA]]</f>
        <v>0</v>
      </c>
      <c r="Q309" s="41"/>
      <c r="R309" s="229"/>
      <c r="S309" s="229">
        <f>+Tabla3[[#This Row],[COSTO UNITARIO DOLARES CTP]]*Tabla3[[#This Row],[CANTIDAD SOLICTADA]]</f>
        <v>0</v>
      </c>
      <c r="T309" s="41"/>
      <c r="U309" s="14" t="s">
        <v>4</v>
      </c>
      <c r="V309" s="8" t="s">
        <v>198</v>
      </c>
      <c r="W309" s="25">
        <v>46172</v>
      </c>
      <c r="X309" s="10" t="s">
        <v>89</v>
      </c>
      <c r="Y309" s="10">
        <v>2</v>
      </c>
      <c r="Z309" s="16" t="s">
        <v>44</v>
      </c>
      <c r="AA309" s="205">
        <v>46172</v>
      </c>
      <c r="AB309" s="205">
        <v>46172</v>
      </c>
      <c r="AC309" s="16" t="s">
        <v>91</v>
      </c>
      <c r="AD309" s="16"/>
      <c r="AE309" s="16" t="s">
        <v>476</v>
      </c>
      <c r="AF309" s="16"/>
      <c r="AG309" s="21" t="s">
        <v>475</v>
      </c>
      <c r="XFD309" s="15" t="str">
        <f>+Tabla3[[#This Row],[ESTATUS DE NUM ECONOMICO]]</f>
        <v>ACTIVA</v>
      </c>
    </row>
    <row r="310" spans="1:33 16384:16384" ht="15.75" thickBot="1" x14ac:dyDescent="0.3">
      <c r="A310" s="8">
        <v>53</v>
      </c>
      <c r="B310" s="9">
        <v>46172</v>
      </c>
      <c r="C310" s="10" t="s">
        <v>195</v>
      </c>
      <c r="D310" s="10" t="s">
        <v>473</v>
      </c>
      <c r="E310" s="16">
        <v>27</v>
      </c>
      <c r="F310" s="9">
        <v>46172</v>
      </c>
      <c r="G310" s="212" t="str">
        <f>IFERROR(VLOOKUP(Tabla3[[#This Row],[NUM ECONOMICO]],MAQUINARIA!B:H,7,0), " MAQ")</f>
        <v>ACTIVA</v>
      </c>
      <c r="H310" s="214" t="s">
        <v>196</v>
      </c>
      <c r="I310" s="41" t="s">
        <v>203</v>
      </c>
      <c r="J310" s="10"/>
      <c r="K310" s="10">
        <v>28</v>
      </c>
      <c r="L310" s="12"/>
      <c r="M310" s="13">
        <f t="shared" si="4"/>
        <v>0</v>
      </c>
      <c r="N310" s="41"/>
      <c r="O310" s="10"/>
      <c r="P310" s="10">
        <f>Tabla3[[#This Row],[COSTO UNITARIO DOLARES EN HAWTHORNE]]*Tabla3[[#This Row],[CANTIDAD SOLICTADA]]</f>
        <v>0</v>
      </c>
      <c r="Q310" s="41"/>
      <c r="R310" s="229"/>
      <c r="S310" s="229">
        <f>+Tabla3[[#This Row],[COSTO UNITARIO DOLARES CTP]]*Tabla3[[#This Row],[CANTIDAD SOLICTADA]]</f>
        <v>0</v>
      </c>
      <c r="T310" s="41"/>
      <c r="U310" s="14" t="s">
        <v>4</v>
      </c>
      <c r="V310" s="8" t="s">
        <v>198</v>
      </c>
      <c r="W310" s="25">
        <v>46172</v>
      </c>
      <c r="X310" s="10" t="s">
        <v>89</v>
      </c>
      <c r="Y310" s="10">
        <v>0</v>
      </c>
      <c r="Z310" s="16" t="s">
        <v>44</v>
      </c>
      <c r="AA310" s="205">
        <v>46172</v>
      </c>
      <c r="AB310" s="205">
        <v>46172</v>
      </c>
      <c r="AC310" s="16" t="s">
        <v>238</v>
      </c>
      <c r="AD310" s="16"/>
      <c r="AE310" s="16" t="s">
        <v>476</v>
      </c>
      <c r="AF310" s="16"/>
      <c r="AG310" s="21" t="s">
        <v>475</v>
      </c>
      <c r="XFD310" s="15" t="str">
        <f>+Tabla3[[#This Row],[ESTATUS DE NUM ECONOMICO]]</f>
        <v>ACTIVA</v>
      </c>
    </row>
    <row r="311" spans="1:33 16384:16384" ht="15.75" thickBot="1" x14ac:dyDescent="0.3">
      <c r="A311" s="8">
        <v>54</v>
      </c>
      <c r="B311" s="9">
        <v>46174</v>
      </c>
      <c r="C311" s="10" t="s">
        <v>87</v>
      </c>
      <c r="D311" s="10" t="s">
        <v>477</v>
      </c>
      <c r="E311" s="16">
        <v>21</v>
      </c>
      <c r="F311" s="9">
        <v>46175</v>
      </c>
      <c r="G311" s="212" t="str">
        <f>IFERROR(VLOOKUP(Tabla3[[#This Row],[NUM ECONOMICO]],MAQUINARIA!B:H,7,0), " MAQ")</f>
        <v>ACTIVA</v>
      </c>
      <c r="H311" s="214" t="s">
        <v>148</v>
      </c>
      <c r="I311" s="41" t="s">
        <v>156</v>
      </c>
      <c r="J311" s="10"/>
      <c r="K311" s="10">
        <v>1</v>
      </c>
      <c r="L311" s="12"/>
      <c r="M311" s="13">
        <f t="shared" si="4"/>
        <v>0</v>
      </c>
      <c r="N311" s="41"/>
      <c r="O311" s="10"/>
      <c r="P311" s="10">
        <f>Tabla3[[#This Row],[COSTO UNITARIO DOLARES EN HAWTHORNE]]*Tabla3[[#This Row],[CANTIDAD SOLICTADA]]</f>
        <v>0</v>
      </c>
      <c r="Q311" s="41"/>
      <c r="R311" s="229"/>
      <c r="S311" s="229">
        <f>+Tabla3[[#This Row],[COSTO UNITARIO DOLARES CTP]]*Tabla3[[#This Row],[CANTIDAD SOLICTADA]]</f>
        <v>0</v>
      </c>
      <c r="T311" s="41"/>
      <c r="U311" s="14" t="s">
        <v>4</v>
      </c>
      <c r="V311" s="8" t="s">
        <v>401</v>
      </c>
      <c r="W311" s="9">
        <v>46174</v>
      </c>
      <c r="X311" s="10" t="s">
        <v>89</v>
      </c>
      <c r="Y311" s="10">
        <v>0</v>
      </c>
      <c r="Z311" s="16" t="s">
        <v>44</v>
      </c>
      <c r="AA311" s="25">
        <v>46174</v>
      </c>
      <c r="AB311" s="25">
        <v>46174</v>
      </c>
      <c r="AC311" s="16" t="s">
        <v>139</v>
      </c>
      <c r="AD311" s="16"/>
      <c r="AE311" s="16" t="s">
        <v>478</v>
      </c>
      <c r="AF311" s="16"/>
      <c r="AG311" s="21" t="s">
        <v>479</v>
      </c>
      <c r="XFD311" s="15" t="str">
        <f>+Tabla3[[#This Row],[ESTATUS DE NUM ECONOMICO]]</f>
        <v>ACTIVA</v>
      </c>
    </row>
    <row r="312" spans="1:33 16384:16384" ht="15.75" thickBot="1" x14ac:dyDescent="0.3">
      <c r="A312" s="8">
        <v>55</v>
      </c>
      <c r="B312" s="9">
        <v>46171</v>
      </c>
      <c r="C312" s="10" t="s">
        <v>87</v>
      </c>
      <c r="D312" s="11"/>
      <c r="E312" s="16">
        <v>12</v>
      </c>
      <c r="F312" s="9">
        <v>46144</v>
      </c>
      <c r="G312" s="212" t="str">
        <f>IFERROR(VLOOKUP(Tabla3[[#This Row],[NUM ECONOMICO]],MAQUINARIA!B:H,7,0), " MAQ")</f>
        <v>ACTIVA</v>
      </c>
      <c r="H312" s="214" t="s">
        <v>107</v>
      </c>
      <c r="I312" s="41" t="s">
        <v>480</v>
      </c>
      <c r="J312" s="10"/>
      <c r="K312" s="10">
        <v>1</v>
      </c>
      <c r="L312" s="12"/>
      <c r="M312" s="13">
        <f t="shared" si="4"/>
        <v>0</v>
      </c>
      <c r="N312" s="41"/>
      <c r="O312" s="10"/>
      <c r="P312" s="10">
        <f>Tabla3[[#This Row],[COSTO UNITARIO DOLARES EN HAWTHORNE]]*Tabla3[[#This Row],[CANTIDAD SOLICTADA]]</f>
        <v>0</v>
      </c>
      <c r="Q312" s="41"/>
      <c r="R312" s="229"/>
      <c r="S312" s="229">
        <f>+Tabla3[[#This Row],[COSTO UNITARIO DOLARES CTP]]*Tabla3[[#This Row],[CANTIDAD SOLICTADA]]</f>
        <v>0</v>
      </c>
      <c r="T312" s="41"/>
      <c r="U312" s="14" t="s">
        <v>4</v>
      </c>
      <c r="V312" s="8" t="s">
        <v>481</v>
      </c>
      <c r="W312" s="9">
        <v>46178</v>
      </c>
      <c r="X312" s="10" t="s">
        <v>89</v>
      </c>
      <c r="Y312" s="10" t="s">
        <v>90</v>
      </c>
      <c r="Z312" s="16" t="s">
        <v>46</v>
      </c>
      <c r="AA312" s="25">
        <v>46145</v>
      </c>
      <c r="AB312" s="25">
        <v>46146</v>
      </c>
      <c r="AC312" s="16" t="s">
        <v>87</v>
      </c>
      <c r="AD312" s="16"/>
      <c r="AE312" s="16" t="s">
        <v>482</v>
      </c>
      <c r="AF312" s="16"/>
      <c r="AG312" s="21" t="s">
        <v>483</v>
      </c>
      <c r="XFD312" s="15" t="str">
        <f>+Tabla3[[#This Row],[ESTATUS DE NUM ECONOMICO]]</f>
        <v>ACTIVA</v>
      </c>
    </row>
    <row r="313" spans="1:33 16384:16384" ht="15.75" thickBot="1" x14ac:dyDescent="0.3">
      <c r="A313" s="8">
        <v>56</v>
      </c>
      <c r="B313" s="10" t="s">
        <v>484</v>
      </c>
      <c r="C313" s="10" t="s">
        <v>87</v>
      </c>
      <c r="D313" s="10" t="s">
        <v>485</v>
      </c>
      <c r="E313" s="16"/>
      <c r="F313" s="10"/>
      <c r="G313" s="212" t="str">
        <f>IFERROR(VLOOKUP(Tabla3[[#This Row],[NUM ECONOMICO]],MAQUINARIA!B:H,7,0), " MAQ")</f>
        <v>INACTIVA</v>
      </c>
      <c r="H313" s="214" t="s">
        <v>138</v>
      </c>
      <c r="I313" s="41" t="s">
        <v>486</v>
      </c>
      <c r="J313" s="10"/>
      <c r="K313" s="10">
        <v>1</v>
      </c>
      <c r="L313" s="12"/>
      <c r="M313" s="13">
        <f t="shared" si="4"/>
        <v>0</v>
      </c>
      <c r="N313" s="41"/>
      <c r="O313" s="10"/>
      <c r="P313" s="10">
        <f>Tabla3[[#This Row],[COSTO UNITARIO DOLARES EN HAWTHORNE]]*Tabla3[[#This Row],[CANTIDAD SOLICTADA]]</f>
        <v>0</v>
      </c>
      <c r="Q313" s="41"/>
      <c r="R313" s="229"/>
      <c r="S313" s="229">
        <f>+Tabla3[[#This Row],[COSTO UNITARIO DOLARES CTP]]*Tabla3[[#This Row],[CANTIDAD SOLICTADA]]</f>
        <v>0</v>
      </c>
      <c r="T313" s="41"/>
      <c r="U313" s="14" t="s">
        <v>4</v>
      </c>
      <c r="V313" s="8" t="s">
        <v>487</v>
      </c>
      <c r="W313" s="9">
        <v>46175</v>
      </c>
      <c r="X313" s="10" t="s">
        <v>89</v>
      </c>
      <c r="Y313" s="10" t="s">
        <v>90</v>
      </c>
      <c r="Z313" s="16" t="s">
        <v>44</v>
      </c>
      <c r="AA313" s="25">
        <v>46170</v>
      </c>
      <c r="AB313" s="25">
        <v>46175</v>
      </c>
      <c r="AC313" s="16"/>
      <c r="AD313" s="16"/>
      <c r="AE313" s="16" t="s">
        <v>488</v>
      </c>
      <c r="AF313" s="16"/>
      <c r="AG313" s="21" t="s">
        <v>489</v>
      </c>
      <c r="XFD313" s="15" t="str">
        <f>+Tabla3[[#This Row],[ESTATUS DE NUM ECONOMICO]]</f>
        <v>INACTIVA</v>
      </c>
    </row>
    <row r="314" spans="1:33 16384:16384" ht="15.75" thickBot="1" x14ac:dyDescent="0.3">
      <c r="A314" s="8">
        <v>56</v>
      </c>
      <c r="B314" s="10" t="s">
        <v>490</v>
      </c>
      <c r="C314" s="10" t="s">
        <v>87</v>
      </c>
      <c r="D314" s="10" t="s">
        <v>491</v>
      </c>
      <c r="E314" s="16">
        <v>22</v>
      </c>
      <c r="F314" s="9">
        <v>46176</v>
      </c>
      <c r="G314" s="212" t="str">
        <f>IFERROR(VLOOKUP(Tabla3[[#This Row],[NUM ECONOMICO]],MAQUINARIA!B:H,7,0), " MAQ")</f>
        <v>ACTIVA</v>
      </c>
      <c r="H314" s="214" t="s">
        <v>492</v>
      </c>
      <c r="I314" s="41">
        <v>1337023</v>
      </c>
      <c r="J314" s="10"/>
      <c r="K314" s="10">
        <v>1</v>
      </c>
      <c r="L314" s="12"/>
      <c r="M314" s="13">
        <f t="shared" si="4"/>
        <v>0</v>
      </c>
      <c r="N314" s="41"/>
      <c r="O314" s="10"/>
      <c r="P314" s="10">
        <f>Tabla3[[#This Row],[COSTO UNITARIO DOLARES EN HAWTHORNE]]*Tabla3[[#This Row],[CANTIDAD SOLICTADA]]</f>
        <v>0</v>
      </c>
      <c r="Q314" s="41"/>
      <c r="R314" s="229"/>
      <c r="S314" s="229">
        <f>+Tabla3[[#This Row],[COSTO UNITARIO DOLARES CTP]]*Tabla3[[#This Row],[CANTIDAD SOLICTADA]]</f>
        <v>0</v>
      </c>
      <c r="T314" s="41"/>
      <c r="U314" s="14" t="s">
        <v>4</v>
      </c>
      <c r="V314" s="8" t="s">
        <v>493</v>
      </c>
      <c r="W314" s="9">
        <v>46175</v>
      </c>
      <c r="X314" s="10" t="s">
        <v>89</v>
      </c>
      <c r="Y314" s="10">
        <v>1</v>
      </c>
      <c r="Z314" s="16" t="s">
        <v>44</v>
      </c>
      <c r="AA314" s="25">
        <v>46144</v>
      </c>
      <c r="AB314" s="25">
        <v>46145</v>
      </c>
      <c r="AC314" s="16" t="s">
        <v>238</v>
      </c>
      <c r="AD314" s="16"/>
      <c r="AE314" s="16" t="s">
        <v>494</v>
      </c>
      <c r="AF314" s="16"/>
      <c r="AG314" s="21" t="s">
        <v>495</v>
      </c>
      <c r="XFD314" s="15" t="str">
        <f>+Tabla3[[#This Row],[ESTATUS DE NUM ECONOMICO]]</f>
        <v>ACTIVA</v>
      </c>
    </row>
    <row r="315" spans="1:33 16384:16384" ht="15.75" thickBot="1" x14ac:dyDescent="0.3">
      <c r="A315" s="8">
        <v>56</v>
      </c>
      <c r="B315" s="10" t="s">
        <v>490</v>
      </c>
      <c r="C315" s="10" t="s">
        <v>87</v>
      </c>
      <c r="D315" s="10" t="s">
        <v>491</v>
      </c>
      <c r="E315" s="16">
        <v>22</v>
      </c>
      <c r="F315" s="9">
        <v>46176</v>
      </c>
      <c r="G315" s="212" t="str">
        <f>IFERROR(VLOOKUP(Tabla3[[#This Row],[NUM ECONOMICO]],MAQUINARIA!B:H,7,0), " MAQ")</f>
        <v>ACTIVA</v>
      </c>
      <c r="H315" s="214" t="s">
        <v>492</v>
      </c>
      <c r="I315" s="41">
        <v>1925479</v>
      </c>
      <c r="J315" s="10"/>
      <c r="K315" s="10">
        <v>1</v>
      </c>
      <c r="L315" s="12"/>
      <c r="M315" s="13">
        <f t="shared" si="4"/>
        <v>0</v>
      </c>
      <c r="N315" s="41"/>
      <c r="O315" s="10"/>
      <c r="P315" s="10">
        <f>Tabla3[[#This Row],[COSTO UNITARIO DOLARES EN HAWTHORNE]]*Tabla3[[#This Row],[CANTIDAD SOLICTADA]]</f>
        <v>0</v>
      </c>
      <c r="Q315" s="41"/>
      <c r="R315" s="229"/>
      <c r="S315" s="229">
        <f>+Tabla3[[#This Row],[COSTO UNITARIO DOLARES CTP]]*Tabla3[[#This Row],[CANTIDAD SOLICTADA]]</f>
        <v>0</v>
      </c>
      <c r="T315" s="41"/>
      <c r="U315" s="14" t="s">
        <v>4</v>
      </c>
      <c r="V315" s="8" t="s">
        <v>493</v>
      </c>
      <c r="W315" s="9">
        <v>46175</v>
      </c>
      <c r="X315" s="10" t="s">
        <v>89</v>
      </c>
      <c r="Y315" s="10" t="s">
        <v>90</v>
      </c>
      <c r="Z315" s="16" t="s">
        <v>44</v>
      </c>
      <c r="AA315" s="25">
        <v>46144</v>
      </c>
      <c r="AB315" s="25">
        <v>46145</v>
      </c>
      <c r="AC315" s="16" t="s">
        <v>238</v>
      </c>
      <c r="AD315" s="16"/>
      <c r="AE315" s="16" t="s">
        <v>494</v>
      </c>
      <c r="AF315" s="16"/>
      <c r="AG315" s="21" t="s">
        <v>495</v>
      </c>
      <c r="XFD315" s="15" t="str">
        <f>+Tabla3[[#This Row],[ESTATUS DE NUM ECONOMICO]]</f>
        <v>ACTIVA</v>
      </c>
    </row>
    <row r="316" spans="1:33 16384:16384" ht="15.75" thickBot="1" x14ac:dyDescent="0.3">
      <c r="A316" s="8">
        <v>57</v>
      </c>
      <c r="B316" s="10" t="s">
        <v>490</v>
      </c>
      <c r="C316" s="10" t="s">
        <v>112</v>
      </c>
      <c r="D316" s="10" t="s">
        <v>496</v>
      </c>
      <c r="E316" s="16">
        <v>1472</v>
      </c>
      <c r="F316" s="9">
        <v>46175</v>
      </c>
      <c r="G316" s="212" t="str">
        <f>IFERROR(VLOOKUP(Tabla3[[#This Row],[NUM ECONOMICO]],MAQUINARIA!B:H,7,0), " MAQ")</f>
        <v>ACTIVA</v>
      </c>
      <c r="H316" s="214" t="s">
        <v>224</v>
      </c>
      <c r="I316" s="41">
        <v>1328875</v>
      </c>
      <c r="J316" s="10"/>
      <c r="K316" s="10">
        <v>2</v>
      </c>
      <c r="L316" s="12"/>
      <c r="M316" s="13">
        <f t="shared" si="4"/>
        <v>0</v>
      </c>
      <c r="N316" s="41"/>
      <c r="O316" s="10"/>
      <c r="P316" s="10">
        <f>Tabla3[[#This Row],[COSTO UNITARIO DOLARES EN HAWTHORNE]]*Tabla3[[#This Row],[CANTIDAD SOLICTADA]]</f>
        <v>0</v>
      </c>
      <c r="Q316" s="41"/>
      <c r="R316" s="229"/>
      <c r="S316" s="229">
        <f>+Tabla3[[#This Row],[COSTO UNITARIO DOLARES CTP]]*Tabla3[[#This Row],[CANTIDAD SOLICTADA]]</f>
        <v>0</v>
      </c>
      <c r="T316" s="41"/>
      <c r="U316" s="14" t="s">
        <v>4</v>
      </c>
      <c r="V316" s="8" t="s">
        <v>497</v>
      </c>
      <c r="W316" s="9">
        <v>46176</v>
      </c>
      <c r="X316" s="10" t="s">
        <v>89</v>
      </c>
      <c r="Y316" s="10" t="s">
        <v>90</v>
      </c>
      <c r="Z316" s="16" t="s">
        <v>44</v>
      </c>
      <c r="AA316" s="25">
        <v>46175</v>
      </c>
      <c r="AB316" s="25">
        <v>46175</v>
      </c>
      <c r="AC316" s="16" t="s">
        <v>238</v>
      </c>
      <c r="AD316" s="16"/>
      <c r="AE316" s="16" t="s">
        <v>498</v>
      </c>
      <c r="AF316" s="16"/>
      <c r="AG316" s="21" t="s">
        <v>443</v>
      </c>
      <c r="XFD316" s="15" t="str">
        <f>+Tabla3[[#This Row],[ESTATUS DE NUM ECONOMICO]]</f>
        <v>ACTIVA</v>
      </c>
    </row>
    <row r="317" spans="1:33 16384:16384" ht="15.75" thickBot="1" x14ac:dyDescent="0.3">
      <c r="A317" s="8">
        <v>57</v>
      </c>
      <c r="B317" s="10" t="s">
        <v>490</v>
      </c>
      <c r="C317" s="10" t="s">
        <v>112</v>
      </c>
      <c r="D317" s="10" t="s">
        <v>496</v>
      </c>
      <c r="E317" s="16">
        <v>1472</v>
      </c>
      <c r="F317" s="9">
        <v>46175</v>
      </c>
      <c r="G317" s="212" t="str">
        <f>IFERROR(VLOOKUP(Tabla3[[#This Row],[NUM ECONOMICO]],MAQUINARIA!B:H,7,0), " MAQ")</f>
        <v>ACTIVA</v>
      </c>
      <c r="H317" s="214" t="s">
        <v>224</v>
      </c>
      <c r="I317" s="41" t="s">
        <v>444</v>
      </c>
      <c r="J317" s="10"/>
      <c r="K317" s="10">
        <v>4</v>
      </c>
      <c r="L317" s="12"/>
      <c r="M317" s="13">
        <f t="shared" si="4"/>
        <v>0</v>
      </c>
      <c r="N317" s="41"/>
      <c r="O317" s="10"/>
      <c r="P317" s="10">
        <f>Tabla3[[#This Row],[COSTO UNITARIO DOLARES EN HAWTHORNE]]*Tabla3[[#This Row],[CANTIDAD SOLICTADA]]</f>
        <v>0</v>
      </c>
      <c r="Q317" s="41"/>
      <c r="R317" s="229"/>
      <c r="S317" s="229">
        <f>+Tabla3[[#This Row],[COSTO UNITARIO DOLARES CTP]]*Tabla3[[#This Row],[CANTIDAD SOLICTADA]]</f>
        <v>0</v>
      </c>
      <c r="T317" s="41"/>
      <c r="U317" s="14" t="s">
        <v>4</v>
      </c>
      <c r="V317" s="8" t="s">
        <v>497</v>
      </c>
      <c r="W317" s="9">
        <v>46176</v>
      </c>
      <c r="X317" s="10" t="s">
        <v>89</v>
      </c>
      <c r="Y317" s="10" t="s">
        <v>90</v>
      </c>
      <c r="Z317" s="16" t="s">
        <v>44</v>
      </c>
      <c r="AA317" s="25">
        <v>46175</v>
      </c>
      <c r="AB317" s="25">
        <v>46175</v>
      </c>
      <c r="AC317" s="16" t="s">
        <v>238</v>
      </c>
      <c r="AD317" s="16"/>
      <c r="AE317" s="16" t="s">
        <v>498</v>
      </c>
      <c r="AF317" s="16"/>
      <c r="AG317" s="21" t="s">
        <v>443</v>
      </c>
      <c r="XFD317" s="15" t="str">
        <f>+Tabla3[[#This Row],[ESTATUS DE NUM ECONOMICO]]</f>
        <v>ACTIVA</v>
      </c>
    </row>
    <row r="318" spans="1:33 16384:16384" ht="15.75" thickBot="1" x14ac:dyDescent="0.3">
      <c r="A318" s="8">
        <v>57</v>
      </c>
      <c r="B318" s="10" t="s">
        <v>490</v>
      </c>
      <c r="C318" s="10" t="s">
        <v>112</v>
      </c>
      <c r="D318" s="10" t="s">
        <v>496</v>
      </c>
      <c r="E318" s="16">
        <v>1472</v>
      </c>
      <c r="F318" s="9">
        <v>46175</v>
      </c>
      <c r="G318" s="212" t="str">
        <f>IFERROR(VLOOKUP(Tabla3[[#This Row],[NUM ECONOMICO]],MAQUINARIA!B:H,7,0), " MAQ")</f>
        <v>ACTIVA</v>
      </c>
      <c r="H318" s="214" t="s">
        <v>224</v>
      </c>
      <c r="I318" s="41" t="s">
        <v>444</v>
      </c>
      <c r="J318" s="10"/>
      <c r="K318" s="10">
        <v>2</v>
      </c>
      <c r="L318" s="12"/>
      <c r="M318" s="13">
        <f t="shared" si="4"/>
        <v>0</v>
      </c>
      <c r="N318" s="41"/>
      <c r="O318" s="10"/>
      <c r="P318" s="10">
        <f>Tabla3[[#This Row],[COSTO UNITARIO DOLARES EN HAWTHORNE]]*Tabla3[[#This Row],[CANTIDAD SOLICTADA]]</f>
        <v>0</v>
      </c>
      <c r="Q318" s="41"/>
      <c r="R318" s="229"/>
      <c r="S318" s="229">
        <f>+Tabla3[[#This Row],[COSTO UNITARIO DOLARES CTP]]*Tabla3[[#This Row],[CANTIDAD SOLICTADA]]</f>
        <v>0</v>
      </c>
      <c r="T318" s="41"/>
      <c r="U318" s="14" t="s">
        <v>4</v>
      </c>
      <c r="V318" s="8" t="s">
        <v>497</v>
      </c>
      <c r="W318" s="9">
        <v>46176</v>
      </c>
      <c r="X318" s="10" t="s">
        <v>89</v>
      </c>
      <c r="Y318" s="10" t="s">
        <v>90</v>
      </c>
      <c r="Z318" s="16" t="s">
        <v>44</v>
      </c>
      <c r="AA318" s="25">
        <v>46175</v>
      </c>
      <c r="AB318" s="25">
        <v>46175</v>
      </c>
      <c r="AC318" s="16" t="s">
        <v>238</v>
      </c>
      <c r="AD318" s="16"/>
      <c r="AE318" s="16" t="s">
        <v>498</v>
      </c>
      <c r="AF318" s="16"/>
      <c r="AG318" s="21" t="s">
        <v>443</v>
      </c>
      <c r="XFD318" s="15" t="str">
        <f>+Tabla3[[#This Row],[ESTATUS DE NUM ECONOMICO]]</f>
        <v>ACTIVA</v>
      </c>
    </row>
    <row r="319" spans="1:33 16384:16384" ht="15.75" thickBot="1" x14ac:dyDescent="0.3">
      <c r="A319" s="8">
        <v>57</v>
      </c>
      <c r="B319" s="10" t="s">
        <v>490</v>
      </c>
      <c r="C319" s="10" t="s">
        <v>112</v>
      </c>
      <c r="D319" s="10" t="s">
        <v>496</v>
      </c>
      <c r="E319" s="16">
        <v>1472</v>
      </c>
      <c r="F319" s="9">
        <v>46175</v>
      </c>
      <c r="G319" s="212" t="str">
        <f>IFERROR(VLOOKUP(Tabla3[[#This Row],[NUM ECONOMICO]],MAQUINARIA!B:H,7,0), " MAQ")</f>
        <v>ACTIVA</v>
      </c>
      <c r="H319" s="214" t="s">
        <v>224</v>
      </c>
      <c r="I319" s="41">
        <v>3261644</v>
      </c>
      <c r="J319" s="10"/>
      <c r="K319" s="10">
        <v>2</v>
      </c>
      <c r="L319" s="12"/>
      <c r="M319" s="13">
        <f t="shared" si="4"/>
        <v>0</v>
      </c>
      <c r="N319" s="41"/>
      <c r="O319" s="10"/>
      <c r="P319" s="10">
        <f>Tabla3[[#This Row],[COSTO UNITARIO DOLARES EN HAWTHORNE]]*Tabla3[[#This Row],[CANTIDAD SOLICTADA]]</f>
        <v>0</v>
      </c>
      <c r="Q319" s="41"/>
      <c r="R319" s="229"/>
      <c r="S319" s="229">
        <f>+Tabla3[[#This Row],[COSTO UNITARIO DOLARES CTP]]*Tabla3[[#This Row],[CANTIDAD SOLICTADA]]</f>
        <v>0</v>
      </c>
      <c r="T319" s="41"/>
      <c r="U319" s="14" t="s">
        <v>4</v>
      </c>
      <c r="V319" s="8" t="s">
        <v>497</v>
      </c>
      <c r="W319" s="9">
        <v>46176</v>
      </c>
      <c r="X319" s="10" t="s">
        <v>89</v>
      </c>
      <c r="Y319" s="10" t="s">
        <v>90</v>
      </c>
      <c r="Z319" s="16" t="s">
        <v>44</v>
      </c>
      <c r="AA319" s="25">
        <v>46175</v>
      </c>
      <c r="AB319" s="25">
        <v>46175</v>
      </c>
      <c r="AC319" s="16" t="s">
        <v>238</v>
      </c>
      <c r="AD319" s="16"/>
      <c r="AE319" s="16" t="s">
        <v>498</v>
      </c>
      <c r="AF319" s="16"/>
      <c r="AG319" s="21" t="s">
        <v>443</v>
      </c>
      <c r="XFD319" s="15" t="str">
        <f>+Tabla3[[#This Row],[ESTATUS DE NUM ECONOMICO]]</f>
        <v>ACTIVA</v>
      </c>
    </row>
    <row r="320" spans="1:33 16384:16384" ht="15.75" thickBot="1" x14ac:dyDescent="0.3">
      <c r="A320" s="8">
        <v>57</v>
      </c>
      <c r="B320" s="10" t="s">
        <v>490</v>
      </c>
      <c r="C320" s="10" t="s">
        <v>112</v>
      </c>
      <c r="D320" s="10" t="s">
        <v>496</v>
      </c>
      <c r="E320" s="16">
        <v>1472</v>
      </c>
      <c r="F320" s="9">
        <v>46175</v>
      </c>
      <c r="G320" s="212" t="str">
        <f>IFERROR(VLOOKUP(Tabla3[[#This Row],[NUM ECONOMICO]],MAQUINARIA!B:H,7,0), " MAQ")</f>
        <v>ACTIVA</v>
      </c>
      <c r="H320" s="214" t="s">
        <v>224</v>
      </c>
      <c r="I320" s="41">
        <v>1236856</v>
      </c>
      <c r="J320" s="10"/>
      <c r="K320" s="10">
        <v>2</v>
      </c>
      <c r="L320" s="12"/>
      <c r="M320" s="13">
        <f t="shared" si="4"/>
        <v>0</v>
      </c>
      <c r="N320" s="41"/>
      <c r="O320" s="10"/>
      <c r="P320" s="10">
        <f>Tabla3[[#This Row],[COSTO UNITARIO DOLARES EN HAWTHORNE]]*Tabla3[[#This Row],[CANTIDAD SOLICTADA]]</f>
        <v>0</v>
      </c>
      <c r="Q320" s="41"/>
      <c r="R320" s="229"/>
      <c r="S320" s="229">
        <f>+Tabla3[[#This Row],[COSTO UNITARIO DOLARES CTP]]*Tabla3[[#This Row],[CANTIDAD SOLICTADA]]</f>
        <v>0</v>
      </c>
      <c r="T320" s="41"/>
      <c r="U320" s="14" t="s">
        <v>4</v>
      </c>
      <c r="V320" s="8" t="s">
        <v>497</v>
      </c>
      <c r="W320" s="9">
        <v>46176</v>
      </c>
      <c r="X320" s="10" t="s">
        <v>89</v>
      </c>
      <c r="Y320" s="10" t="s">
        <v>90</v>
      </c>
      <c r="Z320" s="16" t="s">
        <v>44</v>
      </c>
      <c r="AA320" s="25">
        <v>46175</v>
      </c>
      <c r="AB320" s="25">
        <v>46175</v>
      </c>
      <c r="AC320" s="16" t="s">
        <v>238</v>
      </c>
      <c r="AD320" s="16"/>
      <c r="AE320" s="16" t="s">
        <v>498</v>
      </c>
      <c r="AF320" s="16"/>
      <c r="AG320" s="21" t="s">
        <v>443</v>
      </c>
      <c r="XFD320" s="15" t="str">
        <f>+Tabla3[[#This Row],[ESTATUS DE NUM ECONOMICO]]</f>
        <v>ACTIVA</v>
      </c>
    </row>
    <row r="321" spans="1:33 16384:16384" ht="15.75" thickBot="1" x14ac:dyDescent="0.3">
      <c r="A321" s="8">
        <v>58</v>
      </c>
      <c r="B321" s="10" t="s">
        <v>490</v>
      </c>
      <c r="C321" s="10" t="s">
        <v>112</v>
      </c>
      <c r="D321" s="10" t="s">
        <v>499</v>
      </c>
      <c r="E321" s="16">
        <v>16</v>
      </c>
      <c r="F321" s="9">
        <v>46175</v>
      </c>
      <c r="G321" s="212" t="str">
        <f>IFERROR(VLOOKUP(Tabla3[[#This Row],[NUM ECONOMICO]],MAQUINARIA!B:H,7,0), " MAQ")</f>
        <v>ACTIVA</v>
      </c>
      <c r="H321" s="214" t="s">
        <v>94</v>
      </c>
      <c r="I321" s="41" t="s">
        <v>441</v>
      </c>
      <c r="J321" s="10"/>
      <c r="K321" s="10">
        <v>2</v>
      </c>
      <c r="L321" s="12"/>
      <c r="M321" s="13">
        <f t="shared" si="4"/>
        <v>0</v>
      </c>
      <c r="N321" s="41"/>
      <c r="O321" s="10"/>
      <c r="P321" s="10">
        <f>Tabla3[[#This Row],[COSTO UNITARIO DOLARES EN HAWTHORNE]]*Tabla3[[#This Row],[CANTIDAD SOLICTADA]]</f>
        <v>0</v>
      </c>
      <c r="Q321" s="41"/>
      <c r="R321" s="229"/>
      <c r="S321" s="229">
        <f>+Tabla3[[#This Row],[COSTO UNITARIO DOLARES CTP]]*Tabla3[[#This Row],[CANTIDAD SOLICTADA]]</f>
        <v>0</v>
      </c>
      <c r="T321" s="41"/>
      <c r="U321" s="14" t="s">
        <v>4</v>
      </c>
      <c r="V321" s="8" t="s">
        <v>500</v>
      </c>
      <c r="W321" s="9">
        <v>46176</v>
      </c>
      <c r="X321" s="10" t="s">
        <v>89</v>
      </c>
      <c r="Y321" s="10" t="s">
        <v>90</v>
      </c>
      <c r="Z321" s="16" t="s">
        <v>44</v>
      </c>
      <c r="AA321" s="25">
        <v>46175</v>
      </c>
      <c r="AB321" s="25">
        <v>46175</v>
      </c>
      <c r="AC321" s="16" t="s">
        <v>91</v>
      </c>
      <c r="AD321" s="16"/>
      <c r="AE321" s="16" t="s">
        <v>140</v>
      </c>
      <c r="AF321" s="16"/>
      <c r="AG321" s="21" t="s">
        <v>443</v>
      </c>
      <c r="XFD321" s="15" t="str">
        <f>+Tabla3[[#This Row],[ESTATUS DE NUM ECONOMICO]]</f>
        <v>ACTIVA</v>
      </c>
    </row>
    <row r="322" spans="1:33 16384:16384" ht="15.75" thickBot="1" x14ac:dyDescent="0.3">
      <c r="A322" s="8">
        <v>58</v>
      </c>
      <c r="B322" s="10" t="s">
        <v>490</v>
      </c>
      <c r="C322" s="10" t="s">
        <v>112</v>
      </c>
      <c r="D322" s="10" t="s">
        <v>499</v>
      </c>
      <c r="E322" s="16">
        <v>16</v>
      </c>
      <c r="F322" s="9">
        <v>46175</v>
      </c>
      <c r="G322" s="212" t="str">
        <f>IFERROR(VLOOKUP(Tabla3[[#This Row],[NUM ECONOMICO]],MAQUINARIA!B:H,7,0), " MAQ")</f>
        <v>ACTIVA</v>
      </c>
      <c r="H322" s="214" t="s">
        <v>94</v>
      </c>
      <c r="I322" s="41" t="s">
        <v>444</v>
      </c>
      <c r="J322" s="10"/>
      <c r="K322" s="10">
        <v>2</v>
      </c>
      <c r="L322" s="12"/>
      <c r="M322" s="13">
        <f t="shared" ref="M322:M385" si="5">+L322*K322</f>
        <v>0</v>
      </c>
      <c r="N322" s="41"/>
      <c r="O322" s="10"/>
      <c r="P322" s="10">
        <f>Tabla3[[#This Row],[COSTO UNITARIO DOLARES EN HAWTHORNE]]*Tabla3[[#This Row],[CANTIDAD SOLICTADA]]</f>
        <v>0</v>
      </c>
      <c r="Q322" s="41"/>
      <c r="R322" s="229"/>
      <c r="S322" s="229">
        <f>+Tabla3[[#This Row],[COSTO UNITARIO DOLARES CTP]]*Tabla3[[#This Row],[CANTIDAD SOLICTADA]]</f>
        <v>0</v>
      </c>
      <c r="T322" s="41"/>
      <c r="U322" s="14" t="s">
        <v>4</v>
      </c>
      <c r="V322" s="8" t="s">
        <v>500</v>
      </c>
      <c r="W322" s="9">
        <v>46176</v>
      </c>
      <c r="X322" s="10" t="s">
        <v>89</v>
      </c>
      <c r="Y322" s="10" t="s">
        <v>90</v>
      </c>
      <c r="Z322" s="16" t="s">
        <v>44</v>
      </c>
      <c r="AA322" s="25">
        <v>46175</v>
      </c>
      <c r="AB322" s="25">
        <v>46175</v>
      </c>
      <c r="AC322" s="16" t="s">
        <v>91</v>
      </c>
      <c r="AD322" s="16"/>
      <c r="AE322" s="16" t="s">
        <v>140</v>
      </c>
      <c r="AF322" s="16"/>
      <c r="AG322" s="21" t="s">
        <v>443</v>
      </c>
      <c r="XFD322" s="15" t="str">
        <f>+Tabla3[[#This Row],[ESTATUS DE NUM ECONOMICO]]</f>
        <v>ACTIVA</v>
      </c>
    </row>
    <row r="323" spans="1:33 16384:16384" ht="15.75" thickBot="1" x14ac:dyDescent="0.3">
      <c r="A323" s="8">
        <v>58</v>
      </c>
      <c r="B323" s="10" t="s">
        <v>490</v>
      </c>
      <c r="C323" s="10" t="s">
        <v>112</v>
      </c>
      <c r="D323" s="10" t="s">
        <v>499</v>
      </c>
      <c r="E323" s="16">
        <v>16</v>
      </c>
      <c r="F323" s="9">
        <v>46175</v>
      </c>
      <c r="G323" s="212" t="str">
        <f>IFERROR(VLOOKUP(Tabla3[[#This Row],[NUM ECONOMICO]],MAQUINARIA!B:H,7,0), " MAQ")</f>
        <v>ACTIVA</v>
      </c>
      <c r="H323" s="214" t="s">
        <v>94</v>
      </c>
      <c r="I323" s="41">
        <v>3261643</v>
      </c>
      <c r="J323" s="10"/>
      <c r="K323" s="10">
        <v>1</v>
      </c>
      <c r="L323" s="12"/>
      <c r="M323" s="13">
        <f t="shared" si="5"/>
        <v>0</v>
      </c>
      <c r="N323" s="41"/>
      <c r="O323" s="10"/>
      <c r="P323" s="10">
        <f>Tabla3[[#This Row],[COSTO UNITARIO DOLARES EN HAWTHORNE]]*Tabla3[[#This Row],[CANTIDAD SOLICTADA]]</f>
        <v>0</v>
      </c>
      <c r="Q323" s="41"/>
      <c r="R323" s="229"/>
      <c r="S323" s="229">
        <f>+Tabla3[[#This Row],[COSTO UNITARIO DOLARES CTP]]*Tabla3[[#This Row],[CANTIDAD SOLICTADA]]</f>
        <v>0</v>
      </c>
      <c r="T323" s="41"/>
      <c r="U323" s="14" t="s">
        <v>4</v>
      </c>
      <c r="V323" s="8" t="s">
        <v>500</v>
      </c>
      <c r="W323" s="9">
        <v>46176</v>
      </c>
      <c r="X323" s="10" t="s">
        <v>89</v>
      </c>
      <c r="Y323" s="10" t="s">
        <v>90</v>
      </c>
      <c r="Z323" s="16" t="s">
        <v>44</v>
      </c>
      <c r="AA323" s="25">
        <v>46175</v>
      </c>
      <c r="AB323" s="25">
        <v>46175</v>
      </c>
      <c r="AC323" s="16" t="s">
        <v>91</v>
      </c>
      <c r="AD323" s="16"/>
      <c r="AE323" s="16" t="s">
        <v>140</v>
      </c>
      <c r="AF323" s="16"/>
      <c r="AG323" s="21" t="s">
        <v>443</v>
      </c>
      <c r="XFD323" s="15" t="str">
        <f>+Tabla3[[#This Row],[ESTATUS DE NUM ECONOMICO]]</f>
        <v>ACTIVA</v>
      </c>
    </row>
    <row r="324" spans="1:33 16384:16384" ht="15.75" thickBot="1" x14ac:dyDescent="0.3">
      <c r="A324" s="8">
        <v>58</v>
      </c>
      <c r="B324" s="10" t="s">
        <v>490</v>
      </c>
      <c r="C324" s="10" t="s">
        <v>112</v>
      </c>
      <c r="D324" s="10" t="s">
        <v>499</v>
      </c>
      <c r="E324" s="16">
        <v>16</v>
      </c>
      <c r="F324" s="9">
        <v>46175</v>
      </c>
      <c r="G324" s="212" t="str">
        <f>IFERROR(VLOOKUP(Tabla3[[#This Row],[NUM ECONOMICO]],MAQUINARIA!B:H,7,0), " MAQ")</f>
        <v>ACTIVA</v>
      </c>
      <c r="H324" s="214" t="s">
        <v>94</v>
      </c>
      <c r="I324" s="41">
        <v>2752604</v>
      </c>
      <c r="J324" s="10"/>
      <c r="K324" s="10">
        <v>2</v>
      </c>
      <c r="L324" s="12"/>
      <c r="M324" s="13">
        <f t="shared" si="5"/>
        <v>0</v>
      </c>
      <c r="N324" s="41"/>
      <c r="O324" s="10"/>
      <c r="P324" s="10">
        <f>Tabla3[[#This Row],[COSTO UNITARIO DOLARES EN HAWTHORNE]]*Tabla3[[#This Row],[CANTIDAD SOLICTADA]]</f>
        <v>0</v>
      </c>
      <c r="Q324" s="41"/>
      <c r="R324" s="229"/>
      <c r="S324" s="229">
        <f>+Tabla3[[#This Row],[COSTO UNITARIO DOLARES CTP]]*Tabla3[[#This Row],[CANTIDAD SOLICTADA]]</f>
        <v>0</v>
      </c>
      <c r="T324" s="41"/>
      <c r="U324" s="14" t="s">
        <v>4</v>
      </c>
      <c r="V324" s="8" t="s">
        <v>500</v>
      </c>
      <c r="W324" s="9">
        <v>46176</v>
      </c>
      <c r="X324" s="10" t="s">
        <v>89</v>
      </c>
      <c r="Y324" s="10" t="s">
        <v>90</v>
      </c>
      <c r="Z324" s="16" t="s">
        <v>44</v>
      </c>
      <c r="AA324" s="25">
        <v>46175</v>
      </c>
      <c r="AB324" s="25">
        <v>46175</v>
      </c>
      <c r="AC324" s="16" t="s">
        <v>91</v>
      </c>
      <c r="AD324" s="16"/>
      <c r="AE324" s="16" t="s">
        <v>140</v>
      </c>
      <c r="AF324" s="16"/>
      <c r="AG324" s="21" t="s">
        <v>443</v>
      </c>
      <c r="XFD324" s="15" t="str">
        <f>+Tabla3[[#This Row],[ESTATUS DE NUM ECONOMICO]]</f>
        <v>ACTIVA</v>
      </c>
    </row>
    <row r="325" spans="1:33 16384:16384" ht="15.75" thickBot="1" x14ac:dyDescent="0.3">
      <c r="A325" s="8">
        <v>58</v>
      </c>
      <c r="B325" s="10" t="s">
        <v>490</v>
      </c>
      <c r="C325" s="10" t="s">
        <v>112</v>
      </c>
      <c r="D325" s="10" t="s">
        <v>499</v>
      </c>
      <c r="E325" s="16">
        <v>16</v>
      </c>
      <c r="F325" s="9">
        <v>46175</v>
      </c>
      <c r="G325" s="212" t="str">
        <f>IFERROR(VLOOKUP(Tabla3[[#This Row],[NUM ECONOMICO]],MAQUINARIA!B:H,7,0), " MAQ")</f>
        <v>ACTIVA</v>
      </c>
      <c r="H325" s="214" t="s">
        <v>94</v>
      </c>
      <c r="I325" s="41">
        <v>1236855</v>
      </c>
      <c r="J325" s="10"/>
      <c r="K325" s="10">
        <v>2</v>
      </c>
      <c r="L325" s="12"/>
      <c r="M325" s="13">
        <f t="shared" si="5"/>
        <v>0</v>
      </c>
      <c r="N325" s="41"/>
      <c r="O325" s="10"/>
      <c r="P325" s="10">
        <f>Tabla3[[#This Row],[COSTO UNITARIO DOLARES EN HAWTHORNE]]*Tabla3[[#This Row],[CANTIDAD SOLICTADA]]</f>
        <v>0</v>
      </c>
      <c r="Q325" s="41"/>
      <c r="R325" s="229"/>
      <c r="S325" s="229">
        <f>+Tabla3[[#This Row],[COSTO UNITARIO DOLARES CTP]]*Tabla3[[#This Row],[CANTIDAD SOLICTADA]]</f>
        <v>0</v>
      </c>
      <c r="T325" s="41"/>
      <c r="U325" s="14" t="s">
        <v>4</v>
      </c>
      <c r="V325" s="8" t="s">
        <v>500</v>
      </c>
      <c r="W325" s="9">
        <v>46176</v>
      </c>
      <c r="X325" s="10" t="s">
        <v>89</v>
      </c>
      <c r="Y325" s="10" t="s">
        <v>90</v>
      </c>
      <c r="Z325" s="16" t="s">
        <v>44</v>
      </c>
      <c r="AA325" s="25">
        <v>46175</v>
      </c>
      <c r="AB325" s="25">
        <v>46175</v>
      </c>
      <c r="AC325" s="16" t="s">
        <v>91</v>
      </c>
      <c r="AD325" s="16"/>
      <c r="AE325" s="16" t="s">
        <v>140</v>
      </c>
      <c r="AF325" s="16"/>
      <c r="AG325" s="21" t="s">
        <v>443</v>
      </c>
      <c r="XFD325" s="15" t="str">
        <f>+Tabla3[[#This Row],[ESTATUS DE NUM ECONOMICO]]</f>
        <v>ACTIVA</v>
      </c>
    </row>
    <row r="326" spans="1:33 16384:16384" ht="15.75" thickBot="1" x14ac:dyDescent="0.3">
      <c r="A326" s="8">
        <v>58</v>
      </c>
      <c r="B326" s="10" t="s">
        <v>490</v>
      </c>
      <c r="C326" s="10" t="s">
        <v>112</v>
      </c>
      <c r="D326" s="10" t="s">
        <v>499</v>
      </c>
      <c r="E326" s="16">
        <v>16</v>
      </c>
      <c r="F326" s="9">
        <v>46175</v>
      </c>
      <c r="G326" s="212" t="str">
        <f>IFERROR(VLOOKUP(Tabla3[[#This Row],[NUM ECONOMICO]],MAQUINARIA!B:H,7,0), " MAQ")</f>
        <v>ACTIVA</v>
      </c>
      <c r="H326" s="214" t="s">
        <v>94</v>
      </c>
      <c r="I326" s="41">
        <v>1236856</v>
      </c>
      <c r="J326" s="10"/>
      <c r="K326" s="10">
        <v>2</v>
      </c>
      <c r="L326" s="12"/>
      <c r="M326" s="13">
        <f t="shared" si="5"/>
        <v>0</v>
      </c>
      <c r="N326" s="41"/>
      <c r="O326" s="10"/>
      <c r="P326" s="10">
        <f>Tabla3[[#This Row],[COSTO UNITARIO DOLARES EN HAWTHORNE]]*Tabla3[[#This Row],[CANTIDAD SOLICTADA]]</f>
        <v>0</v>
      </c>
      <c r="Q326" s="41"/>
      <c r="R326" s="229"/>
      <c r="S326" s="229">
        <f>+Tabla3[[#This Row],[COSTO UNITARIO DOLARES CTP]]*Tabla3[[#This Row],[CANTIDAD SOLICTADA]]</f>
        <v>0</v>
      </c>
      <c r="T326" s="41"/>
      <c r="U326" s="14" t="s">
        <v>4</v>
      </c>
      <c r="V326" s="8" t="s">
        <v>500</v>
      </c>
      <c r="W326" s="9">
        <v>46176</v>
      </c>
      <c r="X326" s="10" t="s">
        <v>89</v>
      </c>
      <c r="Y326" s="10" t="s">
        <v>90</v>
      </c>
      <c r="Z326" s="16" t="s">
        <v>44</v>
      </c>
      <c r="AA326" s="25">
        <v>46175</v>
      </c>
      <c r="AB326" s="25">
        <v>46175</v>
      </c>
      <c r="AC326" s="16" t="s">
        <v>91</v>
      </c>
      <c r="AD326" s="16"/>
      <c r="AE326" s="16" t="s">
        <v>140</v>
      </c>
      <c r="AF326" s="16"/>
      <c r="AG326" s="21" t="s">
        <v>443</v>
      </c>
      <c r="XFD326" s="15" t="str">
        <f>+Tabla3[[#This Row],[ESTATUS DE NUM ECONOMICO]]</f>
        <v>ACTIVA</v>
      </c>
    </row>
    <row r="327" spans="1:33 16384:16384" ht="15.75" thickBot="1" x14ac:dyDescent="0.3">
      <c r="A327" s="8">
        <v>58</v>
      </c>
      <c r="B327" s="10" t="s">
        <v>490</v>
      </c>
      <c r="C327" s="10" t="s">
        <v>112</v>
      </c>
      <c r="D327" s="10" t="s">
        <v>499</v>
      </c>
      <c r="E327" s="16">
        <v>16</v>
      </c>
      <c r="F327" s="9">
        <v>46175</v>
      </c>
      <c r="G327" s="212" t="str">
        <f>IFERROR(VLOOKUP(Tabla3[[#This Row],[NUM ECONOMICO]],MAQUINARIA!B:H,7,0), " MAQ")</f>
        <v>ACTIVA</v>
      </c>
      <c r="H327" s="214" t="s">
        <v>94</v>
      </c>
      <c r="I327" s="41">
        <v>1328876</v>
      </c>
      <c r="J327" s="10"/>
      <c r="K327" s="10">
        <v>2</v>
      </c>
      <c r="L327" s="12"/>
      <c r="M327" s="13">
        <f t="shared" si="5"/>
        <v>0</v>
      </c>
      <c r="N327" s="41"/>
      <c r="O327" s="10"/>
      <c r="P327" s="10">
        <f>Tabla3[[#This Row],[COSTO UNITARIO DOLARES EN HAWTHORNE]]*Tabla3[[#This Row],[CANTIDAD SOLICTADA]]</f>
        <v>0</v>
      </c>
      <c r="Q327" s="41"/>
      <c r="R327" s="229"/>
      <c r="S327" s="229">
        <f>+Tabla3[[#This Row],[COSTO UNITARIO DOLARES CTP]]*Tabla3[[#This Row],[CANTIDAD SOLICTADA]]</f>
        <v>0</v>
      </c>
      <c r="T327" s="41"/>
      <c r="U327" s="14" t="s">
        <v>4</v>
      </c>
      <c r="V327" s="8" t="s">
        <v>500</v>
      </c>
      <c r="W327" s="9">
        <v>46176</v>
      </c>
      <c r="X327" s="10" t="s">
        <v>89</v>
      </c>
      <c r="Y327" s="10" t="s">
        <v>90</v>
      </c>
      <c r="Z327" s="16" t="s">
        <v>44</v>
      </c>
      <c r="AA327" s="25">
        <v>46175</v>
      </c>
      <c r="AB327" s="25">
        <v>46175</v>
      </c>
      <c r="AC327" s="16" t="s">
        <v>91</v>
      </c>
      <c r="AD327" s="16"/>
      <c r="AE327" s="16" t="s">
        <v>140</v>
      </c>
      <c r="AF327" s="16"/>
      <c r="AG327" s="21" t="s">
        <v>443</v>
      </c>
      <c r="XFD327" s="15" t="str">
        <f>+Tabla3[[#This Row],[ESTATUS DE NUM ECONOMICO]]</f>
        <v>ACTIVA</v>
      </c>
    </row>
    <row r="328" spans="1:33 16384:16384" ht="15.75" thickBot="1" x14ac:dyDescent="0.3">
      <c r="A328" s="8">
        <v>59</v>
      </c>
      <c r="B328" s="10" t="s">
        <v>490</v>
      </c>
      <c r="C328" s="10" t="s">
        <v>112</v>
      </c>
      <c r="D328" s="10" t="s">
        <v>501</v>
      </c>
      <c r="E328" s="16">
        <v>1473</v>
      </c>
      <c r="F328" s="9">
        <v>46175</v>
      </c>
      <c r="G328" s="212" t="str">
        <f>IFERROR(VLOOKUP(Tabla3[[#This Row],[NUM ECONOMICO]],MAQUINARIA!B:H,7,0), " MAQ")</f>
        <v xml:space="preserve"> MAQ</v>
      </c>
      <c r="H328" s="214" t="s">
        <v>463</v>
      </c>
      <c r="I328" s="41">
        <v>5416956</v>
      </c>
      <c r="J328" s="10"/>
      <c r="K328" s="10">
        <v>1</v>
      </c>
      <c r="L328" s="12"/>
      <c r="M328" s="13">
        <f t="shared" si="5"/>
        <v>0</v>
      </c>
      <c r="N328" s="41"/>
      <c r="O328" s="10"/>
      <c r="P328" s="10">
        <f>Tabla3[[#This Row],[COSTO UNITARIO DOLARES EN HAWTHORNE]]*Tabla3[[#This Row],[CANTIDAD SOLICTADA]]</f>
        <v>0</v>
      </c>
      <c r="Q328" s="41"/>
      <c r="R328" s="229"/>
      <c r="S328" s="229">
        <f>+Tabla3[[#This Row],[COSTO UNITARIO DOLARES CTP]]*Tabla3[[#This Row],[CANTIDAD SOLICTADA]]</f>
        <v>0</v>
      </c>
      <c r="T328" s="41"/>
      <c r="U328" s="14" t="s">
        <v>4</v>
      </c>
      <c r="V328" s="8" t="s">
        <v>502</v>
      </c>
      <c r="W328" s="9">
        <v>46176</v>
      </c>
      <c r="X328" s="10" t="s">
        <v>89</v>
      </c>
      <c r="Y328" s="10" t="s">
        <v>90</v>
      </c>
      <c r="Z328" s="16" t="s">
        <v>44</v>
      </c>
      <c r="AA328" s="25">
        <v>46175</v>
      </c>
      <c r="AB328" s="25">
        <v>46175</v>
      </c>
      <c r="AC328" s="16" t="s">
        <v>91</v>
      </c>
      <c r="AD328" s="16"/>
      <c r="AE328" s="16" t="s">
        <v>140</v>
      </c>
      <c r="AF328" s="16"/>
      <c r="AG328" s="21" t="s">
        <v>443</v>
      </c>
      <c r="XFD328" s="15" t="str">
        <f>+Tabla3[[#This Row],[ESTATUS DE NUM ECONOMICO]]</f>
        <v xml:space="preserve"> MAQ</v>
      </c>
    </row>
    <row r="329" spans="1:33 16384:16384" ht="15.75" thickBot="1" x14ac:dyDescent="0.3">
      <c r="A329" s="8">
        <v>59</v>
      </c>
      <c r="B329" s="10" t="s">
        <v>490</v>
      </c>
      <c r="C329" s="10" t="s">
        <v>112</v>
      </c>
      <c r="D329" s="10" t="s">
        <v>501</v>
      </c>
      <c r="E329" s="16">
        <v>1473</v>
      </c>
      <c r="F329" s="9">
        <v>46175</v>
      </c>
      <c r="G329" s="212" t="str">
        <f>IFERROR(VLOOKUP(Tabla3[[#This Row],[NUM ECONOMICO]],MAQUINARIA!B:H,7,0), " MAQ")</f>
        <v xml:space="preserve"> MAQ</v>
      </c>
      <c r="H329" s="214" t="s">
        <v>463</v>
      </c>
      <c r="I329" s="41">
        <v>3776969</v>
      </c>
      <c r="J329" s="10"/>
      <c r="K329" s="10">
        <v>1</v>
      </c>
      <c r="L329" s="12"/>
      <c r="M329" s="13">
        <f t="shared" si="5"/>
        <v>0</v>
      </c>
      <c r="N329" s="41"/>
      <c r="O329" s="10"/>
      <c r="P329" s="10">
        <f>Tabla3[[#This Row],[COSTO UNITARIO DOLARES EN HAWTHORNE]]*Tabla3[[#This Row],[CANTIDAD SOLICTADA]]</f>
        <v>0</v>
      </c>
      <c r="Q329" s="41"/>
      <c r="R329" s="229"/>
      <c r="S329" s="229">
        <f>+Tabla3[[#This Row],[COSTO UNITARIO DOLARES CTP]]*Tabla3[[#This Row],[CANTIDAD SOLICTADA]]</f>
        <v>0</v>
      </c>
      <c r="T329" s="41"/>
      <c r="U329" s="14" t="s">
        <v>4</v>
      </c>
      <c r="V329" s="8" t="s">
        <v>502</v>
      </c>
      <c r="W329" s="9">
        <v>46176</v>
      </c>
      <c r="X329" s="10" t="s">
        <v>89</v>
      </c>
      <c r="Y329" s="10" t="s">
        <v>90</v>
      </c>
      <c r="Z329" s="16" t="s">
        <v>44</v>
      </c>
      <c r="AA329" s="25">
        <v>46175</v>
      </c>
      <c r="AB329" s="25">
        <v>46175</v>
      </c>
      <c r="AC329" s="16" t="s">
        <v>91</v>
      </c>
      <c r="AD329" s="16"/>
      <c r="AE329" s="16" t="s">
        <v>140</v>
      </c>
      <c r="AF329" s="16"/>
      <c r="AG329" s="21" t="s">
        <v>443</v>
      </c>
      <c r="XFD329" s="15" t="str">
        <f>+Tabla3[[#This Row],[ESTATUS DE NUM ECONOMICO]]</f>
        <v xml:space="preserve"> MAQ</v>
      </c>
    </row>
    <row r="330" spans="1:33 16384:16384" ht="15.75" thickBot="1" x14ac:dyDescent="0.3">
      <c r="A330" s="8">
        <v>59</v>
      </c>
      <c r="B330" s="10" t="s">
        <v>490</v>
      </c>
      <c r="C330" s="10" t="s">
        <v>112</v>
      </c>
      <c r="D330" s="10" t="s">
        <v>501</v>
      </c>
      <c r="E330" s="16">
        <v>1473</v>
      </c>
      <c r="F330" s="9">
        <v>46175</v>
      </c>
      <c r="G330" s="212" t="str">
        <f>IFERROR(VLOOKUP(Tabla3[[#This Row],[NUM ECONOMICO]],MAQUINARIA!B:H,7,0), " MAQ")</f>
        <v xml:space="preserve"> MAQ</v>
      </c>
      <c r="H330" s="214" t="s">
        <v>463</v>
      </c>
      <c r="I330" s="41">
        <v>1106331</v>
      </c>
      <c r="J330" s="10"/>
      <c r="K330" s="10">
        <v>1</v>
      </c>
      <c r="L330" s="12"/>
      <c r="M330" s="13">
        <f t="shared" si="5"/>
        <v>0</v>
      </c>
      <c r="N330" s="41"/>
      <c r="O330" s="10"/>
      <c r="P330" s="10">
        <f>Tabla3[[#This Row],[COSTO UNITARIO DOLARES EN HAWTHORNE]]*Tabla3[[#This Row],[CANTIDAD SOLICTADA]]</f>
        <v>0</v>
      </c>
      <c r="Q330" s="41"/>
      <c r="R330" s="229"/>
      <c r="S330" s="229">
        <f>+Tabla3[[#This Row],[COSTO UNITARIO DOLARES CTP]]*Tabla3[[#This Row],[CANTIDAD SOLICTADA]]</f>
        <v>0</v>
      </c>
      <c r="T330" s="41"/>
      <c r="U330" s="14" t="s">
        <v>4</v>
      </c>
      <c r="V330" s="8" t="s">
        <v>502</v>
      </c>
      <c r="W330" s="9">
        <v>46176</v>
      </c>
      <c r="X330" s="10" t="s">
        <v>89</v>
      </c>
      <c r="Y330" s="10" t="s">
        <v>90</v>
      </c>
      <c r="Z330" s="16" t="s">
        <v>44</v>
      </c>
      <c r="AA330" s="25">
        <v>46175</v>
      </c>
      <c r="AB330" s="25">
        <v>46175</v>
      </c>
      <c r="AC330" s="16" t="s">
        <v>91</v>
      </c>
      <c r="AD330" s="16"/>
      <c r="AE330" s="16" t="s">
        <v>140</v>
      </c>
      <c r="AF330" s="16"/>
      <c r="AG330" s="21" t="s">
        <v>443</v>
      </c>
      <c r="XFD330" s="15" t="str">
        <f>+Tabla3[[#This Row],[ESTATUS DE NUM ECONOMICO]]</f>
        <v xml:space="preserve"> MAQ</v>
      </c>
    </row>
    <row r="331" spans="1:33 16384:16384" ht="15.75" thickBot="1" x14ac:dyDescent="0.3">
      <c r="A331" s="8">
        <v>59</v>
      </c>
      <c r="B331" s="10" t="s">
        <v>490</v>
      </c>
      <c r="C331" s="10" t="s">
        <v>112</v>
      </c>
      <c r="D331" s="10" t="s">
        <v>501</v>
      </c>
      <c r="E331" s="16">
        <v>1473</v>
      </c>
      <c r="F331" s="9">
        <v>46175</v>
      </c>
      <c r="G331" s="212" t="str">
        <f>IFERROR(VLOOKUP(Tabla3[[#This Row],[NUM ECONOMICO]],MAQUINARIA!B:H,7,0), " MAQ")</f>
        <v xml:space="preserve"> MAQ</v>
      </c>
      <c r="H331" s="214" t="s">
        <v>463</v>
      </c>
      <c r="I331" s="41">
        <v>1106326</v>
      </c>
      <c r="J331" s="10"/>
      <c r="K331" s="10">
        <v>1</v>
      </c>
      <c r="L331" s="12"/>
      <c r="M331" s="13">
        <f t="shared" si="5"/>
        <v>0</v>
      </c>
      <c r="N331" s="41"/>
      <c r="O331" s="10"/>
      <c r="P331" s="10">
        <f>Tabla3[[#This Row],[COSTO UNITARIO DOLARES EN HAWTHORNE]]*Tabla3[[#This Row],[CANTIDAD SOLICTADA]]</f>
        <v>0</v>
      </c>
      <c r="Q331" s="41"/>
      <c r="R331" s="229"/>
      <c r="S331" s="229">
        <f>+Tabla3[[#This Row],[COSTO UNITARIO DOLARES CTP]]*Tabla3[[#This Row],[CANTIDAD SOLICTADA]]</f>
        <v>0</v>
      </c>
      <c r="T331" s="41"/>
      <c r="U331" s="14" t="s">
        <v>4</v>
      </c>
      <c r="V331" s="8" t="s">
        <v>502</v>
      </c>
      <c r="W331" s="9">
        <v>46176</v>
      </c>
      <c r="X331" s="10" t="s">
        <v>89</v>
      </c>
      <c r="Y331" s="10" t="s">
        <v>90</v>
      </c>
      <c r="Z331" s="16" t="s">
        <v>44</v>
      </c>
      <c r="AA331" s="25">
        <v>46175</v>
      </c>
      <c r="AB331" s="25">
        <v>46175</v>
      </c>
      <c r="AC331" s="16" t="s">
        <v>91</v>
      </c>
      <c r="AD331" s="16"/>
      <c r="AE331" s="16" t="s">
        <v>140</v>
      </c>
      <c r="AF331" s="16"/>
      <c r="AG331" s="21" t="s">
        <v>443</v>
      </c>
      <c r="XFD331" s="15" t="str">
        <f>+Tabla3[[#This Row],[ESTATUS DE NUM ECONOMICO]]</f>
        <v xml:space="preserve"> MAQ</v>
      </c>
    </row>
    <row r="332" spans="1:33 16384:16384" ht="15.75" thickBot="1" x14ac:dyDescent="0.3">
      <c r="A332" s="8">
        <v>59</v>
      </c>
      <c r="B332" s="10" t="s">
        <v>490</v>
      </c>
      <c r="C332" s="10" t="s">
        <v>112</v>
      </c>
      <c r="D332" s="10" t="s">
        <v>501</v>
      </c>
      <c r="E332" s="16">
        <v>1473</v>
      </c>
      <c r="F332" s="9">
        <v>46175</v>
      </c>
      <c r="G332" s="212" t="str">
        <f>IFERROR(VLOOKUP(Tabla3[[#This Row],[NUM ECONOMICO]],MAQUINARIA!B:H,7,0), " MAQ")</f>
        <v xml:space="preserve"> MAQ</v>
      </c>
      <c r="H332" s="214" t="s">
        <v>463</v>
      </c>
      <c r="I332" s="41">
        <v>4215479</v>
      </c>
      <c r="J332" s="10"/>
      <c r="K332" s="10">
        <v>1</v>
      </c>
      <c r="L332" s="12"/>
      <c r="M332" s="13">
        <f t="shared" si="5"/>
        <v>0</v>
      </c>
      <c r="N332" s="41"/>
      <c r="O332" s="10"/>
      <c r="P332" s="10">
        <f>Tabla3[[#This Row],[COSTO UNITARIO DOLARES EN HAWTHORNE]]*Tabla3[[#This Row],[CANTIDAD SOLICTADA]]</f>
        <v>0</v>
      </c>
      <c r="Q332" s="41"/>
      <c r="R332" s="229"/>
      <c r="S332" s="229">
        <f>+Tabla3[[#This Row],[COSTO UNITARIO DOLARES CTP]]*Tabla3[[#This Row],[CANTIDAD SOLICTADA]]</f>
        <v>0</v>
      </c>
      <c r="T332" s="41"/>
      <c r="U332" s="14" t="s">
        <v>4</v>
      </c>
      <c r="V332" s="8" t="s">
        <v>502</v>
      </c>
      <c r="W332" s="9">
        <v>46176</v>
      </c>
      <c r="X332" s="10" t="s">
        <v>89</v>
      </c>
      <c r="Y332" s="10" t="s">
        <v>90</v>
      </c>
      <c r="Z332" s="16" t="s">
        <v>44</v>
      </c>
      <c r="AA332" s="25">
        <v>46175</v>
      </c>
      <c r="AB332" s="25">
        <v>46175</v>
      </c>
      <c r="AC332" s="16" t="s">
        <v>91</v>
      </c>
      <c r="AD332" s="16"/>
      <c r="AE332" s="16" t="s">
        <v>140</v>
      </c>
      <c r="AF332" s="16"/>
      <c r="AG332" s="21" t="s">
        <v>443</v>
      </c>
      <c r="XFD332" s="15" t="str">
        <f>+Tabla3[[#This Row],[ESTATUS DE NUM ECONOMICO]]</f>
        <v xml:space="preserve"> MAQ</v>
      </c>
    </row>
    <row r="333" spans="1:33 16384:16384" ht="15.75" thickBot="1" x14ac:dyDescent="0.3">
      <c r="A333" s="8">
        <v>60</v>
      </c>
      <c r="B333" s="9">
        <v>46175</v>
      </c>
      <c r="C333" s="10" t="s">
        <v>186</v>
      </c>
      <c r="D333" s="10" t="s">
        <v>503</v>
      </c>
      <c r="E333" s="16"/>
      <c r="F333" s="9">
        <v>46175</v>
      </c>
      <c r="G333" s="212" t="str">
        <f>IFERROR(VLOOKUP(Tabla3[[#This Row],[NUM ECONOMICO]],MAQUINARIA!B:H,7,0), " MAQ")</f>
        <v>INACTIVA</v>
      </c>
      <c r="H333" s="214" t="s">
        <v>504</v>
      </c>
      <c r="I333" s="41">
        <v>1606387</v>
      </c>
      <c r="J333" s="10"/>
      <c r="K333" s="10">
        <v>11</v>
      </c>
      <c r="L333" s="12"/>
      <c r="M333" s="13">
        <f t="shared" si="5"/>
        <v>0</v>
      </c>
      <c r="N333" s="41"/>
      <c r="O333" s="10"/>
      <c r="P333" s="10">
        <f>Tabla3[[#This Row],[COSTO UNITARIO DOLARES EN HAWTHORNE]]*Tabla3[[#This Row],[CANTIDAD SOLICTADA]]</f>
        <v>0</v>
      </c>
      <c r="Q333" s="41"/>
      <c r="R333" s="229"/>
      <c r="S333" s="229">
        <f>+Tabla3[[#This Row],[COSTO UNITARIO DOLARES CTP]]*Tabla3[[#This Row],[CANTIDAD SOLICTADA]]</f>
        <v>0</v>
      </c>
      <c r="T333" s="41"/>
      <c r="U333" s="14" t="s">
        <v>4</v>
      </c>
      <c r="V333" s="8" t="s">
        <v>505</v>
      </c>
      <c r="W333" s="9">
        <v>46176</v>
      </c>
      <c r="X333" s="10" t="s">
        <v>89</v>
      </c>
      <c r="Y333" s="10">
        <v>0</v>
      </c>
      <c r="Z333" s="16" t="s">
        <v>44</v>
      </c>
      <c r="AA333" s="25">
        <v>46175</v>
      </c>
      <c r="AB333" s="25">
        <v>46176</v>
      </c>
      <c r="AC333" s="16" t="s">
        <v>91</v>
      </c>
      <c r="AD333" s="16"/>
      <c r="AE333" s="16" t="s">
        <v>140</v>
      </c>
      <c r="AF333" s="16"/>
      <c r="AG333" s="21" t="s">
        <v>506</v>
      </c>
      <c r="XFD333" s="15" t="str">
        <f>+Tabla3[[#This Row],[ESTATUS DE NUM ECONOMICO]]</f>
        <v>INACTIVA</v>
      </c>
    </row>
    <row r="334" spans="1:33 16384:16384" ht="15.75" thickBot="1" x14ac:dyDescent="0.3">
      <c r="A334" s="8">
        <v>60</v>
      </c>
      <c r="B334" s="9">
        <v>46175</v>
      </c>
      <c r="C334" s="10" t="s">
        <v>186</v>
      </c>
      <c r="D334" s="10" t="s">
        <v>503</v>
      </c>
      <c r="E334" s="16"/>
      <c r="F334" s="9">
        <v>46175</v>
      </c>
      <c r="G334" s="212" t="str">
        <f>IFERROR(VLOOKUP(Tabla3[[#This Row],[NUM ECONOMICO]],MAQUINARIA!B:H,7,0), " MAQ")</f>
        <v>INACTIVA</v>
      </c>
      <c r="H334" s="214" t="s">
        <v>504</v>
      </c>
      <c r="I334" s="41">
        <v>1606386</v>
      </c>
      <c r="J334" s="10"/>
      <c r="K334" s="10">
        <v>11</v>
      </c>
      <c r="L334" s="12"/>
      <c r="M334" s="13">
        <f t="shared" si="5"/>
        <v>0</v>
      </c>
      <c r="N334" s="41"/>
      <c r="O334" s="10"/>
      <c r="P334" s="10">
        <f>Tabla3[[#This Row],[COSTO UNITARIO DOLARES EN HAWTHORNE]]*Tabla3[[#This Row],[CANTIDAD SOLICTADA]]</f>
        <v>0</v>
      </c>
      <c r="Q334" s="41"/>
      <c r="R334" s="229"/>
      <c r="S334" s="229">
        <f>+Tabla3[[#This Row],[COSTO UNITARIO DOLARES CTP]]*Tabla3[[#This Row],[CANTIDAD SOLICTADA]]</f>
        <v>0</v>
      </c>
      <c r="T334" s="41"/>
      <c r="U334" s="14" t="s">
        <v>4</v>
      </c>
      <c r="V334" s="8" t="s">
        <v>505</v>
      </c>
      <c r="W334" s="9">
        <v>46176</v>
      </c>
      <c r="X334" s="10" t="s">
        <v>89</v>
      </c>
      <c r="Y334" s="10">
        <v>8</v>
      </c>
      <c r="Z334" s="16" t="s">
        <v>44</v>
      </c>
      <c r="AA334" s="25">
        <v>46175</v>
      </c>
      <c r="AB334" s="25">
        <v>46176</v>
      </c>
      <c r="AC334" s="16" t="s">
        <v>91</v>
      </c>
      <c r="AD334" s="16"/>
      <c r="AE334" s="16" t="s">
        <v>140</v>
      </c>
      <c r="AF334" s="16"/>
      <c r="AG334" s="21" t="s">
        <v>506</v>
      </c>
      <c r="XFD334" s="15" t="str">
        <f>+Tabla3[[#This Row],[ESTATUS DE NUM ECONOMICO]]</f>
        <v>INACTIVA</v>
      </c>
    </row>
    <row r="335" spans="1:33 16384:16384" ht="15.75" thickBot="1" x14ac:dyDescent="0.3">
      <c r="A335" s="8">
        <v>61</v>
      </c>
      <c r="B335" s="9">
        <v>46176</v>
      </c>
      <c r="C335" s="10" t="s">
        <v>195</v>
      </c>
      <c r="D335" s="10" t="s">
        <v>507</v>
      </c>
      <c r="E335" s="16"/>
      <c r="F335" s="10"/>
      <c r="G335" s="212" t="str">
        <f>IFERROR(VLOOKUP(Tabla3[[#This Row],[NUM ECONOMICO]],MAQUINARIA!B:H,7,0), " MAQ")</f>
        <v>INACTIVA</v>
      </c>
      <c r="H335" s="214" t="s">
        <v>508</v>
      </c>
      <c r="I335" s="41">
        <v>4568469</v>
      </c>
      <c r="J335" s="10"/>
      <c r="K335" s="10">
        <v>58</v>
      </c>
      <c r="L335" s="12"/>
      <c r="M335" s="13">
        <f t="shared" si="5"/>
        <v>0</v>
      </c>
      <c r="N335" s="41"/>
      <c r="O335" s="10"/>
      <c r="P335" s="10">
        <f>Tabla3[[#This Row],[COSTO UNITARIO DOLARES EN HAWTHORNE]]*Tabla3[[#This Row],[CANTIDAD SOLICTADA]]</f>
        <v>0</v>
      </c>
      <c r="Q335" s="41"/>
      <c r="R335" s="229"/>
      <c r="S335" s="229">
        <f>+Tabla3[[#This Row],[COSTO UNITARIO DOLARES CTP]]*Tabla3[[#This Row],[CANTIDAD SOLICTADA]]</f>
        <v>0</v>
      </c>
      <c r="T335" s="41"/>
      <c r="U335" s="14" t="s">
        <v>4</v>
      </c>
      <c r="V335" s="8" t="s">
        <v>509</v>
      </c>
      <c r="W335" s="9">
        <v>46176</v>
      </c>
      <c r="X335" s="10" t="s">
        <v>89</v>
      </c>
      <c r="Y335" s="10" t="s">
        <v>90</v>
      </c>
      <c r="Z335" s="16" t="s">
        <v>44</v>
      </c>
      <c r="AA335" s="25">
        <v>46176</v>
      </c>
      <c r="AB335" s="25">
        <v>46176</v>
      </c>
      <c r="AC335" s="16" t="s">
        <v>91</v>
      </c>
      <c r="AD335" s="16"/>
      <c r="AE335" s="16" t="s">
        <v>140</v>
      </c>
      <c r="AF335" s="16"/>
      <c r="AG335" s="21" t="s">
        <v>425</v>
      </c>
      <c r="XFD335" s="15" t="str">
        <f>+Tabla3[[#This Row],[ESTATUS DE NUM ECONOMICO]]</f>
        <v>INACTIVA</v>
      </c>
    </row>
    <row r="336" spans="1:33 16384:16384" ht="15.75" thickBot="1" x14ac:dyDescent="0.3">
      <c r="A336" s="8">
        <v>61</v>
      </c>
      <c r="B336" s="9">
        <v>46176</v>
      </c>
      <c r="C336" s="10" t="s">
        <v>195</v>
      </c>
      <c r="D336" s="10" t="s">
        <v>507</v>
      </c>
      <c r="E336" s="16"/>
      <c r="F336" s="10"/>
      <c r="G336" s="212" t="str">
        <f>IFERROR(VLOOKUP(Tabla3[[#This Row],[NUM ECONOMICO]],MAQUINARIA!B:H,7,0), " MAQ")</f>
        <v>INACTIVA</v>
      </c>
      <c r="H336" s="214" t="s">
        <v>508</v>
      </c>
      <c r="I336" s="41" t="s">
        <v>510</v>
      </c>
      <c r="J336" s="10"/>
      <c r="K336" s="10">
        <v>73</v>
      </c>
      <c r="L336" s="12"/>
      <c r="M336" s="13">
        <f t="shared" si="5"/>
        <v>0</v>
      </c>
      <c r="N336" s="41"/>
      <c r="O336" s="10"/>
      <c r="P336" s="10">
        <f>Tabla3[[#This Row],[COSTO UNITARIO DOLARES EN HAWTHORNE]]*Tabla3[[#This Row],[CANTIDAD SOLICTADA]]</f>
        <v>0</v>
      </c>
      <c r="Q336" s="41"/>
      <c r="R336" s="229"/>
      <c r="S336" s="229">
        <f>+Tabla3[[#This Row],[COSTO UNITARIO DOLARES CTP]]*Tabla3[[#This Row],[CANTIDAD SOLICTADA]]</f>
        <v>0</v>
      </c>
      <c r="T336" s="41"/>
      <c r="U336" s="14" t="s">
        <v>4</v>
      </c>
      <c r="V336" s="8" t="s">
        <v>509</v>
      </c>
      <c r="W336" s="9">
        <v>46176</v>
      </c>
      <c r="X336" s="10" t="s">
        <v>89</v>
      </c>
      <c r="Y336" s="10" t="s">
        <v>90</v>
      </c>
      <c r="Z336" s="16" t="s">
        <v>44</v>
      </c>
      <c r="AA336" s="25">
        <v>46176</v>
      </c>
      <c r="AB336" s="25">
        <v>46176</v>
      </c>
      <c r="AC336" s="16" t="s">
        <v>91</v>
      </c>
      <c r="AD336" s="16"/>
      <c r="AE336" s="16" t="s">
        <v>140</v>
      </c>
      <c r="AF336" s="16"/>
      <c r="AG336" s="21" t="s">
        <v>425</v>
      </c>
      <c r="XFD336" s="15" t="str">
        <f>+Tabla3[[#This Row],[ESTATUS DE NUM ECONOMICO]]</f>
        <v>INACTIVA</v>
      </c>
    </row>
    <row r="337" spans="1:33 16384:16384" ht="15.75" thickBot="1" x14ac:dyDescent="0.3">
      <c r="A337" s="8">
        <v>61</v>
      </c>
      <c r="B337" s="9">
        <v>46176</v>
      </c>
      <c r="C337" s="10" t="s">
        <v>195</v>
      </c>
      <c r="D337" s="10" t="s">
        <v>507</v>
      </c>
      <c r="E337" s="16"/>
      <c r="F337" s="10"/>
      <c r="G337" s="212" t="str">
        <f>IFERROR(VLOOKUP(Tabla3[[#This Row],[NUM ECONOMICO]],MAQUINARIA!B:H,7,0), " MAQ")</f>
        <v>INACTIVA</v>
      </c>
      <c r="H337" s="214" t="s">
        <v>508</v>
      </c>
      <c r="I337" s="41" t="s">
        <v>318</v>
      </c>
      <c r="J337" s="10" t="s">
        <v>253</v>
      </c>
      <c r="K337" s="10">
        <v>1</v>
      </c>
      <c r="L337" s="12"/>
      <c r="M337" s="13">
        <f t="shared" si="5"/>
        <v>0</v>
      </c>
      <c r="N337" s="41"/>
      <c r="O337" s="10"/>
      <c r="P337" s="10">
        <f>Tabla3[[#This Row],[COSTO UNITARIO DOLARES EN HAWTHORNE]]*Tabla3[[#This Row],[CANTIDAD SOLICTADA]]</f>
        <v>0</v>
      </c>
      <c r="Q337" s="41"/>
      <c r="R337" s="229">
        <v>0.16</v>
      </c>
      <c r="S337" s="229">
        <f>+Tabla3[[#This Row],[COSTO UNITARIO DOLARES CTP]]*Tabla3[[#This Row],[CANTIDAD SOLICTADA]]</f>
        <v>0.16</v>
      </c>
      <c r="T337" s="41"/>
      <c r="U337" s="14" t="s">
        <v>4</v>
      </c>
      <c r="V337" s="8" t="s">
        <v>509</v>
      </c>
      <c r="W337" s="9">
        <v>46176</v>
      </c>
      <c r="X337" s="10" t="s">
        <v>89</v>
      </c>
      <c r="Y337" s="10">
        <v>14</v>
      </c>
      <c r="Z337" s="16" t="s">
        <v>44</v>
      </c>
      <c r="AA337" s="25">
        <v>46176</v>
      </c>
      <c r="AB337" s="25">
        <v>46176</v>
      </c>
      <c r="AC337" s="16" t="s">
        <v>91</v>
      </c>
      <c r="AD337" s="16"/>
      <c r="AE337" s="16" t="s">
        <v>140</v>
      </c>
      <c r="AF337" s="16"/>
      <c r="AG337" s="21" t="s">
        <v>425</v>
      </c>
      <c r="XFD337" s="15" t="str">
        <f>+Tabla3[[#This Row],[ESTATUS DE NUM ECONOMICO]]</f>
        <v>INACTIVA</v>
      </c>
    </row>
    <row r="338" spans="1:33 16384:16384" ht="15.75" thickBot="1" x14ac:dyDescent="0.3">
      <c r="A338" s="8">
        <v>61</v>
      </c>
      <c r="B338" s="9">
        <v>46176</v>
      </c>
      <c r="C338" s="10" t="s">
        <v>195</v>
      </c>
      <c r="D338" s="10" t="s">
        <v>507</v>
      </c>
      <c r="E338" s="16"/>
      <c r="F338" s="10"/>
      <c r="G338" s="212" t="str">
        <f>IFERROR(VLOOKUP(Tabla3[[#This Row],[NUM ECONOMICO]],MAQUINARIA!B:H,7,0), " MAQ")</f>
        <v>INACTIVA</v>
      </c>
      <c r="H338" s="214" t="s">
        <v>508</v>
      </c>
      <c r="I338" s="41" t="s">
        <v>337</v>
      </c>
      <c r="J338" s="10"/>
      <c r="K338" s="10">
        <v>1</v>
      </c>
      <c r="L338" s="12"/>
      <c r="M338" s="13">
        <f t="shared" si="5"/>
        <v>0</v>
      </c>
      <c r="N338" s="41"/>
      <c r="O338" s="10"/>
      <c r="P338" s="10">
        <f>Tabla3[[#This Row],[COSTO UNITARIO DOLARES EN HAWTHORNE]]*Tabla3[[#This Row],[CANTIDAD SOLICTADA]]</f>
        <v>0</v>
      </c>
      <c r="Q338" s="41"/>
      <c r="R338" s="229"/>
      <c r="S338" s="229">
        <f>+Tabla3[[#This Row],[COSTO UNITARIO DOLARES CTP]]*Tabla3[[#This Row],[CANTIDAD SOLICTADA]]</f>
        <v>0</v>
      </c>
      <c r="T338" s="41"/>
      <c r="U338" s="14" t="s">
        <v>4</v>
      </c>
      <c r="V338" s="8" t="s">
        <v>509</v>
      </c>
      <c r="W338" s="9">
        <v>46176</v>
      </c>
      <c r="X338" s="10" t="s">
        <v>89</v>
      </c>
      <c r="Y338" s="10">
        <v>18</v>
      </c>
      <c r="Z338" s="16" t="s">
        <v>44</v>
      </c>
      <c r="AA338" s="25">
        <v>46176</v>
      </c>
      <c r="AB338" s="25">
        <v>46176</v>
      </c>
      <c r="AC338" s="16" t="s">
        <v>91</v>
      </c>
      <c r="AD338" s="16"/>
      <c r="AE338" s="16" t="s">
        <v>140</v>
      </c>
      <c r="AF338" s="16"/>
      <c r="AG338" s="21" t="s">
        <v>425</v>
      </c>
      <c r="XFD338" s="15" t="str">
        <f>+Tabla3[[#This Row],[ESTATUS DE NUM ECONOMICO]]</f>
        <v>INACTIVA</v>
      </c>
    </row>
    <row r="339" spans="1:33 16384:16384" ht="15.75" thickBot="1" x14ac:dyDescent="0.3">
      <c r="A339" s="8">
        <v>62</v>
      </c>
      <c r="B339" s="9">
        <v>46176</v>
      </c>
      <c r="C339" s="10" t="s">
        <v>195</v>
      </c>
      <c r="D339" s="10" t="s">
        <v>511</v>
      </c>
      <c r="E339" s="16"/>
      <c r="F339" s="10"/>
      <c r="G339" s="212" t="str">
        <f>IFERROR(VLOOKUP(Tabla3[[#This Row],[NUM ECONOMICO]],MAQUINARIA!B:H,7,0), " MAQ")</f>
        <v>ACTIVA</v>
      </c>
      <c r="H339" s="214" t="s">
        <v>94</v>
      </c>
      <c r="I339" s="41">
        <v>4568471</v>
      </c>
      <c r="J339" s="10"/>
      <c r="K339" s="10">
        <v>112</v>
      </c>
      <c r="L339" s="12"/>
      <c r="M339" s="13">
        <f t="shared" si="5"/>
        <v>0</v>
      </c>
      <c r="N339" s="41"/>
      <c r="O339" s="10"/>
      <c r="P339" s="10">
        <f>Tabla3[[#This Row],[COSTO UNITARIO DOLARES EN HAWTHORNE]]*Tabla3[[#This Row],[CANTIDAD SOLICTADA]]</f>
        <v>0</v>
      </c>
      <c r="Q339" s="41"/>
      <c r="R339" s="229"/>
      <c r="S339" s="229">
        <f>+Tabla3[[#This Row],[COSTO UNITARIO DOLARES CTP]]*Tabla3[[#This Row],[CANTIDAD SOLICTADA]]</f>
        <v>0</v>
      </c>
      <c r="T339" s="41"/>
      <c r="U339" s="14" t="s">
        <v>4</v>
      </c>
      <c r="V339" s="8" t="s">
        <v>512</v>
      </c>
      <c r="W339" s="9">
        <v>46176</v>
      </c>
      <c r="X339" s="10" t="s">
        <v>89</v>
      </c>
      <c r="Y339" s="10" t="s">
        <v>90</v>
      </c>
      <c r="Z339" s="16" t="s">
        <v>44</v>
      </c>
      <c r="AA339" s="25">
        <v>46176</v>
      </c>
      <c r="AB339" s="25">
        <v>46176</v>
      </c>
      <c r="AC339" s="16" t="s">
        <v>91</v>
      </c>
      <c r="AD339" s="16"/>
      <c r="AE339" s="16" t="s">
        <v>140</v>
      </c>
      <c r="AF339" s="16"/>
      <c r="AG339" s="21" t="s">
        <v>425</v>
      </c>
      <c r="XFD339" s="15" t="str">
        <f>+Tabla3[[#This Row],[ESTATUS DE NUM ECONOMICO]]</f>
        <v>ACTIVA</v>
      </c>
    </row>
    <row r="340" spans="1:33 16384:16384" ht="15.75" thickBot="1" x14ac:dyDescent="0.3">
      <c r="A340" s="8">
        <v>62</v>
      </c>
      <c r="B340" s="9">
        <v>46176</v>
      </c>
      <c r="C340" s="10" t="s">
        <v>195</v>
      </c>
      <c r="D340" s="10" t="s">
        <v>511</v>
      </c>
      <c r="E340" s="16"/>
      <c r="F340" s="10"/>
      <c r="G340" s="212" t="str">
        <f>IFERROR(VLOOKUP(Tabla3[[#This Row],[NUM ECONOMICO]],MAQUINARIA!B:H,7,0), " MAQ")</f>
        <v>ACTIVA</v>
      </c>
      <c r="H340" s="214" t="s">
        <v>94</v>
      </c>
      <c r="I340" s="41" t="s">
        <v>316</v>
      </c>
      <c r="J340" s="10" t="s">
        <v>317</v>
      </c>
      <c r="K340" s="10">
        <v>2</v>
      </c>
      <c r="L340" s="12"/>
      <c r="M340" s="13">
        <f t="shared" si="5"/>
        <v>0</v>
      </c>
      <c r="N340" s="41"/>
      <c r="O340" s="10"/>
      <c r="P340" s="10">
        <f>Tabla3[[#This Row],[COSTO UNITARIO DOLARES EN HAWTHORNE]]*Tabla3[[#This Row],[CANTIDAD SOLICTADA]]</f>
        <v>0</v>
      </c>
      <c r="Q340" s="41"/>
      <c r="R340" s="229">
        <v>0.14000000000000001</v>
      </c>
      <c r="S340" s="229">
        <f>+Tabla3[[#This Row],[COSTO UNITARIO DOLARES CTP]]*Tabla3[[#This Row],[CANTIDAD SOLICTADA]]</f>
        <v>0.28000000000000003</v>
      </c>
      <c r="T340" s="41"/>
      <c r="U340" s="14" t="s">
        <v>4</v>
      </c>
      <c r="V340" s="8" t="s">
        <v>512</v>
      </c>
      <c r="W340" s="9">
        <v>46176</v>
      </c>
      <c r="X340" s="10" t="s">
        <v>89</v>
      </c>
      <c r="Y340" s="10">
        <v>0</v>
      </c>
      <c r="Z340" s="16" t="s">
        <v>44</v>
      </c>
      <c r="AA340" s="25">
        <v>46176</v>
      </c>
      <c r="AB340" s="25">
        <v>46176</v>
      </c>
      <c r="AC340" s="16" t="s">
        <v>91</v>
      </c>
      <c r="AD340" s="16"/>
      <c r="AE340" s="16" t="s">
        <v>140</v>
      </c>
      <c r="AF340" s="16"/>
      <c r="AG340" s="21" t="s">
        <v>425</v>
      </c>
      <c r="XFD340" s="15" t="str">
        <f>+Tabla3[[#This Row],[ESTATUS DE NUM ECONOMICO]]</f>
        <v>ACTIVA</v>
      </c>
    </row>
    <row r="341" spans="1:33 16384:16384" ht="15.75" thickBot="1" x14ac:dyDescent="0.3">
      <c r="A341" s="8">
        <v>63</v>
      </c>
      <c r="B341" s="9">
        <v>46177</v>
      </c>
      <c r="C341" s="10" t="s">
        <v>87</v>
      </c>
      <c r="D341" s="11"/>
      <c r="E341" s="16"/>
      <c r="F341" s="10"/>
      <c r="G341" s="212" t="str">
        <f>IFERROR(VLOOKUP(Tabla3[[#This Row],[NUM ECONOMICO]],MAQUINARIA!B:H,7,0), " MAQ")</f>
        <v>ACTIVA</v>
      </c>
      <c r="H341" s="214" t="s">
        <v>410</v>
      </c>
      <c r="I341" s="41" t="s">
        <v>513</v>
      </c>
      <c r="J341" s="10"/>
      <c r="K341" s="10">
        <v>1</v>
      </c>
      <c r="L341" s="12"/>
      <c r="M341" s="13">
        <f t="shared" si="5"/>
        <v>0</v>
      </c>
      <c r="N341" s="41"/>
      <c r="O341" s="10"/>
      <c r="P341" s="10">
        <f>Tabla3[[#This Row],[COSTO UNITARIO DOLARES EN HAWTHORNE]]*Tabla3[[#This Row],[CANTIDAD SOLICTADA]]</f>
        <v>0</v>
      </c>
      <c r="Q341" s="41"/>
      <c r="R341" s="229"/>
      <c r="S341" s="229">
        <f>+Tabla3[[#This Row],[COSTO UNITARIO DOLARES CTP]]*Tabla3[[#This Row],[CANTIDAD SOLICTADA]]</f>
        <v>0</v>
      </c>
      <c r="T341" s="41"/>
      <c r="U341" s="14" t="s">
        <v>4</v>
      </c>
      <c r="V341" s="8" t="s">
        <v>514</v>
      </c>
      <c r="W341" s="9">
        <v>46178</v>
      </c>
      <c r="X341" s="10" t="s">
        <v>89</v>
      </c>
      <c r="Y341" s="10" t="s">
        <v>90</v>
      </c>
      <c r="Z341" s="16" t="s">
        <v>46</v>
      </c>
      <c r="AA341" s="25">
        <v>46177</v>
      </c>
      <c r="AB341" s="25">
        <v>46178</v>
      </c>
      <c r="AC341" s="16"/>
      <c r="AD341" s="16"/>
      <c r="AE341" s="16" t="s">
        <v>515</v>
      </c>
      <c r="AF341" s="16"/>
      <c r="AG341" s="21" t="s">
        <v>228</v>
      </c>
      <c r="XFD341" s="15" t="str">
        <f>+Tabla3[[#This Row],[ESTATUS DE NUM ECONOMICO]]</f>
        <v>ACTIVA</v>
      </c>
    </row>
    <row r="342" spans="1:33 16384:16384" ht="15.75" thickBot="1" x14ac:dyDescent="0.3">
      <c r="A342" s="8">
        <v>64</v>
      </c>
      <c r="B342" s="9">
        <v>46177</v>
      </c>
      <c r="C342" s="10" t="s">
        <v>87</v>
      </c>
      <c r="D342" s="11"/>
      <c r="E342" s="16"/>
      <c r="F342" s="10"/>
      <c r="G342" s="212" t="str">
        <f>IFERROR(VLOOKUP(Tabla3[[#This Row],[NUM ECONOMICO]],MAQUINARIA!B:H,7,0), " MAQ")</f>
        <v>ACTIVA</v>
      </c>
      <c r="H342" s="214" t="s">
        <v>415</v>
      </c>
      <c r="I342" s="41" t="s">
        <v>513</v>
      </c>
      <c r="J342" s="10"/>
      <c r="K342" s="10">
        <v>1</v>
      </c>
      <c r="L342" s="12"/>
      <c r="M342" s="13">
        <f t="shared" si="5"/>
        <v>0</v>
      </c>
      <c r="N342" s="41"/>
      <c r="O342" s="10"/>
      <c r="P342" s="10">
        <f>Tabla3[[#This Row],[COSTO UNITARIO DOLARES EN HAWTHORNE]]*Tabla3[[#This Row],[CANTIDAD SOLICTADA]]</f>
        <v>0</v>
      </c>
      <c r="Q342" s="41"/>
      <c r="R342" s="229"/>
      <c r="S342" s="229">
        <f>+Tabla3[[#This Row],[COSTO UNITARIO DOLARES CTP]]*Tabla3[[#This Row],[CANTIDAD SOLICTADA]]</f>
        <v>0</v>
      </c>
      <c r="T342" s="41"/>
      <c r="U342" s="14" t="s">
        <v>4</v>
      </c>
      <c r="V342" s="8" t="s">
        <v>516</v>
      </c>
      <c r="W342" s="9">
        <v>46178</v>
      </c>
      <c r="X342" s="10" t="s">
        <v>89</v>
      </c>
      <c r="Y342" s="10" t="s">
        <v>90</v>
      </c>
      <c r="Z342" s="16" t="s">
        <v>46</v>
      </c>
      <c r="AA342" s="25">
        <v>46177</v>
      </c>
      <c r="AB342" s="25">
        <v>46178</v>
      </c>
      <c r="AC342" s="16" t="s">
        <v>91</v>
      </c>
      <c r="AD342" s="16"/>
      <c r="AE342" s="16" t="s">
        <v>515</v>
      </c>
      <c r="AF342" s="16"/>
      <c r="AG342" s="21" t="s">
        <v>228</v>
      </c>
      <c r="XFD342" s="15" t="str">
        <f>+Tabla3[[#This Row],[ESTATUS DE NUM ECONOMICO]]</f>
        <v>ACTIVA</v>
      </c>
    </row>
    <row r="343" spans="1:33 16384:16384" ht="15.75" thickBot="1" x14ac:dyDescent="0.3">
      <c r="A343" s="8">
        <v>65</v>
      </c>
      <c r="B343" s="9">
        <v>46177</v>
      </c>
      <c r="C343" s="10" t="s">
        <v>87</v>
      </c>
      <c r="D343" s="11"/>
      <c r="E343" s="16"/>
      <c r="F343" s="10"/>
      <c r="G343" s="212" t="str">
        <f>IFERROR(VLOOKUP(Tabla3[[#This Row],[NUM ECONOMICO]],MAQUINARIA!B:H,7,0), " MAQ")</f>
        <v>ACTIVA</v>
      </c>
      <c r="H343" s="214" t="s">
        <v>517</v>
      </c>
      <c r="I343" s="41" t="s">
        <v>347</v>
      </c>
      <c r="J343" s="10"/>
      <c r="K343" s="10">
        <v>1</v>
      </c>
      <c r="L343" s="12"/>
      <c r="M343" s="13">
        <f t="shared" si="5"/>
        <v>0</v>
      </c>
      <c r="N343" s="41"/>
      <c r="O343" s="10"/>
      <c r="P343" s="10">
        <f>Tabla3[[#This Row],[COSTO UNITARIO DOLARES EN HAWTHORNE]]*Tabla3[[#This Row],[CANTIDAD SOLICTADA]]</f>
        <v>0</v>
      </c>
      <c r="Q343" s="41"/>
      <c r="R343" s="229"/>
      <c r="S343" s="229">
        <f>+Tabla3[[#This Row],[COSTO UNITARIO DOLARES CTP]]*Tabla3[[#This Row],[CANTIDAD SOLICTADA]]</f>
        <v>0</v>
      </c>
      <c r="T343" s="41"/>
      <c r="U343" s="14" t="s">
        <v>4</v>
      </c>
      <c r="V343" s="8" t="s">
        <v>518</v>
      </c>
      <c r="W343" s="9">
        <v>46181</v>
      </c>
      <c r="X343" s="10" t="s">
        <v>89</v>
      </c>
      <c r="Y343" s="10">
        <v>7</v>
      </c>
      <c r="Z343" s="16" t="s">
        <v>519</v>
      </c>
      <c r="AA343" s="25">
        <v>46240</v>
      </c>
      <c r="AB343" s="25">
        <v>46240</v>
      </c>
      <c r="AC343" s="16" t="s">
        <v>87</v>
      </c>
      <c r="AD343" s="16"/>
      <c r="AE343" s="16" t="s">
        <v>407</v>
      </c>
      <c r="AF343" s="16"/>
      <c r="AG343" s="21" t="s">
        <v>520</v>
      </c>
      <c r="XFD343" s="15" t="str">
        <f>+Tabla3[[#This Row],[ESTATUS DE NUM ECONOMICO]]</f>
        <v>ACTIVA</v>
      </c>
    </row>
    <row r="344" spans="1:33 16384:16384" ht="15.75" thickBot="1" x14ac:dyDescent="0.3">
      <c r="A344" s="8">
        <v>65</v>
      </c>
      <c r="B344" s="9">
        <v>46177</v>
      </c>
      <c r="C344" s="10" t="s">
        <v>87</v>
      </c>
      <c r="D344" s="11"/>
      <c r="E344" s="16"/>
      <c r="F344" s="10"/>
      <c r="G344" s="212" t="str">
        <f>IFERROR(VLOOKUP(Tabla3[[#This Row],[NUM ECONOMICO]],MAQUINARIA!B:H,7,0), " MAQ")</f>
        <v>ACTIVA</v>
      </c>
      <c r="H344" s="214" t="s">
        <v>517</v>
      </c>
      <c r="I344" s="41" t="s">
        <v>521</v>
      </c>
      <c r="J344" s="10"/>
      <c r="K344" s="10">
        <v>2</v>
      </c>
      <c r="L344" s="12"/>
      <c r="M344" s="13">
        <f t="shared" si="5"/>
        <v>0</v>
      </c>
      <c r="N344" s="41"/>
      <c r="O344" s="10"/>
      <c r="P344" s="10">
        <f>Tabla3[[#This Row],[COSTO UNITARIO DOLARES EN HAWTHORNE]]*Tabla3[[#This Row],[CANTIDAD SOLICTADA]]</f>
        <v>0</v>
      </c>
      <c r="Q344" s="41"/>
      <c r="R344" s="229"/>
      <c r="S344" s="229">
        <f>+Tabla3[[#This Row],[COSTO UNITARIO DOLARES CTP]]*Tabla3[[#This Row],[CANTIDAD SOLICTADA]]</f>
        <v>0</v>
      </c>
      <c r="T344" s="41"/>
      <c r="U344" s="14" t="s">
        <v>4</v>
      </c>
      <c r="V344" s="8" t="s">
        <v>518</v>
      </c>
      <c r="W344" s="9">
        <v>46181</v>
      </c>
      <c r="X344" s="10" t="s">
        <v>89</v>
      </c>
      <c r="Y344" s="10">
        <v>4</v>
      </c>
      <c r="Z344" s="16" t="s">
        <v>522</v>
      </c>
      <c r="AA344" s="25">
        <v>46240</v>
      </c>
      <c r="AB344" s="25">
        <v>46240</v>
      </c>
      <c r="AC344" s="16" t="s">
        <v>87</v>
      </c>
      <c r="AD344" s="16"/>
      <c r="AE344" s="16" t="s">
        <v>407</v>
      </c>
      <c r="AF344" s="16"/>
      <c r="AG344" s="21" t="s">
        <v>520</v>
      </c>
      <c r="XFD344" s="15" t="str">
        <f>+Tabla3[[#This Row],[ESTATUS DE NUM ECONOMICO]]</f>
        <v>ACTIVA</v>
      </c>
    </row>
    <row r="345" spans="1:33 16384:16384" ht="15.75" thickBot="1" x14ac:dyDescent="0.3">
      <c r="A345" s="8">
        <v>66</v>
      </c>
      <c r="B345" s="9">
        <v>46177</v>
      </c>
      <c r="C345" s="10" t="s">
        <v>87</v>
      </c>
      <c r="D345" s="10" t="s">
        <v>523</v>
      </c>
      <c r="E345" s="16"/>
      <c r="F345" s="10"/>
      <c r="G345" s="212" t="str">
        <f>IFERROR(VLOOKUP(Tabla3[[#This Row],[NUM ECONOMICO]],MAQUINARIA!B:H,7,0), " MAQ")</f>
        <v>ACTIVA</v>
      </c>
      <c r="H345" s="214" t="s">
        <v>470</v>
      </c>
      <c r="I345" s="41">
        <v>1148718</v>
      </c>
      <c r="J345" s="10"/>
      <c r="K345" s="10">
        <v>8</v>
      </c>
      <c r="L345" s="12"/>
      <c r="M345" s="13">
        <f t="shared" si="5"/>
        <v>0</v>
      </c>
      <c r="N345" s="41"/>
      <c r="O345" s="10"/>
      <c r="P345" s="10">
        <f>Tabla3[[#This Row],[COSTO UNITARIO DOLARES EN HAWTHORNE]]*Tabla3[[#This Row],[CANTIDAD SOLICTADA]]</f>
        <v>0</v>
      </c>
      <c r="Q345" s="41"/>
      <c r="R345" s="229"/>
      <c r="S345" s="229">
        <f>+Tabla3[[#This Row],[COSTO UNITARIO DOLARES CTP]]*Tabla3[[#This Row],[CANTIDAD SOLICTADA]]</f>
        <v>0</v>
      </c>
      <c r="T345" s="41"/>
      <c r="U345" s="14" t="s">
        <v>4</v>
      </c>
      <c r="V345" s="8" t="s">
        <v>524</v>
      </c>
      <c r="W345" s="9">
        <v>46182</v>
      </c>
      <c r="X345" s="10" t="s">
        <v>89</v>
      </c>
      <c r="Y345" s="10" t="s">
        <v>90</v>
      </c>
      <c r="Z345" s="16" t="s">
        <v>44</v>
      </c>
      <c r="AA345" s="25">
        <v>46181</v>
      </c>
      <c r="AB345" s="25">
        <v>46183</v>
      </c>
      <c r="AC345" s="16" t="s">
        <v>91</v>
      </c>
      <c r="AD345" s="16"/>
      <c r="AE345" s="16" t="s">
        <v>407</v>
      </c>
      <c r="AF345" s="16"/>
      <c r="AG345" s="21" t="s">
        <v>525</v>
      </c>
      <c r="XFD345" s="15" t="str">
        <f>+Tabla3[[#This Row],[ESTATUS DE NUM ECONOMICO]]</f>
        <v>ACTIVA</v>
      </c>
    </row>
    <row r="346" spans="1:33 16384:16384" ht="15.75" thickBot="1" x14ac:dyDescent="0.3">
      <c r="A346" s="8">
        <v>66</v>
      </c>
      <c r="B346" s="9">
        <v>46177</v>
      </c>
      <c r="C346" s="10" t="s">
        <v>87</v>
      </c>
      <c r="D346" s="10" t="s">
        <v>523</v>
      </c>
      <c r="E346" s="16"/>
      <c r="F346" s="10"/>
      <c r="G346" s="212" t="str">
        <f>IFERROR(VLOOKUP(Tabla3[[#This Row],[NUM ECONOMICO]],MAQUINARIA!B:H,7,0), " MAQ")</f>
        <v>ACTIVA</v>
      </c>
      <c r="H346" s="214" t="s">
        <v>470</v>
      </c>
      <c r="I346" s="41" t="s">
        <v>526</v>
      </c>
      <c r="J346" s="10"/>
      <c r="K346" s="10">
        <v>8</v>
      </c>
      <c r="L346" s="12"/>
      <c r="M346" s="13">
        <f t="shared" si="5"/>
        <v>0</v>
      </c>
      <c r="N346" s="41"/>
      <c r="O346" s="10"/>
      <c r="P346" s="10">
        <f>Tabla3[[#This Row],[COSTO UNITARIO DOLARES EN HAWTHORNE]]*Tabla3[[#This Row],[CANTIDAD SOLICTADA]]</f>
        <v>0</v>
      </c>
      <c r="Q346" s="41"/>
      <c r="R346" s="229"/>
      <c r="S346" s="229">
        <f>+Tabla3[[#This Row],[COSTO UNITARIO DOLARES CTP]]*Tabla3[[#This Row],[CANTIDAD SOLICTADA]]</f>
        <v>0</v>
      </c>
      <c r="T346" s="41"/>
      <c r="U346" s="14" t="s">
        <v>4</v>
      </c>
      <c r="V346" s="8" t="s">
        <v>524</v>
      </c>
      <c r="W346" s="9">
        <v>46182</v>
      </c>
      <c r="X346" s="10" t="s">
        <v>89</v>
      </c>
      <c r="Y346" s="10" t="s">
        <v>90</v>
      </c>
      <c r="Z346" s="16" t="s">
        <v>44</v>
      </c>
      <c r="AA346" s="25">
        <v>46181</v>
      </c>
      <c r="AB346" s="25">
        <v>46183</v>
      </c>
      <c r="AC346" s="16" t="s">
        <v>91</v>
      </c>
      <c r="AD346" s="16"/>
      <c r="AE346" s="16" t="s">
        <v>407</v>
      </c>
      <c r="AF346" s="16"/>
      <c r="AG346" s="21" t="s">
        <v>525</v>
      </c>
      <c r="XFD346" s="15" t="str">
        <f>+Tabla3[[#This Row],[ESTATUS DE NUM ECONOMICO]]</f>
        <v>ACTIVA</v>
      </c>
    </row>
    <row r="347" spans="1:33 16384:16384" ht="15.75" thickBot="1" x14ac:dyDescent="0.3">
      <c r="A347" s="8">
        <v>66</v>
      </c>
      <c r="B347" s="9">
        <v>46177</v>
      </c>
      <c r="C347" s="10" t="s">
        <v>87</v>
      </c>
      <c r="D347" s="10" t="s">
        <v>523</v>
      </c>
      <c r="E347" s="16"/>
      <c r="F347" s="10"/>
      <c r="G347" s="212" t="str">
        <f>IFERROR(VLOOKUP(Tabla3[[#This Row],[NUM ECONOMICO]],MAQUINARIA!B:H,7,0), " MAQ")</f>
        <v>ACTIVA</v>
      </c>
      <c r="H347" s="214" t="s">
        <v>470</v>
      </c>
      <c r="I347" s="41" t="s">
        <v>527</v>
      </c>
      <c r="J347" s="10"/>
      <c r="K347" s="10">
        <v>1</v>
      </c>
      <c r="L347" s="12"/>
      <c r="M347" s="13">
        <f t="shared" si="5"/>
        <v>0</v>
      </c>
      <c r="N347" s="41"/>
      <c r="O347" s="10"/>
      <c r="P347" s="10">
        <f>Tabla3[[#This Row],[COSTO UNITARIO DOLARES EN HAWTHORNE]]*Tabla3[[#This Row],[CANTIDAD SOLICTADA]]</f>
        <v>0</v>
      </c>
      <c r="Q347" s="41"/>
      <c r="R347" s="229"/>
      <c r="S347" s="229">
        <f>+Tabla3[[#This Row],[COSTO UNITARIO DOLARES CTP]]*Tabla3[[#This Row],[CANTIDAD SOLICTADA]]</f>
        <v>0</v>
      </c>
      <c r="T347" s="41"/>
      <c r="U347" s="14" t="s">
        <v>4</v>
      </c>
      <c r="V347" s="8" t="s">
        <v>524</v>
      </c>
      <c r="W347" s="9">
        <v>46182</v>
      </c>
      <c r="X347" s="10" t="s">
        <v>89</v>
      </c>
      <c r="Y347" s="10" t="s">
        <v>90</v>
      </c>
      <c r="Z347" s="16" t="s">
        <v>44</v>
      </c>
      <c r="AA347" s="25">
        <v>46181</v>
      </c>
      <c r="AB347" s="25">
        <v>46183</v>
      </c>
      <c r="AC347" s="16" t="s">
        <v>91</v>
      </c>
      <c r="AD347" s="16"/>
      <c r="AE347" s="16" t="s">
        <v>407</v>
      </c>
      <c r="AF347" s="16"/>
      <c r="AG347" s="21" t="s">
        <v>525</v>
      </c>
      <c r="XFD347" s="15" t="str">
        <f>+Tabla3[[#This Row],[ESTATUS DE NUM ECONOMICO]]</f>
        <v>ACTIVA</v>
      </c>
    </row>
    <row r="348" spans="1:33 16384:16384" ht="15.75" thickBot="1" x14ac:dyDescent="0.3">
      <c r="A348" s="8">
        <v>66</v>
      </c>
      <c r="B348" s="9">
        <v>46177</v>
      </c>
      <c r="C348" s="10" t="s">
        <v>87</v>
      </c>
      <c r="D348" s="10" t="s">
        <v>523</v>
      </c>
      <c r="E348" s="16"/>
      <c r="F348" s="10"/>
      <c r="G348" s="212" t="str">
        <f>IFERROR(VLOOKUP(Tabla3[[#This Row],[NUM ECONOMICO]],MAQUINARIA!B:H,7,0), " MAQ")</f>
        <v>ACTIVA</v>
      </c>
      <c r="H348" s="214" t="s">
        <v>470</v>
      </c>
      <c r="I348" s="41" t="s">
        <v>528</v>
      </c>
      <c r="J348" s="10"/>
      <c r="K348" s="10">
        <v>1</v>
      </c>
      <c r="L348" s="12"/>
      <c r="M348" s="13">
        <f t="shared" si="5"/>
        <v>0</v>
      </c>
      <c r="N348" s="41"/>
      <c r="O348" s="10"/>
      <c r="P348" s="10">
        <f>Tabla3[[#This Row],[COSTO UNITARIO DOLARES EN HAWTHORNE]]*Tabla3[[#This Row],[CANTIDAD SOLICTADA]]</f>
        <v>0</v>
      </c>
      <c r="Q348" s="41"/>
      <c r="R348" s="229"/>
      <c r="S348" s="229">
        <f>+Tabla3[[#This Row],[COSTO UNITARIO DOLARES CTP]]*Tabla3[[#This Row],[CANTIDAD SOLICTADA]]</f>
        <v>0</v>
      </c>
      <c r="T348" s="41"/>
      <c r="U348" s="14" t="s">
        <v>4</v>
      </c>
      <c r="V348" s="8" t="s">
        <v>524</v>
      </c>
      <c r="W348" s="9">
        <v>46182</v>
      </c>
      <c r="X348" s="10" t="s">
        <v>89</v>
      </c>
      <c r="Y348" s="10" t="s">
        <v>90</v>
      </c>
      <c r="Z348" s="16" t="s">
        <v>44</v>
      </c>
      <c r="AA348" s="25">
        <v>46181</v>
      </c>
      <c r="AB348" s="25">
        <v>46183</v>
      </c>
      <c r="AC348" s="16" t="s">
        <v>91</v>
      </c>
      <c r="AD348" s="16"/>
      <c r="AE348" s="16" t="s">
        <v>407</v>
      </c>
      <c r="AF348" s="16"/>
      <c r="AG348" s="21" t="s">
        <v>525</v>
      </c>
      <c r="XFD348" s="15" t="str">
        <f>+Tabla3[[#This Row],[ESTATUS DE NUM ECONOMICO]]</f>
        <v>ACTIVA</v>
      </c>
    </row>
    <row r="349" spans="1:33 16384:16384" ht="15.75" thickBot="1" x14ac:dyDescent="0.3">
      <c r="A349" s="8">
        <v>67</v>
      </c>
      <c r="B349" s="9">
        <v>46177</v>
      </c>
      <c r="C349" s="10" t="s">
        <v>87</v>
      </c>
      <c r="D349" s="11"/>
      <c r="E349" s="16">
        <v>56</v>
      </c>
      <c r="F349" s="9">
        <v>46178</v>
      </c>
      <c r="G349" s="212" t="str">
        <f>IFERROR(VLOOKUP(Tabla3[[#This Row],[NUM ECONOMICO]],MAQUINARIA!B:H,7,0), " MAQ")</f>
        <v>ACTIVA</v>
      </c>
      <c r="H349" s="214" t="s">
        <v>224</v>
      </c>
      <c r="I349" s="41" t="s">
        <v>529</v>
      </c>
      <c r="J349" s="10" t="s">
        <v>530</v>
      </c>
      <c r="K349" s="10">
        <v>1</v>
      </c>
      <c r="L349" s="13">
        <v>78958.570000000007</v>
      </c>
      <c r="M349" s="13">
        <f t="shared" si="5"/>
        <v>78958.570000000007</v>
      </c>
      <c r="N349" s="41"/>
      <c r="O349" s="287">
        <v>3113.18</v>
      </c>
      <c r="P349" s="287">
        <f>Tabla3[[#This Row],[COSTO UNITARIO DOLARES EN HAWTHORNE]]*Tabla3[[#This Row],[CANTIDAD SOLICTADA]]</f>
        <v>3113.18</v>
      </c>
      <c r="Q349" s="41" t="s">
        <v>181</v>
      </c>
      <c r="R349" s="229">
        <v>0</v>
      </c>
      <c r="S349" s="229">
        <f>+Tabla3[[#This Row],[COSTO UNITARIO DOLARES CTP]]*Tabla3[[#This Row],[CANTIDAD SOLICTADA]]</f>
        <v>0</v>
      </c>
      <c r="T349" s="41"/>
      <c r="U349" s="18" t="s">
        <v>5</v>
      </c>
      <c r="V349" s="211" t="s">
        <v>531</v>
      </c>
      <c r="W349" s="10"/>
      <c r="X349" s="10" t="s">
        <v>89</v>
      </c>
      <c r="Y349" s="10" t="s">
        <v>90</v>
      </c>
      <c r="Z349" s="16"/>
      <c r="AA349" s="16"/>
      <c r="AB349" s="16"/>
      <c r="AC349" s="16"/>
      <c r="AD349" s="16"/>
      <c r="AE349" s="16" t="s">
        <v>532</v>
      </c>
      <c r="AF349" s="16"/>
      <c r="AG349" s="21" t="s">
        <v>533</v>
      </c>
      <c r="XFD349" s="15" t="str">
        <f>+Tabla3[[#This Row],[ESTATUS DE NUM ECONOMICO]]</f>
        <v>ACTIVA</v>
      </c>
    </row>
    <row r="350" spans="1:33 16384:16384" ht="15.75" thickBot="1" x14ac:dyDescent="0.3">
      <c r="A350" s="8">
        <v>67</v>
      </c>
      <c r="B350" s="9">
        <v>46177</v>
      </c>
      <c r="C350" s="10" t="s">
        <v>87</v>
      </c>
      <c r="D350" s="11"/>
      <c r="E350" s="16">
        <v>56</v>
      </c>
      <c r="F350" s="9">
        <v>46178</v>
      </c>
      <c r="G350" s="212" t="str">
        <f>IFERROR(VLOOKUP(Tabla3[[#This Row],[NUM ECONOMICO]],MAQUINARIA!B:H,7,0), " MAQ")</f>
        <v>ACTIVA</v>
      </c>
      <c r="H350" s="214" t="s">
        <v>224</v>
      </c>
      <c r="I350" s="41">
        <v>1357935</v>
      </c>
      <c r="J350" s="10" t="s">
        <v>534</v>
      </c>
      <c r="K350" s="10">
        <v>1</v>
      </c>
      <c r="L350" s="13">
        <v>187.58</v>
      </c>
      <c r="M350" s="13">
        <f t="shared" si="5"/>
        <v>187.58</v>
      </c>
      <c r="N350" s="41"/>
      <c r="O350" s="287">
        <v>10.35</v>
      </c>
      <c r="P350" s="287">
        <f>Tabla3[[#This Row],[COSTO UNITARIO DOLARES EN HAWTHORNE]]*Tabla3[[#This Row],[CANTIDAD SOLICTADA]]</f>
        <v>10.35</v>
      </c>
      <c r="Q350" s="41" t="s">
        <v>181</v>
      </c>
      <c r="R350" s="229">
        <v>0.86</v>
      </c>
      <c r="S350" s="229">
        <f>+Tabla3[[#This Row],[COSTO UNITARIO DOLARES CTP]]*Tabla3[[#This Row],[CANTIDAD SOLICTADA]]</f>
        <v>0.86</v>
      </c>
      <c r="T350" s="41"/>
      <c r="U350" s="18" t="s">
        <v>5</v>
      </c>
      <c r="V350" s="211" t="s">
        <v>531</v>
      </c>
      <c r="W350" s="10"/>
      <c r="X350" s="10" t="s">
        <v>89</v>
      </c>
      <c r="Y350" s="10" t="s">
        <v>90</v>
      </c>
      <c r="Z350" s="16"/>
      <c r="AA350" s="16"/>
      <c r="AB350" s="16"/>
      <c r="AC350" s="16"/>
      <c r="AD350" s="16"/>
      <c r="AE350" s="16" t="s">
        <v>532</v>
      </c>
      <c r="AF350" s="16"/>
      <c r="AG350" s="21" t="s">
        <v>533</v>
      </c>
      <c r="XFD350" s="15" t="str">
        <f>+Tabla3[[#This Row],[ESTATUS DE NUM ECONOMICO]]</f>
        <v>ACTIVA</v>
      </c>
    </row>
    <row r="351" spans="1:33 16384:16384" ht="15.75" thickBot="1" x14ac:dyDescent="0.3">
      <c r="A351" s="8">
        <v>68</v>
      </c>
      <c r="B351" s="9">
        <v>46177</v>
      </c>
      <c r="C351" s="10" t="s">
        <v>87</v>
      </c>
      <c r="D351" s="10" t="s">
        <v>535</v>
      </c>
      <c r="E351" s="16">
        <v>20</v>
      </c>
      <c r="F351" s="9">
        <v>46178</v>
      </c>
      <c r="G351" s="212" t="str">
        <f>IFERROR(VLOOKUP(Tabla3[[#This Row],[NUM ECONOMICO]],MAQUINARIA!B:H,7,0), " MAQ")</f>
        <v>ACTIVA</v>
      </c>
      <c r="H351" s="214" t="s">
        <v>94</v>
      </c>
      <c r="I351" s="41">
        <v>2287089</v>
      </c>
      <c r="J351" s="10"/>
      <c r="K351" s="10">
        <v>1</v>
      </c>
      <c r="L351" s="12"/>
      <c r="M351" s="13">
        <f t="shared" si="5"/>
        <v>0</v>
      </c>
      <c r="N351" s="41"/>
      <c r="O351" s="10"/>
      <c r="P351" s="10">
        <f>Tabla3[[#This Row],[COSTO UNITARIO DOLARES EN HAWTHORNE]]*Tabla3[[#This Row],[CANTIDAD SOLICTADA]]</f>
        <v>0</v>
      </c>
      <c r="Q351" s="41"/>
      <c r="R351" s="229"/>
      <c r="S351" s="229">
        <f>+Tabla3[[#This Row],[COSTO UNITARIO DOLARES CTP]]*Tabla3[[#This Row],[CANTIDAD SOLICTADA]]</f>
        <v>0</v>
      </c>
      <c r="T351" s="41"/>
      <c r="U351" s="14" t="s">
        <v>4</v>
      </c>
      <c r="V351" s="8" t="s">
        <v>536</v>
      </c>
      <c r="W351" s="9">
        <v>46182</v>
      </c>
      <c r="X351" s="10" t="s">
        <v>89</v>
      </c>
      <c r="Y351" s="10" t="s">
        <v>90</v>
      </c>
      <c r="Z351" s="16" t="s">
        <v>44</v>
      </c>
      <c r="AA351" s="25">
        <v>46181</v>
      </c>
      <c r="AB351" s="25">
        <v>46183</v>
      </c>
      <c r="AC351" s="16" t="s">
        <v>537</v>
      </c>
      <c r="AD351" s="16"/>
      <c r="AE351" s="16" t="s">
        <v>538</v>
      </c>
      <c r="AF351" s="16"/>
      <c r="AG351" s="21" t="s">
        <v>539</v>
      </c>
      <c r="XFD351" s="15" t="str">
        <f>+Tabla3[[#This Row],[ESTATUS DE NUM ECONOMICO]]</f>
        <v>ACTIVA</v>
      </c>
    </row>
    <row r="352" spans="1:33 16384:16384" ht="15.75" thickBot="1" x14ac:dyDescent="0.3">
      <c r="A352" s="8">
        <v>68</v>
      </c>
      <c r="B352" s="9">
        <v>46177</v>
      </c>
      <c r="C352" s="10" t="s">
        <v>87</v>
      </c>
      <c r="D352" s="11"/>
      <c r="E352" s="16">
        <v>20</v>
      </c>
      <c r="F352" s="9">
        <v>46178</v>
      </c>
      <c r="G352" s="212" t="str">
        <f>IFERROR(VLOOKUP(Tabla3[[#This Row],[NUM ECONOMICO]],MAQUINARIA!B:H,7,0), " MAQ")</f>
        <v>ACTIVA</v>
      </c>
      <c r="H352" s="214" t="s">
        <v>94</v>
      </c>
      <c r="I352" s="41" t="s">
        <v>540</v>
      </c>
      <c r="J352" s="10"/>
      <c r="K352" s="10">
        <v>1</v>
      </c>
      <c r="L352" s="12"/>
      <c r="M352" s="13">
        <f t="shared" si="5"/>
        <v>0</v>
      </c>
      <c r="N352" s="41"/>
      <c r="O352" s="10"/>
      <c r="P352" s="10">
        <f>Tabla3[[#This Row],[COSTO UNITARIO DOLARES EN HAWTHORNE]]*Tabla3[[#This Row],[CANTIDAD SOLICTADA]]</f>
        <v>0</v>
      </c>
      <c r="Q352" s="41"/>
      <c r="R352" s="229"/>
      <c r="S352" s="229">
        <f>+Tabla3[[#This Row],[COSTO UNITARIO DOLARES CTP]]*Tabla3[[#This Row],[CANTIDAD SOLICTADA]]</f>
        <v>0</v>
      </c>
      <c r="T352" s="41"/>
      <c r="U352" s="14" t="s">
        <v>4</v>
      </c>
      <c r="V352" s="8" t="s">
        <v>536</v>
      </c>
      <c r="W352" s="10"/>
      <c r="X352" s="10" t="s">
        <v>96</v>
      </c>
      <c r="Y352" s="10">
        <v>0</v>
      </c>
      <c r="Z352" s="16"/>
      <c r="AA352" s="16"/>
      <c r="AB352" s="16"/>
      <c r="AC352" s="16"/>
      <c r="AD352" s="16"/>
      <c r="AE352" s="16" t="s">
        <v>147</v>
      </c>
      <c r="AF352" s="16"/>
      <c r="AG352" s="21" t="s">
        <v>539</v>
      </c>
      <c r="XFD352" s="15" t="str">
        <f>+Tabla3[[#This Row],[ESTATUS DE NUM ECONOMICO]]</f>
        <v>ACTIVA</v>
      </c>
    </row>
    <row r="353" spans="1:33 16384:16384" ht="15.75" thickBot="1" x14ac:dyDescent="0.3">
      <c r="A353" s="8">
        <v>68</v>
      </c>
      <c r="B353" s="9">
        <v>46177</v>
      </c>
      <c r="C353" s="10" t="s">
        <v>87</v>
      </c>
      <c r="D353" s="10" t="s">
        <v>535</v>
      </c>
      <c r="E353" s="16">
        <v>20</v>
      </c>
      <c r="F353" s="9">
        <v>46178</v>
      </c>
      <c r="G353" s="212" t="str">
        <f>IFERROR(VLOOKUP(Tabla3[[#This Row],[NUM ECONOMICO]],MAQUINARIA!B:H,7,0), " MAQ")</f>
        <v>ACTIVA</v>
      </c>
      <c r="H353" s="214" t="s">
        <v>94</v>
      </c>
      <c r="I353" s="41" t="s">
        <v>541</v>
      </c>
      <c r="J353" s="10"/>
      <c r="K353" s="10">
        <v>2</v>
      </c>
      <c r="L353" s="12"/>
      <c r="M353" s="13">
        <f t="shared" si="5"/>
        <v>0</v>
      </c>
      <c r="N353" s="41"/>
      <c r="O353" s="10"/>
      <c r="P353" s="10">
        <f>Tabla3[[#This Row],[COSTO UNITARIO DOLARES EN HAWTHORNE]]*Tabla3[[#This Row],[CANTIDAD SOLICTADA]]</f>
        <v>0</v>
      </c>
      <c r="Q353" s="41"/>
      <c r="R353" s="229"/>
      <c r="S353" s="229">
        <f>+Tabla3[[#This Row],[COSTO UNITARIO DOLARES CTP]]*Tabla3[[#This Row],[CANTIDAD SOLICTADA]]</f>
        <v>0</v>
      </c>
      <c r="T353" s="41"/>
      <c r="U353" s="14" t="s">
        <v>4</v>
      </c>
      <c r="V353" s="8" t="s">
        <v>536</v>
      </c>
      <c r="W353" s="9">
        <v>46182</v>
      </c>
      <c r="X353" s="10" t="s">
        <v>89</v>
      </c>
      <c r="Y353" s="10" t="s">
        <v>90</v>
      </c>
      <c r="Z353" s="16" t="s">
        <v>44</v>
      </c>
      <c r="AA353" s="25">
        <v>46181</v>
      </c>
      <c r="AB353" s="25">
        <v>46183</v>
      </c>
      <c r="AC353" s="16" t="s">
        <v>537</v>
      </c>
      <c r="AD353" s="16"/>
      <c r="AE353" s="16" t="s">
        <v>538</v>
      </c>
      <c r="AF353" s="16"/>
      <c r="AG353" s="21" t="s">
        <v>539</v>
      </c>
      <c r="XFD353" s="15" t="str">
        <f>+Tabla3[[#This Row],[ESTATUS DE NUM ECONOMICO]]</f>
        <v>ACTIVA</v>
      </c>
    </row>
    <row r="354" spans="1:33 16384:16384" ht="15.75" thickBot="1" x14ac:dyDescent="0.3">
      <c r="A354" s="8">
        <v>68</v>
      </c>
      <c r="B354" s="9">
        <v>46177</v>
      </c>
      <c r="C354" s="10" t="s">
        <v>87</v>
      </c>
      <c r="D354" s="10" t="s">
        <v>535</v>
      </c>
      <c r="E354" s="16">
        <v>20</v>
      </c>
      <c r="F354" s="9">
        <v>46178</v>
      </c>
      <c r="G354" s="212" t="str">
        <f>IFERROR(VLOOKUP(Tabla3[[#This Row],[NUM ECONOMICO]],MAQUINARIA!B:H,7,0), " MAQ")</f>
        <v>ACTIVA</v>
      </c>
      <c r="H354" s="214" t="s">
        <v>94</v>
      </c>
      <c r="I354" s="41" t="s">
        <v>542</v>
      </c>
      <c r="J354" s="10"/>
      <c r="K354" s="10">
        <v>2</v>
      </c>
      <c r="L354" s="12"/>
      <c r="M354" s="13">
        <f t="shared" si="5"/>
        <v>0</v>
      </c>
      <c r="N354" s="41"/>
      <c r="O354" s="10"/>
      <c r="P354" s="10">
        <f>Tabla3[[#This Row],[COSTO UNITARIO DOLARES EN HAWTHORNE]]*Tabla3[[#This Row],[CANTIDAD SOLICTADA]]</f>
        <v>0</v>
      </c>
      <c r="Q354" s="41"/>
      <c r="R354" s="229"/>
      <c r="S354" s="229">
        <f>+Tabla3[[#This Row],[COSTO UNITARIO DOLARES CTP]]*Tabla3[[#This Row],[CANTIDAD SOLICTADA]]</f>
        <v>0</v>
      </c>
      <c r="T354" s="41"/>
      <c r="U354" s="14" t="s">
        <v>4</v>
      </c>
      <c r="V354" s="8" t="s">
        <v>536</v>
      </c>
      <c r="W354" s="9">
        <v>46182</v>
      </c>
      <c r="X354" s="10" t="s">
        <v>89</v>
      </c>
      <c r="Y354" s="10" t="s">
        <v>90</v>
      </c>
      <c r="Z354" s="16" t="s">
        <v>44</v>
      </c>
      <c r="AA354" s="25">
        <v>46181</v>
      </c>
      <c r="AB354" s="25">
        <v>46183</v>
      </c>
      <c r="AC354" s="16" t="s">
        <v>537</v>
      </c>
      <c r="AD354" s="16"/>
      <c r="AE354" s="16" t="s">
        <v>538</v>
      </c>
      <c r="AF354" s="16"/>
      <c r="AG354" s="21" t="s">
        <v>539</v>
      </c>
      <c r="XFD354" s="15" t="str">
        <f>+Tabla3[[#This Row],[ESTATUS DE NUM ECONOMICO]]</f>
        <v>ACTIVA</v>
      </c>
    </row>
    <row r="355" spans="1:33 16384:16384" ht="15.75" thickBot="1" x14ac:dyDescent="0.3">
      <c r="A355" s="8">
        <v>68</v>
      </c>
      <c r="B355" s="9">
        <v>46177</v>
      </c>
      <c r="C355" s="10" t="s">
        <v>87</v>
      </c>
      <c r="D355" s="10" t="s">
        <v>535</v>
      </c>
      <c r="E355" s="16">
        <v>20</v>
      </c>
      <c r="F355" s="9">
        <v>46178</v>
      </c>
      <c r="G355" s="212" t="str">
        <f>IFERROR(VLOOKUP(Tabla3[[#This Row],[NUM ECONOMICO]],MAQUINARIA!B:H,7,0), " MAQ")</f>
        <v>ACTIVA</v>
      </c>
      <c r="H355" s="214" t="s">
        <v>94</v>
      </c>
      <c r="I355" s="41" t="s">
        <v>543</v>
      </c>
      <c r="J355" s="10"/>
      <c r="K355" s="10">
        <v>1</v>
      </c>
      <c r="L355" s="12"/>
      <c r="M355" s="13">
        <f t="shared" si="5"/>
        <v>0</v>
      </c>
      <c r="N355" s="41"/>
      <c r="O355" s="10"/>
      <c r="P355" s="10">
        <f>Tabla3[[#This Row],[COSTO UNITARIO DOLARES EN HAWTHORNE]]*Tabla3[[#This Row],[CANTIDAD SOLICTADA]]</f>
        <v>0</v>
      </c>
      <c r="Q355" s="41"/>
      <c r="R355" s="229"/>
      <c r="S355" s="229">
        <f>+Tabla3[[#This Row],[COSTO UNITARIO DOLARES CTP]]*Tabla3[[#This Row],[CANTIDAD SOLICTADA]]</f>
        <v>0</v>
      </c>
      <c r="T355" s="41"/>
      <c r="U355" s="14" t="s">
        <v>4</v>
      </c>
      <c r="V355" s="8" t="s">
        <v>536</v>
      </c>
      <c r="W355" s="9">
        <v>46182</v>
      </c>
      <c r="X355" s="10" t="s">
        <v>89</v>
      </c>
      <c r="Y355" s="10" t="s">
        <v>90</v>
      </c>
      <c r="Z355" s="16" t="s">
        <v>44</v>
      </c>
      <c r="AA355" s="25">
        <v>46181</v>
      </c>
      <c r="AB355" s="25">
        <v>46183</v>
      </c>
      <c r="AC355" s="16" t="s">
        <v>537</v>
      </c>
      <c r="AD355" s="16"/>
      <c r="AE355" s="16" t="s">
        <v>538</v>
      </c>
      <c r="AF355" s="16"/>
      <c r="AG355" s="21" t="s">
        <v>539</v>
      </c>
      <c r="XFD355" s="15" t="str">
        <f>+Tabla3[[#This Row],[ESTATUS DE NUM ECONOMICO]]</f>
        <v>ACTIVA</v>
      </c>
    </row>
    <row r="356" spans="1:33 16384:16384" ht="15.75" thickBot="1" x14ac:dyDescent="0.3">
      <c r="A356" s="8">
        <v>68</v>
      </c>
      <c r="B356" s="9">
        <v>46177</v>
      </c>
      <c r="C356" s="10" t="s">
        <v>87</v>
      </c>
      <c r="D356" s="10" t="s">
        <v>535</v>
      </c>
      <c r="E356" s="16">
        <v>20</v>
      </c>
      <c r="F356" s="9">
        <v>46178</v>
      </c>
      <c r="G356" s="212" t="str">
        <f>IFERROR(VLOOKUP(Tabla3[[#This Row],[NUM ECONOMICO]],MAQUINARIA!B:H,7,0), " MAQ")</f>
        <v>ACTIVA</v>
      </c>
      <c r="H356" s="214" t="s">
        <v>94</v>
      </c>
      <c r="I356" s="41" t="s">
        <v>336</v>
      </c>
      <c r="J356" s="10"/>
      <c r="K356" s="10">
        <v>1</v>
      </c>
      <c r="L356" s="12"/>
      <c r="M356" s="13">
        <f t="shared" si="5"/>
        <v>0</v>
      </c>
      <c r="N356" s="41"/>
      <c r="O356" s="10"/>
      <c r="P356" s="10">
        <f>Tabla3[[#This Row],[COSTO UNITARIO DOLARES EN HAWTHORNE]]*Tabla3[[#This Row],[CANTIDAD SOLICTADA]]</f>
        <v>0</v>
      </c>
      <c r="Q356" s="41"/>
      <c r="R356" s="229"/>
      <c r="S356" s="229">
        <f>+Tabla3[[#This Row],[COSTO UNITARIO DOLARES CTP]]*Tabla3[[#This Row],[CANTIDAD SOLICTADA]]</f>
        <v>0</v>
      </c>
      <c r="T356" s="41"/>
      <c r="U356" s="14" t="s">
        <v>4</v>
      </c>
      <c r="V356" s="8" t="s">
        <v>536</v>
      </c>
      <c r="W356" s="9">
        <v>46182</v>
      </c>
      <c r="X356" s="10" t="s">
        <v>89</v>
      </c>
      <c r="Y356" s="10">
        <v>0</v>
      </c>
      <c r="Z356" s="16" t="s">
        <v>44</v>
      </c>
      <c r="AA356" s="25">
        <v>46181</v>
      </c>
      <c r="AB356" s="25">
        <v>46183</v>
      </c>
      <c r="AC356" s="16" t="s">
        <v>537</v>
      </c>
      <c r="AD356" s="16"/>
      <c r="AE356" s="16" t="s">
        <v>538</v>
      </c>
      <c r="AF356" s="16"/>
      <c r="AG356" s="21" t="s">
        <v>539</v>
      </c>
      <c r="XFD356" s="15" t="str">
        <f>+Tabla3[[#This Row],[ESTATUS DE NUM ECONOMICO]]</f>
        <v>ACTIVA</v>
      </c>
    </row>
    <row r="357" spans="1:33 16384:16384" ht="15.75" thickBot="1" x14ac:dyDescent="0.3">
      <c r="A357" s="8">
        <v>68</v>
      </c>
      <c r="B357" s="9">
        <v>46177</v>
      </c>
      <c r="C357" s="10" t="s">
        <v>87</v>
      </c>
      <c r="D357" s="10" t="s">
        <v>535</v>
      </c>
      <c r="E357" s="16">
        <v>20</v>
      </c>
      <c r="F357" s="9">
        <v>46178</v>
      </c>
      <c r="G357" s="212" t="str">
        <f>IFERROR(VLOOKUP(Tabla3[[#This Row],[NUM ECONOMICO]],MAQUINARIA!B:H,7,0), " MAQ")</f>
        <v>ACTIVA</v>
      </c>
      <c r="H357" s="214" t="s">
        <v>94</v>
      </c>
      <c r="I357" s="41" t="s">
        <v>544</v>
      </c>
      <c r="J357" s="10"/>
      <c r="K357" s="10">
        <v>1</v>
      </c>
      <c r="L357" s="12"/>
      <c r="M357" s="13">
        <f t="shared" si="5"/>
        <v>0</v>
      </c>
      <c r="N357" s="41"/>
      <c r="O357" s="10"/>
      <c r="P357" s="10">
        <f>Tabla3[[#This Row],[COSTO UNITARIO DOLARES EN HAWTHORNE]]*Tabla3[[#This Row],[CANTIDAD SOLICTADA]]</f>
        <v>0</v>
      </c>
      <c r="Q357" s="41"/>
      <c r="R357" s="229"/>
      <c r="S357" s="229">
        <f>+Tabla3[[#This Row],[COSTO UNITARIO DOLARES CTP]]*Tabla3[[#This Row],[CANTIDAD SOLICTADA]]</f>
        <v>0</v>
      </c>
      <c r="T357" s="41"/>
      <c r="U357" s="14" t="s">
        <v>4</v>
      </c>
      <c r="V357" s="8" t="s">
        <v>536</v>
      </c>
      <c r="W357" s="9">
        <v>46182</v>
      </c>
      <c r="X357" s="10" t="s">
        <v>89</v>
      </c>
      <c r="Y357" s="10" t="s">
        <v>90</v>
      </c>
      <c r="Z357" s="16" t="s">
        <v>44</v>
      </c>
      <c r="AA357" s="25">
        <v>46181</v>
      </c>
      <c r="AB357" s="25">
        <v>46183</v>
      </c>
      <c r="AC357" s="16" t="s">
        <v>537</v>
      </c>
      <c r="AD357" s="16"/>
      <c r="AE357" s="16" t="s">
        <v>538</v>
      </c>
      <c r="AF357" s="16"/>
      <c r="AG357" s="21" t="s">
        <v>539</v>
      </c>
      <c r="XFD357" s="15" t="str">
        <f>+Tabla3[[#This Row],[ESTATUS DE NUM ECONOMICO]]</f>
        <v>ACTIVA</v>
      </c>
    </row>
    <row r="358" spans="1:33 16384:16384" ht="15.75" thickBot="1" x14ac:dyDescent="0.3">
      <c r="A358" s="8">
        <v>68</v>
      </c>
      <c r="B358" s="9">
        <v>46177</v>
      </c>
      <c r="C358" s="10" t="s">
        <v>87</v>
      </c>
      <c r="D358" s="10" t="s">
        <v>535</v>
      </c>
      <c r="E358" s="16">
        <v>20</v>
      </c>
      <c r="F358" s="9">
        <v>46178</v>
      </c>
      <c r="G358" s="212" t="str">
        <f>IFERROR(VLOOKUP(Tabla3[[#This Row],[NUM ECONOMICO]],MAQUINARIA!B:H,7,0), " MAQ")</f>
        <v>ACTIVA</v>
      </c>
      <c r="H358" s="214" t="s">
        <v>94</v>
      </c>
      <c r="I358" s="41" t="s">
        <v>545</v>
      </c>
      <c r="J358" s="10" t="s">
        <v>546</v>
      </c>
      <c r="K358" s="10">
        <v>1</v>
      </c>
      <c r="L358" s="12"/>
      <c r="M358" s="13">
        <f t="shared" si="5"/>
        <v>0</v>
      </c>
      <c r="N358" s="41"/>
      <c r="O358" s="10"/>
      <c r="P358" s="10">
        <f>Tabla3[[#This Row],[COSTO UNITARIO DOLARES EN HAWTHORNE]]*Tabla3[[#This Row],[CANTIDAD SOLICTADA]]</f>
        <v>0</v>
      </c>
      <c r="Q358" s="41"/>
      <c r="R358" s="229">
        <v>0.17</v>
      </c>
      <c r="S358" s="229">
        <f>+Tabla3[[#This Row],[COSTO UNITARIO DOLARES CTP]]*Tabla3[[#This Row],[CANTIDAD SOLICTADA]]</f>
        <v>0.17</v>
      </c>
      <c r="T358" s="41"/>
      <c r="U358" s="14" t="s">
        <v>4</v>
      </c>
      <c r="V358" s="8" t="s">
        <v>536</v>
      </c>
      <c r="W358" s="9">
        <v>46182</v>
      </c>
      <c r="X358" s="10" t="s">
        <v>89</v>
      </c>
      <c r="Y358" s="10" t="s">
        <v>90</v>
      </c>
      <c r="Z358" s="16" t="s">
        <v>44</v>
      </c>
      <c r="AA358" s="25">
        <v>46181</v>
      </c>
      <c r="AB358" s="25">
        <v>46183</v>
      </c>
      <c r="AC358" s="16" t="s">
        <v>537</v>
      </c>
      <c r="AD358" s="16"/>
      <c r="AE358" s="16" t="s">
        <v>538</v>
      </c>
      <c r="AF358" s="16"/>
      <c r="AG358" s="21" t="s">
        <v>539</v>
      </c>
      <c r="XFD358" s="15" t="str">
        <f>+Tabla3[[#This Row],[ESTATUS DE NUM ECONOMICO]]</f>
        <v>ACTIVA</v>
      </c>
    </row>
    <row r="359" spans="1:33 16384:16384" ht="15.75" thickBot="1" x14ac:dyDescent="0.3">
      <c r="A359" s="8">
        <v>68</v>
      </c>
      <c r="B359" s="9">
        <v>46177</v>
      </c>
      <c r="C359" s="10" t="s">
        <v>87</v>
      </c>
      <c r="D359" s="11"/>
      <c r="E359" s="16">
        <v>20</v>
      </c>
      <c r="F359" s="9">
        <v>46178</v>
      </c>
      <c r="G359" s="212" t="str">
        <f>IFERROR(VLOOKUP(Tabla3[[#This Row],[NUM ECONOMICO]],MAQUINARIA!B:H,7,0), " MAQ")</f>
        <v>ACTIVA</v>
      </c>
      <c r="H359" s="214" t="s">
        <v>94</v>
      </c>
      <c r="I359" s="41" t="s">
        <v>547</v>
      </c>
      <c r="J359" s="10"/>
      <c r="K359" s="10">
        <v>2</v>
      </c>
      <c r="L359" s="12"/>
      <c r="M359" s="13">
        <f t="shared" si="5"/>
        <v>0</v>
      </c>
      <c r="N359" s="41"/>
      <c r="O359" s="10"/>
      <c r="P359" s="10">
        <f>Tabla3[[#This Row],[COSTO UNITARIO DOLARES EN HAWTHORNE]]*Tabla3[[#This Row],[CANTIDAD SOLICTADA]]</f>
        <v>0</v>
      </c>
      <c r="Q359" s="41"/>
      <c r="R359" s="229"/>
      <c r="S359" s="229">
        <f>+Tabla3[[#This Row],[COSTO UNITARIO DOLARES CTP]]*Tabla3[[#This Row],[CANTIDAD SOLICTADA]]</f>
        <v>0</v>
      </c>
      <c r="T359" s="41"/>
      <c r="U359" s="14" t="s">
        <v>4</v>
      </c>
      <c r="V359" s="8" t="s">
        <v>536</v>
      </c>
      <c r="W359" s="10"/>
      <c r="X359" s="10" t="s">
        <v>96</v>
      </c>
      <c r="Y359" s="10">
        <v>3</v>
      </c>
      <c r="Z359" s="16"/>
      <c r="AA359" s="16"/>
      <c r="AB359" s="16"/>
      <c r="AC359" s="16"/>
      <c r="AD359" s="16"/>
      <c r="AE359" s="16" t="s">
        <v>147</v>
      </c>
      <c r="AF359" s="16"/>
      <c r="AG359" s="21" t="s">
        <v>539</v>
      </c>
      <c r="XFD359" s="15" t="str">
        <f>+Tabla3[[#This Row],[ESTATUS DE NUM ECONOMICO]]</f>
        <v>ACTIVA</v>
      </c>
    </row>
    <row r="360" spans="1:33 16384:16384" ht="15.75" thickBot="1" x14ac:dyDescent="0.3">
      <c r="A360" s="8">
        <v>68</v>
      </c>
      <c r="B360" s="9">
        <v>46177</v>
      </c>
      <c r="C360" s="10" t="s">
        <v>87</v>
      </c>
      <c r="D360" s="10" t="s">
        <v>535</v>
      </c>
      <c r="E360" s="16">
        <v>20</v>
      </c>
      <c r="F360" s="9">
        <v>46178</v>
      </c>
      <c r="G360" s="212" t="str">
        <f>IFERROR(VLOOKUP(Tabla3[[#This Row],[NUM ECONOMICO]],MAQUINARIA!B:H,7,0), " MAQ")</f>
        <v>ACTIVA</v>
      </c>
      <c r="H360" s="214" t="s">
        <v>94</v>
      </c>
      <c r="I360" s="41" t="s">
        <v>428</v>
      </c>
      <c r="J360" s="10"/>
      <c r="K360" s="10">
        <v>2</v>
      </c>
      <c r="L360" s="12"/>
      <c r="M360" s="13">
        <f t="shared" si="5"/>
        <v>0</v>
      </c>
      <c r="N360" s="41"/>
      <c r="O360" s="10"/>
      <c r="P360" s="10">
        <f>Tabla3[[#This Row],[COSTO UNITARIO DOLARES EN HAWTHORNE]]*Tabla3[[#This Row],[CANTIDAD SOLICTADA]]</f>
        <v>0</v>
      </c>
      <c r="Q360" s="41"/>
      <c r="R360" s="229"/>
      <c r="S360" s="229">
        <f>+Tabla3[[#This Row],[COSTO UNITARIO DOLARES CTP]]*Tabla3[[#This Row],[CANTIDAD SOLICTADA]]</f>
        <v>0</v>
      </c>
      <c r="T360" s="41"/>
      <c r="U360" s="14" t="s">
        <v>4</v>
      </c>
      <c r="V360" s="8" t="s">
        <v>536</v>
      </c>
      <c r="W360" s="9">
        <v>46182</v>
      </c>
      <c r="X360" s="10" t="s">
        <v>89</v>
      </c>
      <c r="Y360" s="10">
        <v>0</v>
      </c>
      <c r="Z360" s="16" t="s">
        <v>44</v>
      </c>
      <c r="AA360" s="25">
        <v>46181</v>
      </c>
      <c r="AB360" s="25">
        <v>46183</v>
      </c>
      <c r="AC360" s="16" t="s">
        <v>537</v>
      </c>
      <c r="AD360" s="16"/>
      <c r="AE360" s="16" t="s">
        <v>538</v>
      </c>
      <c r="AF360" s="16"/>
      <c r="AG360" s="21" t="s">
        <v>539</v>
      </c>
      <c r="XFD360" s="15" t="str">
        <f>+Tabla3[[#This Row],[ESTATUS DE NUM ECONOMICO]]</f>
        <v>ACTIVA</v>
      </c>
    </row>
    <row r="361" spans="1:33 16384:16384" ht="15.75" thickBot="1" x14ac:dyDescent="0.3">
      <c r="A361" s="8">
        <v>68</v>
      </c>
      <c r="B361" s="9">
        <v>46177</v>
      </c>
      <c r="C361" s="10" t="s">
        <v>87</v>
      </c>
      <c r="D361" s="11"/>
      <c r="E361" s="16">
        <v>20</v>
      </c>
      <c r="F361" s="9">
        <v>46178</v>
      </c>
      <c r="G361" s="212" t="str">
        <f>IFERROR(VLOOKUP(Tabla3[[#This Row],[NUM ECONOMICO]],MAQUINARIA!B:H,7,0), " MAQ")</f>
        <v>ACTIVA</v>
      </c>
      <c r="H361" s="214" t="s">
        <v>94</v>
      </c>
      <c r="I361" s="41" t="s">
        <v>548</v>
      </c>
      <c r="J361" s="10"/>
      <c r="K361" s="10">
        <v>2</v>
      </c>
      <c r="L361" s="12"/>
      <c r="M361" s="13">
        <f t="shared" si="5"/>
        <v>0</v>
      </c>
      <c r="N361" s="41"/>
      <c r="O361" s="10"/>
      <c r="P361" s="10">
        <f>Tabla3[[#This Row],[COSTO UNITARIO DOLARES EN HAWTHORNE]]*Tabla3[[#This Row],[CANTIDAD SOLICTADA]]</f>
        <v>0</v>
      </c>
      <c r="Q361" s="41"/>
      <c r="R361" s="229"/>
      <c r="S361" s="229">
        <f>+Tabla3[[#This Row],[COSTO UNITARIO DOLARES CTP]]*Tabla3[[#This Row],[CANTIDAD SOLICTADA]]</f>
        <v>0</v>
      </c>
      <c r="T361" s="41"/>
      <c r="U361" s="14" t="s">
        <v>4</v>
      </c>
      <c r="V361" s="8" t="s">
        <v>536</v>
      </c>
      <c r="W361" s="10"/>
      <c r="X361" s="10" t="s">
        <v>96</v>
      </c>
      <c r="Y361" s="10">
        <v>7</v>
      </c>
      <c r="Z361" s="16"/>
      <c r="AA361" s="16"/>
      <c r="AB361" s="16"/>
      <c r="AC361" s="16"/>
      <c r="AD361" s="16"/>
      <c r="AE361" s="16" t="s">
        <v>147</v>
      </c>
      <c r="AF361" s="16"/>
      <c r="AG361" s="21" t="s">
        <v>539</v>
      </c>
      <c r="XFD361" s="15" t="str">
        <f>+Tabla3[[#This Row],[ESTATUS DE NUM ECONOMICO]]</f>
        <v>ACTIVA</v>
      </c>
    </row>
    <row r="362" spans="1:33 16384:16384" ht="15.75" thickBot="1" x14ac:dyDescent="0.3">
      <c r="A362" s="8">
        <v>68</v>
      </c>
      <c r="B362" s="9">
        <v>46177</v>
      </c>
      <c r="C362" s="10" t="s">
        <v>87</v>
      </c>
      <c r="D362" s="10" t="s">
        <v>535</v>
      </c>
      <c r="E362" s="16">
        <v>20</v>
      </c>
      <c r="F362" s="9">
        <v>46178</v>
      </c>
      <c r="G362" s="212" t="str">
        <f>IFERROR(VLOOKUP(Tabla3[[#This Row],[NUM ECONOMICO]],MAQUINARIA!B:H,7,0), " MAQ")</f>
        <v>ACTIVA</v>
      </c>
      <c r="H362" s="214" t="s">
        <v>94</v>
      </c>
      <c r="I362" s="41" t="s">
        <v>313</v>
      </c>
      <c r="J362" s="10" t="s">
        <v>292</v>
      </c>
      <c r="K362" s="10">
        <v>1</v>
      </c>
      <c r="L362" s="12"/>
      <c r="M362" s="13">
        <f t="shared" si="5"/>
        <v>0</v>
      </c>
      <c r="N362" s="41"/>
      <c r="O362" s="10"/>
      <c r="P362" s="10">
        <f>Tabla3[[#This Row],[COSTO UNITARIO DOLARES EN HAWTHORNE]]*Tabla3[[#This Row],[CANTIDAD SOLICTADA]]</f>
        <v>0</v>
      </c>
      <c r="Q362" s="41"/>
      <c r="R362" s="229">
        <v>0.13</v>
      </c>
      <c r="S362" s="229">
        <f>+Tabla3[[#This Row],[COSTO UNITARIO DOLARES CTP]]*Tabla3[[#This Row],[CANTIDAD SOLICTADA]]</f>
        <v>0.13</v>
      </c>
      <c r="T362" s="41"/>
      <c r="U362" s="14" t="s">
        <v>4</v>
      </c>
      <c r="V362" s="8" t="s">
        <v>536</v>
      </c>
      <c r="W362" s="9">
        <v>46182</v>
      </c>
      <c r="X362" s="10" t="s">
        <v>89</v>
      </c>
      <c r="Y362" s="10">
        <v>1</v>
      </c>
      <c r="Z362" s="16" t="s">
        <v>44</v>
      </c>
      <c r="AA362" s="25">
        <v>46181</v>
      </c>
      <c r="AB362" s="25">
        <v>46183</v>
      </c>
      <c r="AC362" s="16" t="s">
        <v>537</v>
      </c>
      <c r="AD362" s="16"/>
      <c r="AE362" s="16" t="s">
        <v>538</v>
      </c>
      <c r="AF362" s="16"/>
      <c r="AG362" s="21" t="s">
        <v>539</v>
      </c>
      <c r="XFD362" s="15" t="str">
        <f>+Tabla3[[#This Row],[ESTATUS DE NUM ECONOMICO]]</f>
        <v>ACTIVA</v>
      </c>
    </row>
    <row r="363" spans="1:33 16384:16384" ht="15.75" thickBot="1" x14ac:dyDescent="0.3">
      <c r="A363" s="8">
        <v>68</v>
      </c>
      <c r="B363" s="9">
        <v>46177</v>
      </c>
      <c r="C363" s="10" t="s">
        <v>87</v>
      </c>
      <c r="D363" s="10" t="s">
        <v>535</v>
      </c>
      <c r="E363" s="16">
        <v>20</v>
      </c>
      <c r="F363" s="9">
        <v>46178</v>
      </c>
      <c r="G363" s="212" t="str">
        <f>IFERROR(VLOOKUP(Tabla3[[#This Row],[NUM ECONOMICO]],MAQUINARIA!B:H,7,0), " MAQ")</f>
        <v>ACTIVA</v>
      </c>
      <c r="H363" s="214" t="s">
        <v>94</v>
      </c>
      <c r="I363" s="41" t="s">
        <v>549</v>
      </c>
      <c r="J363" s="10"/>
      <c r="K363" s="10">
        <v>1</v>
      </c>
      <c r="L363" s="12"/>
      <c r="M363" s="13">
        <f t="shared" si="5"/>
        <v>0</v>
      </c>
      <c r="N363" s="41"/>
      <c r="O363" s="10"/>
      <c r="P363" s="10">
        <f>Tabla3[[#This Row],[COSTO UNITARIO DOLARES EN HAWTHORNE]]*Tabla3[[#This Row],[CANTIDAD SOLICTADA]]</f>
        <v>0</v>
      </c>
      <c r="Q363" s="41"/>
      <c r="R363" s="229"/>
      <c r="S363" s="229">
        <f>+Tabla3[[#This Row],[COSTO UNITARIO DOLARES CTP]]*Tabla3[[#This Row],[CANTIDAD SOLICTADA]]</f>
        <v>0</v>
      </c>
      <c r="T363" s="41"/>
      <c r="U363" s="14" t="s">
        <v>4</v>
      </c>
      <c r="V363" s="8" t="s">
        <v>536</v>
      </c>
      <c r="W363" s="9">
        <v>46182</v>
      </c>
      <c r="X363" s="10" t="s">
        <v>89</v>
      </c>
      <c r="Y363" s="10" t="s">
        <v>90</v>
      </c>
      <c r="Z363" s="16" t="s">
        <v>44</v>
      </c>
      <c r="AA363" s="25">
        <v>46181</v>
      </c>
      <c r="AB363" s="25">
        <v>46183</v>
      </c>
      <c r="AC363" s="16" t="s">
        <v>537</v>
      </c>
      <c r="AD363" s="16"/>
      <c r="AE363" s="16" t="s">
        <v>538</v>
      </c>
      <c r="AF363" s="16"/>
      <c r="AG363" s="21" t="s">
        <v>539</v>
      </c>
      <c r="XFD363" s="15" t="str">
        <f>+Tabla3[[#This Row],[ESTATUS DE NUM ECONOMICO]]</f>
        <v>ACTIVA</v>
      </c>
    </row>
    <row r="364" spans="1:33 16384:16384" ht="15.75" thickBot="1" x14ac:dyDescent="0.3">
      <c r="A364" s="8">
        <v>68</v>
      </c>
      <c r="B364" s="9">
        <v>46177</v>
      </c>
      <c r="C364" s="10" t="s">
        <v>87</v>
      </c>
      <c r="D364" s="11"/>
      <c r="E364" s="16">
        <v>20</v>
      </c>
      <c r="F364" s="9">
        <v>46178</v>
      </c>
      <c r="G364" s="212" t="str">
        <f>IFERROR(VLOOKUP(Tabla3[[#This Row],[NUM ECONOMICO]],MAQUINARIA!B:H,7,0), " MAQ")</f>
        <v>ACTIVA</v>
      </c>
      <c r="H364" s="214" t="s">
        <v>94</v>
      </c>
      <c r="I364" s="41" t="s">
        <v>334</v>
      </c>
      <c r="J364" s="10"/>
      <c r="K364" s="10">
        <v>2</v>
      </c>
      <c r="L364" s="12"/>
      <c r="M364" s="13">
        <f t="shared" si="5"/>
        <v>0</v>
      </c>
      <c r="N364" s="41"/>
      <c r="O364" s="10"/>
      <c r="P364" s="10">
        <f>Tabla3[[#This Row],[COSTO UNITARIO DOLARES EN HAWTHORNE]]*Tabla3[[#This Row],[CANTIDAD SOLICTADA]]</f>
        <v>0</v>
      </c>
      <c r="Q364" s="41"/>
      <c r="R364" s="229"/>
      <c r="S364" s="229">
        <f>+Tabla3[[#This Row],[COSTO UNITARIO DOLARES CTP]]*Tabla3[[#This Row],[CANTIDAD SOLICTADA]]</f>
        <v>0</v>
      </c>
      <c r="T364" s="41"/>
      <c r="U364" s="14" t="s">
        <v>4</v>
      </c>
      <c r="V364" s="8" t="s">
        <v>536</v>
      </c>
      <c r="W364" s="10"/>
      <c r="X364" s="10" t="s">
        <v>96</v>
      </c>
      <c r="Y364" s="10" t="s">
        <v>90</v>
      </c>
      <c r="Z364" s="16"/>
      <c r="AA364" s="16"/>
      <c r="AB364" s="16"/>
      <c r="AC364" s="16"/>
      <c r="AD364" s="16"/>
      <c r="AE364" s="16" t="s">
        <v>147</v>
      </c>
      <c r="AF364" s="16"/>
      <c r="AG364" s="21" t="s">
        <v>539</v>
      </c>
      <c r="XFD364" s="15" t="str">
        <f>+Tabla3[[#This Row],[ESTATUS DE NUM ECONOMICO]]</f>
        <v>ACTIVA</v>
      </c>
    </row>
    <row r="365" spans="1:33 16384:16384" ht="15.75" thickBot="1" x14ac:dyDescent="0.3">
      <c r="A365" s="8">
        <v>68</v>
      </c>
      <c r="B365" s="9">
        <v>46177</v>
      </c>
      <c r="C365" s="10" t="s">
        <v>87</v>
      </c>
      <c r="D365" s="10" t="s">
        <v>535</v>
      </c>
      <c r="E365" s="16">
        <v>20</v>
      </c>
      <c r="F365" s="9">
        <v>46178</v>
      </c>
      <c r="G365" s="212" t="str">
        <f>IFERROR(VLOOKUP(Tabla3[[#This Row],[NUM ECONOMICO]],MAQUINARIA!B:H,7,0), " MAQ")</f>
        <v>ACTIVA</v>
      </c>
      <c r="H365" s="214" t="s">
        <v>94</v>
      </c>
      <c r="I365" s="41" t="s">
        <v>550</v>
      </c>
      <c r="J365" s="10"/>
      <c r="K365" s="10">
        <v>1</v>
      </c>
      <c r="L365" s="12"/>
      <c r="M365" s="13">
        <f t="shared" si="5"/>
        <v>0</v>
      </c>
      <c r="N365" s="41"/>
      <c r="O365" s="10"/>
      <c r="P365" s="10">
        <f>Tabla3[[#This Row],[COSTO UNITARIO DOLARES EN HAWTHORNE]]*Tabla3[[#This Row],[CANTIDAD SOLICTADA]]</f>
        <v>0</v>
      </c>
      <c r="Q365" s="41"/>
      <c r="R365" s="229"/>
      <c r="S365" s="229">
        <f>+Tabla3[[#This Row],[COSTO UNITARIO DOLARES CTP]]*Tabla3[[#This Row],[CANTIDAD SOLICTADA]]</f>
        <v>0</v>
      </c>
      <c r="T365" s="41"/>
      <c r="U365" s="14" t="s">
        <v>4</v>
      </c>
      <c r="V365" s="8" t="s">
        <v>536</v>
      </c>
      <c r="W365" s="9">
        <v>46182</v>
      </c>
      <c r="X365" s="10" t="s">
        <v>89</v>
      </c>
      <c r="Y365" s="10">
        <v>1</v>
      </c>
      <c r="Z365" s="16" t="s">
        <v>44</v>
      </c>
      <c r="AA365" s="25">
        <v>46181</v>
      </c>
      <c r="AB365" s="25">
        <v>46183</v>
      </c>
      <c r="AC365" s="16" t="s">
        <v>537</v>
      </c>
      <c r="AD365" s="16"/>
      <c r="AE365" s="16" t="s">
        <v>538</v>
      </c>
      <c r="AF365" s="16"/>
      <c r="AG365" s="21" t="s">
        <v>539</v>
      </c>
      <c r="XFD365" s="15" t="str">
        <f>+Tabla3[[#This Row],[ESTATUS DE NUM ECONOMICO]]</f>
        <v>ACTIVA</v>
      </c>
    </row>
    <row r="366" spans="1:33 16384:16384" ht="15.75" thickBot="1" x14ac:dyDescent="0.3">
      <c r="A366" s="8">
        <v>68</v>
      </c>
      <c r="B366" s="9">
        <v>46177</v>
      </c>
      <c r="C366" s="10" t="s">
        <v>87</v>
      </c>
      <c r="D366" s="10" t="s">
        <v>535</v>
      </c>
      <c r="E366" s="16">
        <v>20</v>
      </c>
      <c r="F366" s="9">
        <v>46178</v>
      </c>
      <c r="G366" s="212" t="str">
        <f>IFERROR(VLOOKUP(Tabla3[[#This Row],[NUM ECONOMICO]],MAQUINARIA!B:H,7,0), " MAQ")</f>
        <v>ACTIVA</v>
      </c>
      <c r="H366" s="214" t="s">
        <v>94</v>
      </c>
      <c r="I366" s="41" t="s">
        <v>551</v>
      </c>
      <c r="J366" s="10"/>
      <c r="K366" s="10">
        <v>1</v>
      </c>
      <c r="L366" s="12"/>
      <c r="M366" s="13">
        <f t="shared" si="5"/>
        <v>0</v>
      </c>
      <c r="N366" s="41"/>
      <c r="O366" s="10"/>
      <c r="P366" s="10">
        <f>Tabla3[[#This Row],[COSTO UNITARIO DOLARES EN HAWTHORNE]]*Tabla3[[#This Row],[CANTIDAD SOLICTADA]]</f>
        <v>0</v>
      </c>
      <c r="Q366" s="41"/>
      <c r="R366" s="229"/>
      <c r="S366" s="229">
        <f>+Tabla3[[#This Row],[COSTO UNITARIO DOLARES CTP]]*Tabla3[[#This Row],[CANTIDAD SOLICTADA]]</f>
        <v>0</v>
      </c>
      <c r="T366" s="41"/>
      <c r="U366" s="14" t="s">
        <v>4</v>
      </c>
      <c r="V366" s="8" t="s">
        <v>536</v>
      </c>
      <c r="W366" s="9">
        <v>46182</v>
      </c>
      <c r="X366" s="10" t="s">
        <v>89</v>
      </c>
      <c r="Y366" s="10">
        <v>14</v>
      </c>
      <c r="Z366" s="16" t="s">
        <v>44</v>
      </c>
      <c r="AA366" s="25">
        <v>46181</v>
      </c>
      <c r="AB366" s="25">
        <v>46183</v>
      </c>
      <c r="AC366" s="16" t="s">
        <v>537</v>
      </c>
      <c r="AD366" s="16"/>
      <c r="AE366" s="16" t="s">
        <v>538</v>
      </c>
      <c r="AF366" s="16"/>
      <c r="AG366" s="21" t="s">
        <v>539</v>
      </c>
      <c r="XFD366" s="15" t="str">
        <f>+Tabla3[[#This Row],[ESTATUS DE NUM ECONOMICO]]</f>
        <v>ACTIVA</v>
      </c>
    </row>
    <row r="367" spans="1:33 16384:16384" ht="15.75" thickBot="1" x14ac:dyDescent="0.3">
      <c r="A367" s="8">
        <v>68</v>
      </c>
      <c r="B367" s="9">
        <v>46177</v>
      </c>
      <c r="C367" s="10" t="s">
        <v>87</v>
      </c>
      <c r="D367" s="10" t="s">
        <v>535</v>
      </c>
      <c r="E367" s="16">
        <v>20</v>
      </c>
      <c r="F367" s="9">
        <v>46178</v>
      </c>
      <c r="G367" s="212" t="str">
        <f>IFERROR(VLOOKUP(Tabla3[[#This Row],[NUM ECONOMICO]],MAQUINARIA!B:H,7,0), " MAQ")</f>
        <v>ACTIVA</v>
      </c>
      <c r="H367" s="214" t="s">
        <v>94</v>
      </c>
      <c r="I367" s="41" t="s">
        <v>552</v>
      </c>
      <c r="J367" s="10"/>
      <c r="K367" s="10">
        <v>2</v>
      </c>
      <c r="L367" s="12"/>
      <c r="M367" s="13">
        <f t="shared" si="5"/>
        <v>0</v>
      </c>
      <c r="N367" s="41"/>
      <c r="O367" s="10"/>
      <c r="P367" s="10">
        <f>Tabla3[[#This Row],[COSTO UNITARIO DOLARES EN HAWTHORNE]]*Tabla3[[#This Row],[CANTIDAD SOLICTADA]]</f>
        <v>0</v>
      </c>
      <c r="Q367" s="41"/>
      <c r="R367" s="229"/>
      <c r="S367" s="229">
        <f>+Tabla3[[#This Row],[COSTO UNITARIO DOLARES CTP]]*Tabla3[[#This Row],[CANTIDAD SOLICTADA]]</f>
        <v>0</v>
      </c>
      <c r="T367" s="41"/>
      <c r="U367" s="14" t="s">
        <v>4</v>
      </c>
      <c r="V367" s="8" t="s">
        <v>536</v>
      </c>
      <c r="W367" s="9">
        <v>46182</v>
      </c>
      <c r="X367" s="10" t="s">
        <v>89</v>
      </c>
      <c r="Y367" s="10">
        <v>0</v>
      </c>
      <c r="Z367" s="16" t="s">
        <v>44</v>
      </c>
      <c r="AA367" s="25">
        <v>46181</v>
      </c>
      <c r="AB367" s="25">
        <v>46183</v>
      </c>
      <c r="AC367" s="16" t="s">
        <v>537</v>
      </c>
      <c r="AD367" s="16"/>
      <c r="AE367" s="16" t="s">
        <v>538</v>
      </c>
      <c r="AF367" s="16"/>
      <c r="AG367" s="21" t="s">
        <v>539</v>
      </c>
      <c r="XFD367" s="15" t="str">
        <f>+Tabla3[[#This Row],[ESTATUS DE NUM ECONOMICO]]</f>
        <v>ACTIVA</v>
      </c>
    </row>
    <row r="368" spans="1:33 16384:16384" ht="15.75" thickBot="1" x14ac:dyDescent="0.3">
      <c r="A368" s="8">
        <v>68</v>
      </c>
      <c r="B368" s="9">
        <v>46177</v>
      </c>
      <c r="C368" s="10" t="s">
        <v>87</v>
      </c>
      <c r="D368" s="11"/>
      <c r="E368" s="16">
        <v>20</v>
      </c>
      <c r="F368" s="9">
        <v>46178</v>
      </c>
      <c r="G368" s="212" t="str">
        <f>IFERROR(VLOOKUP(Tabla3[[#This Row],[NUM ECONOMICO]],MAQUINARIA!B:H,7,0), " MAQ")</f>
        <v>ACTIVA</v>
      </c>
      <c r="H368" s="214" t="s">
        <v>94</v>
      </c>
      <c r="I368" s="41" t="s">
        <v>553</v>
      </c>
      <c r="J368" s="10"/>
      <c r="K368" s="10">
        <v>2</v>
      </c>
      <c r="L368" s="12"/>
      <c r="M368" s="13">
        <f t="shared" si="5"/>
        <v>0</v>
      </c>
      <c r="N368" s="41"/>
      <c r="O368" s="10"/>
      <c r="P368" s="10">
        <f>Tabla3[[#This Row],[COSTO UNITARIO DOLARES EN HAWTHORNE]]*Tabla3[[#This Row],[CANTIDAD SOLICTADA]]</f>
        <v>0</v>
      </c>
      <c r="Q368" s="41"/>
      <c r="R368" s="229"/>
      <c r="S368" s="229">
        <f>+Tabla3[[#This Row],[COSTO UNITARIO DOLARES CTP]]*Tabla3[[#This Row],[CANTIDAD SOLICTADA]]</f>
        <v>0</v>
      </c>
      <c r="T368" s="41"/>
      <c r="U368" s="14" t="s">
        <v>4</v>
      </c>
      <c r="V368" s="8" t="s">
        <v>536</v>
      </c>
      <c r="W368" s="10"/>
      <c r="X368" s="10" t="s">
        <v>96</v>
      </c>
      <c r="Y368" s="10" t="s">
        <v>90</v>
      </c>
      <c r="Z368" s="16"/>
      <c r="AA368" s="16"/>
      <c r="AB368" s="16"/>
      <c r="AC368" s="16"/>
      <c r="AD368" s="16"/>
      <c r="AE368" s="16" t="s">
        <v>147</v>
      </c>
      <c r="AF368" s="16"/>
      <c r="AG368" s="21" t="s">
        <v>539</v>
      </c>
      <c r="XFD368" s="15" t="str">
        <f>+Tabla3[[#This Row],[ESTATUS DE NUM ECONOMICO]]</f>
        <v>ACTIVA</v>
      </c>
    </row>
    <row r="369" spans="1:33 16384:16384" ht="15.75" thickBot="1" x14ac:dyDescent="0.3">
      <c r="A369" s="8">
        <v>68</v>
      </c>
      <c r="B369" s="9">
        <v>46177</v>
      </c>
      <c r="C369" s="10" t="s">
        <v>87</v>
      </c>
      <c r="D369" s="10" t="s">
        <v>535</v>
      </c>
      <c r="E369" s="16">
        <v>20</v>
      </c>
      <c r="F369" s="9">
        <v>46178</v>
      </c>
      <c r="G369" s="212" t="str">
        <f>IFERROR(VLOOKUP(Tabla3[[#This Row],[NUM ECONOMICO]],MAQUINARIA!B:H,7,0), " MAQ")</f>
        <v>ACTIVA</v>
      </c>
      <c r="H369" s="214" t="s">
        <v>94</v>
      </c>
      <c r="I369" s="41" t="s">
        <v>323</v>
      </c>
      <c r="J369" s="10"/>
      <c r="K369" s="10">
        <v>1</v>
      </c>
      <c r="L369" s="12"/>
      <c r="M369" s="13">
        <f t="shared" si="5"/>
        <v>0</v>
      </c>
      <c r="N369" s="41"/>
      <c r="O369" s="10"/>
      <c r="P369" s="10">
        <f>Tabla3[[#This Row],[COSTO UNITARIO DOLARES EN HAWTHORNE]]*Tabla3[[#This Row],[CANTIDAD SOLICTADA]]</f>
        <v>0</v>
      </c>
      <c r="Q369" s="41"/>
      <c r="R369" s="229"/>
      <c r="S369" s="229">
        <f>+Tabla3[[#This Row],[COSTO UNITARIO DOLARES CTP]]*Tabla3[[#This Row],[CANTIDAD SOLICTADA]]</f>
        <v>0</v>
      </c>
      <c r="T369" s="41"/>
      <c r="U369" s="14" t="s">
        <v>4</v>
      </c>
      <c r="V369" s="8" t="s">
        <v>536</v>
      </c>
      <c r="W369" s="9">
        <v>46182</v>
      </c>
      <c r="X369" s="10" t="s">
        <v>89</v>
      </c>
      <c r="Y369" s="10">
        <v>0</v>
      </c>
      <c r="Z369" s="16" t="s">
        <v>44</v>
      </c>
      <c r="AA369" s="25">
        <v>46181</v>
      </c>
      <c r="AB369" s="25">
        <v>46183</v>
      </c>
      <c r="AC369" s="16" t="s">
        <v>537</v>
      </c>
      <c r="AD369" s="16"/>
      <c r="AE369" s="16" t="s">
        <v>538</v>
      </c>
      <c r="AF369" s="16"/>
      <c r="AG369" s="21" t="s">
        <v>539</v>
      </c>
      <c r="XFD369" s="15" t="str">
        <f>+Tabla3[[#This Row],[ESTATUS DE NUM ECONOMICO]]</f>
        <v>ACTIVA</v>
      </c>
    </row>
    <row r="370" spans="1:33 16384:16384" ht="15.75" thickBot="1" x14ac:dyDescent="0.3">
      <c r="A370" s="8">
        <v>68</v>
      </c>
      <c r="B370" s="9">
        <v>46177</v>
      </c>
      <c r="C370" s="10" t="s">
        <v>87</v>
      </c>
      <c r="D370" s="10" t="s">
        <v>535</v>
      </c>
      <c r="E370" s="16">
        <v>20</v>
      </c>
      <c r="F370" s="9">
        <v>46178</v>
      </c>
      <c r="G370" s="212" t="str">
        <f>IFERROR(VLOOKUP(Tabla3[[#This Row],[NUM ECONOMICO]],MAQUINARIA!B:H,7,0), " MAQ")</f>
        <v>ACTIVA</v>
      </c>
      <c r="H370" s="214" t="s">
        <v>94</v>
      </c>
      <c r="I370" s="41" t="s">
        <v>554</v>
      </c>
      <c r="J370" s="10"/>
      <c r="K370" s="10">
        <v>1</v>
      </c>
      <c r="L370" s="12"/>
      <c r="M370" s="13">
        <f t="shared" si="5"/>
        <v>0</v>
      </c>
      <c r="N370" s="41"/>
      <c r="O370" s="10"/>
      <c r="P370" s="10">
        <f>Tabla3[[#This Row],[COSTO UNITARIO DOLARES EN HAWTHORNE]]*Tabla3[[#This Row],[CANTIDAD SOLICTADA]]</f>
        <v>0</v>
      </c>
      <c r="Q370" s="41"/>
      <c r="R370" s="229"/>
      <c r="S370" s="229">
        <f>+Tabla3[[#This Row],[COSTO UNITARIO DOLARES CTP]]*Tabla3[[#This Row],[CANTIDAD SOLICTADA]]</f>
        <v>0</v>
      </c>
      <c r="T370" s="41"/>
      <c r="U370" s="14" t="s">
        <v>4</v>
      </c>
      <c r="V370" s="8" t="s">
        <v>536</v>
      </c>
      <c r="W370" s="9">
        <v>46182</v>
      </c>
      <c r="X370" s="10" t="s">
        <v>89</v>
      </c>
      <c r="Y370" s="10" t="s">
        <v>90</v>
      </c>
      <c r="Z370" s="16" t="s">
        <v>44</v>
      </c>
      <c r="AA370" s="25">
        <v>46181</v>
      </c>
      <c r="AB370" s="25">
        <v>46183</v>
      </c>
      <c r="AC370" s="16" t="s">
        <v>537</v>
      </c>
      <c r="AD370" s="16"/>
      <c r="AE370" s="16" t="s">
        <v>538</v>
      </c>
      <c r="AF370" s="16"/>
      <c r="AG370" s="21" t="s">
        <v>539</v>
      </c>
      <c r="XFD370" s="15" t="str">
        <f>+Tabla3[[#This Row],[ESTATUS DE NUM ECONOMICO]]</f>
        <v>ACTIVA</v>
      </c>
    </row>
    <row r="371" spans="1:33 16384:16384" ht="15.75" thickBot="1" x14ac:dyDescent="0.3">
      <c r="A371" s="8">
        <v>68</v>
      </c>
      <c r="B371" s="9">
        <v>46177</v>
      </c>
      <c r="C371" s="10" t="s">
        <v>87</v>
      </c>
      <c r="D371" s="11"/>
      <c r="E371" s="16">
        <v>20</v>
      </c>
      <c r="F371" s="9">
        <v>46178</v>
      </c>
      <c r="G371" s="212" t="str">
        <f>IFERROR(VLOOKUP(Tabla3[[#This Row],[NUM ECONOMICO]],MAQUINARIA!B:H,7,0), " MAQ")</f>
        <v>ACTIVA</v>
      </c>
      <c r="H371" s="214" t="s">
        <v>94</v>
      </c>
      <c r="I371" s="41" t="s">
        <v>555</v>
      </c>
      <c r="J371" s="10"/>
      <c r="K371" s="10">
        <v>1</v>
      </c>
      <c r="L371" s="12"/>
      <c r="M371" s="13">
        <f t="shared" si="5"/>
        <v>0</v>
      </c>
      <c r="N371" s="41"/>
      <c r="O371" s="10"/>
      <c r="P371" s="10">
        <f>Tabla3[[#This Row],[COSTO UNITARIO DOLARES EN HAWTHORNE]]*Tabla3[[#This Row],[CANTIDAD SOLICTADA]]</f>
        <v>0</v>
      </c>
      <c r="Q371" s="41"/>
      <c r="R371" s="229"/>
      <c r="S371" s="229">
        <f>+Tabla3[[#This Row],[COSTO UNITARIO DOLARES CTP]]*Tabla3[[#This Row],[CANTIDAD SOLICTADA]]</f>
        <v>0</v>
      </c>
      <c r="T371" s="41"/>
      <c r="U371" s="14" t="s">
        <v>4</v>
      </c>
      <c r="V371" s="8" t="s">
        <v>536</v>
      </c>
      <c r="W371" s="10"/>
      <c r="X371" s="10" t="s">
        <v>96</v>
      </c>
      <c r="Y371" s="10">
        <v>15</v>
      </c>
      <c r="Z371" s="16"/>
      <c r="AA371" s="16"/>
      <c r="AB371" s="16"/>
      <c r="AC371" s="16"/>
      <c r="AD371" s="16"/>
      <c r="AE371" s="16" t="s">
        <v>147</v>
      </c>
      <c r="AF371" s="16"/>
      <c r="AG371" s="21" t="s">
        <v>539</v>
      </c>
      <c r="XFD371" s="15" t="str">
        <f>+Tabla3[[#This Row],[ESTATUS DE NUM ECONOMICO]]</f>
        <v>ACTIVA</v>
      </c>
    </row>
    <row r="372" spans="1:33 16384:16384" ht="15.75" thickBot="1" x14ac:dyDescent="0.3">
      <c r="A372" s="8">
        <v>68</v>
      </c>
      <c r="B372" s="9">
        <v>46177</v>
      </c>
      <c r="C372" s="10" t="s">
        <v>87</v>
      </c>
      <c r="D372" s="11"/>
      <c r="E372" s="16">
        <v>20</v>
      </c>
      <c r="F372" s="9">
        <v>46178</v>
      </c>
      <c r="G372" s="212" t="str">
        <f>IFERROR(VLOOKUP(Tabla3[[#This Row],[NUM ECONOMICO]],MAQUINARIA!B:H,7,0), " MAQ")</f>
        <v>ACTIVA</v>
      </c>
      <c r="H372" s="214" t="s">
        <v>94</v>
      </c>
      <c r="I372" s="41" t="s">
        <v>556</v>
      </c>
      <c r="J372" s="10"/>
      <c r="K372" s="10">
        <v>13</v>
      </c>
      <c r="L372" s="12"/>
      <c r="M372" s="13">
        <f t="shared" si="5"/>
        <v>0</v>
      </c>
      <c r="N372" s="41"/>
      <c r="O372" s="10"/>
      <c r="P372" s="10">
        <f>Tabla3[[#This Row],[COSTO UNITARIO DOLARES EN HAWTHORNE]]*Tabla3[[#This Row],[CANTIDAD SOLICTADA]]</f>
        <v>0</v>
      </c>
      <c r="Q372" s="41"/>
      <c r="R372" s="229"/>
      <c r="S372" s="229">
        <f>+Tabla3[[#This Row],[COSTO UNITARIO DOLARES CTP]]*Tabla3[[#This Row],[CANTIDAD SOLICTADA]]</f>
        <v>0</v>
      </c>
      <c r="T372" s="41"/>
      <c r="U372" s="14" t="s">
        <v>4</v>
      </c>
      <c r="V372" s="8" t="s">
        <v>536</v>
      </c>
      <c r="W372" s="10"/>
      <c r="X372" s="10" t="s">
        <v>96</v>
      </c>
      <c r="Y372" s="10">
        <v>18</v>
      </c>
      <c r="Z372" s="16"/>
      <c r="AA372" s="16"/>
      <c r="AB372" s="16"/>
      <c r="AC372" s="16"/>
      <c r="AD372" s="16"/>
      <c r="AE372" s="16" t="s">
        <v>147</v>
      </c>
      <c r="AF372" s="16"/>
      <c r="AG372" s="21" t="s">
        <v>539</v>
      </c>
      <c r="XFD372" s="15" t="str">
        <f>+Tabla3[[#This Row],[ESTATUS DE NUM ECONOMICO]]</f>
        <v>ACTIVA</v>
      </c>
    </row>
    <row r="373" spans="1:33 16384:16384" ht="15.75" thickBot="1" x14ac:dyDescent="0.3">
      <c r="A373" s="8">
        <v>68</v>
      </c>
      <c r="B373" s="9">
        <v>46177</v>
      </c>
      <c r="C373" s="10" t="s">
        <v>87</v>
      </c>
      <c r="D373" s="10" t="s">
        <v>535</v>
      </c>
      <c r="E373" s="16">
        <v>20</v>
      </c>
      <c r="F373" s="9">
        <v>46178</v>
      </c>
      <c r="G373" s="212" t="str">
        <f>IFERROR(VLOOKUP(Tabla3[[#This Row],[NUM ECONOMICO]],MAQUINARIA!B:H,7,0), " MAQ")</f>
        <v>ACTIVA</v>
      </c>
      <c r="H373" s="214" t="s">
        <v>94</v>
      </c>
      <c r="I373" s="41" t="s">
        <v>334</v>
      </c>
      <c r="J373" s="10"/>
      <c r="K373" s="10">
        <v>12</v>
      </c>
      <c r="L373" s="12"/>
      <c r="M373" s="13">
        <f t="shared" si="5"/>
        <v>0</v>
      </c>
      <c r="N373" s="41"/>
      <c r="O373" s="10"/>
      <c r="P373" s="10">
        <f>Tabla3[[#This Row],[COSTO UNITARIO DOLARES EN HAWTHORNE]]*Tabla3[[#This Row],[CANTIDAD SOLICTADA]]</f>
        <v>0</v>
      </c>
      <c r="Q373" s="41"/>
      <c r="R373" s="229"/>
      <c r="S373" s="229">
        <f>+Tabla3[[#This Row],[COSTO UNITARIO DOLARES CTP]]*Tabla3[[#This Row],[CANTIDAD SOLICTADA]]</f>
        <v>0</v>
      </c>
      <c r="T373" s="41"/>
      <c r="U373" s="14" t="s">
        <v>4</v>
      </c>
      <c r="V373" s="8" t="s">
        <v>536</v>
      </c>
      <c r="W373" s="9">
        <v>46182</v>
      </c>
      <c r="X373" s="10" t="s">
        <v>89</v>
      </c>
      <c r="Y373" s="10" t="s">
        <v>90</v>
      </c>
      <c r="Z373" s="16" t="s">
        <v>44</v>
      </c>
      <c r="AA373" s="25">
        <v>46181</v>
      </c>
      <c r="AB373" s="25">
        <v>46183</v>
      </c>
      <c r="AC373" s="16" t="s">
        <v>537</v>
      </c>
      <c r="AD373" s="16"/>
      <c r="AE373" s="16" t="s">
        <v>538</v>
      </c>
      <c r="AF373" s="16"/>
      <c r="AG373" s="21" t="s">
        <v>539</v>
      </c>
      <c r="XFD373" s="15" t="str">
        <f>+Tabla3[[#This Row],[ESTATUS DE NUM ECONOMICO]]</f>
        <v>ACTIVA</v>
      </c>
    </row>
    <row r="374" spans="1:33 16384:16384" ht="15.75" thickBot="1" x14ac:dyDescent="0.3">
      <c r="A374" s="8">
        <v>68</v>
      </c>
      <c r="B374" s="9">
        <v>46177</v>
      </c>
      <c r="C374" s="10" t="s">
        <v>87</v>
      </c>
      <c r="D374" s="10" t="s">
        <v>535</v>
      </c>
      <c r="E374" s="16">
        <v>20</v>
      </c>
      <c r="F374" s="9">
        <v>46178</v>
      </c>
      <c r="G374" s="212" t="str">
        <f>IFERROR(VLOOKUP(Tabla3[[#This Row],[NUM ECONOMICO]],MAQUINARIA!B:H,7,0), " MAQ")</f>
        <v>ACTIVA</v>
      </c>
      <c r="H374" s="214" t="s">
        <v>94</v>
      </c>
      <c r="I374" s="41" t="s">
        <v>336</v>
      </c>
      <c r="J374" s="10"/>
      <c r="K374" s="10">
        <v>6</v>
      </c>
      <c r="L374" s="12"/>
      <c r="M374" s="13">
        <f t="shared" si="5"/>
        <v>0</v>
      </c>
      <c r="N374" s="41"/>
      <c r="O374" s="10"/>
      <c r="P374" s="10">
        <f>Tabla3[[#This Row],[COSTO UNITARIO DOLARES EN HAWTHORNE]]*Tabla3[[#This Row],[CANTIDAD SOLICTADA]]</f>
        <v>0</v>
      </c>
      <c r="Q374" s="41"/>
      <c r="R374" s="229"/>
      <c r="S374" s="229">
        <f>+Tabla3[[#This Row],[COSTO UNITARIO DOLARES CTP]]*Tabla3[[#This Row],[CANTIDAD SOLICTADA]]</f>
        <v>0</v>
      </c>
      <c r="T374" s="41"/>
      <c r="U374" s="14" t="s">
        <v>4</v>
      </c>
      <c r="V374" s="8" t="s">
        <v>536</v>
      </c>
      <c r="W374" s="9">
        <v>46182</v>
      </c>
      <c r="X374" s="10" t="s">
        <v>89</v>
      </c>
      <c r="Y374" s="10">
        <v>0</v>
      </c>
      <c r="Z374" s="16" t="s">
        <v>44</v>
      </c>
      <c r="AA374" s="25">
        <v>46181</v>
      </c>
      <c r="AB374" s="25">
        <v>46183</v>
      </c>
      <c r="AC374" s="16" t="s">
        <v>537</v>
      </c>
      <c r="AD374" s="16"/>
      <c r="AE374" s="16" t="s">
        <v>538</v>
      </c>
      <c r="AF374" s="16"/>
      <c r="AG374" s="21" t="s">
        <v>539</v>
      </c>
      <c r="XFD374" s="15" t="str">
        <f>+Tabla3[[#This Row],[ESTATUS DE NUM ECONOMICO]]</f>
        <v>ACTIVA</v>
      </c>
    </row>
    <row r="375" spans="1:33 16384:16384" ht="15.75" thickBot="1" x14ac:dyDescent="0.3">
      <c r="A375" s="8">
        <v>68</v>
      </c>
      <c r="B375" s="9">
        <v>46177</v>
      </c>
      <c r="C375" s="10" t="s">
        <v>87</v>
      </c>
      <c r="D375" s="10" t="s">
        <v>535</v>
      </c>
      <c r="E375" s="16">
        <v>20</v>
      </c>
      <c r="F375" s="9">
        <v>46178</v>
      </c>
      <c r="G375" s="212" t="str">
        <f>IFERROR(VLOOKUP(Tabla3[[#This Row],[NUM ECONOMICO]],MAQUINARIA!B:H,7,0), " MAQ")</f>
        <v>ACTIVA</v>
      </c>
      <c r="H375" s="214" t="s">
        <v>94</v>
      </c>
      <c r="I375" s="41" t="s">
        <v>335</v>
      </c>
      <c r="J375" s="10"/>
      <c r="K375" s="10">
        <v>16</v>
      </c>
      <c r="L375" s="12"/>
      <c r="M375" s="13">
        <f t="shared" si="5"/>
        <v>0</v>
      </c>
      <c r="N375" s="41"/>
      <c r="O375" s="10"/>
      <c r="P375" s="10">
        <f>Tabla3[[#This Row],[COSTO UNITARIO DOLARES EN HAWTHORNE]]*Tabla3[[#This Row],[CANTIDAD SOLICTADA]]</f>
        <v>0</v>
      </c>
      <c r="Q375" s="41"/>
      <c r="R375" s="229"/>
      <c r="S375" s="229">
        <f>+Tabla3[[#This Row],[COSTO UNITARIO DOLARES CTP]]*Tabla3[[#This Row],[CANTIDAD SOLICTADA]]</f>
        <v>0</v>
      </c>
      <c r="T375" s="41"/>
      <c r="U375" s="14" t="s">
        <v>4</v>
      </c>
      <c r="V375" s="8" t="s">
        <v>536</v>
      </c>
      <c r="W375" s="9">
        <v>46182</v>
      </c>
      <c r="X375" s="10" t="s">
        <v>89</v>
      </c>
      <c r="Y375" s="10">
        <v>13</v>
      </c>
      <c r="Z375" s="16" t="s">
        <v>44</v>
      </c>
      <c r="AA375" s="25">
        <v>46181</v>
      </c>
      <c r="AB375" s="25">
        <v>46183</v>
      </c>
      <c r="AC375" s="16" t="s">
        <v>537</v>
      </c>
      <c r="AD375" s="16"/>
      <c r="AE375" s="16" t="s">
        <v>538</v>
      </c>
      <c r="AF375" s="16"/>
      <c r="AG375" s="21" t="s">
        <v>539</v>
      </c>
      <c r="XFD375" s="15" t="str">
        <f>+Tabla3[[#This Row],[ESTATUS DE NUM ECONOMICO]]</f>
        <v>ACTIVA</v>
      </c>
    </row>
    <row r="376" spans="1:33 16384:16384" ht="15.75" thickBot="1" x14ac:dyDescent="0.3">
      <c r="A376" s="8">
        <v>68</v>
      </c>
      <c r="B376" s="9">
        <v>46177</v>
      </c>
      <c r="C376" s="10" t="s">
        <v>87</v>
      </c>
      <c r="D376" s="10" t="s">
        <v>535</v>
      </c>
      <c r="E376" s="16">
        <v>20</v>
      </c>
      <c r="F376" s="9">
        <v>46178</v>
      </c>
      <c r="G376" s="212" t="str">
        <f>IFERROR(VLOOKUP(Tabla3[[#This Row],[NUM ECONOMICO]],MAQUINARIA!B:H,7,0), " MAQ")</f>
        <v>ACTIVA</v>
      </c>
      <c r="H376" s="214" t="s">
        <v>94</v>
      </c>
      <c r="I376" s="41" t="s">
        <v>548</v>
      </c>
      <c r="J376" s="10"/>
      <c r="K376" s="10">
        <v>7</v>
      </c>
      <c r="L376" s="12"/>
      <c r="M376" s="13">
        <f t="shared" si="5"/>
        <v>0</v>
      </c>
      <c r="N376" s="41"/>
      <c r="O376" s="10"/>
      <c r="P376" s="10">
        <f>Tabla3[[#This Row],[COSTO UNITARIO DOLARES EN HAWTHORNE]]*Tabla3[[#This Row],[CANTIDAD SOLICTADA]]</f>
        <v>0</v>
      </c>
      <c r="Q376" s="41"/>
      <c r="R376" s="229"/>
      <c r="S376" s="229">
        <f>+Tabla3[[#This Row],[COSTO UNITARIO DOLARES CTP]]*Tabla3[[#This Row],[CANTIDAD SOLICTADA]]</f>
        <v>0</v>
      </c>
      <c r="T376" s="41"/>
      <c r="U376" s="14" t="s">
        <v>4</v>
      </c>
      <c r="V376" s="8" t="s">
        <v>536</v>
      </c>
      <c r="W376" s="9">
        <v>46182</v>
      </c>
      <c r="X376" s="10" t="s">
        <v>89</v>
      </c>
      <c r="Y376" s="10">
        <v>7</v>
      </c>
      <c r="Z376" s="16" t="s">
        <v>44</v>
      </c>
      <c r="AA376" s="25">
        <v>46181</v>
      </c>
      <c r="AB376" s="25">
        <v>46183</v>
      </c>
      <c r="AC376" s="16" t="s">
        <v>537</v>
      </c>
      <c r="AD376" s="16"/>
      <c r="AE376" s="16" t="s">
        <v>538</v>
      </c>
      <c r="AF376" s="16"/>
      <c r="AG376" s="21" t="s">
        <v>539</v>
      </c>
      <c r="XFD376" s="15" t="str">
        <f>+Tabla3[[#This Row],[ESTATUS DE NUM ECONOMICO]]</f>
        <v>ACTIVA</v>
      </c>
    </row>
    <row r="377" spans="1:33 16384:16384" ht="15.75" thickBot="1" x14ac:dyDescent="0.3">
      <c r="A377" s="8">
        <v>68</v>
      </c>
      <c r="B377" s="9">
        <v>46177</v>
      </c>
      <c r="C377" s="10" t="s">
        <v>87</v>
      </c>
      <c r="D377" s="10" t="s">
        <v>535</v>
      </c>
      <c r="E377" s="16">
        <v>20</v>
      </c>
      <c r="F377" s="9">
        <v>46178</v>
      </c>
      <c r="G377" s="212" t="str">
        <f>IFERROR(VLOOKUP(Tabla3[[#This Row],[NUM ECONOMICO]],MAQUINARIA!B:H,7,0), " MAQ")</f>
        <v>ACTIVA</v>
      </c>
      <c r="H377" s="214" t="s">
        <v>94</v>
      </c>
      <c r="I377" s="41" t="s">
        <v>337</v>
      </c>
      <c r="J377" s="10"/>
      <c r="K377" s="10">
        <v>3</v>
      </c>
      <c r="L377" s="12"/>
      <c r="M377" s="13">
        <f t="shared" si="5"/>
        <v>0</v>
      </c>
      <c r="N377" s="41"/>
      <c r="O377" s="10"/>
      <c r="P377" s="10">
        <f>Tabla3[[#This Row],[COSTO UNITARIO DOLARES EN HAWTHORNE]]*Tabla3[[#This Row],[CANTIDAD SOLICTADA]]</f>
        <v>0</v>
      </c>
      <c r="Q377" s="41"/>
      <c r="R377" s="229"/>
      <c r="S377" s="229">
        <f>+Tabla3[[#This Row],[COSTO UNITARIO DOLARES CTP]]*Tabla3[[#This Row],[CANTIDAD SOLICTADA]]</f>
        <v>0</v>
      </c>
      <c r="T377" s="41"/>
      <c r="U377" s="14" t="s">
        <v>4</v>
      </c>
      <c r="V377" s="8" t="s">
        <v>536</v>
      </c>
      <c r="W377" s="10"/>
      <c r="X377" s="10" t="s">
        <v>96</v>
      </c>
      <c r="Y377" s="10">
        <v>18</v>
      </c>
      <c r="Z377" s="16" t="s">
        <v>44</v>
      </c>
      <c r="AA377" s="25">
        <v>46181</v>
      </c>
      <c r="AB377" s="25">
        <v>46183</v>
      </c>
      <c r="AC377" s="16"/>
      <c r="AD377" s="16"/>
      <c r="AE377" s="16" t="s">
        <v>557</v>
      </c>
      <c r="AF377" s="16"/>
      <c r="AG377" s="21" t="s">
        <v>539</v>
      </c>
      <c r="XFD377" s="15" t="str">
        <f>+Tabla3[[#This Row],[ESTATUS DE NUM ECONOMICO]]</f>
        <v>ACTIVA</v>
      </c>
    </row>
    <row r="378" spans="1:33 16384:16384" ht="15.75" thickBot="1" x14ac:dyDescent="0.3">
      <c r="A378" s="8">
        <v>68</v>
      </c>
      <c r="B378" s="9">
        <v>46177</v>
      </c>
      <c r="C378" s="10" t="s">
        <v>87</v>
      </c>
      <c r="D378" s="10" t="s">
        <v>535</v>
      </c>
      <c r="E378" s="16">
        <v>20</v>
      </c>
      <c r="F378" s="9">
        <v>46178</v>
      </c>
      <c r="G378" s="212" t="str">
        <f>IFERROR(VLOOKUP(Tabla3[[#This Row],[NUM ECONOMICO]],MAQUINARIA!B:H,7,0), " MAQ")</f>
        <v>ACTIVA</v>
      </c>
      <c r="H378" s="214" t="s">
        <v>94</v>
      </c>
      <c r="I378" s="41" t="s">
        <v>341</v>
      </c>
      <c r="J378" s="10"/>
      <c r="K378" s="10">
        <v>3</v>
      </c>
      <c r="L378" s="12"/>
      <c r="M378" s="13">
        <f t="shared" si="5"/>
        <v>0</v>
      </c>
      <c r="N378" s="41"/>
      <c r="O378" s="10"/>
      <c r="P378" s="10">
        <f>Tabla3[[#This Row],[COSTO UNITARIO DOLARES EN HAWTHORNE]]*Tabla3[[#This Row],[CANTIDAD SOLICTADA]]</f>
        <v>0</v>
      </c>
      <c r="Q378" s="41"/>
      <c r="R378" s="229"/>
      <c r="S378" s="229">
        <f>+Tabla3[[#This Row],[COSTO UNITARIO DOLARES CTP]]*Tabla3[[#This Row],[CANTIDAD SOLICTADA]]</f>
        <v>0</v>
      </c>
      <c r="T378" s="41"/>
      <c r="U378" s="14" t="s">
        <v>4</v>
      </c>
      <c r="V378" s="8" t="s">
        <v>536</v>
      </c>
      <c r="W378" s="10"/>
      <c r="X378" s="10" t="s">
        <v>96</v>
      </c>
      <c r="Y378" s="10">
        <v>1</v>
      </c>
      <c r="Z378" s="16"/>
      <c r="AA378" s="16"/>
      <c r="AB378" s="16"/>
      <c r="AC378" s="16"/>
      <c r="AD378" s="16"/>
      <c r="AE378" s="16" t="s">
        <v>557</v>
      </c>
      <c r="AF378" s="16"/>
      <c r="AG378" s="21" t="s">
        <v>539</v>
      </c>
      <c r="XFD378" s="15" t="str">
        <f>+Tabla3[[#This Row],[ESTATUS DE NUM ECONOMICO]]</f>
        <v>ACTIVA</v>
      </c>
    </row>
    <row r="379" spans="1:33 16384:16384" ht="15.75" thickBot="1" x14ac:dyDescent="0.3">
      <c r="A379" s="8">
        <v>68</v>
      </c>
      <c r="B379" s="9">
        <v>46177</v>
      </c>
      <c r="C379" s="10" t="s">
        <v>87</v>
      </c>
      <c r="D379" s="10" t="s">
        <v>535</v>
      </c>
      <c r="E379" s="16">
        <v>20</v>
      </c>
      <c r="F379" s="9">
        <v>46178</v>
      </c>
      <c r="G379" s="212" t="str">
        <f>IFERROR(VLOOKUP(Tabla3[[#This Row],[NUM ECONOMICO]],MAQUINARIA!B:H,7,0), " MAQ")</f>
        <v>ACTIVA</v>
      </c>
      <c r="H379" s="214" t="s">
        <v>94</v>
      </c>
      <c r="I379" s="41" t="s">
        <v>558</v>
      </c>
      <c r="J379" s="10"/>
      <c r="K379" s="10">
        <v>10</v>
      </c>
      <c r="L379" s="12"/>
      <c r="M379" s="13">
        <f t="shared" si="5"/>
        <v>0</v>
      </c>
      <c r="N379" s="41"/>
      <c r="O379" s="10"/>
      <c r="P379" s="10">
        <f>Tabla3[[#This Row],[COSTO UNITARIO DOLARES EN HAWTHORNE]]*Tabla3[[#This Row],[CANTIDAD SOLICTADA]]</f>
        <v>0</v>
      </c>
      <c r="Q379" s="41"/>
      <c r="R379" s="229"/>
      <c r="S379" s="229">
        <f>+Tabla3[[#This Row],[COSTO UNITARIO DOLARES CTP]]*Tabla3[[#This Row],[CANTIDAD SOLICTADA]]</f>
        <v>0</v>
      </c>
      <c r="T379" s="41"/>
      <c r="U379" s="14" t="s">
        <v>4</v>
      </c>
      <c r="V379" s="8" t="s">
        <v>536</v>
      </c>
      <c r="W379" s="9">
        <v>46182</v>
      </c>
      <c r="X379" s="10" t="s">
        <v>89</v>
      </c>
      <c r="Y379" s="10">
        <v>1</v>
      </c>
      <c r="Z379" s="16" t="s">
        <v>44</v>
      </c>
      <c r="AA379" s="25">
        <v>46181</v>
      </c>
      <c r="AB379" s="25">
        <v>46183</v>
      </c>
      <c r="AC379" s="16" t="s">
        <v>537</v>
      </c>
      <c r="AD379" s="16"/>
      <c r="AE379" s="16" t="s">
        <v>538</v>
      </c>
      <c r="AF379" s="16"/>
      <c r="AG379" s="21" t="s">
        <v>539</v>
      </c>
      <c r="XFD379" s="15" t="str">
        <f>+Tabla3[[#This Row],[ESTATUS DE NUM ECONOMICO]]</f>
        <v>ACTIVA</v>
      </c>
    </row>
    <row r="380" spans="1:33 16384:16384" ht="15.75" thickBot="1" x14ac:dyDescent="0.3">
      <c r="A380" s="8">
        <v>68</v>
      </c>
      <c r="B380" s="9">
        <v>46177</v>
      </c>
      <c r="C380" s="10" t="s">
        <v>87</v>
      </c>
      <c r="D380" s="10" t="s">
        <v>535</v>
      </c>
      <c r="E380" s="16">
        <v>20</v>
      </c>
      <c r="F380" s="9">
        <v>46178</v>
      </c>
      <c r="G380" s="212" t="str">
        <f>IFERROR(VLOOKUP(Tabla3[[#This Row],[NUM ECONOMICO]],MAQUINARIA!B:H,7,0), " MAQ")</f>
        <v>ACTIVA</v>
      </c>
      <c r="H380" s="214" t="s">
        <v>94</v>
      </c>
      <c r="I380" s="41" t="s">
        <v>95</v>
      </c>
      <c r="J380" s="10"/>
      <c r="K380" s="10">
        <v>10</v>
      </c>
      <c r="L380" s="12"/>
      <c r="M380" s="13">
        <f t="shared" si="5"/>
        <v>0</v>
      </c>
      <c r="N380" s="41"/>
      <c r="O380" s="10"/>
      <c r="P380" s="10">
        <f>Tabla3[[#This Row],[COSTO UNITARIO DOLARES EN HAWTHORNE]]*Tabla3[[#This Row],[CANTIDAD SOLICTADA]]</f>
        <v>0</v>
      </c>
      <c r="Q380" s="41"/>
      <c r="R380" s="229"/>
      <c r="S380" s="229">
        <f>+Tabla3[[#This Row],[COSTO UNITARIO DOLARES CTP]]*Tabla3[[#This Row],[CANTIDAD SOLICTADA]]</f>
        <v>0</v>
      </c>
      <c r="T380" s="41"/>
      <c r="U380" s="14" t="s">
        <v>4</v>
      </c>
      <c r="V380" s="8" t="s">
        <v>536</v>
      </c>
      <c r="W380" s="9">
        <v>46182</v>
      </c>
      <c r="X380" s="10" t="s">
        <v>89</v>
      </c>
      <c r="Y380" s="10">
        <v>6</v>
      </c>
      <c r="Z380" s="16" t="s">
        <v>44</v>
      </c>
      <c r="AA380" s="25">
        <v>46181</v>
      </c>
      <c r="AB380" s="25">
        <v>46183</v>
      </c>
      <c r="AC380" s="16" t="s">
        <v>537</v>
      </c>
      <c r="AD380" s="16"/>
      <c r="AE380" s="16" t="s">
        <v>538</v>
      </c>
      <c r="AF380" s="16"/>
      <c r="AG380" s="21" t="s">
        <v>539</v>
      </c>
      <c r="XFD380" s="15" t="str">
        <f>+Tabla3[[#This Row],[ESTATUS DE NUM ECONOMICO]]</f>
        <v>ACTIVA</v>
      </c>
    </row>
    <row r="381" spans="1:33 16384:16384" ht="15.75" thickBot="1" x14ac:dyDescent="0.3">
      <c r="A381" s="8">
        <v>68</v>
      </c>
      <c r="B381" s="9">
        <v>46177</v>
      </c>
      <c r="C381" s="10" t="s">
        <v>87</v>
      </c>
      <c r="D381" s="10" t="s">
        <v>535</v>
      </c>
      <c r="E381" s="16">
        <v>20</v>
      </c>
      <c r="F381" s="9">
        <v>46178</v>
      </c>
      <c r="G381" s="212" t="str">
        <f>IFERROR(VLOOKUP(Tabla3[[#This Row],[NUM ECONOMICO]],MAQUINARIA!B:H,7,0), " MAQ")</f>
        <v>ACTIVA</v>
      </c>
      <c r="H381" s="214" t="s">
        <v>94</v>
      </c>
      <c r="I381" s="41" t="s">
        <v>559</v>
      </c>
      <c r="J381" s="10"/>
      <c r="K381" s="10">
        <v>3</v>
      </c>
      <c r="L381" s="12"/>
      <c r="M381" s="13">
        <f t="shared" si="5"/>
        <v>0</v>
      </c>
      <c r="N381" s="41"/>
      <c r="O381" s="10"/>
      <c r="P381" s="10">
        <f>Tabla3[[#This Row],[COSTO UNITARIO DOLARES EN HAWTHORNE]]*Tabla3[[#This Row],[CANTIDAD SOLICTADA]]</f>
        <v>0</v>
      </c>
      <c r="Q381" s="41"/>
      <c r="R381" s="229"/>
      <c r="S381" s="229">
        <f>+Tabla3[[#This Row],[COSTO UNITARIO DOLARES CTP]]*Tabla3[[#This Row],[CANTIDAD SOLICTADA]]</f>
        <v>0</v>
      </c>
      <c r="T381" s="41"/>
      <c r="U381" s="14" t="s">
        <v>4</v>
      </c>
      <c r="V381" s="8" t="s">
        <v>536</v>
      </c>
      <c r="W381" s="9">
        <v>46182</v>
      </c>
      <c r="X381" s="10" t="s">
        <v>89</v>
      </c>
      <c r="Y381" s="10">
        <v>1</v>
      </c>
      <c r="Z381" s="16" t="s">
        <v>44</v>
      </c>
      <c r="AA381" s="25">
        <v>46181</v>
      </c>
      <c r="AB381" s="25">
        <v>46183</v>
      </c>
      <c r="AC381" s="16" t="s">
        <v>537</v>
      </c>
      <c r="AD381" s="16"/>
      <c r="AE381" s="16" t="s">
        <v>538</v>
      </c>
      <c r="AF381" s="16"/>
      <c r="AG381" s="21" t="s">
        <v>539</v>
      </c>
      <c r="XFD381" s="15" t="str">
        <f>+Tabla3[[#This Row],[ESTATUS DE NUM ECONOMICO]]</f>
        <v>ACTIVA</v>
      </c>
    </row>
    <row r="382" spans="1:33 16384:16384" ht="15.75" thickBot="1" x14ac:dyDescent="0.3">
      <c r="A382" s="8">
        <v>68</v>
      </c>
      <c r="B382" s="9">
        <v>46177</v>
      </c>
      <c r="C382" s="10" t="s">
        <v>87</v>
      </c>
      <c r="D382" s="10" t="s">
        <v>535</v>
      </c>
      <c r="E382" s="16">
        <v>20</v>
      </c>
      <c r="F382" s="9">
        <v>46178</v>
      </c>
      <c r="G382" s="212" t="str">
        <f>IFERROR(VLOOKUP(Tabla3[[#This Row],[NUM ECONOMICO]],MAQUINARIA!B:H,7,0), " MAQ")</f>
        <v>ACTIVA</v>
      </c>
      <c r="H382" s="214" t="s">
        <v>94</v>
      </c>
      <c r="I382" s="41" t="s">
        <v>313</v>
      </c>
      <c r="J382" s="10" t="s">
        <v>292</v>
      </c>
      <c r="K382" s="10">
        <v>2</v>
      </c>
      <c r="L382" s="12"/>
      <c r="M382" s="13">
        <f t="shared" si="5"/>
        <v>0</v>
      </c>
      <c r="N382" s="41"/>
      <c r="O382" s="10"/>
      <c r="P382" s="10">
        <f>Tabla3[[#This Row],[COSTO UNITARIO DOLARES EN HAWTHORNE]]*Tabla3[[#This Row],[CANTIDAD SOLICTADA]]</f>
        <v>0</v>
      </c>
      <c r="Q382" s="41"/>
      <c r="R382" s="229">
        <v>0.13</v>
      </c>
      <c r="S382" s="229">
        <f>+Tabla3[[#This Row],[COSTO UNITARIO DOLARES CTP]]*Tabla3[[#This Row],[CANTIDAD SOLICTADA]]</f>
        <v>0.26</v>
      </c>
      <c r="T382" s="41"/>
      <c r="U382" s="14" t="s">
        <v>4</v>
      </c>
      <c r="V382" s="8" t="s">
        <v>536</v>
      </c>
      <c r="W382" s="9">
        <v>46182</v>
      </c>
      <c r="X382" s="10" t="s">
        <v>89</v>
      </c>
      <c r="Y382" s="10">
        <v>1</v>
      </c>
      <c r="Z382" s="16" t="s">
        <v>44</v>
      </c>
      <c r="AA382" s="25">
        <v>46181</v>
      </c>
      <c r="AB382" s="25">
        <v>46183</v>
      </c>
      <c r="AC382" s="16" t="s">
        <v>537</v>
      </c>
      <c r="AD382" s="16"/>
      <c r="AE382" s="16" t="s">
        <v>538</v>
      </c>
      <c r="AF382" s="16"/>
      <c r="AG382" s="21" t="s">
        <v>539</v>
      </c>
      <c r="XFD382" s="15" t="str">
        <f>+Tabla3[[#This Row],[ESTATUS DE NUM ECONOMICO]]</f>
        <v>ACTIVA</v>
      </c>
    </row>
    <row r="383" spans="1:33 16384:16384" ht="15.75" thickBot="1" x14ac:dyDescent="0.3">
      <c r="A383" s="8">
        <v>68</v>
      </c>
      <c r="B383" s="9">
        <v>46177</v>
      </c>
      <c r="C383" s="10" t="s">
        <v>87</v>
      </c>
      <c r="D383" s="11"/>
      <c r="E383" s="16">
        <v>20</v>
      </c>
      <c r="F383" s="9">
        <v>46178</v>
      </c>
      <c r="G383" s="212" t="str">
        <f>IFERROR(VLOOKUP(Tabla3[[#This Row],[NUM ECONOMICO]],MAQUINARIA!B:H,7,0), " MAQ")</f>
        <v>ACTIVA</v>
      </c>
      <c r="H383" s="214" t="s">
        <v>94</v>
      </c>
      <c r="I383" s="41" t="s">
        <v>428</v>
      </c>
      <c r="J383" s="10"/>
      <c r="K383" s="10">
        <v>4</v>
      </c>
      <c r="L383" s="12"/>
      <c r="M383" s="13">
        <f t="shared" si="5"/>
        <v>0</v>
      </c>
      <c r="N383" s="41"/>
      <c r="O383" s="10"/>
      <c r="P383" s="10">
        <f>Tabla3[[#This Row],[COSTO UNITARIO DOLARES EN HAWTHORNE]]*Tabla3[[#This Row],[CANTIDAD SOLICTADA]]</f>
        <v>0</v>
      </c>
      <c r="Q383" s="41"/>
      <c r="R383" s="229"/>
      <c r="S383" s="229">
        <f>+Tabla3[[#This Row],[COSTO UNITARIO DOLARES CTP]]*Tabla3[[#This Row],[CANTIDAD SOLICTADA]]</f>
        <v>0</v>
      </c>
      <c r="T383" s="41"/>
      <c r="U383" s="14" t="s">
        <v>4</v>
      </c>
      <c r="V383" s="8" t="s">
        <v>536</v>
      </c>
      <c r="W383" s="10"/>
      <c r="X383" s="10" t="s">
        <v>96</v>
      </c>
      <c r="Y383" s="10">
        <v>0</v>
      </c>
      <c r="Z383" s="16"/>
      <c r="AA383" s="16"/>
      <c r="AB383" s="16"/>
      <c r="AC383" s="16"/>
      <c r="AD383" s="16"/>
      <c r="AE383" s="16" t="s">
        <v>147</v>
      </c>
      <c r="AF383" s="16"/>
      <c r="AG383" s="21" t="s">
        <v>539</v>
      </c>
      <c r="XFD383" s="15" t="str">
        <f>+Tabla3[[#This Row],[ESTATUS DE NUM ECONOMICO]]</f>
        <v>ACTIVA</v>
      </c>
    </row>
    <row r="384" spans="1:33 16384:16384" ht="15.75" thickBot="1" x14ac:dyDescent="0.3">
      <c r="A384" s="8">
        <v>68</v>
      </c>
      <c r="B384" s="9">
        <v>46177</v>
      </c>
      <c r="C384" s="10" t="s">
        <v>87</v>
      </c>
      <c r="D384" s="10" t="s">
        <v>535</v>
      </c>
      <c r="E384" s="16">
        <v>20</v>
      </c>
      <c r="F384" s="9">
        <v>46178</v>
      </c>
      <c r="G384" s="212" t="str">
        <f>IFERROR(VLOOKUP(Tabla3[[#This Row],[NUM ECONOMICO]],MAQUINARIA!B:H,7,0), " MAQ")</f>
        <v>ACTIVA</v>
      </c>
      <c r="H384" s="214" t="s">
        <v>94</v>
      </c>
      <c r="I384" s="41" t="s">
        <v>560</v>
      </c>
      <c r="J384" s="10"/>
      <c r="K384" s="10">
        <v>3</v>
      </c>
      <c r="L384" s="12"/>
      <c r="M384" s="13">
        <f t="shared" si="5"/>
        <v>0</v>
      </c>
      <c r="N384" s="41"/>
      <c r="O384" s="10"/>
      <c r="P384" s="10">
        <f>Tabla3[[#This Row],[COSTO UNITARIO DOLARES EN HAWTHORNE]]*Tabla3[[#This Row],[CANTIDAD SOLICTADA]]</f>
        <v>0</v>
      </c>
      <c r="Q384" s="41"/>
      <c r="R384" s="229"/>
      <c r="S384" s="229">
        <f>+Tabla3[[#This Row],[COSTO UNITARIO DOLARES CTP]]*Tabla3[[#This Row],[CANTIDAD SOLICTADA]]</f>
        <v>0</v>
      </c>
      <c r="T384" s="41"/>
      <c r="U384" s="14" t="s">
        <v>4</v>
      </c>
      <c r="V384" s="8" t="s">
        <v>536</v>
      </c>
      <c r="W384" s="9">
        <v>46182</v>
      </c>
      <c r="X384" s="10" t="s">
        <v>89</v>
      </c>
      <c r="Y384" s="10" t="s">
        <v>90</v>
      </c>
      <c r="Z384" s="16" t="s">
        <v>44</v>
      </c>
      <c r="AA384" s="25">
        <v>46181</v>
      </c>
      <c r="AB384" s="25">
        <v>46183</v>
      </c>
      <c r="AC384" s="16" t="s">
        <v>537</v>
      </c>
      <c r="AD384" s="16"/>
      <c r="AE384" s="16" t="s">
        <v>538</v>
      </c>
      <c r="AF384" s="16"/>
      <c r="AG384" s="21" t="s">
        <v>539</v>
      </c>
      <c r="XFD384" s="15" t="str">
        <f>+Tabla3[[#This Row],[ESTATUS DE NUM ECONOMICO]]</f>
        <v>ACTIVA</v>
      </c>
    </row>
    <row r="385" spans="1:33 16384:16384" ht="15.75" thickBot="1" x14ac:dyDescent="0.3">
      <c r="A385" s="8">
        <v>69</v>
      </c>
      <c r="B385" s="9">
        <v>46178</v>
      </c>
      <c r="C385" s="10" t="s">
        <v>87</v>
      </c>
      <c r="D385" s="10" t="s">
        <v>561</v>
      </c>
      <c r="E385" s="16">
        <v>23</v>
      </c>
      <c r="F385" s="9">
        <v>46178</v>
      </c>
      <c r="G385" s="212" t="str">
        <f>IFERROR(VLOOKUP(Tabla3[[#This Row],[NUM ECONOMICO]],MAQUINARIA!B:H,7,0), " MAQ")</f>
        <v>ACTIVA</v>
      </c>
      <c r="H385" s="214" t="s">
        <v>492</v>
      </c>
      <c r="I385" s="41">
        <v>2409538</v>
      </c>
      <c r="J385" s="10"/>
      <c r="K385" s="10">
        <v>2</v>
      </c>
      <c r="L385" s="12"/>
      <c r="M385" s="13">
        <f t="shared" si="5"/>
        <v>0</v>
      </c>
      <c r="N385" s="41"/>
      <c r="O385" s="10"/>
      <c r="P385" s="10">
        <f>Tabla3[[#This Row],[COSTO UNITARIO DOLARES EN HAWTHORNE]]*Tabla3[[#This Row],[CANTIDAD SOLICTADA]]</f>
        <v>0</v>
      </c>
      <c r="Q385" s="43"/>
      <c r="R385" s="230"/>
      <c r="S385" s="230">
        <f>+Tabla3[[#This Row],[COSTO UNITARIO DOLARES CTP]]*Tabla3[[#This Row],[CANTIDAD SOLICTADA]]</f>
        <v>0</v>
      </c>
      <c r="T385" s="43"/>
      <c r="U385" s="26" t="s">
        <v>4</v>
      </c>
      <c r="V385" s="8" t="s">
        <v>562</v>
      </c>
      <c r="W385" s="9">
        <v>46182</v>
      </c>
      <c r="X385" s="10" t="s">
        <v>96</v>
      </c>
      <c r="Y385" s="10">
        <v>2</v>
      </c>
      <c r="Z385" s="16" t="s">
        <v>44</v>
      </c>
      <c r="AA385" s="25">
        <v>46181</v>
      </c>
      <c r="AB385" s="25">
        <v>46182</v>
      </c>
      <c r="AC385" s="16" t="s">
        <v>91</v>
      </c>
      <c r="AD385" s="16"/>
      <c r="AE385" s="16" t="s">
        <v>563</v>
      </c>
      <c r="AF385" s="16"/>
      <c r="AG385" s="21" t="s">
        <v>564</v>
      </c>
      <c r="XFD385" s="15" t="str">
        <f>+Tabla3[[#This Row],[ESTATUS DE NUM ECONOMICO]]</f>
        <v>ACTIVA</v>
      </c>
    </row>
    <row r="386" spans="1:33 16384:16384" ht="15.75" thickBot="1" x14ac:dyDescent="0.3">
      <c r="A386" s="8">
        <v>70</v>
      </c>
      <c r="B386" s="9">
        <v>46178</v>
      </c>
      <c r="C386" s="10" t="s">
        <v>87</v>
      </c>
      <c r="D386" s="11"/>
      <c r="E386" s="16">
        <v>6</v>
      </c>
      <c r="F386" s="9">
        <v>46178</v>
      </c>
      <c r="G386" s="212" t="str">
        <f>IFERROR(VLOOKUP(Tabla3[[#This Row],[NUM ECONOMICO]],MAQUINARIA!B:H,7,0), " MAQ")</f>
        <v>ACTIVA</v>
      </c>
      <c r="H386" s="214" t="s">
        <v>129</v>
      </c>
      <c r="I386" s="41">
        <v>2470272</v>
      </c>
      <c r="J386" s="10"/>
      <c r="K386" s="10">
        <v>1</v>
      </c>
      <c r="L386" s="13">
        <v>2111.66</v>
      </c>
      <c r="M386" s="13">
        <f t="shared" ref="M386:M449" si="6">+L386*K386</f>
        <v>2111.66</v>
      </c>
      <c r="N386" s="41"/>
      <c r="O386" s="10"/>
      <c r="P386" s="10">
        <f>Tabla3[[#This Row],[COSTO UNITARIO DOLARES EN HAWTHORNE]]*Tabla3[[#This Row],[CANTIDAD SOLICTADA]]</f>
        <v>0</v>
      </c>
      <c r="Q386" s="208"/>
      <c r="R386" s="231"/>
      <c r="S386" s="231">
        <f>+Tabla3[[#This Row],[COSTO UNITARIO DOLARES CTP]]*Tabla3[[#This Row],[CANTIDAD SOLICTADA]]</f>
        <v>0</v>
      </c>
      <c r="T386" s="208"/>
      <c r="U386" s="24" t="s">
        <v>8</v>
      </c>
      <c r="V386" s="8" t="s">
        <v>565</v>
      </c>
      <c r="W386" s="10"/>
      <c r="X386" s="10" t="s">
        <v>89</v>
      </c>
      <c r="Y386" s="10" t="s">
        <v>90</v>
      </c>
      <c r="Z386" s="16" t="s">
        <v>44</v>
      </c>
      <c r="AA386" s="25">
        <v>46200</v>
      </c>
      <c r="AB386" s="16"/>
      <c r="AC386" s="16"/>
      <c r="AD386" s="16"/>
      <c r="AE386" s="16" t="s">
        <v>566</v>
      </c>
      <c r="AF386" s="16"/>
      <c r="AG386" s="21" t="s">
        <v>567</v>
      </c>
      <c r="XFD386" s="15" t="str">
        <f>+Tabla3[[#This Row],[ESTATUS DE NUM ECONOMICO]]</f>
        <v>ACTIVA</v>
      </c>
    </row>
    <row r="387" spans="1:33 16384:16384" ht="15.75" thickBot="1" x14ac:dyDescent="0.3">
      <c r="A387" s="8">
        <v>71</v>
      </c>
      <c r="B387" s="9">
        <v>46198</v>
      </c>
      <c r="C387" s="10" t="s">
        <v>87</v>
      </c>
      <c r="D387" s="11"/>
      <c r="E387" s="16">
        <v>57</v>
      </c>
      <c r="F387" s="9">
        <v>46178</v>
      </c>
      <c r="G387" s="212" t="str">
        <f>IFERROR(VLOOKUP(Tabla3[[#This Row],[NUM ECONOMICO]],MAQUINARIA!B:H,7,0), " MAQ")</f>
        <v>ACTIVA</v>
      </c>
      <c r="H387" s="214" t="s">
        <v>224</v>
      </c>
      <c r="I387" s="41">
        <v>1091633</v>
      </c>
      <c r="J387" s="10"/>
      <c r="K387" s="10">
        <v>1</v>
      </c>
      <c r="L387" s="13">
        <v>468.12</v>
      </c>
      <c r="M387" s="13">
        <f t="shared" si="6"/>
        <v>468.12</v>
      </c>
      <c r="N387" s="41"/>
      <c r="O387" s="10"/>
      <c r="P387" s="10">
        <f>Tabla3[[#This Row],[COSTO UNITARIO DOLARES EN HAWTHORNE]]*Tabla3[[#This Row],[CANTIDAD SOLICTADA]]</f>
        <v>0</v>
      </c>
      <c r="Q387" s="41"/>
      <c r="R387" s="229"/>
      <c r="S387" s="229">
        <f>+Tabla3[[#This Row],[COSTO UNITARIO DOLARES CTP]]*Tabla3[[#This Row],[CANTIDAD SOLICTADA]]</f>
        <v>0</v>
      </c>
      <c r="T387" s="41"/>
      <c r="U387" s="19" t="s">
        <v>7</v>
      </c>
      <c r="V387" s="8" t="s">
        <v>568</v>
      </c>
      <c r="W387" s="10"/>
      <c r="X387" s="10" t="s">
        <v>89</v>
      </c>
      <c r="Y387" s="10" t="s">
        <v>90</v>
      </c>
      <c r="Z387" s="16"/>
      <c r="AA387" s="16"/>
      <c r="AB387" s="16"/>
      <c r="AC387" s="16"/>
      <c r="AD387" s="16"/>
      <c r="AE387" s="16"/>
      <c r="AF387" s="27" t="s">
        <v>569</v>
      </c>
      <c r="AG387" s="21" t="s">
        <v>570</v>
      </c>
      <c r="XFD387" s="15" t="str">
        <f>+Tabla3[[#This Row],[ESTATUS DE NUM ECONOMICO]]</f>
        <v>ACTIVA</v>
      </c>
    </row>
    <row r="388" spans="1:33 16384:16384" ht="15.75" thickBot="1" x14ac:dyDescent="0.3">
      <c r="A388" s="8">
        <v>71</v>
      </c>
      <c r="B388" s="9">
        <v>46198</v>
      </c>
      <c r="C388" s="10" t="s">
        <v>87</v>
      </c>
      <c r="D388" s="11"/>
      <c r="E388" s="16">
        <v>57</v>
      </c>
      <c r="F388" s="9">
        <v>46178</v>
      </c>
      <c r="G388" s="212" t="str">
        <f>IFERROR(VLOOKUP(Tabla3[[#This Row],[NUM ECONOMICO]],MAQUINARIA!B:H,7,0), " MAQ")</f>
        <v>ACTIVA</v>
      </c>
      <c r="H388" s="214" t="s">
        <v>224</v>
      </c>
      <c r="I388" s="41">
        <v>1091634</v>
      </c>
      <c r="J388" s="10"/>
      <c r="K388" s="10">
        <v>1</v>
      </c>
      <c r="L388" s="13">
        <v>442.79</v>
      </c>
      <c r="M388" s="13">
        <f t="shared" si="6"/>
        <v>442.79</v>
      </c>
      <c r="N388" s="41"/>
      <c r="O388" s="10"/>
      <c r="P388" s="10">
        <f>Tabla3[[#This Row],[COSTO UNITARIO DOLARES EN HAWTHORNE]]*Tabla3[[#This Row],[CANTIDAD SOLICTADA]]</f>
        <v>0</v>
      </c>
      <c r="Q388" s="41"/>
      <c r="R388" s="229"/>
      <c r="S388" s="229">
        <f>+Tabla3[[#This Row],[COSTO UNITARIO DOLARES CTP]]*Tabla3[[#This Row],[CANTIDAD SOLICTADA]]</f>
        <v>0</v>
      </c>
      <c r="T388" s="41"/>
      <c r="U388" s="19" t="s">
        <v>7</v>
      </c>
      <c r="V388" s="8" t="s">
        <v>568</v>
      </c>
      <c r="W388" s="10"/>
      <c r="X388" s="10" t="s">
        <v>89</v>
      </c>
      <c r="Y388" s="10" t="s">
        <v>90</v>
      </c>
      <c r="Z388" s="16"/>
      <c r="AA388" s="16"/>
      <c r="AB388" s="16"/>
      <c r="AC388" s="16"/>
      <c r="AD388" s="16"/>
      <c r="AE388" s="16"/>
      <c r="AF388" s="27" t="s">
        <v>569</v>
      </c>
      <c r="AG388" s="21" t="s">
        <v>570</v>
      </c>
      <c r="XFD388" s="15" t="str">
        <f>+Tabla3[[#This Row],[ESTATUS DE NUM ECONOMICO]]</f>
        <v>ACTIVA</v>
      </c>
    </row>
    <row r="389" spans="1:33 16384:16384" ht="15.75" thickBot="1" x14ac:dyDescent="0.3">
      <c r="A389" s="8">
        <v>71</v>
      </c>
      <c r="B389" s="9">
        <v>46198</v>
      </c>
      <c r="C389" s="10" t="s">
        <v>87</v>
      </c>
      <c r="D389" s="11"/>
      <c r="E389" s="16">
        <v>57</v>
      </c>
      <c r="F389" s="9">
        <v>46178</v>
      </c>
      <c r="G389" s="212" t="str">
        <f>IFERROR(VLOOKUP(Tabla3[[#This Row],[NUM ECONOMICO]],MAQUINARIA!B:H,7,0), " MAQ")</f>
        <v>ACTIVA</v>
      </c>
      <c r="H389" s="214" t="s">
        <v>224</v>
      </c>
      <c r="I389" s="41" t="s">
        <v>571</v>
      </c>
      <c r="J389" s="10"/>
      <c r="K389" s="10">
        <v>2</v>
      </c>
      <c r="L389" s="13">
        <v>135.58000000000001</v>
      </c>
      <c r="M389" s="13">
        <f t="shared" si="6"/>
        <v>271.16000000000003</v>
      </c>
      <c r="N389" s="41"/>
      <c r="O389" s="10"/>
      <c r="P389" s="10">
        <f>Tabla3[[#This Row],[COSTO UNITARIO DOLARES EN HAWTHORNE]]*Tabla3[[#This Row],[CANTIDAD SOLICTADA]]</f>
        <v>0</v>
      </c>
      <c r="Q389" s="41"/>
      <c r="R389" s="229"/>
      <c r="S389" s="229">
        <f>+Tabla3[[#This Row],[COSTO UNITARIO DOLARES CTP]]*Tabla3[[#This Row],[CANTIDAD SOLICTADA]]</f>
        <v>0</v>
      </c>
      <c r="T389" s="41"/>
      <c r="U389" s="19" t="s">
        <v>7</v>
      </c>
      <c r="V389" s="8" t="s">
        <v>568</v>
      </c>
      <c r="W389" s="10"/>
      <c r="X389" s="10" t="s">
        <v>96</v>
      </c>
      <c r="Y389" s="10">
        <v>0</v>
      </c>
      <c r="Z389" s="16"/>
      <c r="AA389" s="16"/>
      <c r="AB389" s="16"/>
      <c r="AC389" s="16"/>
      <c r="AD389" s="16"/>
      <c r="AE389" s="16"/>
      <c r="AF389" s="27" t="s">
        <v>569</v>
      </c>
      <c r="AG389" s="21" t="s">
        <v>570</v>
      </c>
      <c r="XFD389" s="15" t="str">
        <f>+Tabla3[[#This Row],[ESTATUS DE NUM ECONOMICO]]</f>
        <v>ACTIVA</v>
      </c>
    </row>
    <row r="390" spans="1:33 16384:16384" ht="15.75" thickBot="1" x14ac:dyDescent="0.3">
      <c r="A390" s="8">
        <v>72</v>
      </c>
      <c r="B390" s="9">
        <v>46181</v>
      </c>
      <c r="C390" s="10" t="s">
        <v>87</v>
      </c>
      <c r="D390" s="11"/>
      <c r="E390" s="16"/>
      <c r="F390" s="10"/>
      <c r="G390" s="212" t="str">
        <f>IFERROR(VLOOKUP(Tabla3[[#This Row],[NUM ECONOMICO]],MAQUINARIA!B:H,7,0), " MAQ")</f>
        <v>INACTIVA</v>
      </c>
      <c r="H390" s="214" t="s">
        <v>504</v>
      </c>
      <c r="I390" s="41" t="s">
        <v>572</v>
      </c>
      <c r="J390" s="10" t="s">
        <v>479</v>
      </c>
      <c r="K390" s="10">
        <v>1</v>
      </c>
      <c r="L390" s="12"/>
      <c r="M390" s="13">
        <f t="shared" si="6"/>
        <v>0</v>
      </c>
      <c r="N390" s="41"/>
      <c r="O390" s="10"/>
      <c r="P390" s="10">
        <f>Tabla3[[#This Row],[COSTO UNITARIO DOLARES EN HAWTHORNE]]*Tabla3[[#This Row],[CANTIDAD SOLICTADA]]</f>
        <v>0</v>
      </c>
      <c r="Q390" s="41"/>
      <c r="R390" s="229">
        <v>249.74</v>
      </c>
      <c r="S390" s="229">
        <f>+Tabla3[[#This Row],[COSTO UNITARIO DOLARES CTP]]*Tabla3[[#This Row],[CANTIDAD SOLICTADA]]</f>
        <v>249.74</v>
      </c>
      <c r="T390" s="41"/>
      <c r="U390" s="14" t="s">
        <v>4</v>
      </c>
      <c r="V390" s="8" t="s">
        <v>573</v>
      </c>
      <c r="W390" s="9">
        <v>46191</v>
      </c>
      <c r="X390" s="10" t="s">
        <v>89</v>
      </c>
      <c r="Y390" s="10">
        <v>1</v>
      </c>
      <c r="Z390" s="16" t="s">
        <v>574</v>
      </c>
      <c r="AA390" s="25">
        <v>46181</v>
      </c>
      <c r="AB390" s="16"/>
      <c r="AC390" s="16" t="s">
        <v>91</v>
      </c>
      <c r="AD390" s="16"/>
      <c r="AE390" s="16" t="s">
        <v>575</v>
      </c>
      <c r="AF390" s="16"/>
      <c r="AG390" s="21" t="s">
        <v>576</v>
      </c>
      <c r="XFD390" s="15" t="str">
        <f>+Tabla3[[#This Row],[ESTATUS DE NUM ECONOMICO]]</f>
        <v>INACTIVA</v>
      </c>
    </row>
    <row r="391" spans="1:33 16384:16384" ht="15.75" thickBot="1" x14ac:dyDescent="0.3">
      <c r="A391" s="8">
        <v>72</v>
      </c>
      <c r="B391" s="9">
        <v>46181</v>
      </c>
      <c r="C391" s="10" t="s">
        <v>87</v>
      </c>
      <c r="D391" s="11"/>
      <c r="E391" s="16"/>
      <c r="F391" s="10"/>
      <c r="G391" s="212" t="str">
        <f>IFERROR(VLOOKUP(Tabla3[[#This Row],[NUM ECONOMICO]],MAQUINARIA!B:H,7,0), " MAQ")</f>
        <v>INACTIVA</v>
      </c>
      <c r="H391" s="214" t="s">
        <v>504</v>
      </c>
      <c r="I391" s="41" t="s">
        <v>577</v>
      </c>
      <c r="J391" s="10"/>
      <c r="K391" s="10">
        <v>8</v>
      </c>
      <c r="L391" s="12"/>
      <c r="M391" s="13">
        <f t="shared" si="6"/>
        <v>0</v>
      </c>
      <c r="N391" s="41"/>
      <c r="O391" s="10"/>
      <c r="P391" s="10">
        <f>Tabla3[[#This Row],[COSTO UNITARIO DOLARES EN HAWTHORNE]]*Tabla3[[#This Row],[CANTIDAD SOLICTADA]]</f>
        <v>0</v>
      </c>
      <c r="Q391" s="41"/>
      <c r="R391" s="229"/>
      <c r="S391" s="229">
        <f>+Tabla3[[#This Row],[COSTO UNITARIO DOLARES CTP]]*Tabla3[[#This Row],[CANTIDAD SOLICTADA]]</f>
        <v>0</v>
      </c>
      <c r="T391" s="41"/>
      <c r="U391" s="14" t="s">
        <v>4</v>
      </c>
      <c r="V391" s="8" t="s">
        <v>573</v>
      </c>
      <c r="W391" s="9">
        <v>46191</v>
      </c>
      <c r="X391" s="10" t="s">
        <v>89</v>
      </c>
      <c r="Y391" s="10">
        <v>127</v>
      </c>
      <c r="Z391" s="16" t="s">
        <v>574</v>
      </c>
      <c r="AA391" s="25">
        <v>46181</v>
      </c>
      <c r="AB391" s="16"/>
      <c r="AC391" s="16" t="s">
        <v>91</v>
      </c>
      <c r="AD391" s="16"/>
      <c r="AE391" s="16" t="s">
        <v>575</v>
      </c>
      <c r="AF391" s="16"/>
      <c r="AG391" s="21" t="s">
        <v>576</v>
      </c>
      <c r="XFD391" s="15" t="str">
        <f>+Tabla3[[#This Row],[ESTATUS DE NUM ECONOMICO]]</f>
        <v>INACTIVA</v>
      </c>
    </row>
    <row r="392" spans="1:33 16384:16384" ht="15.75" thickBot="1" x14ac:dyDescent="0.3">
      <c r="A392" s="8">
        <v>72</v>
      </c>
      <c r="B392" s="9">
        <v>46181</v>
      </c>
      <c r="C392" s="10" t="s">
        <v>87</v>
      </c>
      <c r="D392" s="11"/>
      <c r="E392" s="16"/>
      <c r="F392" s="10"/>
      <c r="G392" s="212" t="str">
        <f>IFERROR(VLOOKUP(Tabla3[[#This Row],[NUM ECONOMICO]],MAQUINARIA!B:H,7,0), " MAQ")</f>
        <v>INACTIVA</v>
      </c>
      <c r="H392" s="214" t="s">
        <v>504</v>
      </c>
      <c r="I392" s="41" t="s">
        <v>578</v>
      </c>
      <c r="J392" s="10"/>
      <c r="K392" s="10">
        <v>8</v>
      </c>
      <c r="L392" s="12"/>
      <c r="M392" s="13">
        <f t="shared" si="6"/>
        <v>0</v>
      </c>
      <c r="N392" s="41"/>
      <c r="O392" s="10"/>
      <c r="P392" s="10">
        <f>Tabla3[[#This Row],[COSTO UNITARIO DOLARES EN HAWTHORNE]]*Tabla3[[#This Row],[CANTIDAD SOLICTADA]]</f>
        <v>0</v>
      </c>
      <c r="Q392" s="41"/>
      <c r="R392" s="229"/>
      <c r="S392" s="229">
        <f>+Tabla3[[#This Row],[COSTO UNITARIO DOLARES CTP]]*Tabla3[[#This Row],[CANTIDAD SOLICTADA]]</f>
        <v>0</v>
      </c>
      <c r="T392" s="41"/>
      <c r="U392" s="14" t="s">
        <v>4</v>
      </c>
      <c r="V392" s="8" t="s">
        <v>573</v>
      </c>
      <c r="W392" s="9">
        <v>46191</v>
      </c>
      <c r="X392" s="10" t="s">
        <v>89</v>
      </c>
      <c r="Y392" s="10">
        <v>125</v>
      </c>
      <c r="Z392" s="16" t="s">
        <v>574</v>
      </c>
      <c r="AA392" s="25">
        <v>46181</v>
      </c>
      <c r="AB392" s="16"/>
      <c r="AC392" s="16" t="s">
        <v>91</v>
      </c>
      <c r="AD392" s="16"/>
      <c r="AE392" s="16" t="s">
        <v>575</v>
      </c>
      <c r="AF392" s="16"/>
      <c r="AG392" s="21" t="s">
        <v>576</v>
      </c>
      <c r="XFD392" s="15" t="str">
        <f>+Tabla3[[#This Row],[ESTATUS DE NUM ECONOMICO]]</f>
        <v>INACTIVA</v>
      </c>
    </row>
    <row r="393" spans="1:33 16384:16384" ht="15.75" thickBot="1" x14ac:dyDescent="0.3">
      <c r="A393" s="8">
        <v>72</v>
      </c>
      <c r="B393" s="9">
        <v>46181</v>
      </c>
      <c r="C393" s="10" t="s">
        <v>87</v>
      </c>
      <c r="D393" s="11"/>
      <c r="E393" s="16"/>
      <c r="F393" s="10"/>
      <c r="G393" s="212" t="str">
        <f>IFERROR(VLOOKUP(Tabla3[[#This Row],[NUM ECONOMICO]],MAQUINARIA!B:H,7,0), " MAQ")</f>
        <v>INACTIVA</v>
      </c>
      <c r="H393" s="214" t="s">
        <v>504</v>
      </c>
      <c r="I393" s="41" t="s">
        <v>579</v>
      </c>
      <c r="J393" s="10"/>
      <c r="K393" s="10">
        <v>1</v>
      </c>
      <c r="L393" s="12"/>
      <c r="M393" s="13">
        <f t="shared" si="6"/>
        <v>0</v>
      </c>
      <c r="N393" s="41"/>
      <c r="O393" s="10"/>
      <c r="P393" s="10">
        <f>Tabla3[[#This Row],[COSTO UNITARIO DOLARES EN HAWTHORNE]]*Tabla3[[#This Row],[CANTIDAD SOLICTADA]]</f>
        <v>0</v>
      </c>
      <c r="Q393" s="41"/>
      <c r="R393" s="229"/>
      <c r="S393" s="229">
        <f>+Tabla3[[#This Row],[COSTO UNITARIO DOLARES CTP]]*Tabla3[[#This Row],[CANTIDAD SOLICTADA]]</f>
        <v>0</v>
      </c>
      <c r="T393" s="41"/>
      <c r="U393" s="14" t="s">
        <v>4</v>
      </c>
      <c r="V393" s="8" t="s">
        <v>573</v>
      </c>
      <c r="W393" s="9">
        <v>46191</v>
      </c>
      <c r="X393" s="10" t="s">
        <v>89</v>
      </c>
      <c r="Y393" s="10">
        <v>1</v>
      </c>
      <c r="Z393" s="16" t="s">
        <v>574</v>
      </c>
      <c r="AA393" s="25">
        <v>46181</v>
      </c>
      <c r="AB393" s="16"/>
      <c r="AC393" s="16" t="s">
        <v>91</v>
      </c>
      <c r="AD393" s="16"/>
      <c r="AE393" s="16" t="s">
        <v>575</v>
      </c>
      <c r="AF393" s="16"/>
      <c r="AG393" s="21" t="s">
        <v>576</v>
      </c>
      <c r="XFD393" s="15" t="str">
        <f>+Tabla3[[#This Row],[ESTATUS DE NUM ECONOMICO]]</f>
        <v>INACTIVA</v>
      </c>
    </row>
    <row r="394" spans="1:33 16384:16384" ht="15.75" thickBot="1" x14ac:dyDescent="0.3">
      <c r="A394" s="8">
        <v>73</v>
      </c>
      <c r="B394" s="9">
        <v>46182</v>
      </c>
      <c r="C394" s="10" t="s">
        <v>112</v>
      </c>
      <c r="D394" s="10" t="s">
        <v>580</v>
      </c>
      <c r="E394" s="16">
        <v>64</v>
      </c>
      <c r="F394" s="9">
        <v>46182</v>
      </c>
      <c r="G394" s="212" t="str">
        <f>IFERROR(VLOOKUP(Tabla3[[#This Row],[NUM ECONOMICO]],MAQUINARIA!B:H,7,0), " MAQ")</f>
        <v>INACTIVA</v>
      </c>
      <c r="H394" s="214" t="s">
        <v>210</v>
      </c>
      <c r="I394" s="41">
        <v>1391537</v>
      </c>
      <c r="J394" s="10"/>
      <c r="K394" s="10">
        <v>2</v>
      </c>
      <c r="L394" s="12"/>
      <c r="M394" s="13">
        <f t="shared" si="6"/>
        <v>0</v>
      </c>
      <c r="N394" s="41"/>
      <c r="O394" s="10"/>
      <c r="P394" s="10">
        <f>Tabla3[[#This Row],[COSTO UNITARIO DOLARES EN HAWTHORNE]]*Tabla3[[#This Row],[CANTIDAD SOLICTADA]]</f>
        <v>0</v>
      </c>
      <c r="Q394" s="41"/>
      <c r="R394" s="229"/>
      <c r="S394" s="229">
        <f>+Tabla3[[#This Row],[COSTO UNITARIO DOLARES CTP]]*Tabla3[[#This Row],[CANTIDAD SOLICTADA]]</f>
        <v>0</v>
      </c>
      <c r="T394" s="41"/>
      <c r="U394" s="14" t="s">
        <v>4</v>
      </c>
      <c r="V394" s="8" t="s">
        <v>581</v>
      </c>
      <c r="W394" s="9">
        <v>46182</v>
      </c>
      <c r="X394" s="10" t="s">
        <v>89</v>
      </c>
      <c r="Y394" s="10">
        <v>2</v>
      </c>
      <c r="Z394" s="16" t="s">
        <v>44</v>
      </c>
      <c r="AA394" s="25">
        <v>46182</v>
      </c>
      <c r="AB394" s="25">
        <v>46182</v>
      </c>
      <c r="AC394" s="16" t="s">
        <v>537</v>
      </c>
      <c r="AD394" s="16"/>
      <c r="AE394" s="16" t="s">
        <v>582</v>
      </c>
      <c r="AF394" s="16"/>
      <c r="AG394" s="21" t="s">
        <v>583</v>
      </c>
      <c r="XFD394" s="15" t="str">
        <f>+Tabla3[[#This Row],[ESTATUS DE NUM ECONOMICO]]</f>
        <v>INACTIVA</v>
      </c>
    </row>
    <row r="395" spans="1:33 16384:16384" ht="15.75" thickBot="1" x14ac:dyDescent="0.3">
      <c r="A395" s="8">
        <v>73</v>
      </c>
      <c r="B395" s="9">
        <v>46182</v>
      </c>
      <c r="C395" s="10" t="s">
        <v>112</v>
      </c>
      <c r="D395" s="11"/>
      <c r="E395" s="16"/>
      <c r="F395" s="10"/>
      <c r="G395" s="212" t="str">
        <f>IFERROR(VLOOKUP(Tabla3[[#This Row],[NUM ECONOMICO]],MAQUINARIA!B:H,7,0), " MAQ")</f>
        <v>INACTIVA</v>
      </c>
      <c r="H395" s="214" t="s">
        <v>210</v>
      </c>
      <c r="I395" s="41">
        <v>1046931</v>
      </c>
      <c r="J395" s="10"/>
      <c r="K395" s="10">
        <v>2</v>
      </c>
      <c r="L395" s="12"/>
      <c r="M395" s="13">
        <f t="shared" si="6"/>
        <v>0</v>
      </c>
      <c r="N395" s="41"/>
      <c r="O395" s="10"/>
      <c r="P395" s="10">
        <f>Tabla3[[#This Row],[COSTO UNITARIO DOLARES EN HAWTHORNE]]*Tabla3[[#This Row],[CANTIDAD SOLICTADA]]</f>
        <v>0</v>
      </c>
      <c r="Q395" s="41"/>
      <c r="R395" s="229"/>
      <c r="S395" s="229">
        <f>+Tabla3[[#This Row],[COSTO UNITARIO DOLARES CTP]]*Tabla3[[#This Row],[CANTIDAD SOLICTADA]]</f>
        <v>0</v>
      </c>
      <c r="T395" s="41"/>
      <c r="U395" s="19" t="s">
        <v>7</v>
      </c>
      <c r="V395" s="17"/>
      <c r="W395" s="10"/>
      <c r="X395" s="10" t="s">
        <v>89</v>
      </c>
      <c r="Y395" s="10" t="s">
        <v>90</v>
      </c>
      <c r="Z395" s="16"/>
      <c r="AA395" s="16"/>
      <c r="AB395" s="16"/>
      <c r="AC395" s="16"/>
      <c r="AD395" s="16"/>
      <c r="AE395" s="16" t="s">
        <v>584</v>
      </c>
      <c r="AF395" s="16"/>
      <c r="AG395" s="21" t="s">
        <v>585</v>
      </c>
      <c r="XFD395" s="15" t="str">
        <f>+Tabla3[[#This Row],[ESTATUS DE NUM ECONOMICO]]</f>
        <v>INACTIVA</v>
      </c>
    </row>
    <row r="396" spans="1:33 16384:16384" ht="15.75" thickBot="1" x14ac:dyDescent="0.3">
      <c r="A396" s="8">
        <v>74</v>
      </c>
      <c r="B396" s="9">
        <v>46182</v>
      </c>
      <c r="C396" s="10" t="s">
        <v>112</v>
      </c>
      <c r="D396" s="10" t="s">
        <v>586</v>
      </c>
      <c r="E396" s="16"/>
      <c r="F396" s="9">
        <v>46182</v>
      </c>
      <c r="G396" s="212" t="str">
        <f>IFERROR(VLOOKUP(Tabla3[[#This Row],[NUM ECONOMICO]],MAQUINARIA!B:H,7,0), " MAQ")</f>
        <v>ACTIVA</v>
      </c>
      <c r="H396" s="214" t="s">
        <v>121</v>
      </c>
      <c r="I396" s="41">
        <v>4656506</v>
      </c>
      <c r="J396" s="10"/>
      <c r="K396" s="10">
        <v>1</v>
      </c>
      <c r="L396" s="12"/>
      <c r="M396" s="13">
        <f t="shared" si="6"/>
        <v>0</v>
      </c>
      <c r="N396" s="41"/>
      <c r="O396" s="10"/>
      <c r="P396" s="10">
        <f>Tabla3[[#This Row],[COSTO UNITARIO DOLARES EN HAWTHORNE]]*Tabla3[[#This Row],[CANTIDAD SOLICTADA]]</f>
        <v>0</v>
      </c>
      <c r="Q396" s="41"/>
      <c r="R396" s="229"/>
      <c r="S396" s="229">
        <f>+Tabla3[[#This Row],[COSTO UNITARIO DOLARES CTP]]*Tabla3[[#This Row],[CANTIDAD SOLICTADA]]</f>
        <v>0</v>
      </c>
      <c r="T396" s="41"/>
      <c r="U396" s="14" t="s">
        <v>4</v>
      </c>
      <c r="V396" s="8" t="s">
        <v>581</v>
      </c>
      <c r="W396" s="10"/>
      <c r="X396" s="10" t="s">
        <v>89</v>
      </c>
      <c r="Y396" s="10" t="s">
        <v>90</v>
      </c>
      <c r="Z396" s="16"/>
      <c r="AA396" s="16"/>
      <c r="AB396" s="16"/>
      <c r="AC396" s="16"/>
      <c r="AD396" s="16"/>
      <c r="AE396" s="16" t="s">
        <v>587</v>
      </c>
      <c r="AF396" s="16"/>
      <c r="AG396" s="21" t="s">
        <v>588</v>
      </c>
      <c r="XFD396" s="15" t="str">
        <f>+Tabla3[[#This Row],[ESTATUS DE NUM ECONOMICO]]</f>
        <v>ACTIVA</v>
      </c>
    </row>
    <row r="397" spans="1:33 16384:16384" ht="15.75" thickBot="1" x14ac:dyDescent="0.3">
      <c r="A397" s="8">
        <v>75</v>
      </c>
      <c r="B397" s="9">
        <v>46182</v>
      </c>
      <c r="C397" s="10" t="s">
        <v>87</v>
      </c>
      <c r="D397" s="11"/>
      <c r="E397" s="16">
        <v>79</v>
      </c>
      <c r="F397" s="9">
        <v>46176</v>
      </c>
      <c r="G397" s="212" t="str">
        <f>IFERROR(VLOOKUP(Tabla3[[#This Row],[NUM ECONOMICO]],MAQUINARIA!B:H,7,0), " MAQ")</f>
        <v>ACTIVA</v>
      </c>
      <c r="H397" s="214" t="s">
        <v>132</v>
      </c>
      <c r="I397" s="41">
        <v>1327994</v>
      </c>
      <c r="J397" s="10" t="s">
        <v>589</v>
      </c>
      <c r="K397" s="10">
        <v>1</v>
      </c>
      <c r="L397" s="13">
        <v>11722.66</v>
      </c>
      <c r="M397" s="13">
        <f t="shared" si="6"/>
        <v>11722.66</v>
      </c>
      <c r="N397" s="41"/>
      <c r="O397" s="287">
        <v>540.77</v>
      </c>
      <c r="P397" s="287">
        <f>Tabla3[[#This Row],[COSTO UNITARIO DOLARES EN HAWTHORNE]]*Tabla3[[#This Row],[CANTIDAD SOLICTADA]]</f>
        <v>540.77</v>
      </c>
      <c r="Q397" s="41" t="s">
        <v>181</v>
      </c>
      <c r="R397" s="229">
        <v>83.71</v>
      </c>
      <c r="S397" s="229">
        <f>+Tabla3[[#This Row],[COSTO UNITARIO DOLARES CTP]]*Tabla3[[#This Row],[CANTIDAD SOLICTADA]]</f>
        <v>83.71</v>
      </c>
      <c r="T397" s="41"/>
      <c r="U397" s="18" t="s">
        <v>5</v>
      </c>
      <c r="V397" s="211" t="s">
        <v>590</v>
      </c>
      <c r="W397" s="10"/>
      <c r="X397" s="10" t="s">
        <v>89</v>
      </c>
      <c r="Y397" s="10">
        <v>1</v>
      </c>
      <c r="Z397" s="16"/>
      <c r="AA397" s="16"/>
      <c r="AB397" s="16"/>
      <c r="AC397" s="16"/>
      <c r="AD397" s="16"/>
      <c r="AE397" s="16" t="s">
        <v>591</v>
      </c>
      <c r="AF397" s="27" t="s">
        <v>592</v>
      </c>
      <c r="AG397" s="21" t="s">
        <v>593</v>
      </c>
      <c r="XFD397" s="15" t="str">
        <f>+Tabla3[[#This Row],[ESTATUS DE NUM ECONOMICO]]</f>
        <v>ACTIVA</v>
      </c>
    </row>
    <row r="398" spans="1:33 16384:16384" ht="15.75" thickBot="1" x14ac:dyDescent="0.3">
      <c r="A398" s="8">
        <v>75</v>
      </c>
      <c r="B398" s="9">
        <v>46182</v>
      </c>
      <c r="C398" s="10" t="s">
        <v>87</v>
      </c>
      <c r="D398" s="11"/>
      <c r="E398" s="16">
        <v>79</v>
      </c>
      <c r="F398" s="9">
        <v>46176</v>
      </c>
      <c r="G398" s="212" t="str">
        <f>IFERROR(VLOOKUP(Tabla3[[#This Row],[NUM ECONOMICO]],MAQUINARIA!B:H,7,0), " MAQ")</f>
        <v>ACTIVA</v>
      </c>
      <c r="H398" s="214" t="s">
        <v>132</v>
      </c>
      <c r="I398" s="41">
        <v>1544492</v>
      </c>
      <c r="J398" s="10" t="s">
        <v>594</v>
      </c>
      <c r="K398" s="10">
        <v>2</v>
      </c>
      <c r="L398" s="13">
        <v>578.73</v>
      </c>
      <c r="M398" s="13">
        <f t="shared" si="6"/>
        <v>1157.46</v>
      </c>
      <c r="N398" s="41"/>
      <c r="O398" s="287">
        <v>31.15</v>
      </c>
      <c r="P398" s="287">
        <f>Tabla3[[#This Row],[COSTO UNITARIO DOLARES EN HAWTHORNE]]*Tabla3[[#This Row],[CANTIDAD SOLICTADA]]</f>
        <v>62.3</v>
      </c>
      <c r="Q398" s="41" t="s">
        <v>181</v>
      </c>
      <c r="R398" s="229">
        <v>6.22</v>
      </c>
      <c r="S398" s="229">
        <f>+Tabla3[[#This Row],[COSTO UNITARIO DOLARES CTP]]*Tabla3[[#This Row],[CANTIDAD SOLICTADA]]</f>
        <v>12.44</v>
      </c>
      <c r="T398" s="41"/>
      <c r="U398" s="18" t="s">
        <v>161</v>
      </c>
      <c r="V398" s="8" t="s">
        <v>590</v>
      </c>
      <c r="W398" s="9">
        <v>46209</v>
      </c>
      <c r="X398" s="10" t="s">
        <v>89</v>
      </c>
      <c r="Y398" s="10">
        <v>1</v>
      </c>
      <c r="Z398" s="9">
        <v>46209</v>
      </c>
      <c r="AA398" s="9">
        <v>46209</v>
      </c>
      <c r="AB398" s="9">
        <v>46209</v>
      </c>
      <c r="AC398" s="16"/>
      <c r="AD398" s="16"/>
      <c r="AE398" s="16" t="s">
        <v>591</v>
      </c>
      <c r="AF398" s="27" t="s">
        <v>161</v>
      </c>
      <c r="AG398" s="21" t="s">
        <v>593</v>
      </c>
      <c r="XFD398" s="15" t="str">
        <f>+Tabla3[[#This Row],[ESTATUS DE NUM ECONOMICO]]</f>
        <v>ACTIVA</v>
      </c>
    </row>
    <row r="399" spans="1:33 16384:16384" ht="15.75" thickBot="1" x14ac:dyDescent="0.3">
      <c r="A399" s="8">
        <v>75</v>
      </c>
      <c r="B399" s="9">
        <v>46182</v>
      </c>
      <c r="C399" s="10" t="s">
        <v>87</v>
      </c>
      <c r="D399" s="11"/>
      <c r="E399" s="16">
        <v>79</v>
      </c>
      <c r="F399" s="9">
        <v>46176</v>
      </c>
      <c r="G399" s="212" t="str">
        <f>IFERROR(VLOOKUP(Tabla3[[#This Row],[NUM ECONOMICO]],MAQUINARIA!B:H,7,0), " MAQ")</f>
        <v>ACTIVA</v>
      </c>
      <c r="H399" s="214" t="s">
        <v>132</v>
      </c>
      <c r="I399" s="41" t="s">
        <v>595</v>
      </c>
      <c r="J399" s="10" t="s">
        <v>596</v>
      </c>
      <c r="K399" s="10">
        <v>8</v>
      </c>
      <c r="L399" s="13">
        <v>462.23</v>
      </c>
      <c r="M399" s="13">
        <f t="shared" si="6"/>
        <v>3697.84</v>
      </c>
      <c r="N399" s="41"/>
      <c r="O399" s="287">
        <v>25.39</v>
      </c>
      <c r="P399" s="287">
        <f>Tabla3[[#This Row],[COSTO UNITARIO DOLARES EN HAWTHORNE]]*Tabla3[[#This Row],[CANTIDAD SOLICTADA]]</f>
        <v>203.12</v>
      </c>
      <c r="Q399" s="41" t="s">
        <v>181</v>
      </c>
      <c r="R399" s="229">
        <v>6.62</v>
      </c>
      <c r="S399" s="229">
        <f>+Tabla3[[#This Row],[COSTO UNITARIO DOLARES CTP]]*Tabla3[[#This Row],[CANTIDAD SOLICTADA]]</f>
        <v>52.96</v>
      </c>
      <c r="T399" s="41"/>
      <c r="U399" s="18" t="s">
        <v>161</v>
      </c>
      <c r="V399" s="8" t="s">
        <v>590</v>
      </c>
      <c r="W399" s="9">
        <v>46209</v>
      </c>
      <c r="X399" s="10" t="s">
        <v>89</v>
      </c>
      <c r="Y399" s="10" t="s">
        <v>90</v>
      </c>
      <c r="Z399" s="9">
        <v>46209</v>
      </c>
      <c r="AA399" s="9">
        <v>46209</v>
      </c>
      <c r="AB399" s="9">
        <v>46209</v>
      </c>
      <c r="AC399" s="16"/>
      <c r="AD399" s="16"/>
      <c r="AE399" s="16" t="s">
        <v>591</v>
      </c>
      <c r="AF399" s="27" t="s">
        <v>161</v>
      </c>
      <c r="AG399" s="21" t="s">
        <v>593</v>
      </c>
      <c r="XFD399" s="15" t="str">
        <f>+Tabla3[[#This Row],[ESTATUS DE NUM ECONOMICO]]</f>
        <v>ACTIVA</v>
      </c>
    </row>
    <row r="400" spans="1:33 16384:16384" ht="15.75" thickBot="1" x14ac:dyDescent="0.3">
      <c r="A400" s="8">
        <v>75</v>
      </c>
      <c r="B400" s="9">
        <v>46182</v>
      </c>
      <c r="C400" s="10" t="s">
        <v>87</v>
      </c>
      <c r="D400" s="11"/>
      <c r="E400" s="16">
        <v>79</v>
      </c>
      <c r="F400" s="9">
        <v>46176</v>
      </c>
      <c r="G400" s="212" t="str">
        <f>IFERROR(VLOOKUP(Tabla3[[#This Row],[NUM ECONOMICO]],MAQUINARIA!B:H,7,0), " MAQ")</f>
        <v>ACTIVA</v>
      </c>
      <c r="H400" s="214" t="s">
        <v>132</v>
      </c>
      <c r="I400" s="41">
        <v>1488385</v>
      </c>
      <c r="J400" s="10" t="s">
        <v>597</v>
      </c>
      <c r="K400" s="10">
        <v>2</v>
      </c>
      <c r="L400" s="13">
        <v>581.22</v>
      </c>
      <c r="M400" s="13">
        <f t="shared" si="6"/>
        <v>1162.44</v>
      </c>
      <c r="N400" s="41"/>
      <c r="O400" s="287">
        <v>0</v>
      </c>
      <c r="P400" s="287">
        <f>Tabla3[[#This Row],[COSTO UNITARIO DOLARES EN HAWTHORNE]]*Tabla3[[#This Row],[CANTIDAD SOLICTADA]]</f>
        <v>0</v>
      </c>
      <c r="Q400" s="41" t="s">
        <v>217</v>
      </c>
      <c r="R400" s="229">
        <v>3.91</v>
      </c>
      <c r="S400" s="229">
        <f>+Tabla3[[#This Row],[COSTO UNITARIO DOLARES CTP]]*Tabla3[[#This Row],[CANTIDAD SOLICTADA]]</f>
        <v>7.82</v>
      </c>
      <c r="T400" s="41"/>
      <c r="U400" s="18" t="s">
        <v>5</v>
      </c>
      <c r="V400" s="211" t="s">
        <v>590</v>
      </c>
      <c r="W400" s="10"/>
      <c r="X400" s="10" t="s">
        <v>89</v>
      </c>
      <c r="Y400" s="10" t="s">
        <v>90</v>
      </c>
      <c r="Z400" s="16"/>
      <c r="AA400" s="16"/>
      <c r="AB400" s="16"/>
      <c r="AC400" s="16"/>
      <c r="AD400" s="16"/>
      <c r="AE400" s="16" t="s">
        <v>591</v>
      </c>
      <c r="AF400" s="27" t="s">
        <v>592</v>
      </c>
      <c r="AG400" s="21" t="s">
        <v>593</v>
      </c>
      <c r="XFD400" s="15" t="str">
        <f>+Tabla3[[#This Row],[ESTATUS DE NUM ECONOMICO]]</f>
        <v>ACTIVA</v>
      </c>
    </row>
    <row r="401" spans="1:33 16384:16384" ht="15.75" thickBot="1" x14ac:dyDescent="0.3">
      <c r="A401" s="8">
        <v>75</v>
      </c>
      <c r="B401" s="9">
        <v>46182</v>
      </c>
      <c r="C401" s="10" t="s">
        <v>87</v>
      </c>
      <c r="D401" s="11"/>
      <c r="E401" s="16">
        <v>79</v>
      </c>
      <c r="F401" s="9">
        <v>46176</v>
      </c>
      <c r="G401" s="212" t="str">
        <f>IFERROR(VLOOKUP(Tabla3[[#This Row],[NUM ECONOMICO]],MAQUINARIA!B:H,7,0), " MAQ")</f>
        <v>ACTIVA</v>
      </c>
      <c r="H401" s="214" t="s">
        <v>132</v>
      </c>
      <c r="I401" s="41" t="s">
        <v>598</v>
      </c>
      <c r="J401" s="10" t="s">
        <v>599</v>
      </c>
      <c r="K401" s="10">
        <v>2</v>
      </c>
      <c r="L401" s="13">
        <v>1173.02</v>
      </c>
      <c r="M401" s="13">
        <f t="shared" si="6"/>
        <v>2346.04</v>
      </c>
      <c r="N401" s="41"/>
      <c r="O401" s="287">
        <v>50.98</v>
      </c>
      <c r="P401" s="287">
        <f>Tabla3[[#This Row],[COSTO UNITARIO DOLARES EN HAWTHORNE]]*Tabla3[[#This Row],[CANTIDAD SOLICTADA]]</f>
        <v>101.96</v>
      </c>
      <c r="Q401" s="41" t="s">
        <v>181</v>
      </c>
      <c r="R401" s="229">
        <v>28.44</v>
      </c>
      <c r="S401" s="229">
        <f>+Tabla3[[#This Row],[COSTO UNITARIO DOLARES CTP]]*Tabla3[[#This Row],[CANTIDAD SOLICTADA]]</f>
        <v>56.88</v>
      </c>
      <c r="T401" s="41"/>
      <c r="U401" s="18" t="s">
        <v>5</v>
      </c>
      <c r="V401" s="211" t="s">
        <v>590</v>
      </c>
      <c r="W401" s="10"/>
      <c r="X401" s="10" t="s">
        <v>89</v>
      </c>
      <c r="Y401" s="10" t="s">
        <v>90</v>
      </c>
      <c r="Z401" s="16"/>
      <c r="AA401" s="16"/>
      <c r="AB401" s="16"/>
      <c r="AC401" s="16"/>
      <c r="AD401" s="16"/>
      <c r="AE401" s="16" t="s">
        <v>591</v>
      </c>
      <c r="AF401" s="27" t="s">
        <v>592</v>
      </c>
      <c r="AG401" s="21" t="s">
        <v>593</v>
      </c>
      <c r="XFD401" s="15" t="str">
        <f>+Tabla3[[#This Row],[ESTATUS DE NUM ECONOMICO]]</f>
        <v>ACTIVA</v>
      </c>
    </row>
    <row r="402" spans="1:33 16384:16384" ht="15.75" thickBot="1" x14ac:dyDescent="0.3">
      <c r="A402" s="8">
        <v>75</v>
      </c>
      <c r="B402" s="9">
        <v>46182</v>
      </c>
      <c r="C402" s="10" t="s">
        <v>87</v>
      </c>
      <c r="D402" s="11"/>
      <c r="E402" s="16">
        <v>79</v>
      </c>
      <c r="F402" s="9">
        <v>46176</v>
      </c>
      <c r="G402" s="212" t="str">
        <f>IFERROR(VLOOKUP(Tabla3[[#This Row],[NUM ECONOMICO]],MAQUINARIA!B:H,7,0), " MAQ")</f>
        <v>ACTIVA</v>
      </c>
      <c r="H402" s="214" t="s">
        <v>132</v>
      </c>
      <c r="I402" s="41">
        <v>2012184</v>
      </c>
      <c r="J402" s="10" t="s">
        <v>600</v>
      </c>
      <c r="K402" s="10">
        <v>8</v>
      </c>
      <c r="L402" s="13">
        <v>152.53</v>
      </c>
      <c r="M402" s="13">
        <f t="shared" si="6"/>
        <v>1220.24</v>
      </c>
      <c r="N402" s="41"/>
      <c r="O402" s="287">
        <v>8.3800000000000008</v>
      </c>
      <c r="P402" s="287">
        <f>Tabla3[[#This Row],[COSTO UNITARIO DOLARES EN HAWTHORNE]]*Tabla3[[#This Row],[CANTIDAD SOLICTADA]]</f>
        <v>67.040000000000006</v>
      </c>
      <c r="Q402" s="41" t="s">
        <v>181</v>
      </c>
      <c r="R402" s="229">
        <v>2.6</v>
      </c>
      <c r="S402" s="229">
        <f>+Tabla3[[#This Row],[COSTO UNITARIO DOLARES CTP]]*Tabla3[[#This Row],[CANTIDAD SOLICTADA]]</f>
        <v>20.8</v>
      </c>
      <c r="T402" s="41"/>
      <c r="U402" s="18" t="s">
        <v>5</v>
      </c>
      <c r="V402" s="211" t="s">
        <v>590</v>
      </c>
      <c r="W402" s="10"/>
      <c r="X402" s="10" t="s">
        <v>89</v>
      </c>
      <c r="Y402" s="10" t="s">
        <v>90</v>
      </c>
      <c r="Z402" s="16"/>
      <c r="AA402" s="16"/>
      <c r="AB402" s="16"/>
      <c r="AC402" s="16"/>
      <c r="AD402" s="16"/>
      <c r="AE402" s="16" t="s">
        <v>591</v>
      </c>
      <c r="AF402" s="27" t="s">
        <v>592</v>
      </c>
      <c r="AG402" s="21" t="s">
        <v>593</v>
      </c>
      <c r="XFD402" s="15" t="str">
        <f>+Tabla3[[#This Row],[ESTATUS DE NUM ECONOMICO]]</f>
        <v>ACTIVA</v>
      </c>
    </row>
    <row r="403" spans="1:33 16384:16384" ht="15.75" thickBot="1" x14ac:dyDescent="0.3">
      <c r="A403" s="8">
        <v>75</v>
      </c>
      <c r="B403" s="9">
        <v>46182</v>
      </c>
      <c r="C403" s="10" t="s">
        <v>87</v>
      </c>
      <c r="D403" s="11"/>
      <c r="E403" s="16">
        <v>79</v>
      </c>
      <c r="F403" s="9">
        <v>46176</v>
      </c>
      <c r="G403" s="212" t="str">
        <f>IFERROR(VLOOKUP(Tabla3[[#This Row],[NUM ECONOMICO]],MAQUINARIA!B:H,7,0), " MAQ")</f>
        <v>ACTIVA</v>
      </c>
      <c r="H403" s="214" t="s">
        <v>132</v>
      </c>
      <c r="I403" s="41">
        <v>2993427</v>
      </c>
      <c r="J403" s="10" t="s">
        <v>601</v>
      </c>
      <c r="K403" s="10">
        <v>8</v>
      </c>
      <c r="L403" s="13">
        <v>43.35</v>
      </c>
      <c r="M403" s="13">
        <f t="shared" si="6"/>
        <v>346.8</v>
      </c>
      <c r="N403" s="41"/>
      <c r="O403" s="287">
        <v>2.39</v>
      </c>
      <c r="P403" s="287">
        <f>Tabla3[[#This Row],[COSTO UNITARIO DOLARES EN HAWTHORNE]]*Tabla3[[#This Row],[CANTIDAD SOLICTADA]]</f>
        <v>19.12</v>
      </c>
      <c r="Q403" s="41" t="s">
        <v>181</v>
      </c>
      <c r="R403" s="229">
        <v>0.53</v>
      </c>
      <c r="S403" s="229">
        <f>+Tabla3[[#This Row],[COSTO UNITARIO DOLARES CTP]]*Tabla3[[#This Row],[CANTIDAD SOLICTADA]]</f>
        <v>4.24</v>
      </c>
      <c r="T403" s="41"/>
      <c r="U403" s="18" t="s">
        <v>5</v>
      </c>
      <c r="V403" s="211" t="s">
        <v>590</v>
      </c>
      <c r="W403" s="10"/>
      <c r="X403" s="10" t="s">
        <v>89</v>
      </c>
      <c r="Y403" s="10" t="s">
        <v>90</v>
      </c>
      <c r="Z403" s="16"/>
      <c r="AA403" s="16"/>
      <c r="AB403" s="16"/>
      <c r="AC403" s="16"/>
      <c r="AD403" s="16"/>
      <c r="AE403" s="16" t="s">
        <v>591</v>
      </c>
      <c r="AF403" s="27" t="s">
        <v>592</v>
      </c>
      <c r="AG403" s="21" t="s">
        <v>593</v>
      </c>
      <c r="XFD403" s="15" t="str">
        <f>+Tabla3[[#This Row],[ESTATUS DE NUM ECONOMICO]]</f>
        <v>ACTIVA</v>
      </c>
    </row>
    <row r="404" spans="1:33 16384:16384" ht="15.75" thickBot="1" x14ac:dyDescent="0.3">
      <c r="A404" s="8">
        <v>75</v>
      </c>
      <c r="B404" s="9">
        <v>46182</v>
      </c>
      <c r="C404" s="10" t="s">
        <v>87</v>
      </c>
      <c r="D404" s="10" t="s">
        <v>602</v>
      </c>
      <c r="E404" s="16">
        <v>79</v>
      </c>
      <c r="F404" s="9">
        <v>46176</v>
      </c>
      <c r="G404" s="212" t="str">
        <f>IFERROR(VLOOKUP(Tabla3[[#This Row],[NUM ECONOMICO]],MAQUINARIA!B:H,7,0), " MAQ")</f>
        <v>ACTIVA</v>
      </c>
      <c r="H404" s="214" t="s">
        <v>234</v>
      </c>
      <c r="I404" s="41">
        <v>2813000</v>
      </c>
      <c r="J404" s="10"/>
      <c r="K404" s="10">
        <v>2</v>
      </c>
      <c r="L404" s="12"/>
      <c r="M404" s="13">
        <f t="shared" si="6"/>
        <v>0</v>
      </c>
      <c r="N404" s="41"/>
      <c r="O404" s="10"/>
      <c r="P404" s="10">
        <f>Tabla3[[#This Row],[COSTO UNITARIO DOLARES EN HAWTHORNE]]*Tabla3[[#This Row],[CANTIDAD SOLICTADA]]</f>
        <v>0</v>
      </c>
      <c r="Q404" s="41"/>
      <c r="R404" s="229"/>
      <c r="S404" s="229">
        <f>+Tabla3[[#This Row],[COSTO UNITARIO DOLARES CTP]]*Tabla3[[#This Row],[CANTIDAD SOLICTADA]]</f>
        <v>0</v>
      </c>
      <c r="T404" s="41"/>
      <c r="U404" s="14" t="s">
        <v>4</v>
      </c>
      <c r="V404" s="17"/>
      <c r="W404" s="9">
        <v>46191</v>
      </c>
      <c r="X404" s="10" t="s">
        <v>89</v>
      </c>
      <c r="Y404" s="10" t="s">
        <v>90</v>
      </c>
      <c r="Z404" s="16" t="s">
        <v>603</v>
      </c>
      <c r="AA404" s="25">
        <v>46185</v>
      </c>
      <c r="AB404" s="25">
        <v>46185</v>
      </c>
      <c r="AC404" s="16" t="s">
        <v>109</v>
      </c>
      <c r="AD404" s="16"/>
      <c r="AE404" s="16" t="s">
        <v>604</v>
      </c>
      <c r="AF404" s="16"/>
      <c r="AG404" s="21" t="s">
        <v>605</v>
      </c>
      <c r="XFD404" s="15" t="str">
        <f>+Tabla3[[#This Row],[ESTATUS DE NUM ECONOMICO]]</f>
        <v>ACTIVA</v>
      </c>
    </row>
    <row r="405" spans="1:33 16384:16384" ht="15.75" thickBot="1" x14ac:dyDescent="0.3">
      <c r="A405" s="8">
        <v>76</v>
      </c>
      <c r="B405" s="9">
        <v>46183</v>
      </c>
      <c r="C405" s="10" t="s">
        <v>87</v>
      </c>
      <c r="D405" s="11"/>
      <c r="E405" s="16">
        <v>13</v>
      </c>
      <c r="F405" s="9">
        <v>46185</v>
      </c>
      <c r="G405" s="212" t="str">
        <f>IFERROR(VLOOKUP(Tabla3[[#This Row],[NUM ECONOMICO]],MAQUINARIA!B:H,7,0), " MAQ")</f>
        <v>ACTIVA</v>
      </c>
      <c r="H405" s="214" t="s">
        <v>121</v>
      </c>
      <c r="I405" s="41" t="s">
        <v>606</v>
      </c>
      <c r="J405" s="10"/>
      <c r="K405" s="10">
        <v>36</v>
      </c>
      <c r="L405" s="12"/>
      <c r="M405" s="13">
        <f t="shared" si="6"/>
        <v>0</v>
      </c>
      <c r="N405" s="41"/>
      <c r="O405" s="10"/>
      <c r="P405" s="10">
        <f>Tabla3[[#This Row],[COSTO UNITARIO DOLARES EN HAWTHORNE]]*Tabla3[[#This Row],[CANTIDAD SOLICTADA]]</f>
        <v>0</v>
      </c>
      <c r="Q405" s="41"/>
      <c r="R405" s="229"/>
      <c r="S405" s="229">
        <f>+Tabla3[[#This Row],[COSTO UNITARIO DOLARES CTP]]*Tabla3[[#This Row],[CANTIDAD SOLICTADA]]</f>
        <v>0</v>
      </c>
      <c r="T405" s="41"/>
      <c r="U405" s="14" t="s">
        <v>4</v>
      </c>
      <c r="V405" s="8" t="s">
        <v>607</v>
      </c>
      <c r="W405" s="10"/>
      <c r="X405" s="10" t="s">
        <v>89</v>
      </c>
      <c r="Y405" s="10">
        <v>50</v>
      </c>
      <c r="Z405" s="16"/>
      <c r="AA405" s="16"/>
      <c r="AB405" s="16"/>
      <c r="AC405" s="16"/>
      <c r="AD405" s="16"/>
      <c r="AE405" s="16"/>
      <c r="AF405" s="16"/>
      <c r="AG405" s="21"/>
      <c r="XFD405" s="15" t="str">
        <f>+Tabla3[[#This Row],[ESTATUS DE NUM ECONOMICO]]</f>
        <v>ACTIVA</v>
      </c>
    </row>
    <row r="406" spans="1:33 16384:16384" ht="15.75" thickBot="1" x14ac:dyDescent="0.3">
      <c r="A406" s="8">
        <v>76</v>
      </c>
      <c r="B406" s="9">
        <v>46183</v>
      </c>
      <c r="C406" s="10" t="s">
        <v>87</v>
      </c>
      <c r="D406" s="11"/>
      <c r="E406" s="16">
        <v>13</v>
      </c>
      <c r="F406" s="9">
        <v>46185</v>
      </c>
      <c r="G406" s="212" t="str">
        <f>IFERROR(VLOOKUP(Tabla3[[#This Row],[NUM ECONOMICO]],MAQUINARIA!B:H,7,0), " MAQ")</f>
        <v>ACTIVA</v>
      </c>
      <c r="H406" s="214" t="s">
        <v>121</v>
      </c>
      <c r="I406" s="41" t="s">
        <v>608</v>
      </c>
      <c r="J406" s="10"/>
      <c r="K406" s="10">
        <v>36</v>
      </c>
      <c r="L406" s="12"/>
      <c r="M406" s="13">
        <f t="shared" si="6"/>
        <v>0</v>
      </c>
      <c r="N406" s="41"/>
      <c r="O406" s="10"/>
      <c r="P406" s="10">
        <f>Tabla3[[#This Row],[COSTO UNITARIO DOLARES EN HAWTHORNE]]*Tabla3[[#This Row],[CANTIDAD SOLICTADA]]</f>
        <v>0</v>
      </c>
      <c r="Q406" s="41"/>
      <c r="R406" s="229"/>
      <c r="S406" s="229">
        <f>+Tabla3[[#This Row],[COSTO UNITARIO DOLARES CTP]]*Tabla3[[#This Row],[CANTIDAD SOLICTADA]]</f>
        <v>0</v>
      </c>
      <c r="T406" s="41"/>
      <c r="U406" s="14" t="s">
        <v>4</v>
      </c>
      <c r="V406" s="8" t="s">
        <v>607</v>
      </c>
      <c r="W406" s="10"/>
      <c r="X406" s="10" t="s">
        <v>89</v>
      </c>
      <c r="Y406" s="10">
        <v>0</v>
      </c>
      <c r="Z406" s="16"/>
      <c r="AA406" s="16"/>
      <c r="AB406" s="16"/>
      <c r="AC406" s="16"/>
      <c r="AD406" s="16"/>
      <c r="AE406" s="16"/>
      <c r="AF406" s="16"/>
      <c r="AG406" s="21" t="s">
        <v>475</v>
      </c>
      <c r="XFD406" s="15" t="str">
        <f>+Tabla3[[#This Row],[ESTATUS DE NUM ECONOMICO]]</f>
        <v>ACTIVA</v>
      </c>
    </row>
    <row r="407" spans="1:33 16384:16384" ht="15.75" thickBot="1" x14ac:dyDescent="0.3">
      <c r="A407" s="8">
        <v>76</v>
      </c>
      <c r="B407" s="9">
        <v>46183</v>
      </c>
      <c r="C407" s="10" t="s">
        <v>87</v>
      </c>
      <c r="D407" s="11"/>
      <c r="E407" s="16">
        <v>13</v>
      </c>
      <c r="F407" s="9">
        <v>46185</v>
      </c>
      <c r="G407" s="212" t="str">
        <f>IFERROR(VLOOKUP(Tabla3[[#This Row],[NUM ECONOMICO]],MAQUINARIA!B:H,7,0), " MAQ")</f>
        <v>ACTIVA</v>
      </c>
      <c r="H407" s="214" t="s">
        <v>121</v>
      </c>
      <c r="I407" s="41" t="s">
        <v>118</v>
      </c>
      <c r="J407" s="10"/>
      <c r="K407" s="10">
        <v>36</v>
      </c>
      <c r="L407" s="12"/>
      <c r="M407" s="13">
        <f t="shared" si="6"/>
        <v>0</v>
      </c>
      <c r="N407" s="41"/>
      <c r="O407" s="10"/>
      <c r="P407" s="10">
        <f>Tabla3[[#This Row],[COSTO UNITARIO DOLARES EN HAWTHORNE]]*Tabla3[[#This Row],[CANTIDAD SOLICTADA]]</f>
        <v>0</v>
      </c>
      <c r="Q407" s="41"/>
      <c r="R407" s="229"/>
      <c r="S407" s="229">
        <f>+Tabla3[[#This Row],[COSTO UNITARIO DOLARES CTP]]*Tabla3[[#This Row],[CANTIDAD SOLICTADA]]</f>
        <v>0</v>
      </c>
      <c r="T407" s="41"/>
      <c r="U407" s="14" t="s">
        <v>4</v>
      </c>
      <c r="V407" s="8" t="s">
        <v>607</v>
      </c>
      <c r="W407" s="10"/>
      <c r="X407" s="10" t="s">
        <v>89</v>
      </c>
      <c r="Y407" s="10">
        <v>682</v>
      </c>
      <c r="Z407" s="16"/>
      <c r="AA407" s="16"/>
      <c r="AB407" s="16"/>
      <c r="AC407" s="16"/>
      <c r="AD407" s="16"/>
      <c r="AE407" s="16"/>
      <c r="AF407" s="16"/>
      <c r="AG407" s="21" t="s">
        <v>475</v>
      </c>
      <c r="XFD407" s="15" t="str">
        <f>+Tabla3[[#This Row],[ESTATUS DE NUM ECONOMICO]]</f>
        <v>ACTIVA</v>
      </c>
    </row>
    <row r="408" spans="1:33 16384:16384" ht="15.75" thickBot="1" x14ac:dyDescent="0.3">
      <c r="A408" s="8">
        <v>76</v>
      </c>
      <c r="B408" s="9">
        <v>46183</v>
      </c>
      <c r="C408" s="10" t="s">
        <v>87</v>
      </c>
      <c r="D408" s="11"/>
      <c r="E408" s="16">
        <v>13</v>
      </c>
      <c r="F408" s="9">
        <v>46185</v>
      </c>
      <c r="G408" s="212" t="str">
        <f>IFERROR(VLOOKUP(Tabla3[[#This Row],[NUM ECONOMICO]],MAQUINARIA!B:H,7,0), " MAQ")</f>
        <v>ACTIVA</v>
      </c>
      <c r="H408" s="214" t="s">
        <v>121</v>
      </c>
      <c r="I408" s="41" t="s">
        <v>609</v>
      </c>
      <c r="J408" s="10"/>
      <c r="K408" s="10">
        <v>1</v>
      </c>
      <c r="L408" s="12"/>
      <c r="M408" s="13">
        <f t="shared" si="6"/>
        <v>0</v>
      </c>
      <c r="N408" s="41"/>
      <c r="O408" s="10"/>
      <c r="P408" s="10">
        <f>Tabla3[[#This Row],[COSTO UNITARIO DOLARES EN HAWTHORNE]]*Tabla3[[#This Row],[CANTIDAD SOLICTADA]]</f>
        <v>0</v>
      </c>
      <c r="Q408" s="41"/>
      <c r="R408" s="229"/>
      <c r="S408" s="229">
        <f>+Tabla3[[#This Row],[COSTO UNITARIO DOLARES CTP]]*Tabla3[[#This Row],[CANTIDAD SOLICTADA]]</f>
        <v>0</v>
      </c>
      <c r="T408" s="41"/>
      <c r="U408" s="14" t="s">
        <v>4</v>
      </c>
      <c r="V408" s="8" t="s">
        <v>607</v>
      </c>
      <c r="W408" s="10"/>
      <c r="X408" s="10" t="s">
        <v>89</v>
      </c>
      <c r="Y408" s="10" t="s">
        <v>90</v>
      </c>
      <c r="Z408" s="16"/>
      <c r="AA408" s="16"/>
      <c r="AB408" s="16"/>
      <c r="AC408" s="16"/>
      <c r="AD408" s="16"/>
      <c r="AE408" s="16"/>
      <c r="AF408" s="16"/>
      <c r="AG408" s="21" t="s">
        <v>475</v>
      </c>
      <c r="XFD408" s="15" t="str">
        <f>+Tabla3[[#This Row],[ESTATUS DE NUM ECONOMICO]]</f>
        <v>ACTIVA</v>
      </c>
    </row>
    <row r="409" spans="1:33 16384:16384" ht="15.75" thickBot="1" x14ac:dyDescent="0.3">
      <c r="A409" s="8">
        <v>76</v>
      </c>
      <c r="B409" s="9">
        <v>46183</v>
      </c>
      <c r="C409" s="10" t="s">
        <v>87</v>
      </c>
      <c r="D409" s="11"/>
      <c r="E409" s="16">
        <v>13</v>
      </c>
      <c r="F409" s="9">
        <v>46185</v>
      </c>
      <c r="G409" s="212" t="str">
        <f>IFERROR(VLOOKUP(Tabla3[[#This Row],[NUM ECONOMICO]],MAQUINARIA!B:H,7,0), " MAQ")</f>
        <v>ACTIVA</v>
      </c>
      <c r="H409" s="214" t="s">
        <v>121</v>
      </c>
      <c r="I409" s="41" t="s">
        <v>610</v>
      </c>
      <c r="J409" s="10"/>
      <c r="K409" s="10">
        <v>1</v>
      </c>
      <c r="L409" s="12"/>
      <c r="M409" s="13">
        <f t="shared" si="6"/>
        <v>0</v>
      </c>
      <c r="N409" s="41"/>
      <c r="O409" s="10"/>
      <c r="P409" s="10">
        <f>Tabla3[[#This Row],[COSTO UNITARIO DOLARES EN HAWTHORNE]]*Tabla3[[#This Row],[CANTIDAD SOLICTADA]]</f>
        <v>0</v>
      </c>
      <c r="Q409" s="41"/>
      <c r="R409" s="229"/>
      <c r="S409" s="229">
        <f>+Tabla3[[#This Row],[COSTO UNITARIO DOLARES CTP]]*Tabla3[[#This Row],[CANTIDAD SOLICTADA]]</f>
        <v>0</v>
      </c>
      <c r="T409" s="41"/>
      <c r="U409" s="14" t="s">
        <v>4</v>
      </c>
      <c r="V409" s="8" t="s">
        <v>607</v>
      </c>
      <c r="W409" s="10"/>
      <c r="X409" s="10" t="s">
        <v>89</v>
      </c>
      <c r="Y409" s="10" t="s">
        <v>90</v>
      </c>
      <c r="Z409" s="16"/>
      <c r="AA409" s="16"/>
      <c r="AB409" s="16"/>
      <c r="AC409" s="16"/>
      <c r="AD409" s="16"/>
      <c r="AE409" s="16"/>
      <c r="AF409" s="16"/>
      <c r="AG409" s="21" t="s">
        <v>475</v>
      </c>
      <c r="XFD409" s="15" t="str">
        <f>+Tabla3[[#This Row],[ESTATUS DE NUM ECONOMICO]]</f>
        <v>ACTIVA</v>
      </c>
    </row>
    <row r="410" spans="1:33 16384:16384" ht="15.75" thickBot="1" x14ac:dyDescent="0.3">
      <c r="A410" s="8">
        <v>77</v>
      </c>
      <c r="B410" s="9">
        <v>46184</v>
      </c>
      <c r="C410" s="10" t="s">
        <v>87</v>
      </c>
      <c r="D410" s="11"/>
      <c r="E410" s="16"/>
      <c r="F410" s="10"/>
      <c r="G410" s="212" t="str">
        <f>IFERROR(VLOOKUP(Tabla3[[#This Row],[NUM ECONOMICO]],MAQUINARIA!B:H,7,0), " MAQ")</f>
        <v>ACTIVA</v>
      </c>
      <c r="H410" s="214" t="s">
        <v>224</v>
      </c>
      <c r="I410" s="41" t="s">
        <v>611</v>
      </c>
      <c r="J410" s="10" t="s">
        <v>612</v>
      </c>
      <c r="K410" s="10">
        <v>2</v>
      </c>
      <c r="L410" s="13">
        <v>3296.52</v>
      </c>
      <c r="M410" s="13">
        <f t="shared" si="6"/>
        <v>6593.04</v>
      </c>
      <c r="N410" s="41"/>
      <c r="O410" s="287">
        <v>105.96</v>
      </c>
      <c r="P410" s="287">
        <f>Tabla3[[#This Row],[COSTO UNITARIO DOLARES EN HAWTHORNE]]*Tabla3[[#This Row],[CANTIDAD SOLICTADA]]</f>
        <v>211.92</v>
      </c>
      <c r="Q410" s="41" t="s">
        <v>181</v>
      </c>
      <c r="R410" s="229"/>
      <c r="S410" s="229">
        <f>+Tabla3[[#This Row],[COSTO UNITARIO DOLARES CTP]]*Tabla3[[#This Row],[CANTIDAD SOLICTADA]]</f>
        <v>0</v>
      </c>
      <c r="T410" s="41"/>
      <c r="U410" s="18" t="s">
        <v>5</v>
      </c>
      <c r="V410" s="211" t="s">
        <v>613</v>
      </c>
      <c r="W410" s="10"/>
      <c r="X410" s="10" t="s">
        <v>89</v>
      </c>
      <c r="Y410" s="10" t="s">
        <v>90</v>
      </c>
      <c r="Z410" s="16"/>
      <c r="AA410" s="16"/>
      <c r="AB410" s="16"/>
      <c r="AC410" s="16"/>
      <c r="AD410" s="16"/>
      <c r="AE410" s="16"/>
      <c r="AF410" s="16"/>
      <c r="AG410" s="21" t="s">
        <v>614</v>
      </c>
      <c r="XFD410" s="15" t="str">
        <f>+Tabla3[[#This Row],[ESTATUS DE NUM ECONOMICO]]</f>
        <v>ACTIVA</v>
      </c>
    </row>
    <row r="411" spans="1:33 16384:16384" ht="15.75" thickBot="1" x14ac:dyDescent="0.3">
      <c r="A411" s="8">
        <v>77</v>
      </c>
      <c r="B411" s="9">
        <v>46184</v>
      </c>
      <c r="C411" s="10" t="s">
        <v>87</v>
      </c>
      <c r="D411" s="11"/>
      <c r="E411" s="16"/>
      <c r="F411" s="10"/>
      <c r="G411" s="212" t="str">
        <f>IFERROR(VLOOKUP(Tabla3[[#This Row],[NUM ECONOMICO]],MAQUINARIA!B:H,7,0), " MAQ")</f>
        <v>ACTIVA</v>
      </c>
      <c r="H411" s="214" t="s">
        <v>224</v>
      </c>
      <c r="I411" s="41" t="s">
        <v>615</v>
      </c>
      <c r="J411" s="10" t="s">
        <v>616</v>
      </c>
      <c r="K411" s="10">
        <v>1</v>
      </c>
      <c r="L411" s="13">
        <v>229.86</v>
      </c>
      <c r="M411" s="13">
        <f t="shared" si="6"/>
        <v>229.86</v>
      </c>
      <c r="N411" s="41"/>
      <c r="O411" s="287">
        <v>12.33</v>
      </c>
      <c r="P411" s="287">
        <f>Tabla3[[#This Row],[COSTO UNITARIO DOLARES EN HAWTHORNE]]*Tabla3[[#This Row],[CANTIDAD SOLICTADA]]</f>
        <v>12.33</v>
      </c>
      <c r="Q411" s="41" t="s">
        <v>181</v>
      </c>
      <c r="R411" s="229">
        <v>1.54</v>
      </c>
      <c r="S411" s="229">
        <f>+Tabla3[[#This Row],[COSTO UNITARIO DOLARES CTP]]*Tabla3[[#This Row],[CANTIDAD SOLICTADA]]</f>
        <v>1.54</v>
      </c>
      <c r="T411" s="41"/>
      <c r="U411" s="18" t="s">
        <v>5</v>
      </c>
      <c r="V411" s="211" t="s">
        <v>613</v>
      </c>
      <c r="W411" s="10"/>
      <c r="X411" s="10" t="s">
        <v>89</v>
      </c>
      <c r="Y411" s="10">
        <v>0</v>
      </c>
      <c r="Z411" s="16"/>
      <c r="AA411" s="16"/>
      <c r="AB411" s="16"/>
      <c r="AC411" s="16"/>
      <c r="AD411" s="16"/>
      <c r="AE411" s="16"/>
      <c r="AF411" s="16"/>
      <c r="AG411" s="21" t="s">
        <v>614</v>
      </c>
      <c r="XFD411" s="15" t="str">
        <f>+Tabla3[[#This Row],[ESTATUS DE NUM ECONOMICO]]</f>
        <v>ACTIVA</v>
      </c>
    </row>
    <row r="412" spans="1:33 16384:16384" ht="15.75" thickBot="1" x14ac:dyDescent="0.3">
      <c r="A412" s="8">
        <v>77</v>
      </c>
      <c r="B412" s="9">
        <v>46184</v>
      </c>
      <c r="C412" s="10" t="s">
        <v>87</v>
      </c>
      <c r="D412" s="11"/>
      <c r="E412" s="16"/>
      <c r="F412" s="10"/>
      <c r="G412" s="212" t="str">
        <f>IFERROR(VLOOKUP(Tabla3[[#This Row],[NUM ECONOMICO]],MAQUINARIA!B:H,7,0), " MAQ")</f>
        <v>ACTIVA</v>
      </c>
      <c r="H412" s="214" t="s">
        <v>224</v>
      </c>
      <c r="I412" s="41" t="s">
        <v>617</v>
      </c>
      <c r="J412" s="10" t="s">
        <v>1819</v>
      </c>
      <c r="K412" s="10">
        <v>1</v>
      </c>
      <c r="L412" s="13">
        <v>177.48</v>
      </c>
      <c r="M412" s="13">
        <f t="shared" si="6"/>
        <v>177.48</v>
      </c>
      <c r="N412" s="41"/>
      <c r="O412" s="287">
        <v>9.5</v>
      </c>
      <c r="P412" s="287">
        <f>Tabla3[[#This Row],[COSTO UNITARIO DOLARES EN HAWTHORNE]]*Tabla3[[#This Row],[CANTIDAD SOLICTADA]]</f>
        <v>9.5</v>
      </c>
      <c r="Q412" s="41" t="s">
        <v>181</v>
      </c>
      <c r="R412" s="229">
        <v>1.42</v>
      </c>
      <c r="S412" s="229">
        <f>+Tabla3[[#This Row],[COSTO UNITARIO DOLARES CTP]]*Tabla3[[#This Row],[CANTIDAD SOLICTADA]]</f>
        <v>1.42</v>
      </c>
      <c r="T412" s="41"/>
      <c r="U412" s="18" t="s">
        <v>5</v>
      </c>
      <c r="V412" s="211" t="s">
        <v>613</v>
      </c>
      <c r="W412" s="10"/>
      <c r="X412" s="10" t="s">
        <v>89</v>
      </c>
      <c r="Y412" s="10" t="s">
        <v>90</v>
      </c>
      <c r="Z412" s="16"/>
      <c r="AA412" s="16"/>
      <c r="AB412" s="16"/>
      <c r="AC412" s="16"/>
      <c r="AD412" s="16"/>
      <c r="AE412" s="16"/>
      <c r="AF412" s="16"/>
      <c r="AG412" s="21" t="s">
        <v>614</v>
      </c>
      <c r="XFD412" s="15" t="str">
        <f>+Tabla3[[#This Row],[ESTATUS DE NUM ECONOMICO]]</f>
        <v>ACTIVA</v>
      </c>
    </row>
    <row r="413" spans="1:33 16384:16384" ht="15.75" thickBot="1" x14ac:dyDescent="0.3">
      <c r="A413" s="8">
        <v>78</v>
      </c>
      <c r="B413" s="9">
        <v>46184</v>
      </c>
      <c r="C413" s="10" t="s">
        <v>87</v>
      </c>
      <c r="D413" s="11"/>
      <c r="E413" s="16">
        <v>24</v>
      </c>
      <c r="F413" s="9">
        <v>46184</v>
      </c>
      <c r="G413" s="212" t="str">
        <f>IFERROR(VLOOKUP(Tabla3[[#This Row],[NUM ECONOMICO]],MAQUINARIA!B:H,7,0), " MAQ")</f>
        <v>ACTIVA</v>
      </c>
      <c r="H413" s="214" t="s">
        <v>492</v>
      </c>
      <c r="I413" s="41" t="s">
        <v>618</v>
      </c>
      <c r="J413" s="10"/>
      <c r="K413" s="10">
        <v>1</v>
      </c>
      <c r="L413" s="12"/>
      <c r="M413" s="13">
        <f t="shared" si="6"/>
        <v>0</v>
      </c>
      <c r="N413" s="41"/>
      <c r="O413" s="10"/>
      <c r="P413" s="10">
        <f>Tabla3[[#This Row],[COSTO UNITARIO DOLARES EN HAWTHORNE]]*Tabla3[[#This Row],[CANTIDAD SOLICTADA]]</f>
        <v>0</v>
      </c>
      <c r="Q413" s="41"/>
      <c r="R413" s="229"/>
      <c r="S413" s="229">
        <f>+Tabla3[[#This Row],[COSTO UNITARIO DOLARES CTP]]*Tabla3[[#This Row],[CANTIDAD SOLICTADA]]</f>
        <v>0</v>
      </c>
      <c r="T413" s="41"/>
      <c r="U413" s="14" t="s">
        <v>4</v>
      </c>
      <c r="V413" s="17"/>
      <c r="W413" s="10"/>
      <c r="X413" s="10" t="s">
        <v>89</v>
      </c>
      <c r="Y413" s="10" t="s">
        <v>90</v>
      </c>
      <c r="Z413" s="16"/>
      <c r="AA413" s="16"/>
      <c r="AB413" s="16"/>
      <c r="AC413" s="16" t="s">
        <v>537</v>
      </c>
      <c r="AD413" s="16"/>
      <c r="AE413" s="16" t="s">
        <v>619</v>
      </c>
      <c r="AF413" s="16"/>
      <c r="AG413" s="21" t="s">
        <v>620</v>
      </c>
      <c r="XFD413" s="15" t="str">
        <f>+Tabla3[[#This Row],[ESTATUS DE NUM ECONOMICO]]</f>
        <v>ACTIVA</v>
      </c>
    </row>
    <row r="414" spans="1:33 16384:16384" ht="15.75" thickBot="1" x14ac:dyDescent="0.3">
      <c r="A414" s="8">
        <v>79</v>
      </c>
      <c r="B414" s="9">
        <v>46184</v>
      </c>
      <c r="C414" s="10" t="s">
        <v>87</v>
      </c>
      <c r="D414" s="11"/>
      <c r="E414" s="16"/>
      <c r="F414" s="10"/>
      <c r="G414" s="212" t="str">
        <f>IFERROR(VLOOKUP(Tabla3[[#This Row],[NUM ECONOMICO]],MAQUINARIA!B:H,7,0), " MAQ")</f>
        <v>ACTIVA</v>
      </c>
      <c r="H414" s="214" t="s">
        <v>94</v>
      </c>
      <c r="I414" s="41">
        <v>1450771</v>
      </c>
      <c r="J414" s="10"/>
      <c r="K414" s="10">
        <v>1</v>
      </c>
      <c r="L414" s="12"/>
      <c r="M414" s="13">
        <f t="shared" si="6"/>
        <v>0</v>
      </c>
      <c r="N414" s="41"/>
      <c r="O414" s="10"/>
      <c r="P414" s="10">
        <f>Tabla3[[#This Row],[COSTO UNITARIO DOLARES EN HAWTHORNE]]*Tabla3[[#This Row],[CANTIDAD SOLICTADA]]</f>
        <v>0</v>
      </c>
      <c r="Q414" s="41"/>
      <c r="R414" s="229"/>
      <c r="S414" s="229">
        <f>+Tabla3[[#This Row],[COSTO UNITARIO DOLARES CTP]]*Tabla3[[#This Row],[CANTIDAD SOLICTADA]]</f>
        <v>0</v>
      </c>
      <c r="T414" s="41"/>
      <c r="U414" s="14" t="s">
        <v>4</v>
      </c>
      <c r="V414" s="8" t="s">
        <v>621</v>
      </c>
      <c r="W414" s="9">
        <v>46189</v>
      </c>
      <c r="X414" s="10" t="s">
        <v>89</v>
      </c>
      <c r="Y414" s="10" t="s">
        <v>90</v>
      </c>
      <c r="Z414" s="16" t="s">
        <v>46</v>
      </c>
      <c r="AA414" s="25">
        <v>46181</v>
      </c>
      <c r="AB414" s="25">
        <v>46181</v>
      </c>
      <c r="AC414" s="16" t="s">
        <v>87</v>
      </c>
      <c r="AD414" s="16"/>
      <c r="AE414" s="16" t="s">
        <v>622</v>
      </c>
      <c r="AF414" s="16"/>
      <c r="AG414" s="21" t="s">
        <v>623</v>
      </c>
      <c r="XFD414" s="15" t="str">
        <f>+Tabla3[[#This Row],[ESTATUS DE NUM ECONOMICO]]</f>
        <v>ACTIVA</v>
      </c>
    </row>
    <row r="415" spans="1:33 16384:16384" ht="15.75" thickBot="1" x14ac:dyDescent="0.3">
      <c r="A415" s="8">
        <v>80</v>
      </c>
      <c r="B415" s="9">
        <v>46184</v>
      </c>
      <c r="C415" s="10" t="s">
        <v>87</v>
      </c>
      <c r="D415" s="11"/>
      <c r="E415" s="16">
        <v>79</v>
      </c>
      <c r="F415" s="9">
        <v>46176</v>
      </c>
      <c r="G415" s="212" t="str">
        <f>IFERROR(VLOOKUP(Tabla3[[#This Row],[NUM ECONOMICO]],MAQUINARIA!B:H,7,0), " MAQ")</f>
        <v>ACTIVA</v>
      </c>
      <c r="H415" s="214" t="s">
        <v>132</v>
      </c>
      <c r="I415" s="41">
        <v>1927810</v>
      </c>
      <c r="J415" s="10" t="s">
        <v>624</v>
      </c>
      <c r="K415" s="10">
        <v>1</v>
      </c>
      <c r="L415" s="13">
        <v>3111.16</v>
      </c>
      <c r="M415" s="13">
        <f t="shared" si="6"/>
        <v>3111.16</v>
      </c>
      <c r="N415" s="41"/>
      <c r="O415" s="287">
        <v>137.97</v>
      </c>
      <c r="P415" s="287">
        <f>Tabla3[[#This Row],[COSTO UNITARIO DOLARES EN HAWTHORNE]]*Tabla3[[#This Row],[CANTIDAD SOLICTADA]]</f>
        <v>137.97</v>
      </c>
      <c r="Q415" s="41" t="s">
        <v>181</v>
      </c>
      <c r="R415" s="229">
        <v>100.81</v>
      </c>
      <c r="S415" s="229">
        <f>+Tabla3[[#This Row],[COSTO UNITARIO DOLARES CTP]]*Tabla3[[#This Row],[CANTIDAD SOLICTADA]]</f>
        <v>100.81</v>
      </c>
      <c r="T415" s="41"/>
      <c r="U415" s="18" t="s">
        <v>5</v>
      </c>
      <c r="V415" s="211" t="s">
        <v>625</v>
      </c>
      <c r="W415" s="10"/>
      <c r="X415" s="10" t="s">
        <v>89</v>
      </c>
      <c r="Y415" s="10" t="s">
        <v>90</v>
      </c>
      <c r="Z415" s="16"/>
      <c r="AA415" s="16"/>
      <c r="AB415" s="16"/>
      <c r="AC415" s="16"/>
      <c r="AD415" s="16"/>
      <c r="AE415" s="16"/>
      <c r="AF415" s="16"/>
      <c r="AG415" s="21" t="s">
        <v>626</v>
      </c>
      <c r="XFD415" s="15" t="str">
        <f>+Tabla3[[#This Row],[ESTATUS DE NUM ECONOMICO]]</f>
        <v>ACTIVA</v>
      </c>
    </row>
    <row r="416" spans="1:33 16384:16384" ht="15.75" thickBot="1" x14ac:dyDescent="0.3">
      <c r="A416" s="8">
        <v>81</v>
      </c>
      <c r="B416" s="9">
        <v>46184</v>
      </c>
      <c r="C416" s="10" t="s">
        <v>87</v>
      </c>
      <c r="D416" s="11"/>
      <c r="E416" s="16">
        <v>25</v>
      </c>
      <c r="F416" s="9">
        <v>46176</v>
      </c>
      <c r="G416" s="212" t="str">
        <f>IFERROR(VLOOKUP(Tabla3[[#This Row],[NUM ECONOMICO]],MAQUINARIA!B:H,7,0), " MAQ")</f>
        <v>INACTIVA</v>
      </c>
      <c r="H416" s="214" t="s">
        <v>627</v>
      </c>
      <c r="I416" s="41" t="s">
        <v>628</v>
      </c>
      <c r="J416" s="10" t="s">
        <v>629</v>
      </c>
      <c r="K416" s="10">
        <v>2</v>
      </c>
      <c r="L416" s="13">
        <v>51246.65</v>
      </c>
      <c r="M416" s="13">
        <f t="shared" si="6"/>
        <v>102493.3</v>
      </c>
      <c r="N416" s="41"/>
      <c r="O416" s="287">
        <v>2780.51</v>
      </c>
      <c r="P416" s="287">
        <f>Tabla3[[#This Row],[COSTO UNITARIO DOLARES EN HAWTHORNE]]*Tabla3[[#This Row],[CANTIDAD SOLICTADA]]</f>
        <v>5561.02</v>
      </c>
      <c r="Q416" s="41" t="s">
        <v>630</v>
      </c>
      <c r="R416" s="229">
        <v>1459.77</v>
      </c>
      <c r="S416" s="229">
        <f>+Tabla3[[#This Row],[COSTO UNITARIO DOLARES CTP]]*Tabla3[[#This Row],[CANTIDAD SOLICTADA]]</f>
        <v>2919.54</v>
      </c>
      <c r="T416" s="41"/>
      <c r="U416" s="18" t="s">
        <v>5</v>
      </c>
      <c r="V416" s="211" t="s">
        <v>631</v>
      </c>
      <c r="W416" s="10"/>
      <c r="X416" s="10" t="s">
        <v>89</v>
      </c>
      <c r="Y416" s="10" t="s">
        <v>90</v>
      </c>
      <c r="Z416" s="16"/>
      <c r="AA416" s="16"/>
      <c r="AB416" s="16"/>
      <c r="AC416" s="16"/>
      <c r="AD416" s="16"/>
      <c r="AE416" s="16" t="s">
        <v>632</v>
      </c>
      <c r="AF416" s="16" t="s">
        <v>251</v>
      </c>
      <c r="AG416" s="21" t="s">
        <v>633</v>
      </c>
      <c r="XFD416" s="15" t="str">
        <f>+Tabla3[[#This Row],[ESTATUS DE NUM ECONOMICO]]</f>
        <v>INACTIVA</v>
      </c>
    </row>
    <row r="417" spans="1:33 16384:16384" ht="15.75" thickBot="1" x14ac:dyDescent="0.3">
      <c r="A417" s="8">
        <v>81</v>
      </c>
      <c r="B417" s="9">
        <v>46184</v>
      </c>
      <c r="C417" s="10" t="s">
        <v>87</v>
      </c>
      <c r="D417" s="11"/>
      <c r="E417" s="16">
        <v>25</v>
      </c>
      <c r="F417" s="9">
        <v>46176</v>
      </c>
      <c r="G417" s="212" t="str">
        <f>IFERROR(VLOOKUP(Tabla3[[#This Row],[NUM ECONOMICO]],MAQUINARIA!B:H,7,0), " MAQ")</f>
        <v>INACTIVA</v>
      </c>
      <c r="H417" s="214" t="s">
        <v>627</v>
      </c>
      <c r="I417" s="41" t="s">
        <v>634</v>
      </c>
      <c r="J417" s="10" t="s">
        <v>635</v>
      </c>
      <c r="K417" s="10">
        <v>2</v>
      </c>
      <c r="L417" s="13">
        <v>885.15</v>
      </c>
      <c r="M417" s="13">
        <f t="shared" si="6"/>
        <v>1770.3</v>
      </c>
      <c r="N417" s="41"/>
      <c r="O417" s="287">
        <v>58.75</v>
      </c>
      <c r="P417" s="287">
        <f>Tabla3[[#This Row],[COSTO UNITARIO DOLARES EN HAWTHORNE]]*Tabla3[[#This Row],[CANTIDAD SOLICTADA]]</f>
        <v>117.5</v>
      </c>
      <c r="Q417" s="41" t="s">
        <v>181</v>
      </c>
      <c r="R417" s="229">
        <v>31.94</v>
      </c>
      <c r="S417" s="229">
        <f>+Tabla3[[#This Row],[COSTO UNITARIO DOLARES CTP]]*Tabla3[[#This Row],[CANTIDAD SOLICTADA]]</f>
        <v>63.88</v>
      </c>
      <c r="T417" s="41"/>
      <c r="U417" s="18" t="s">
        <v>5</v>
      </c>
      <c r="V417" s="211" t="s">
        <v>631</v>
      </c>
      <c r="W417" s="10"/>
      <c r="X417" s="10" t="s">
        <v>96</v>
      </c>
      <c r="Y417" s="10">
        <v>2</v>
      </c>
      <c r="Z417" s="16"/>
      <c r="AA417" s="16"/>
      <c r="AB417" s="16"/>
      <c r="AC417" s="16"/>
      <c r="AD417" s="16"/>
      <c r="AE417" s="16" t="s">
        <v>186</v>
      </c>
      <c r="AF417" s="16" t="s">
        <v>251</v>
      </c>
      <c r="AG417" s="21" t="s">
        <v>633</v>
      </c>
      <c r="XFD417" s="15" t="str">
        <f>+Tabla3[[#This Row],[ESTATUS DE NUM ECONOMICO]]</f>
        <v>INACTIVA</v>
      </c>
    </row>
    <row r="418" spans="1:33 16384:16384" ht="15.75" thickBot="1" x14ac:dyDescent="0.3">
      <c r="A418" s="8">
        <v>81</v>
      </c>
      <c r="B418" s="9">
        <v>46184</v>
      </c>
      <c r="C418" s="10" t="s">
        <v>87</v>
      </c>
      <c r="D418" s="11"/>
      <c r="E418" s="16">
        <v>25</v>
      </c>
      <c r="F418" s="9">
        <v>46176</v>
      </c>
      <c r="G418" s="212" t="str">
        <f>IFERROR(VLOOKUP(Tabla3[[#This Row],[NUM ECONOMICO]],MAQUINARIA!B:H,7,0), " MAQ")</f>
        <v>INACTIVA</v>
      </c>
      <c r="H418" s="214" t="s">
        <v>627</v>
      </c>
      <c r="I418" s="41" t="s">
        <v>636</v>
      </c>
      <c r="J418" s="10" t="s">
        <v>637</v>
      </c>
      <c r="K418" s="10">
        <v>2</v>
      </c>
      <c r="L418" s="13">
        <v>302.23</v>
      </c>
      <c r="M418" s="13">
        <f t="shared" si="6"/>
        <v>604.46</v>
      </c>
      <c r="N418" s="41"/>
      <c r="O418" s="287">
        <v>21.44</v>
      </c>
      <c r="P418" s="287">
        <f>Tabla3[[#This Row],[COSTO UNITARIO DOLARES EN HAWTHORNE]]*Tabla3[[#This Row],[CANTIDAD SOLICTADA]]</f>
        <v>42.88</v>
      </c>
      <c r="Q418" s="41" t="s">
        <v>181</v>
      </c>
      <c r="R418" s="229">
        <v>3.42</v>
      </c>
      <c r="S418" s="229">
        <f>+Tabla3[[#This Row],[COSTO UNITARIO DOLARES CTP]]*Tabla3[[#This Row],[CANTIDAD SOLICTADA]]</f>
        <v>6.84</v>
      </c>
      <c r="T418" s="41"/>
      <c r="U418" s="18" t="s">
        <v>5</v>
      </c>
      <c r="V418" s="211" t="s">
        <v>631</v>
      </c>
      <c r="W418" s="10"/>
      <c r="X418" s="10" t="s">
        <v>89</v>
      </c>
      <c r="Y418" s="10" t="s">
        <v>90</v>
      </c>
      <c r="Z418" s="16"/>
      <c r="AA418" s="16"/>
      <c r="AB418" s="16"/>
      <c r="AC418" s="16"/>
      <c r="AD418" s="16"/>
      <c r="AE418" s="16" t="s">
        <v>186</v>
      </c>
      <c r="AF418" s="16" t="s">
        <v>251</v>
      </c>
      <c r="AG418" s="21" t="s">
        <v>633</v>
      </c>
      <c r="XFD418" s="15" t="str">
        <f>+Tabla3[[#This Row],[ESTATUS DE NUM ECONOMICO]]</f>
        <v>INACTIVA</v>
      </c>
    </row>
    <row r="419" spans="1:33 16384:16384" ht="15.75" thickBot="1" x14ac:dyDescent="0.3">
      <c r="A419" s="8">
        <v>81</v>
      </c>
      <c r="B419" s="9">
        <v>46184</v>
      </c>
      <c r="C419" s="10" t="s">
        <v>87</v>
      </c>
      <c r="D419" s="11"/>
      <c r="E419" s="16">
        <v>25</v>
      </c>
      <c r="F419" s="9">
        <v>46176</v>
      </c>
      <c r="G419" s="212" t="str">
        <f>IFERROR(VLOOKUP(Tabla3[[#This Row],[NUM ECONOMICO]],MAQUINARIA!B:H,7,0), " MAQ")</f>
        <v>INACTIVA</v>
      </c>
      <c r="H419" s="214" t="s">
        <v>627</v>
      </c>
      <c r="I419" s="41">
        <v>2192436</v>
      </c>
      <c r="J419" s="10" t="s">
        <v>638</v>
      </c>
      <c r="K419" s="10">
        <v>4</v>
      </c>
      <c r="L419" s="13">
        <v>3962</v>
      </c>
      <c r="M419" s="13">
        <f t="shared" si="6"/>
        <v>15848</v>
      </c>
      <c r="N419" s="41"/>
      <c r="O419" s="287">
        <v>230.11</v>
      </c>
      <c r="P419" s="287">
        <f>Tabla3[[#This Row],[COSTO UNITARIO DOLARES EN HAWTHORNE]]*Tabla3[[#This Row],[CANTIDAD SOLICTADA]]</f>
        <v>920.44</v>
      </c>
      <c r="Q419" s="41" t="s">
        <v>181</v>
      </c>
      <c r="R419" s="229">
        <v>61.57</v>
      </c>
      <c r="S419" s="229">
        <f>+Tabla3[[#This Row],[COSTO UNITARIO DOLARES CTP]]*Tabla3[[#This Row],[CANTIDAD SOLICTADA]]</f>
        <v>246.28</v>
      </c>
      <c r="T419" s="41"/>
      <c r="U419" s="18" t="s">
        <v>5</v>
      </c>
      <c r="V419" s="211" t="s">
        <v>631</v>
      </c>
      <c r="W419" s="10"/>
      <c r="X419" s="10" t="s">
        <v>89</v>
      </c>
      <c r="Y419" s="10" t="s">
        <v>90</v>
      </c>
      <c r="Z419" s="16"/>
      <c r="AA419" s="16"/>
      <c r="AB419" s="16"/>
      <c r="AC419" s="16"/>
      <c r="AD419" s="16"/>
      <c r="AE419" s="16" t="s">
        <v>639</v>
      </c>
      <c r="AF419" s="16" t="s">
        <v>251</v>
      </c>
      <c r="AG419" s="21" t="s">
        <v>633</v>
      </c>
      <c r="XFD419" s="15" t="str">
        <f>+Tabla3[[#This Row],[ESTATUS DE NUM ECONOMICO]]</f>
        <v>INACTIVA</v>
      </c>
    </row>
    <row r="420" spans="1:33 16384:16384" ht="15.75" thickBot="1" x14ac:dyDescent="0.3">
      <c r="A420" s="8">
        <v>81</v>
      </c>
      <c r="B420" s="9">
        <v>46184</v>
      </c>
      <c r="C420" s="10" t="s">
        <v>87</v>
      </c>
      <c r="D420" s="11"/>
      <c r="E420" s="16">
        <v>25</v>
      </c>
      <c r="F420" s="9">
        <v>46176</v>
      </c>
      <c r="G420" s="212" t="str">
        <f>IFERROR(VLOOKUP(Tabla3[[#This Row],[NUM ECONOMICO]],MAQUINARIA!B:H,7,0), " MAQ")</f>
        <v>INACTIVA</v>
      </c>
      <c r="H420" s="214" t="s">
        <v>627</v>
      </c>
      <c r="I420" s="41" t="s">
        <v>640</v>
      </c>
      <c r="J420" s="10" t="s">
        <v>641</v>
      </c>
      <c r="K420" s="10">
        <v>4</v>
      </c>
      <c r="L420" s="13">
        <v>6157.03</v>
      </c>
      <c r="M420" s="13">
        <f t="shared" si="6"/>
        <v>24628.12</v>
      </c>
      <c r="N420" s="41"/>
      <c r="O420" s="287">
        <v>366.52</v>
      </c>
      <c r="P420" s="287">
        <f>Tabla3[[#This Row],[COSTO UNITARIO DOLARES EN HAWTHORNE]]*Tabla3[[#This Row],[CANTIDAD SOLICTADA]]</f>
        <v>1466.08</v>
      </c>
      <c r="Q420" s="41" t="s">
        <v>181</v>
      </c>
      <c r="R420" s="229">
        <v>25.65</v>
      </c>
      <c r="S420" s="229">
        <f>+Tabla3[[#This Row],[COSTO UNITARIO DOLARES CTP]]*Tabla3[[#This Row],[CANTIDAD SOLICTADA]]</f>
        <v>102.6</v>
      </c>
      <c r="T420" s="41"/>
      <c r="U420" s="18" t="s">
        <v>5</v>
      </c>
      <c r="V420" s="211" t="s">
        <v>631</v>
      </c>
      <c r="W420" s="10"/>
      <c r="X420" s="10" t="s">
        <v>89</v>
      </c>
      <c r="Y420" s="10" t="s">
        <v>90</v>
      </c>
      <c r="Z420" s="16"/>
      <c r="AA420" s="16"/>
      <c r="AB420" s="16"/>
      <c r="AC420" s="16"/>
      <c r="AD420" s="16"/>
      <c r="AE420" s="16" t="s">
        <v>186</v>
      </c>
      <c r="AF420" s="16" t="s">
        <v>251</v>
      </c>
      <c r="AG420" s="21" t="s">
        <v>633</v>
      </c>
      <c r="XFD420" s="15" t="str">
        <f>+Tabla3[[#This Row],[ESTATUS DE NUM ECONOMICO]]</f>
        <v>INACTIVA</v>
      </c>
    </row>
    <row r="421" spans="1:33 16384:16384" ht="15.75" thickBot="1" x14ac:dyDescent="0.3">
      <c r="A421" s="8">
        <v>81</v>
      </c>
      <c r="B421" s="9">
        <v>46184</v>
      </c>
      <c r="C421" s="10" t="s">
        <v>87</v>
      </c>
      <c r="D421" s="11"/>
      <c r="E421" s="16">
        <v>25</v>
      </c>
      <c r="F421" s="9">
        <v>46176</v>
      </c>
      <c r="G421" s="212" t="str">
        <f>IFERROR(VLOOKUP(Tabla3[[#This Row],[NUM ECONOMICO]],MAQUINARIA!B:H,7,0), " MAQ")</f>
        <v>INACTIVA</v>
      </c>
      <c r="H421" s="214" t="s">
        <v>627</v>
      </c>
      <c r="I421" s="41" t="s">
        <v>642</v>
      </c>
      <c r="J421" s="10" t="s">
        <v>643</v>
      </c>
      <c r="K421" s="10">
        <v>4</v>
      </c>
      <c r="L421" s="13">
        <v>1494.15</v>
      </c>
      <c r="M421" s="13">
        <f t="shared" si="6"/>
        <v>5976.6</v>
      </c>
      <c r="N421" s="41"/>
      <c r="O421" s="287">
        <v>89.17</v>
      </c>
      <c r="P421" s="287">
        <f>Tabla3[[#This Row],[COSTO UNITARIO DOLARES EN HAWTHORNE]]*Tabla3[[#This Row],[CANTIDAD SOLICTADA]]</f>
        <v>356.68</v>
      </c>
      <c r="Q421" s="41" t="s">
        <v>181</v>
      </c>
      <c r="R421" s="229">
        <v>40.21</v>
      </c>
      <c r="S421" s="229">
        <f>+Tabla3[[#This Row],[COSTO UNITARIO DOLARES CTP]]*Tabla3[[#This Row],[CANTIDAD SOLICTADA]]</f>
        <v>160.84</v>
      </c>
      <c r="T421" s="41"/>
      <c r="U421" s="18" t="s">
        <v>5</v>
      </c>
      <c r="V421" s="211" t="s">
        <v>631</v>
      </c>
      <c r="W421" s="10"/>
      <c r="X421" s="10" t="s">
        <v>96</v>
      </c>
      <c r="Y421" s="10">
        <v>0</v>
      </c>
      <c r="Z421" s="16"/>
      <c r="AA421" s="16"/>
      <c r="AB421" s="16"/>
      <c r="AC421" s="16"/>
      <c r="AD421" s="16"/>
      <c r="AE421" s="16" t="s">
        <v>186</v>
      </c>
      <c r="AF421" s="16" t="s">
        <v>251</v>
      </c>
      <c r="AG421" s="21" t="s">
        <v>633</v>
      </c>
      <c r="XFD421" s="15" t="str">
        <f>+Tabla3[[#This Row],[ESTATUS DE NUM ECONOMICO]]</f>
        <v>INACTIVA</v>
      </c>
    </row>
    <row r="422" spans="1:33 16384:16384" ht="15.75" thickBot="1" x14ac:dyDescent="0.3">
      <c r="A422" s="8">
        <v>81</v>
      </c>
      <c r="B422" s="9">
        <v>46184</v>
      </c>
      <c r="C422" s="10" t="s">
        <v>87</v>
      </c>
      <c r="D422" s="11"/>
      <c r="E422" s="16">
        <v>25</v>
      </c>
      <c r="F422" s="9">
        <v>46176</v>
      </c>
      <c r="G422" s="212" t="str">
        <f>IFERROR(VLOOKUP(Tabla3[[#This Row],[NUM ECONOMICO]],MAQUINARIA!B:H,7,0), " MAQ")</f>
        <v>INACTIVA</v>
      </c>
      <c r="H422" s="214" t="s">
        <v>627</v>
      </c>
      <c r="I422" s="41" t="s">
        <v>644</v>
      </c>
      <c r="J422" s="10" t="s">
        <v>645</v>
      </c>
      <c r="K422" s="10">
        <v>2</v>
      </c>
      <c r="L422" s="13">
        <v>3340.75</v>
      </c>
      <c r="M422" s="13">
        <f t="shared" si="6"/>
        <v>6681.5</v>
      </c>
      <c r="N422" s="41"/>
      <c r="O422" s="287">
        <v>190.31</v>
      </c>
      <c r="P422" s="287">
        <f>Tabla3[[#This Row],[COSTO UNITARIO DOLARES EN HAWTHORNE]]*Tabla3[[#This Row],[CANTIDAD SOLICTADA]]</f>
        <v>380.62</v>
      </c>
      <c r="Q422" s="41" t="s">
        <v>181</v>
      </c>
      <c r="R422" s="229">
        <v>65.459999999999994</v>
      </c>
      <c r="S422" s="229">
        <f>+Tabla3[[#This Row],[COSTO UNITARIO DOLARES CTP]]*Tabla3[[#This Row],[CANTIDAD SOLICTADA]]</f>
        <v>130.91999999999999</v>
      </c>
      <c r="T422" s="41"/>
      <c r="U422" s="18" t="s">
        <v>5</v>
      </c>
      <c r="V422" s="211" t="s">
        <v>631</v>
      </c>
      <c r="W422" s="10"/>
      <c r="X422" s="10" t="s">
        <v>96</v>
      </c>
      <c r="Y422" s="10">
        <v>1</v>
      </c>
      <c r="Z422" s="16"/>
      <c r="AA422" s="16"/>
      <c r="AB422" s="16"/>
      <c r="AC422" s="16"/>
      <c r="AD422" s="16"/>
      <c r="AE422" s="16" t="s">
        <v>186</v>
      </c>
      <c r="AF422" s="16" t="s">
        <v>251</v>
      </c>
      <c r="AG422" s="21" t="s">
        <v>633</v>
      </c>
      <c r="XFD422" s="15" t="str">
        <f>+Tabla3[[#This Row],[ESTATUS DE NUM ECONOMICO]]</f>
        <v>INACTIVA</v>
      </c>
    </row>
    <row r="423" spans="1:33 16384:16384" ht="15.75" thickBot="1" x14ac:dyDescent="0.3">
      <c r="A423" s="8">
        <v>81</v>
      </c>
      <c r="B423" s="9">
        <v>46184</v>
      </c>
      <c r="C423" s="10" t="s">
        <v>87</v>
      </c>
      <c r="D423" s="11"/>
      <c r="E423" s="16">
        <v>25</v>
      </c>
      <c r="F423" s="9">
        <v>46176</v>
      </c>
      <c r="G423" s="212" t="str">
        <f>IFERROR(VLOOKUP(Tabla3[[#This Row],[NUM ECONOMICO]],MAQUINARIA!B:H,7,0), " MAQ")</f>
        <v>INACTIVA</v>
      </c>
      <c r="H423" s="214" t="s">
        <v>627</v>
      </c>
      <c r="I423" s="41" t="s">
        <v>646</v>
      </c>
      <c r="J423" s="10" t="s">
        <v>647</v>
      </c>
      <c r="K423" s="10">
        <v>2</v>
      </c>
      <c r="L423" s="13">
        <v>3464.13</v>
      </c>
      <c r="M423" s="13">
        <f t="shared" si="6"/>
        <v>6928.26</v>
      </c>
      <c r="N423" s="41"/>
      <c r="O423" s="287">
        <v>197.36</v>
      </c>
      <c r="P423" s="287">
        <f>Tabla3[[#This Row],[COSTO UNITARIO DOLARES EN HAWTHORNE]]*Tabla3[[#This Row],[CANTIDAD SOLICTADA]]</f>
        <v>394.72</v>
      </c>
      <c r="Q423" s="41" t="s">
        <v>181</v>
      </c>
      <c r="R423" s="229">
        <v>122.82</v>
      </c>
      <c r="S423" s="229">
        <f>+Tabla3[[#This Row],[COSTO UNITARIO DOLARES CTP]]*Tabla3[[#This Row],[CANTIDAD SOLICTADA]]</f>
        <v>245.64</v>
      </c>
      <c r="T423" s="41"/>
      <c r="U423" s="18" t="s">
        <v>5</v>
      </c>
      <c r="V423" s="211" t="s">
        <v>631</v>
      </c>
      <c r="W423" s="10"/>
      <c r="X423" s="10" t="s">
        <v>96</v>
      </c>
      <c r="Y423" s="10">
        <v>1</v>
      </c>
      <c r="Z423" s="16"/>
      <c r="AA423" s="16"/>
      <c r="AB423" s="16"/>
      <c r="AC423" s="16"/>
      <c r="AD423" s="16"/>
      <c r="AE423" s="16" t="s">
        <v>186</v>
      </c>
      <c r="AF423" s="16" t="s">
        <v>251</v>
      </c>
      <c r="AG423" s="21" t="s">
        <v>633</v>
      </c>
      <c r="XFD423" s="15" t="str">
        <f>+Tabla3[[#This Row],[ESTATUS DE NUM ECONOMICO]]</f>
        <v>INACTIVA</v>
      </c>
    </row>
    <row r="424" spans="1:33 16384:16384" ht="15.75" thickBot="1" x14ac:dyDescent="0.3">
      <c r="A424" s="8">
        <v>81</v>
      </c>
      <c r="B424" s="9">
        <v>46184</v>
      </c>
      <c r="C424" s="10" t="s">
        <v>87</v>
      </c>
      <c r="D424" s="11"/>
      <c r="E424" s="16">
        <v>25</v>
      </c>
      <c r="F424" s="9">
        <v>46176</v>
      </c>
      <c r="G424" s="212" t="str">
        <f>IFERROR(VLOOKUP(Tabla3[[#This Row],[NUM ECONOMICO]],MAQUINARIA!B:H,7,0), " MAQ")</f>
        <v>INACTIVA</v>
      </c>
      <c r="H424" s="214" t="s">
        <v>627</v>
      </c>
      <c r="I424" s="41">
        <v>1653931</v>
      </c>
      <c r="J424" s="10" t="s">
        <v>600</v>
      </c>
      <c r="K424" s="10">
        <v>10</v>
      </c>
      <c r="L424" s="13">
        <v>17.5</v>
      </c>
      <c r="M424" s="13">
        <f t="shared" si="6"/>
        <v>175</v>
      </c>
      <c r="N424" s="41"/>
      <c r="O424" s="287">
        <v>1.24</v>
      </c>
      <c r="P424" s="287">
        <f>Tabla3[[#This Row],[COSTO UNITARIO DOLARES EN HAWTHORNE]]*Tabla3[[#This Row],[CANTIDAD SOLICTADA]]</f>
        <v>12.4</v>
      </c>
      <c r="Q424" s="41" t="s">
        <v>181</v>
      </c>
      <c r="R424" s="229">
        <v>0.36</v>
      </c>
      <c r="S424" s="229">
        <f>+Tabla3[[#This Row],[COSTO UNITARIO DOLARES CTP]]*Tabla3[[#This Row],[CANTIDAD SOLICTADA]]</f>
        <v>3.5999999999999996</v>
      </c>
      <c r="T424" s="41"/>
      <c r="U424" s="18" t="s">
        <v>5</v>
      </c>
      <c r="V424" s="211" t="s">
        <v>631</v>
      </c>
      <c r="W424" s="10"/>
      <c r="X424" s="10" t="s">
        <v>89</v>
      </c>
      <c r="Y424" s="10" t="s">
        <v>90</v>
      </c>
      <c r="Z424" s="16"/>
      <c r="AA424" s="16"/>
      <c r="AB424" s="16"/>
      <c r="AC424" s="16"/>
      <c r="AD424" s="16"/>
      <c r="AE424" s="16" t="s">
        <v>648</v>
      </c>
      <c r="AF424" s="16" t="s">
        <v>251</v>
      </c>
      <c r="AG424" s="21" t="s">
        <v>633</v>
      </c>
      <c r="XFD424" s="15" t="str">
        <f>+Tabla3[[#This Row],[ESTATUS DE NUM ECONOMICO]]</f>
        <v>INACTIVA</v>
      </c>
    </row>
    <row r="425" spans="1:33 16384:16384" ht="15.75" thickBot="1" x14ac:dyDescent="0.3">
      <c r="A425" s="8">
        <v>81</v>
      </c>
      <c r="B425" s="9">
        <v>46184</v>
      </c>
      <c r="C425" s="10" t="s">
        <v>87</v>
      </c>
      <c r="D425" s="11"/>
      <c r="E425" s="16">
        <v>25</v>
      </c>
      <c r="F425" s="9">
        <v>46176</v>
      </c>
      <c r="G425" s="212" t="str">
        <f>IFERROR(VLOOKUP(Tabla3[[#This Row],[NUM ECONOMICO]],MAQUINARIA!B:H,7,0), " MAQ")</f>
        <v>INACTIVA</v>
      </c>
      <c r="H425" s="214" t="s">
        <v>627</v>
      </c>
      <c r="I425" s="41" t="s">
        <v>545</v>
      </c>
      <c r="J425" s="10" t="s">
        <v>253</v>
      </c>
      <c r="K425" s="10">
        <v>2</v>
      </c>
      <c r="L425" s="13">
        <v>76.13</v>
      </c>
      <c r="M425" s="13">
        <f t="shared" si="6"/>
        <v>152.26</v>
      </c>
      <c r="N425" s="41"/>
      <c r="O425" s="287">
        <v>5.41</v>
      </c>
      <c r="P425" s="287">
        <f>Tabla3[[#This Row],[COSTO UNITARIO DOLARES EN HAWTHORNE]]*Tabla3[[#This Row],[CANTIDAD SOLICTADA]]</f>
        <v>10.82</v>
      </c>
      <c r="Q425" s="41" t="s">
        <v>181</v>
      </c>
      <c r="R425" s="229">
        <v>0.17</v>
      </c>
      <c r="S425" s="229">
        <f>+Tabla3[[#This Row],[COSTO UNITARIO DOLARES CTP]]*Tabla3[[#This Row],[CANTIDAD SOLICTADA]]</f>
        <v>0.34</v>
      </c>
      <c r="T425" s="41"/>
      <c r="U425" s="18" t="s">
        <v>5</v>
      </c>
      <c r="V425" s="211" t="s">
        <v>631</v>
      </c>
      <c r="W425" s="10"/>
      <c r="X425" s="10" t="s">
        <v>89</v>
      </c>
      <c r="Y425" s="10" t="s">
        <v>90</v>
      </c>
      <c r="Z425" s="16"/>
      <c r="AA425" s="16"/>
      <c r="AB425" s="16"/>
      <c r="AC425" s="16"/>
      <c r="AD425" s="16"/>
      <c r="AE425" s="16" t="s">
        <v>186</v>
      </c>
      <c r="AF425" s="16" t="s">
        <v>251</v>
      </c>
      <c r="AG425" s="21" t="s">
        <v>633</v>
      </c>
      <c r="XFD425" s="15" t="str">
        <f>+Tabla3[[#This Row],[ESTATUS DE NUM ECONOMICO]]</f>
        <v>INACTIVA</v>
      </c>
    </row>
    <row r="426" spans="1:33 16384:16384" ht="15.75" thickBot="1" x14ac:dyDescent="0.3">
      <c r="A426" s="8">
        <v>81</v>
      </c>
      <c r="B426" s="9">
        <v>46184</v>
      </c>
      <c r="C426" s="10" t="s">
        <v>87</v>
      </c>
      <c r="D426" s="11"/>
      <c r="E426" s="16">
        <v>25</v>
      </c>
      <c r="F426" s="9">
        <v>46176</v>
      </c>
      <c r="G426" s="212" t="str">
        <f>IFERROR(VLOOKUP(Tabla3[[#This Row],[NUM ECONOMICO]],MAQUINARIA!B:H,7,0), " MAQ")</f>
        <v>INACTIVA</v>
      </c>
      <c r="H426" s="214" t="s">
        <v>627</v>
      </c>
      <c r="I426" s="41" t="s">
        <v>649</v>
      </c>
      <c r="J426" s="10" t="s">
        <v>650</v>
      </c>
      <c r="K426" s="10">
        <v>1</v>
      </c>
      <c r="L426" s="13">
        <v>2982</v>
      </c>
      <c r="M426" s="13">
        <f t="shared" si="6"/>
        <v>2982</v>
      </c>
      <c r="N426" s="41"/>
      <c r="O426" s="287">
        <v>177.52</v>
      </c>
      <c r="P426" s="287">
        <f>Tabla3[[#This Row],[COSTO UNITARIO DOLARES EN HAWTHORNE]]*Tabla3[[#This Row],[CANTIDAD SOLICTADA]]</f>
        <v>177.52</v>
      </c>
      <c r="Q426" s="41" t="s">
        <v>181</v>
      </c>
      <c r="R426" s="229">
        <v>26.62</v>
      </c>
      <c r="S426" s="229">
        <f>+Tabla3[[#This Row],[COSTO UNITARIO DOLARES CTP]]*Tabla3[[#This Row],[CANTIDAD SOLICTADA]]</f>
        <v>26.62</v>
      </c>
      <c r="T426" s="41"/>
      <c r="U426" s="18" t="s">
        <v>5</v>
      </c>
      <c r="V426" s="211" t="s">
        <v>631</v>
      </c>
      <c r="W426" s="10"/>
      <c r="X426" s="10" t="s">
        <v>89</v>
      </c>
      <c r="Y426" s="10" t="s">
        <v>90</v>
      </c>
      <c r="Z426" s="16"/>
      <c r="AA426" s="16"/>
      <c r="AB426" s="16"/>
      <c r="AC426" s="16"/>
      <c r="AD426" s="16"/>
      <c r="AE426" s="16" t="s">
        <v>186</v>
      </c>
      <c r="AF426" s="16" t="s">
        <v>251</v>
      </c>
      <c r="AG426" s="21" t="s">
        <v>633</v>
      </c>
      <c r="XFD426" s="15" t="str">
        <f>+Tabla3[[#This Row],[ESTATUS DE NUM ECONOMICO]]</f>
        <v>INACTIVA</v>
      </c>
    </row>
    <row r="427" spans="1:33 16384:16384" ht="15.75" thickBot="1" x14ac:dyDescent="0.3">
      <c r="A427" s="8">
        <v>81</v>
      </c>
      <c r="B427" s="9">
        <v>46184</v>
      </c>
      <c r="C427" s="10" t="s">
        <v>87</v>
      </c>
      <c r="D427" s="11"/>
      <c r="E427" s="16">
        <v>25</v>
      </c>
      <c r="F427" s="9">
        <v>46176</v>
      </c>
      <c r="G427" s="212" t="str">
        <f>IFERROR(VLOOKUP(Tabla3[[#This Row],[NUM ECONOMICO]],MAQUINARIA!B:H,7,0), " MAQ")</f>
        <v>INACTIVA</v>
      </c>
      <c r="H427" s="214" t="s">
        <v>627</v>
      </c>
      <c r="I427" s="41">
        <v>4628176</v>
      </c>
      <c r="J427" s="10" t="s">
        <v>651</v>
      </c>
      <c r="K427" s="10">
        <v>2</v>
      </c>
      <c r="L427" s="13">
        <v>6936.65</v>
      </c>
      <c r="M427" s="13">
        <f t="shared" si="6"/>
        <v>13873.3</v>
      </c>
      <c r="N427" s="41"/>
      <c r="O427" s="287">
        <v>402.89</v>
      </c>
      <c r="P427" s="287">
        <f>Tabla3[[#This Row],[COSTO UNITARIO DOLARES EN HAWTHORNE]]*Tabla3[[#This Row],[CANTIDAD SOLICTADA]]</f>
        <v>805.78</v>
      </c>
      <c r="Q427" s="41" t="s">
        <v>181</v>
      </c>
      <c r="R427" s="229">
        <v>0</v>
      </c>
      <c r="S427" s="229">
        <f>+Tabla3[[#This Row],[COSTO UNITARIO DOLARES CTP]]*Tabla3[[#This Row],[CANTIDAD SOLICTADA]]</f>
        <v>0</v>
      </c>
      <c r="T427" s="41"/>
      <c r="U427" s="18" t="s">
        <v>5</v>
      </c>
      <c r="V427" s="211" t="s">
        <v>631</v>
      </c>
      <c r="W427" s="10"/>
      <c r="X427" s="10" t="s">
        <v>89</v>
      </c>
      <c r="Y427" s="10" t="s">
        <v>90</v>
      </c>
      <c r="Z427" s="16"/>
      <c r="AA427" s="16"/>
      <c r="AB427" s="16"/>
      <c r="AC427" s="16"/>
      <c r="AD427" s="16"/>
      <c r="AE427" s="16" t="s">
        <v>652</v>
      </c>
      <c r="AF427" s="16" t="s">
        <v>251</v>
      </c>
      <c r="AG427" s="21" t="s">
        <v>633</v>
      </c>
      <c r="XFD427" s="15" t="str">
        <f>+Tabla3[[#This Row],[ESTATUS DE NUM ECONOMICO]]</f>
        <v>INACTIVA</v>
      </c>
    </row>
    <row r="428" spans="1:33 16384:16384" ht="15.75" thickBot="1" x14ac:dyDescent="0.3">
      <c r="A428" s="8">
        <v>81</v>
      </c>
      <c r="B428" s="9">
        <v>46184</v>
      </c>
      <c r="C428" s="10" t="s">
        <v>87</v>
      </c>
      <c r="D428" s="11"/>
      <c r="E428" s="16">
        <v>25</v>
      </c>
      <c r="F428" s="9">
        <v>46176</v>
      </c>
      <c r="G428" s="212" t="str">
        <f>IFERROR(VLOOKUP(Tabla3[[#This Row],[NUM ECONOMICO]],MAQUINARIA!B:H,7,0), " MAQ")</f>
        <v>INACTIVA</v>
      </c>
      <c r="H428" s="214" t="s">
        <v>627</v>
      </c>
      <c r="I428" s="41" t="s">
        <v>653</v>
      </c>
      <c r="J428" s="10" t="s">
        <v>220</v>
      </c>
      <c r="K428" s="10">
        <v>4</v>
      </c>
      <c r="L428" s="13">
        <v>123.38</v>
      </c>
      <c r="M428" s="13">
        <f t="shared" si="6"/>
        <v>493.52</v>
      </c>
      <c r="N428" s="41"/>
      <c r="O428" s="287">
        <v>8.74</v>
      </c>
      <c r="P428" s="287">
        <f>Tabla3[[#This Row],[COSTO UNITARIO DOLARES EN HAWTHORNE]]*Tabla3[[#This Row],[CANTIDAD SOLICTADA]]</f>
        <v>34.96</v>
      </c>
      <c r="Q428" s="41" t="s">
        <v>181</v>
      </c>
      <c r="R428" s="229">
        <v>2.06</v>
      </c>
      <c r="S428" s="229">
        <f>+Tabla3[[#This Row],[COSTO UNITARIO DOLARES CTP]]*Tabla3[[#This Row],[CANTIDAD SOLICTADA]]</f>
        <v>8.24</v>
      </c>
      <c r="T428" s="41"/>
      <c r="U428" s="18" t="s">
        <v>5</v>
      </c>
      <c r="V428" s="211" t="s">
        <v>631</v>
      </c>
      <c r="W428" s="10"/>
      <c r="X428" s="10" t="s">
        <v>89</v>
      </c>
      <c r="Y428" s="10" t="s">
        <v>90</v>
      </c>
      <c r="Z428" s="16"/>
      <c r="AA428" s="16"/>
      <c r="AB428" s="16"/>
      <c r="AC428" s="16"/>
      <c r="AD428" s="16"/>
      <c r="AE428" s="16" t="s">
        <v>186</v>
      </c>
      <c r="AF428" s="16" t="s">
        <v>251</v>
      </c>
      <c r="AG428" s="21" t="s">
        <v>633</v>
      </c>
      <c r="XFD428" s="15" t="str">
        <f>+Tabla3[[#This Row],[ESTATUS DE NUM ECONOMICO]]</f>
        <v>INACTIVA</v>
      </c>
    </row>
    <row r="429" spans="1:33 16384:16384" ht="15.75" thickBot="1" x14ac:dyDescent="0.3">
      <c r="A429" s="8">
        <v>81</v>
      </c>
      <c r="B429" s="9">
        <v>46184</v>
      </c>
      <c r="C429" s="10" t="s">
        <v>87</v>
      </c>
      <c r="D429" s="11"/>
      <c r="E429" s="16">
        <v>25</v>
      </c>
      <c r="F429" s="9">
        <v>46176</v>
      </c>
      <c r="G429" s="212" t="str">
        <f>IFERROR(VLOOKUP(Tabla3[[#This Row],[NUM ECONOMICO]],MAQUINARIA!B:H,7,0), " MAQ")</f>
        <v>INACTIVA</v>
      </c>
      <c r="H429" s="214" t="s">
        <v>627</v>
      </c>
      <c r="I429" s="41" t="s">
        <v>654</v>
      </c>
      <c r="J429" s="10" t="s">
        <v>220</v>
      </c>
      <c r="K429" s="10">
        <v>2</v>
      </c>
      <c r="L429" s="13">
        <v>314.83</v>
      </c>
      <c r="M429" s="13">
        <f t="shared" si="6"/>
        <v>629.66</v>
      </c>
      <c r="N429" s="41"/>
      <c r="O429" s="287">
        <v>22.3</v>
      </c>
      <c r="P429" s="287">
        <f>Tabla3[[#This Row],[COSTO UNITARIO DOLARES EN HAWTHORNE]]*Tabla3[[#This Row],[CANTIDAD SOLICTADA]]</f>
        <v>44.6</v>
      </c>
      <c r="Q429" s="41" t="s">
        <v>181</v>
      </c>
      <c r="R429" s="229">
        <v>4.53</v>
      </c>
      <c r="S429" s="229">
        <f>+Tabla3[[#This Row],[COSTO UNITARIO DOLARES CTP]]*Tabla3[[#This Row],[CANTIDAD SOLICTADA]]</f>
        <v>9.06</v>
      </c>
      <c r="T429" s="41"/>
      <c r="U429" s="18" t="s">
        <v>5</v>
      </c>
      <c r="V429" s="211" t="s">
        <v>631</v>
      </c>
      <c r="W429" s="10"/>
      <c r="X429" s="10" t="s">
        <v>89</v>
      </c>
      <c r="Y429" s="10" t="s">
        <v>90</v>
      </c>
      <c r="Z429" s="16"/>
      <c r="AA429" s="16"/>
      <c r="AB429" s="16"/>
      <c r="AC429" s="16"/>
      <c r="AD429" s="16"/>
      <c r="AE429" s="16" t="s">
        <v>186</v>
      </c>
      <c r="AF429" s="16" t="s">
        <v>251</v>
      </c>
      <c r="AG429" s="21" t="s">
        <v>633</v>
      </c>
      <c r="XFD429" s="15" t="str">
        <f>+Tabla3[[#This Row],[ESTATUS DE NUM ECONOMICO]]</f>
        <v>INACTIVA</v>
      </c>
    </row>
    <row r="430" spans="1:33 16384:16384" ht="15.75" thickBot="1" x14ac:dyDescent="0.3">
      <c r="A430" s="8">
        <v>81</v>
      </c>
      <c r="B430" s="9">
        <v>46184</v>
      </c>
      <c r="C430" s="10" t="s">
        <v>87</v>
      </c>
      <c r="D430" s="11"/>
      <c r="E430" s="16">
        <v>25</v>
      </c>
      <c r="F430" s="9">
        <v>46176</v>
      </c>
      <c r="G430" s="212" t="str">
        <f>IFERROR(VLOOKUP(Tabla3[[#This Row],[NUM ECONOMICO]],MAQUINARIA!B:H,7,0), " MAQ")</f>
        <v>INACTIVA</v>
      </c>
      <c r="H430" s="214" t="s">
        <v>627</v>
      </c>
      <c r="I430" s="41" t="s">
        <v>655</v>
      </c>
      <c r="J430" s="10" t="s">
        <v>220</v>
      </c>
      <c r="K430" s="10">
        <v>2</v>
      </c>
      <c r="L430" s="13">
        <v>252.35</v>
      </c>
      <c r="M430" s="13">
        <f t="shared" si="6"/>
        <v>504.7</v>
      </c>
      <c r="N430" s="41"/>
      <c r="O430" s="287">
        <v>17.89</v>
      </c>
      <c r="P430" s="287">
        <f>Tabla3[[#This Row],[COSTO UNITARIO DOLARES EN HAWTHORNE]]*Tabla3[[#This Row],[CANTIDAD SOLICTADA]]</f>
        <v>35.78</v>
      </c>
      <c r="Q430" s="41" t="s">
        <v>181</v>
      </c>
      <c r="R430" s="229">
        <v>2.57</v>
      </c>
      <c r="S430" s="229">
        <f>+Tabla3[[#This Row],[COSTO UNITARIO DOLARES CTP]]*Tabla3[[#This Row],[CANTIDAD SOLICTADA]]</f>
        <v>5.14</v>
      </c>
      <c r="T430" s="41"/>
      <c r="U430" s="18" t="s">
        <v>5</v>
      </c>
      <c r="V430" s="211" t="s">
        <v>631</v>
      </c>
      <c r="W430" s="10"/>
      <c r="X430" s="10" t="s">
        <v>96</v>
      </c>
      <c r="Y430" s="10" t="s">
        <v>90</v>
      </c>
      <c r="Z430" s="16"/>
      <c r="AA430" s="16"/>
      <c r="AB430" s="16"/>
      <c r="AC430" s="16"/>
      <c r="AD430" s="16"/>
      <c r="AE430" s="16" t="s">
        <v>186</v>
      </c>
      <c r="AF430" s="16" t="s">
        <v>251</v>
      </c>
      <c r="AG430" s="21" t="s">
        <v>633</v>
      </c>
      <c r="XFD430" s="15" t="str">
        <f>+Tabla3[[#This Row],[ESTATUS DE NUM ECONOMICO]]</f>
        <v>INACTIVA</v>
      </c>
    </row>
    <row r="431" spans="1:33 16384:16384" ht="15.75" thickBot="1" x14ac:dyDescent="0.3">
      <c r="A431" s="8">
        <v>81</v>
      </c>
      <c r="B431" s="9">
        <v>46184</v>
      </c>
      <c r="C431" s="10" t="s">
        <v>87</v>
      </c>
      <c r="D431" s="11"/>
      <c r="E431" s="16">
        <v>25</v>
      </c>
      <c r="F431" s="9">
        <v>46176</v>
      </c>
      <c r="G431" s="212" t="str">
        <f>IFERROR(VLOOKUP(Tabla3[[#This Row],[NUM ECONOMICO]],MAQUINARIA!B:H,7,0), " MAQ")</f>
        <v>INACTIVA</v>
      </c>
      <c r="H431" s="214" t="s">
        <v>627</v>
      </c>
      <c r="I431" s="41" t="s">
        <v>656</v>
      </c>
      <c r="J431" s="10" t="s">
        <v>657</v>
      </c>
      <c r="K431" s="10">
        <v>27</v>
      </c>
      <c r="L431" s="13">
        <v>1954.93</v>
      </c>
      <c r="M431" s="13">
        <f t="shared" si="6"/>
        <v>52783.11</v>
      </c>
      <c r="N431" s="41"/>
      <c r="O431" s="287">
        <v>111.37</v>
      </c>
      <c r="P431" s="287">
        <f>Tabla3[[#This Row],[COSTO UNITARIO DOLARES EN HAWTHORNE]]*Tabla3[[#This Row],[CANTIDAD SOLICTADA]]</f>
        <v>3006.9900000000002</v>
      </c>
      <c r="Q431" s="41" t="s">
        <v>181</v>
      </c>
      <c r="R431" s="229">
        <v>58.08</v>
      </c>
      <c r="S431" s="229">
        <f>+Tabla3[[#This Row],[COSTO UNITARIO DOLARES CTP]]*Tabla3[[#This Row],[CANTIDAD SOLICTADA]]</f>
        <v>1568.1599999999999</v>
      </c>
      <c r="T431" s="41"/>
      <c r="U431" s="18" t="s">
        <v>5</v>
      </c>
      <c r="V431" s="211" t="s">
        <v>631</v>
      </c>
      <c r="W431" s="10"/>
      <c r="X431" s="10" t="s">
        <v>89</v>
      </c>
      <c r="Y431" s="10" t="s">
        <v>90</v>
      </c>
      <c r="Z431" s="16"/>
      <c r="AA431" s="16"/>
      <c r="AB431" s="16"/>
      <c r="AC431" s="16"/>
      <c r="AD431" s="16"/>
      <c r="AE431" s="16" t="s">
        <v>658</v>
      </c>
      <c r="AF431" s="16" t="s">
        <v>251</v>
      </c>
      <c r="AG431" s="21" t="s">
        <v>633</v>
      </c>
      <c r="XFD431" s="15" t="str">
        <f>+Tabla3[[#This Row],[ESTATUS DE NUM ECONOMICO]]</f>
        <v>INACTIVA</v>
      </c>
    </row>
    <row r="432" spans="1:33 16384:16384" ht="15.75" thickBot="1" x14ac:dyDescent="0.3">
      <c r="A432" s="8">
        <v>81</v>
      </c>
      <c r="B432" s="9">
        <v>46184</v>
      </c>
      <c r="C432" s="10" t="s">
        <v>87</v>
      </c>
      <c r="D432" s="11"/>
      <c r="E432" s="16">
        <v>25</v>
      </c>
      <c r="F432" s="9">
        <v>46176</v>
      </c>
      <c r="G432" s="212" t="str">
        <f>IFERROR(VLOOKUP(Tabla3[[#This Row],[NUM ECONOMICO]],MAQUINARIA!B:H,7,0), " MAQ")</f>
        <v>INACTIVA</v>
      </c>
      <c r="H432" s="214" t="s">
        <v>627</v>
      </c>
      <c r="I432" s="41" t="s">
        <v>659</v>
      </c>
      <c r="J432" s="10" t="s">
        <v>660</v>
      </c>
      <c r="K432" s="10">
        <v>40</v>
      </c>
      <c r="L432" s="13">
        <v>2738.58</v>
      </c>
      <c r="M432" s="13">
        <f t="shared" si="6"/>
        <v>109543.2</v>
      </c>
      <c r="N432" s="41"/>
      <c r="O432" s="287">
        <v>156.01</v>
      </c>
      <c r="P432" s="287">
        <f>Tabla3[[#This Row],[COSTO UNITARIO DOLARES EN HAWTHORNE]]*Tabla3[[#This Row],[CANTIDAD SOLICTADA]]</f>
        <v>6240.4</v>
      </c>
      <c r="Q432" s="41" t="s">
        <v>181</v>
      </c>
      <c r="R432" s="229">
        <v>21.31</v>
      </c>
      <c r="S432" s="229">
        <f>+Tabla3[[#This Row],[COSTO UNITARIO DOLARES CTP]]*Tabla3[[#This Row],[CANTIDAD SOLICTADA]]</f>
        <v>852.4</v>
      </c>
      <c r="T432" s="41"/>
      <c r="U432" s="18" t="s">
        <v>5</v>
      </c>
      <c r="V432" s="211" t="s">
        <v>631</v>
      </c>
      <c r="W432" s="10"/>
      <c r="X432" s="10" t="s">
        <v>89</v>
      </c>
      <c r="Y432" s="10" t="s">
        <v>90</v>
      </c>
      <c r="Z432" s="16"/>
      <c r="AA432" s="16"/>
      <c r="AB432" s="16"/>
      <c r="AC432" s="16"/>
      <c r="AD432" s="16"/>
      <c r="AE432" s="16" t="s">
        <v>661</v>
      </c>
      <c r="AF432" s="16" t="s">
        <v>251</v>
      </c>
      <c r="AG432" s="21" t="s">
        <v>633</v>
      </c>
      <c r="XFD432" s="15" t="str">
        <f>+Tabla3[[#This Row],[ESTATUS DE NUM ECONOMICO]]</f>
        <v>INACTIVA</v>
      </c>
    </row>
    <row r="433" spans="1:33 16384:16384" ht="15.75" thickBot="1" x14ac:dyDescent="0.3">
      <c r="A433" s="8">
        <v>81</v>
      </c>
      <c r="B433" s="9">
        <v>46184</v>
      </c>
      <c r="C433" s="10" t="s">
        <v>87</v>
      </c>
      <c r="D433" s="11"/>
      <c r="E433" s="16">
        <v>25</v>
      </c>
      <c r="F433" s="9">
        <v>46176</v>
      </c>
      <c r="G433" s="212" t="str">
        <f>IFERROR(VLOOKUP(Tabla3[[#This Row],[NUM ECONOMICO]],MAQUINARIA!B:H,7,0), " MAQ")</f>
        <v>INACTIVA</v>
      </c>
      <c r="H433" s="214" t="s">
        <v>627</v>
      </c>
      <c r="I433" s="41" t="s">
        <v>662</v>
      </c>
      <c r="J433" s="10" t="s">
        <v>546</v>
      </c>
      <c r="K433" s="10">
        <v>4</v>
      </c>
      <c r="L433" s="13">
        <v>172.9</v>
      </c>
      <c r="M433" s="13">
        <f t="shared" si="6"/>
        <v>691.6</v>
      </c>
      <c r="N433" s="41"/>
      <c r="O433" s="287">
        <v>12.23</v>
      </c>
      <c r="P433" s="287">
        <f>Tabla3[[#This Row],[COSTO UNITARIO DOLARES EN HAWTHORNE]]*Tabla3[[#This Row],[CANTIDAD SOLICTADA]]</f>
        <v>48.92</v>
      </c>
      <c r="Q433" s="41" t="s">
        <v>181</v>
      </c>
      <c r="R433" s="229">
        <v>3.11</v>
      </c>
      <c r="S433" s="229">
        <f>+Tabla3[[#This Row],[COSTO UNITARIO DOLARES CTP]]*Tabla3[[#This Row],[CANTIDAD SOLICTADA]]</f>
        <v>12.44</v>
      </c>
      <c r="T433" s="41"/>
      <c r="U433" s="18" t="s">
        <v>5</v>
      </c>
      <c r="V433" s="211" t="s">
        <v>631</v>
      </c>
      <c r="W433" s="10"/>
      <c r="X433" s="10" t="s">
        <v>89</v>
      </c>
      <c r="Y433" s="10" t="s">
        <v>90</v>
      </c>
      <c r="Z433" s="16"/>
      <c r="AA433" s="16"/>
      <c r="AB433" s="16"/>
      <c r="AC433" s="16"/>
      <c r="AD433" s="16"/>
      <c r="AE433" s="16" t="s">
        <v>186</v>
      </c>
      <c r="AF433" s="16" t="s">
        <v>251</v>
      </c>
      <c r="AG433" s="21" t="s">
        <v>633</v>
      </c>
      <c r="XFD433" s="15" t="str">
        <f>+Tabla3[[#This Row],[ESTATUS DE NUM ECONOMICO]]</f>
        <v>INACTIVA</v>
      </c>
    </row>
    <row r="434" spans="1:33 16384:16384" ht="15.75" thickBot="1" x14ac:dyDescent="0.3">
      <c r="A434" s="8">
        <v>81</v>
      </c>
      <c r="B434" s="9">
        <v>46184</v>
      </c>
      <c r="C434" s="10" t="s">
        <v>87</v>
      </c>
      <c r="D434" s="11"/>
      <c r="E434" s="16">
        <v>25</v>
      </c>
      <c r="F434" s="9">
        <v>46176</v>
      </c>
      <c r="G434" s="212" t="str">
        <f>IFERROR(VLOOKUP(Tabla3[[#This Row],[NUM ECONOMICO]],MAQUINARIA!B:H,7,0), " MAQ")</f>
        <v>INACTIVA</v>
      </c>
      <c r="H434" s="214" t="s">
        <v>627</v>
      </c>
      <c r="I434" s="41" t="s">
        <v>663</v>
      </c>
      <c r="J434" s="10" t="s">
        <v>546</v>
      </c>
      <c r="K434" s="10">
        <v>4</v>
      </c>
      <c r="L434" s="13">
        <v>1959.48</v>
      </c>
      <c r="M434" s="13">
        <f t="shared" si="6"/>
        <v>7837.92</v>
      </c>
      <c r="N434" s="41"/>
      <c r="O434" s="287">
        <v>111.63</v>
      </c>
      <c r="P434" s="287">
        <f>Tabla3[[#This Row],[COSTO UNITARIO DOLARES EN HAWTHORNE]]*Tabla3[[#This Row],[CANTIDAD SOLICTADA]]</f>
        <v>446.52</v>
      </c>
      <c r="Q434" s="41" t="s">
        <v>181</v>
      </c>
      <c r="R434" s="229">
        <v>0</v>
      </c>
      <c r="S434" s="229">
        <f>+Tabla3[[#This Row],[COSTO UNITARIO DOLARES CTP]]*Tabla3[[#This Row],[CANTIDAD SOLICTADA]]</f>
        <v>0</v>
      </c>
      <c r="T434" s="41"/>
      <c r="U434" s="18" t="s">
        <v>5</v>
      </c>
      <c r="V434" s="211" t="s">
        <v>631</v>
      </c>
      <c r="W434" s="10"/>
      <c r="X434" s="10" t="s">
        <v>89</v>
      </c>
      <c r="Y434" s="10" t="s">
        <v>90</v>
      </c>
      <c r="Z434" s="16"/>
      <c r="AA434" s="16"/>
      <c r="AB434" s="16"/>
      <c r="AC434" s="16"/>
      <c r="AD434" s="16"/>
      <c r="AE434" s="16" t="s">
        <v>664</v>
      </c>
      <c r="AF434" s="16" t="s">
        <v>251</v>
      </c>
      <c r="AG434" s="21" t="s">
        <v>633</v>
      </c>
      <c r="XFD434" s="15" t="str">
        <f>+Tabla3[[#This Row],[ESTATUS DE NUM ECONOMICO]]</f>
        <v>INACTIVA</v>
      </c>
    </row>
    <row r="435" spans="1:33 16384:16384" ht="15.75" thickBot="1" x14ac:dyDescent="0.3">
      <c r="A435" s="8">
        <v>81</v>
      </c>
      <c r="B435" s="9">
        <v>46184</v>
      </c>
      <c r="C435" s="10" t="s">
        <v>87</v>
      </c>
      <c r="D435" s="11"/>
      <c r="E435" s="16">
        <v>25</v>
      </c>
      <c r="F435" s="9">
        <v>46176</v>
      </c>
      <c r="G435" s="212" t="str">
        <f>IFERROR(VLOOKUP(Tabla3[[#This Row],[NUM ECONOMICO]],MAQUINARIA!B:H,7,0), " MAQ")</f>
        <v>INACTIVA</v>
      </c>
      <c r="H435" s="214" t="s">
        <v>627</v>
      </c>
      <c r="I435" s="41" t="s">
        <v>665</v>
      </c>
      <c r="J435" s="10" t="s">
        <v>666</v>
      </c>
      <c r="K435" s="10">
        <v>4</v>
      </c>
      <c r="L435" s="13">
        <v>1091.48</v>
      </c>
      <c r="M435" s="13">
        <f t="shared" si="6"/>
        <v>4365.92</v>
      </c>
      <c r="N435" s="41"/>
      <c r="O435" s="287">
        <v>68.11</v>
      </c>
      <c r="P435" s="287">
        <f>Tabla3[[#This Row],[COSTO UNITARIO DOLARES EN HAWTHORNE]]*Tabla3[[#This Row],[CANTIDAD SOLICTADA]]</f>
        <v>272.44</v>
      </c>
      <c r="Q435" s="41" t="s">
        <v>181</v>
      </c>
      <c r="R435" s="229">
        <v>18.510000000000002</v>
      </c>
      <c r="S435" s="229">
        <f>+Tabla3[[#This Row],[COSTO UNITARIO DOLARES CTP]]*Tabla3[[#This Row],[CANTIDAD SOLICTADA]]</f>
        <v>74.040000000000006</v>
      </c>
      <c r="T435" s="41"/>
      <c r="U435" s="18" t="s">
        <v>5</v>
      </c>
      <c r="V435" s="211" t="s">
        <v>631</v>
      </c>
      <c r="W435" s="10"/>
      <c r="X435" s="10" t="s">
        <v>89</v>
      </c>
      <c r="Y435" s="10" t="s">
        <v>90</v>
      </c>
      <c r="Z435" s="16"/>
      <c r="AA435" s="16"/>
      <c r="AB435" s="16"/>
      <c r="AC435" s="16"/>
      <c r="AD435" s="16"/>
      <c r="AE435" s="16" t="s">
        <v>186</v>
      </c>
      <c r="AF435" s="16" t="s">
        <v>251</v>
      </c>
      <c r="AG435" s="21" t="s">
        <v>633</v>
      </c>
      <c r="XFD435" s="15" t="str">
        <f>+Tabla3[[#This Row],[ESTATUS DE NUM ECONOMICO]]</f>
        <v>INACTIVA</v>
      </c>
    </row>
    <row r="436" spans="1:33 16384:16384" ht="15.75" thickBot="1" x14ac:dyDescent="0.3">
      <c r="A436" s="8">
        <v>81</v>
      </c>
      <c r="B436" s="9">
        <v>46184</v>
      </c>
      <c r="C436" s="10" t="s">
        <v>87</v>
      </c>
      <c r="D436" s="11"/>
      <c r="E436" s="16">
        <v>25</v>
      </c>
      <c r="F436" s="9">
        <v>46176</v>
      </c>
      <c r="G436" s="212" t="str">
        <f>IFERROR(VLOOKUP(Tabla3[[#This Row],[NUM ECONOMICO]],MAQUINARIA!B:H,7,0), " MAQ")</f>
        <v>INACTIVA</v>
      </c>
      <c r="H436" s="214" t="s">
        <v>627</v>
      </c>
      <c r="I436" s="41" t="s">
        <v>667</v>
      </c>
      <c r="J436" s="10" t="s">
        <v>668</v>
      </c>
      <c r="K436" s="10">
        <v>4</v>
      </c>
      <c r="L436" s="13">
        <v>3102.4</v>
      </c>
      <c r="M436" s="13">
        <f t="shared" si="6"/>
        <v>12409.6</v>
      </c>
      <c r="N436" s="41"/>
      <c r="O436" s="287">
        <v>177.75</v>
      </c>
      <c r="P436" s="287">
        <f>Tabla3[[#This Row],[COSTO UNITARIO DOLARES EN HAWTHORNE]]*Tabla3[[#This Row],[CANTIDAD SOLICTADA]]</f>
        <v>711</v>
      </c>
      <c r="Q436" s="41" t="s">
        <v>181</v>
      </c>
      <c r="R436" s="229">
        <v>49.73</v>
      </c>
      <c r="S436" s="229">
        <f>+Tabla3[[#This Row],[COSTO UNITARIO DOLARES CTP]]*Tabla3[[#This Row],[CANTIDAD SOLICTADA]]</f>
        <v>198.92</v>
      </c>
      <c r="T436" s="41"/>
      <c r="U436" s="18" t="s">
        <v>5</v>
      </c>
      <c r="V436" s="211" t="s">
        <v>631</v>
      </c>
      <c r="W436" s="10"/>
      <c r="X436" s="10" t="s">
        <v>89</v>
      </c>
      <c r="Y436" s="10" t="s">
        <v>90</v>
      </c>
      <c r="Z436" s="16"/>
      <c r="AA436" s="16"/>
      <c r="AB436" s="16"/>
      <c r="AC436" s="16"/>
      <c r="AD436" s="16"/>
      <c r="AE436" s="16" t="s">
        <v>186</v>
      </c>
      <c r="AF436" s="16" t="s">
        <v>251</v>
      </c>
      <c r="AG436" s="21" t="s">
        <v>633</v>
      </c>
      <c r="XFD436" s="15" t="str">
        <f>+Tabla3[[#This Row],[ESTATUS DE NUM ECONOMICO]]</f>
        <v>INACTIVA</v>
      </c>
    </row>
    <row r="437" spans="1:33 16384:16384" ht="15.75" thickBot="1" x14ac:dyDescent="0.3">
      <c r="A437" s="8">
        <v>81</v>
      </c>
      <c r="B437" s="9">
        <v>46184</v>
      </c>
      <c r="C437" s="10" t="s">
        <v>87</v>
      </c>
      <c r="D437" s="11"/>
      <c r="E437" s="16">
        <v>25</v>
      </c>
      <c r="F437" s="9">
        <v>46176</v>
      </c>
      <c r="G437" s="212" t="str">
        <f>IFERROR(VLOOKUP(Tabla3[[#This Row],[NUM ECONOMICO]],MAQUINARIA!B:H,7,0), " MAQ")</f>
        <v>INACTIVA</v>
      </c>
      <c r="H437" s="214" t="s">
        <v>627</v>
      </c>
      <c r="I437" s="41" t="s">
        <v>669</v>
      </c>
      <c r="J437" s="10" t="s">
        <v>670</v>
      </c>
      <c r="K437" s="10">
        <v>18</v>
      </c>
      <c r="L437" s="13">
        <v>364.18</v>
      </c>
      <c r="M437" s="13">
        <f t="shared" si="6"/>
        <v>6555.24</v>
      </c>
      <c r="N437" s="41"/>
      <c r="O437" s="287">
        <v>25.04</v>
      </c>
      <c r="P437" s="287">
        <f>Tabla3[[#This Row],[COSTO UNITARIO DOLARES EN HAWTHORNE]]*Tabla3[[#This Row],[CANTIDAD SOLICTADA]]</f>
        <v>450.71999999999997</v>
      </c>
      <c r="Q437" s="41" t="s">
        <v>181</v>
      </c>
      <c r="R437" s="229">
        <v>3.87</v>
      </c>
      <c r="S437" s="229">
        <f>+Tabla3[[#This Row],[COSTO UNITARIO DOLARES CTP]]*Tabla3[[#This Row],[CANTIDAD SOLICTADA]]</f>
        <v>69.66</v>
      </c>
      <c r="T437" s="41"/>
      <c r="U437" s="18" t="s">
        <v>5</v>
      </c>
      <c r="V437" s="211" t="s">
        <v>631</v>
      </c>
      <c r="W437" s="10"/>
      <c r="X437" s="10" t="s">
        <v>89</v>
      </c>
      <c r="Y437" s="10" t="s">
        <v>90</v>
      </c>
      <c r="Z437" s="16"/>
      <c r="AA437" s="16"/>
      <c r="AB437" s="16"/>
      <c r="AC437" s="16"/>
      <c r="AD437" s="16"/>
      <c r="AE437" s="16" t="s">
        <v>186</v>
      </c>
      <c r="AF437" s="16" t="s">
        <v>251</v>
      </c>
      <c r="AG437" s="21" t="s">
        <v>633</v>
      </c>
      <c r="XFD437" s="15" t="str">
        <f>+Tabla3[[#This Row],[ESTATUS DE NUM ECONOMICO]]</f>
        <v>INACTIVA</v>
      </c>
    </row>
    <row r="438" spans="1:33 16384:16384" ht="15.75" thickBot="1" x14ac:dyDescent="0.3">
      <c r="A438" s="8">
        <v>81</v>
      </c>
      <c r="B438" s="9">
        <v>46184</v>
      </c>
      <c r="C438" s="10" t="s">
        <v>87</v>
      </c>
      <c r="D438" s="11"/>
      <c r="E438" s="16">
        <v>25</v>
      </c>
      <c r="F438" s="9">
        <v>46176</v>
      </c>
      <c r="G438" s="212" t="str">
        <f>IFERROR(VLOOKUP(Tabla3[[#This Row],[NUM ECONOMICO]],MAQUINARIA!B:H,7,0), " MAQ")</f>
        <v>INACTIVA</v>
      </c>
      <c r="H438" s="214" t="s">
        <v>627</v>
      </c>
      <c r="I438" s="41" t="s">
        <v>671</v>
      </c>
      <c r="J438" s="10" t="s">
        <v>546</v>
      </c>
      <c r="K438" s="10">
        <v>4</v>
      </c>
      <c r="L438" s="13">
        <v>550.20000000000005</v>
      </c>
      <c r="M438" s="13">
        <f t="shared" si="6"/>
        <v>2200.8000000000002</v>
      </c>
      <c r="N438" s="41"/>
      <c r="O438" s="287">
        <v>37.43</v>
      </c>
      <c r="P438" s="287">
        <f>Tabla3[[#This Row],[COSTO UNITARIO DOLARES EN HAWTHORNE]]*Tabla3[[#This Row],[CANTIDAD SOLICTADA]]</f>
        <v>149.72</v>
      </c>
      <c r="Q438" s="41" t="s">
        <v>181</v>
      </c>
      <c r="R438" s="229">
        <v>3.23</v>
      </c>
      <c r="S438" s="229">
        <f>+Tabla3[[#This Row],[COSTO UNITARIO DOLARES CTP]]*Tabla3[[#This Row],[CANTIDAD SOLICTADA]]</f>
        <v>12.92</v>
      </c>
      <c r="T438" s="41"/>
      <c r="U438" s="18" t="s">
        <v>5</v>
      </c>
      <c r="V438" s="211" t="s">
        <v>631</v>
      </c>
      <c r="W438" s="10"/>
      <c r="X438" s="10" t="s">
        <v>89</v>
      </c>
      <c r="Y438" s="10" t="s">
        <v>90</v>
      </c>
      <c r="Z438" s="16"/>
      <c r="AA438" s="16"/>
      <c r="AB438" s="16"/>
      <c r="AC438" s="16"/>
      <c r="AD438" s="16"/>
      <c r="AE438" s="16" t="s">
        <v>186</v>
      </c>
      <c r="AF438" s="16" t="s">
        <v>251</v>
      </c>
      <c r="AG438" s="21" t="s">
        <v>633</v>
      </c>
      <c r="XFD438" s="15" t="str">
        <f>+Tabla3[[#This Row],[ESTATUS DE NUM ECONOMICO]]</f>
        <v>INACTIVA</v>
      </c>
    </row>
    <row r="439" spans="1:33 16384:16384" ht="15.75" thickBot="1" x14ac:dyDescent="0.3">
      <c r="A439" s="8">
        <v>81</v>
      </c>
      <c r="B439" s="9">
        <v>46184</v>
      </c>
      <c r="C439" s="10" t="s">
        <v>87</v>
      </c>
      <c r="D439" s="11"/>
      <c r="E439" s="16">
        <v>25</v>
      </c>
      <c r="F439" s="9">
        <v>46176</v>
      </c>
      <c r="G439" s="212" t="str">
        <f>IFERROR(VLOOKUP(Tabla3[[#This Row],[NUM ECONOMICO]],MAQUINARIA!B:H,7,0), " MAQ")</f>
        <v>INACTIVA</v>
      </c>
      <c r="H439" s="214" t="s">
        <v>627</v>
      </c>
      <c r="I439" s="41" t="s">
        <v>672</v>
      </c>
      <c r="J439" s="10" t="s">
        <v>673</v>
      </c>
      <c r="K439" s="10">
        <v>4</v>
      </c>
      <c r="L439" s="13">
        <v>4731.3</v>
      </c>
      <c r="M439" s="13">
        <f t="shared" si="6"/>
        <v>18925.2</v>
      </c>
      <c r="N439" s="41"/>
      <c r="O439" s="287">
        <v>269.56</v>
      </c>
      <c r="P439" s="287">
        <f>Tabla3[[#This Row],[COSTO UNITARIO DOLARES EN HAWTHORNE]]*Tabla3[[#This Row],[CANTIDAD SOLICTADA]]</f>
        <v>1078.24</v>
      </c>
      <c r="Q439" s="41" t="s">
        <v>674</v>
      </c>
      <c r="R439" s="229">
        <v>60.57</v>
      </c>
      <c r="S439" s="229">
        <f>+Tabla3[[#This Row],[COSTO UNITARIO DOLARES CTP]]*Tabla3[[#This Row],[CANTIDAD SOLICTADA]]</f>
        <v>242.28</v>
      </c>
      <c r="T439" s="41"/>
      <c r="U439" s="18" t="s">
        <v>5</v>
      </c>
      <c r="V439" s="211" t="s">
        <v>631</v>
      </c>
      <c r="W439" s="10"/>
      <c r="X439" s="10" t="s">
        <v>89</v>
      </c>
      <c r="Y439" s="10" t="s">
        <v>90</v>
      </c>
      <c r="Z439" s="16"/>
      <c r="AA439" s="16"/>
      <c r="AB439" s="16"/>
      <c r="AC439" s="16"/>
      <c r="AD439" s="16"/>
      <c r="AE439" s="16" t="s">
        <v>186</v>
      </c>
      <c r="AF439" s="16" t="s">
        <v>251</v>
      </c>
      <c r="AG439" s="21" t="s">
        <v>633</v>
      </c>
      <c r="XFD439" s="15" t="str">
        <f>+Tabla3[[#This Row],[ESTATUS DE NUM ECONOMICO]]</f>
        <v>INACTIVA</v>
      </c>
    </row>
    <row r="440" spans="1:33 16384:16384" ht="15.75" thickBot="1" x14ac:dyDescent="0.3">
      <c r="A440" s="8">
        <v>81</v>
      </c>
      <c r="B440" s="9">
        <v>46184</v>
      </c>
      <c r="C440" s="10" t="s">
        <v>87</v>
      </c>
      <c r="D440" s="11"/>
      <c r="E440" s="16">
        <v>25</v>
      </c>
      <c r="F440" s="9">
        <v>46176</v>
      </c>
      <c r="G440" s="212" t="str">
        <f>IFERROR(VLOOKUP(Tabla3[[#This Row],[NUM ECONOMICO]],MAQUINARIA!B:H,7,0), " MAQ")</f>
        <v>INACTIVA</v>
      </c>
      <c r="H440" s="214" t="s">
        <v>627</v>
      </c>
      <c r="I440" s="41" t="s">
        <v>675</v>
      </c>
      <c r="J440" s="10" t="s">
        <v>673</v>
      </c>
      <c r="K440" s="10">
        <v>4</v>
      </c>
      <c r="L440" s="13">
        <v>2300.5500000000002</v>
      </c>
      <c r="M440" s="13">
        <f t="shared" si="6"/>
        <v>9202.2000000000007</v>
      </c>
      <c r="N440" s="41"/>
      <c r="O440" s="287">
        <v>131.05000000000001</v>
      </c>
      <c r="P440" s="287">
        <f>Tabla3[[#This Row],[COSTO UNITARIO DOLARES EN HAWTHORNE]]*Tabla3[[#This Row],[CANTIDAD SOLICTADA]]</f>
        <v>524.20000000000005</v>
      </c>
      <c r="Q440" s="41" t="s">
        <v>674</v>
      </c>
      <c r="R440" s="229">
        <v>49.73</v>
      </c>
      <c r="S440" s="229">
        <f>+Tabla3[[#This Row],[COSTO UNITARIO DOLARES CTP]]*Tabla3[[#This Row],[CANTIDAD SOLICTADA]]</f>
        <v>198.92</v>
      </c>
      <c r="T440" s="41"/>
      <c r="U440" s="18" t="s">
        <v>5</v>
      </c>
      <c r="V440" s="211" t="s">
        <v>631</v>
      </c>
      <c r="W440" s="10"/>
      <c r="X440" s="10" t="s">
        <v>89</v>
      </c>
      <c r="Y440" s="10" t="s">
        <v>90</v>
      </c>
      <c r="Z440" s="16"/>
      <c r="AA440" s="16"/>
      <c r="AB440" s="16"/>
      <c r="AC440" s="16"/>
      <c r="AD440" s="16"/>
      <c r="AE440" s="16" t="s">
        <v>186</v>
      </c>
      <c r="AF440" s="16" t="s">
        <v>251</v>
      </c>
      <c r="AG440" s="21" t="s">
        <v>633</v>
      </c>
      <c r="XFD440" s="15" t="str">
        <f>+Tabla3[[#This Row],[ESTATUS DE NUM ECONOMICO]]</f>
        <v>INACTIVA</v>
      </c>
    </row>
    <row r="441" spans="1:33 16384:16384" ht="15.75" thickBot="1" x14ac:dyDescent="0.3">
      <c r="A441" s="8">
        <v>81</v>
      </c>
      <c r="B441" s="9">
        <v>46184</v>
      </c>
      <c r="C441" s="10" t="s">
        <v>87</v>
      </c>
      <c r="D441" s="11"/>
      <c r="E441" s="16">
        <v>25</v>
      </c>
      <c r="F441" s="9">
        <v>46176</v>
      </c>
      <c r="G441" s="212" t="str">
        <f>IFERROR(VLOOKUP(Tabla3[[#This Row],[NUM ECONOMICO]],MAQUINARIA!B:H,7,0), " MAQ")</f>
        <v>INACTIVA</v>
      </c>
      <c r="H441" s="214" t="s">
        <v>627</v>
      </c>
      <c r="I441" s="41" t="s">
        <v>676</v>
      </c>
      <c r="J441" s="10" t="s">
        <v>677</v>
      </c>
      <c r="K441" s="10">
        <v>2</v>
      </c>
      <c r="L441" s="13">
        <v>63480.2</v>
      </c>
      <c r="M441" s="13">
        <f t="shared" si="6"/>
        <v>126960.4</v>
      </c>
      <c r="N441" s="41"/>
      <c r="O441" s="287">
        <v>3444.58</v>
      </c>
      <c r="P441" s="287">
        <f>Tabla3[[#This Row],[COSTO UNITARIO DOLARES EN HAWTHORNE]]*Tabla3[[#This Row],[CANTIDAD SOLICTADA]]</f>
        <v>6889.16</v>
      </c>
      <c r="Q441" s="41" t="s">
        <v>674</v>
      </c>
      <c r="R441" s="229">
        <v>929.3</v>
      </c>
      <c r="S441" s="229">
        <f>+Tabla3[[#This Row],[COSTO UNITARIO DOLARES CTP]]*Tabla3[[#This Row],[CANTIDAD SOLICTADA]]</f>
        <v>1858.6</v>
      </c>
      <c r="T441" s="41"/>
      <c r="U441" s="18" t="s">
        <v>5</v>
      </c>
      <c r="V441" s="211" t="s">
        <v>631</v>
      </c>
      <c r="W441" s="10"/>
      <c r="X441" s="10" t="s">
        <v>89</v>
      </c>
      <c r="Y441" s="10" t="s">
        <v>90</v>
      </c>
      <c r="Z441" s="16"/>
      <c r="AA441" s="16"/>
      <c r="AB441" s="16"/>
      <c r="AC441" s="16"/>
      <c r="AD441" s="16"/>
      <c r="AE441" s="16" t="s">
        <v>678</v>
      </c>
      <c r="AF441" s="16" t="s">
        <v>251</v>
      </c>
      <c r="AG441" s="21" t="s">
        <v>633</v>
      </c>
      <c r="XFD441" s="15" t="str">
        <f>+Tabla3[[#This Row],[ESTATUS DE NUM ECONOMICO]]</f>
        <v>INACTIVA</v>
      </c>
    </row>
    <row r="442" spans="1:33 16384:16384" ht="15.75" thickBot="1" x14ac:dyDescent="0.3">
      <c r="A442" s="8">
        <v>81</v>
      </c>
      <c r="B442" s="9">
        <v>46184</v>
      </c>
      <c r="C442" s="10" t="s">
        <v>87</v>
      </c>
      <c r="D442" s="11"/>
      <c r="E442" s="16">
        <v>25</v>
      </c>
      <c r="F442" s="9">
        <v>46176</v>
      </c>
      <c r="G442" s="212" t="str">
        <f>IFERROR(VLOOKUP(Tabla3[[#This Row],[NUM ECONOMICO]],MAQUINARIA!B:H,7,0), " MAQ")</f>
        <v>INACTIVA</v>
      </c>
      <c r="H442" s="214" t="s">
        <v>627</v>
      </c>
      <c r="I442" s="41" t="s">
        <v>679</v>
      </c>
      <c r="J442" s="10" t="s">
        <v>180</v>
      </c>
      <c r="K442" s="10">
        <v>4</v>
      </c>
      <c r="L442" s="12"/>
      <c r="M442" s="13">
        <f t="shared" si="6"/>
        <v>0</v>
      </c>
      <c r="N442" s="41"/>
      <c r="O442" s="10"/>
      <c r="P442" s="10">
        <f>Tabla3[[#This Row],[COSTO UNITARIO DOLARES EN HAWTHORNE]]*Tabla3[[#This Row],[CANTIDAD SOLICTADA]]</f>
        <v>0</v>
      </c>
      <c r="Q442" s="41"/>
      <c r="R442" s="229"/>
      <c r="S442" s="229">
        <f>+Tabla3[[#This Row],[COSTO UNITARIO DOLARES CTP]]*Tabla3[[#This Row],[CANTIDAD SOLICTADA]]</f>
        <v>0</v>
      </c>
      <c r="T442" s="41"/>
      <c r="U442" s="20" t="s">
        <v>161</v>
      </c>
      <c r="V442" s="8" t="s">
        <v>631</v>
      </c>
      <c r="W442" s="10"/>
      <c r="X442" s="10" t="s">
        <v>96</v>
      </c>
      <c r="Y442" s="10">
        <v>6</v>
      </c>
      <c r="Z442" s="16"/>
      <c r="AA442" s="16"/>
      <c r="AB442" s="16"/>
      <c r="AC442" s="16"/>
      <c r="AD442" s="16"/>
      <c r="AE442" s="16" t="s">
        <v>186</v>
      </c>
      <c r="AF442" s="16"/>
      <c r="AG442" s="21" t="s">
        <v>633</v>
      </c>
      <c r="XFD442" s="15" t="str">
        <f>+Tabla3[[#This Row],[ESTATUS DE NUM ECONOMICO]]</f>
        <v>INACTIVA</v>
      </c>
    </row>
    <row r="443" spans="1:33 16384:16384" ht="15.75" thickBot="1" x14ac:dyDescent="0.3">
      <c r="A443" s="8">
        <v>81</v>
      </c>
      <c r="B443" s="9">
        <v>46184</v>
      </c>
      <c r="C443" s="10" t="s">
        <v>87</v>
      </c>
      <c r="D443" s="11"/>
      <c r="E443" s="16">
        <v>25</v>
      </c>
      <c r="F443" s="9">
        <v>46176</v>
      </c>
      <c r="G443" s="212" t="str">
        <f>IFERROR(VLOOKUP(Tabla3[[#This Row],[NUM ECONOMICO]],MAQUINARIA!B:H,7,0), " MAQ")</f>
        <v>INACTIVA</v>
      </c>
      <c r="H443" s="214" t="s">
        <v>627</v>
      </c>
      <c r="I443" s="41" t="s">
        <v>680</v>
      </c>
      <c r="J443" s="10" t="s">
        <v>253</v>
      </c>
      <c r="K443" s="10">
        <v>4</v>
      </c>
      <c r="L443" s="13">
        <v>290.68</v>
      </c>
      <c r="M443" s="13">
        <f t="shared" si="6"/>
        <v>1162.72</v>
      </c>
      <c r="N443" s="41"/>
      <c r="O443" s="287">
        <v>20.63</v>
      </c>
      <c r="P443" s="287">
        <f>Tabla3[[#This Row],[COSTO UNITARIO DOLARES EN HAWTHORNE]]*Tabla3[[#This Row],[CANTIDAD SOLICTADA]]</f>
        <v>82.52</v>
      </c>
      <c r="Q443" s="41" t="s">
        <v>674</v>
      </c>
      <c r="R443" s="229">
        <v>3.47</v>
      </c>
      <c r="S443" s="229">
        <f>+Tabla3[[#This Row],[COSTO UNITARIO DOLARES CTP]]*Tabla3[[#This Row],[CANTIDAD SOLICTADA]]</f>
        <v>13.88</v>
      </c>
      <c r="T443" s="41"/>
      <c r="U443" s="18" t="s">
        <v>5</v>
      </c>
      <c r="V443" s="211" t="s">
        <v>631</v>
      </c>
      <c r="W443" s="10"/>
      <c r="X443" s="10" t="s">
        <v>89</v>
      </c>
      <c r="Y443" s="10" t="s">
        <v>90</v>
      </c>
      <c r="Z443" s="16"/>
      <c r="AA443" s="16"/>
      <c r="AB443" s="16"/>
      <c r="AC443" s="16"/>
      <c r="AD443" s="16"/>
      <c r="AE443" s="16" t="s">
        <v>186</v>
      </c>
      <c r="AF443" s="16" t="s">
        <v>251</v>
      </c>
      <c r="AG443" s="21" t="s">
        <v>633</v>
      </c>
      <c r="XFD443" s="15" t="str">
        <f>+Tabla3[[#This Row],[ESTATUS DE NUM ECONOMICO]]</f>
        <v>INACTIVA</v>
      </c>
    </row>
    <row r="444" spans="1:33 16384:16384" ht="15.75" thickBot="1" x14ac:dyDescent="0.3">
      <c r="A444" s="8">
        <v>81</v>
      </c>
      <c r="B444" s="9">
        <v>46184</v>
      </c>
      <c r="C444" s="10" t="s">
        <v>87</v>
      </c>
      <c r="D444" s="11"/>
      <c r="E444" s="16">
        <v>25</v>
      </c>
      <c r="F444" s="9">
        <v>46176</v>
      </c>
      <c r="G444" s="212" t="str">
        <f>IFERROR(VLOOKUP(Tabla3[[#This Row],[NUM ECONOMICO]],MAQUINARIA!B:H,7,0), " MAQ")</f>
        <v>INACTIVA</v>
      </c>
      <c r="H444" s="214" t="s">
        <v>627</v>
      </c>
      <c r="I444" s="41" t="s">
        <v>681</v>
      </c>
      <c r="J444" s="10" t="s">
        <v>682</v>
      </c>
      <c r="K444" s="10">
        <v>20</v>
      </c>
      <c r="L444" s="13">
        <v>42</v>
      </c>
      <c r="M444" s="13">
        <f t="shared" si="6"/>
        <v>840</v>
      </c>
      <c r="N444" s="41"/>
      <c r="O444" s="287">
        <v>2.86</v>
      </c>
      <c r="P444" s="287">
        <f>Tabla3[[#This Row],[COSTO UNITARIO DOLARES EN HAWTHORNE]]*Tabla3[[#This Row],[CANTIDAD SOLICTADA]]</f>
        <v>57.199999999999996</v>
      </c>
      <c r="Q444" s="41" t="s">
        <v>674</v>
      </c>
      <c r="R444" s="229">
        <v>0</v>
      </c>
      <c r="S444" s="229">
        <f>+Tabla3[[#This Row],[COSTO UNITARIO DOLARES CTP]]*Tabla3[[#This Row],[CANTIDAD SOLICTADA]]</f>
        <v>0</v>
      </c>
      <c r="T444" s="41"/>
      <c r="U444" s="18" t="s">
        <v>5</v>
      </c>
      <c r="V444" s="211" t="s">
        <v>631</v>
      </c>
      <c r="W444" s="10"/>
      <c r="X444" s="10" t="s">
        <v>89</v>
      </c>
      <c r="Y444" s="10" t="s">
        <v>90</v>
      </c>
      <c r="Z444" s="16"/>
      <c r="AA444" s="16"/>
      <c r="AB444" s="16"/>
      <c r="AC444" s="16"/>
      <c r="AD444" s="16"/>
      <c r="AE444" s="16" t="s">
        <v>186</v>
      </c>
      <c r="AF444" s="16" t="s">
        <v>251</v>
      </c>
      <c r="AG444" s="21" t="s">
        <v>633</v>
      </c>
      <c r="XFD444" s="15" t="str">
        <f>+Tabla3[[#This Row],[ESTATUS DE NUM ECONOMICO]]</f>
        <v>INACTIVA</v>
      </c>
    </row>
    <row r="445" spans="1:33 16384:16384" ht="15.75" thickBot="1" x14ac:dyDescent="0.3">
      <c r="A445" s="8">
        <v>81</v>
      </c>
      <c r="B445" s="9">
        <v>46184</v>
      </c>
      <c r="C445" s="10" t="s">
        <v>87</v>
      </c>
      <c r="D445" s="11"/>
      <c r="E445" s="16">
        <v>25</v>
      </c>
      <c r="F445" s="9">
        <v>46176</v>
      </c>
      <c r="G445" s="212" t="str">
        <f>IFERROR(VLOOKUP(Tabla3[[#This Row],[NUM ECONOMICO]],MAQUINARIA!B:H,7,0), " MAQ")</f>
        <v>INACTIVA</v>
      </c>
      <c r="H445" s="214" t="s">
        <v>627</v>
      </c>
      <c r="I445" s="41" t="s">
        <v>683</v>
      </c>
      <c r="J445" s="10" t="s">
        <v>682</v>
      </c>
      <c r="K445" s="10">
        <v>20</v>
      </c>
      <c r="L445" s="13">
        <v>43.05</v>
      </c>
      <c r="M445" s="13">
        <f t="shared" si="6"/>
        <v>861</v>
      </c>
      <c r="N445" s="41"/>
      <c r="O445" s="287">
        <v>2.96</v>
      </c>
      <c r="P445" s="287">
        <f>Tabla3[[#This Row],[COSTO UNITARIO DOLARES EN HAWTHORNE]]*Tabla3[[#This Row],[CANTIDAD SOLICTADA]]</f>
        <v>59.2</v>
      </c>
      <c r="Q445" s="41" t="s">
        <v>674</v>
      </c>
      <c r="R445" s="229">
        <v>0</v>
      </c>
      <c r="S445" s="229">
        <f>+Tabla3[[#This Row],[COSTO UNITARIO DOLARES CTP]]*Tabla3[[#This Row],[CANTIDAD SOLICTADA]]</f>
        <v>0</v>
      </c>
      <c r="T445" s="41"/>
      <c r="U445" s="18" t="s">
        <v>5</v>
      </c>
      <c r="V445" s="211" t="s">
        <v>631</v>
      </c>
      <c r="W445" s="10"/>
      <c r="X445" s="10" t="s">
        <v>89</v>
      </c>
      <c r="Y445" s="10" t="s">
        <v>90</v>
      </c>
      <c r="Z445" s="16"/>
      <c r="AA445" s="16"/>
      <c r="AB445" s="16"/>
      <c r="AC445" s="16"/>
      <c r="AD445" s="16"/>
      <c r="AE445" s="16" t="s">
        <v>186</v>
      </c>
      <c r="AF445" s="16" t="s">
        <v>251</v>
      </c>
      <c r="AG445" s="21" t="s">
        <v>633</v>
      </c>
      <c r="XFD445" s="15" t="str">
        <f>+Tabla3[[#This Row],[ESTATUS DE NUM ECONOMICO]]</f>
        <v>INACTIVA</v>
      </c>
    </row>
    <row r="446" spans="1:33 16384:16384" ht="15.75" thickBot="1" x14ac:dyDescent="0.3">
      <c r="A446" s="8">
        <v>81</v>
      </c>
      <c r="B446" s="9">
        <v>46184</v>
      </c>
      <c r="C446" s="10" t="s">
        <v>87</v>
      </c>
      <c r="D446" s="11"/>
      <c r="E446" s="16">
        <v>25</v>
      </c>
      <c r="F446" s="9">
        <v>46176</v>
      </c>
      <c r="G446" s="212" t="str">
        <f>IFERROR(VLOOKUP(Tabla3[[#This Row],[NUM ECONOMICO]],MAQUINARIA!B:H,7,0), " MAQ")</f>
        <v>INACTIVA</v>
      </c>
      <c r="H446" s="214" t="s">
        <v>627</v>
      </c>
      <c r="I446" s="41" t="s">
        <v>684</v>
      </c>
      <c r="J446" s="10" t="s">
        <v>682</v>
      </c>
      <c r="K446" s="10">
        <v>8</v>
      </c>
      <c r="L446" s="13">
        <v>140.53</v>
      </c>
      <c r="M446" s="13">
        <f t="shared" si="6"/>
        <v>1124.24</v>
      </c>
      <c r="N446" s="41"/>
      <c r="O446" s="287">
        <v>9.65</v>
      </c>
      <c r="P446" s="287">
        <f>Tabla3[[#This Row],[COSTO UNITARIO DOLARES EN HAWTHORNE]]*Tabla3[[#This Row],[CANTIDAD SOLICTADA]]</f>
        <v>77.2</v>
      </c>
      <c r="Q446" s="41" t="s">
        <v>674</v>
      </c>
      <c r="R446" s="229">
        <v>0</v>
      </c>
      <c r="S446" s="229">
        <f>+Tabla3[[#This Row],[COSTO UNITARIO DOLARES CTP]]*Tabla3[[#This Row],[CANTIDAD SOLICTADA]]</f>
        <v>0</v>
      </c>
      <c r="T446" s="41"/>
      <c r="U446" s="18" t="s">
        <v>5</v>
      </c>
      <c r="V446" s="211" t="s">
        <v>631</v>
      </c>
      <c r="W446" s="10"/>
      <c r="X446" s="10" t="s">
        <v>89</v>
      </c>
      <c r="Y446" s="10" t="s">
        <v>90</v>
      </c>
      <c r="Z446" s="16"/>
      <c r="AA446" s="16"/>
      <c r="AB446" s="16"/>
      <c r="AC446" s="16"/>
      <c r="AD446" s="16"/>
      <c r="AE446" s="16" t="s">
        <v>186</v>
      </c>
      <c r="AF446" s="16" t="s">
        <v>251</v>
      </c>
      <c r="AG446" s="21" t="s">
        <v>633</v>
      </c>
      <c r="XFD446" s="15" t="str">
        <f>+Tabla3[[#This Row],[ESTATUS DE NUM ECONOMICO]]</f>
        <v>INACTIVA</v>
      </c>
    </row>
    <row r="447" spans="1:33 16384:16384" ht="15.75" thickBot="1" x14ac:dyDescent="0.3">
      <c r="A447" s="8">
        <v>81</v>
      </c>
      <c r="B447" s="9">
        <v>46184</v>
      </c>
      <c r="C447" s="10" t="s">
        <v>87</v>
      </c>
      <c r="D447" s="11"/>
      <c r="E447" s="16">
        <v>25</v>
      </c>
      <c r="F447" s="9">
        <v>46176</v>
      </c>
      <c r="G447" s="212" t="str">
        <f>IFERROR(VLOOKUP(Tabla3[[#This Row],[NUM ECONOMICO]],MAQUINARIA!B:H,7,0), " MAQ")</f>
        <v>INACTIVA</v>
      </c>
      <c r="H447" s="214" t="s">
        <v>627</v>
      </c>
      <c r="I447" s="41" t="s">
        <v>685</v>
      </c>
      <c r="J447" s="10" t="s">
        <v>686</v>
      </c>
      <c r="K447" s="10">
        <v>1</v>
      </c>
      <c r="L447" s="13">
        <v>3059.88</v>
      </c>
      <c r="M447" s="13">
        <f t="shared" si="6"/>
        <v>3059.88</v>
      </c>
      <c r="N447" s="41"/>
      <c r="O447" s="287">
        <v>174.91</v>
      </c>
      <c r="P447" s="287">
        <f>Tabla3[[#This Row],[COSTO UNITARIO DOLARES EN HAWTHORNE]]*Tabla3[[#This Row],[CANTIDAD SOLICTADA]]</f>
        <v>174.91</v>
      </c>
      <c r="Q447" s="41" t="s">
        <v>674</v>
      </c>
      <c r="R447" s="229">
        <v>0</v>
      </c>
      <c r="S447" s="229">
        <f>+Tabla3[[#This Row],[COSTO UNITARIO DOLARES CTP]]*Tabla3[[#This Row],[CANTIDAD SOLICTADA]]</f>
        <v>0</v>
      </c>
      <c r="T447" s="41"/>
      <c r="U447" s="18" t="s">
        <v>5</v>
      </c>
      <c r="V447" s="211" t="s">
        <v>631</v>
      </c>
      <c r="W447" s="10"/>
      <c r="X447" s="10" t="s">
        <v>89</v>
      </c>
      <c r="Y447" s="10" t="s">
        <v>90</v>
      </c>
      <c r="Z447" s="16"/>
      <c r="AA447" s="16"/>
      <c r="AB447" s="16"/>
      <c r="AC447" s="16"/>
      <c r="AD447" s="16"/>
      <c r="AE447" s="16" t="s">
        <v>186</v>
      </c>
      <c r="AF447" s="16" t="s">
        <v>251</v>
      </c>
      <c r="AG447" s="21" t="s">
        <v>633</v>
      </c>
      <c r="XFD447" s="15" t="str">
        <f>+Tabla3[[#This Row],[ESTATUS DE NUM ECONOMICO]]</f>
        <v>INACTIVA</v>
      </c>
    </row>
    <row r="448" spans="1:33 16384:16384" ht="15.75" thickBot="1" x14ac:dyDescent="0.3">
      <c r="A448" s="8">
        <v>81</v>
      </c>
      <c r="B448" s="9">
        <v>46184</v>
      </c>
      <c r="C448" s="10" t="s">
        <v>87</v>
      </c>
      <c r="D448" s="11"/>
      <c r="E448" s="16">
        <v>25</v>
      </c>
      <c r="F448" s="9">
        <v>46176</v>
      </c>
      <c r="G448" s="212" t="str">
        <f>IFERROR(VLOOKUP(Tabla3[[#This Row],[NUM ECONOMICO]],MAQUINARIA!B:H,7,0), " MAQ")</f>
        <v>INACTIVA</v>
      </c>
      <c r="H448" s="214" t="s">
        <v>627</v>
      </c>
      <c r="I448" s="41" t="s">
        <v>687</v>
      </c>
      <c r="J448" s="10" t="s">
        <v>686</v>
      </c>
      <c r="K448" s="10">
        <v>2</v>
      </c>
      <c r="L448" s="13">
        <v>72.45</v>
      </c>
      <c r="M448" s="13">
        <f t="shared" si="6"/>
        <v>144.9</v>
      </c>
      <c r="N448" s="41"/>
      <c r="O448" s="287">
        <v>5.15</v>
      </c>
      <c r="P448" s="287">
        <f>Tabla3[[#This Row],[COSTO UNITARIO DOLARES EN HAWTHORNE]]*Tabla3[[#This Row],[CANTIDAD SOLICTADA]]</f>
        <v>10.3</v>
      </c>
      <c r="Q448" s="41" t="s">
        <v>674</v>
      </c>
      <c r="R448" s="229">
        <v>0.47</v>
      </c>
      <c r="S448" s="229">
        <f>+Tabla3[[#This Row],[COSTO UNITARIO DOLARES CTP]]*Tabla3[[#This Row],[CANTIDAD SOLICTADA]]</f>
        <v>0.94</v>
      </c>
      <c r="T448" s="41"/>
      <c r="U448" s="18" t="s">
        <v>5</v>
      </c>
      <c r="V448" s="211" t="s">
        <v>631</v>
      </c>
      <c r="W448" s="10"/>
      <c r="X448" s="10" t="s">
        <v>89</v>
      </c>
      <c r="Y448" s="10" t="s">
        <v>90</v>
      </c>
      <c r="Z448" s="16"/>
      <c r="AA448" s="16"/>
      <c r="AB448" s="16"/>
      <c r="AC448" s="16"/>
      <c r="AD448" s="16"/>
      <c r="AE448" s="16" t="s">
        <v>186</v>
      </c>
      <c r="AF448" s="16" t="s">
        <v>251</v>
      </c>
      <c r="AG448" s="21" t="s">
        <v>633</v>
      </c>
      <c r="XFD448" s="15" t="str">
        <f>+Tabla3[[#This Row],[ESTATUS DE NUM ECONOMICO]]</f>
        <v>INACTIVA</v>
      </c>
    </row>
    <row r="449" spans="1:33 16384:16384" ht="15.75" thickBot="1" x14ac:dyDescent="0.3">
      <c r="A449" s="8">
        <v>81</v>
      </c>
      <c r="B449" s="9">
        <v>46184</v>
      </c>
      <c r="C449" s="10" t="s">
        <v>87</v>
      </c>
      <c r="D449" s="11"/>
      <c r="E449" s="16">
        <v>25</v>
      </c>
      <c r="F449" s="9">
        <v>46176</v>
      </c>
      <c r="G449" s="212" t="str">
        <f>IFERROR(VLOOKUP(Tabla3[[#This Row],[NUM ECONOMICO]],MAQUINARIA!B:H,7,0), " MAQ")</f>
        <v>INACTIVA</v>
      </c>
      <c r="H449" s="214" t="s">
        <v>627</v>
      </c>
      <c r="I449" s="41" t="s">
        <v>688</v>
      </c>
      <c r="J449" s="10" t="s">
        <v>546</v>
      </c>
      <c r="K449" s="10">
        <v>2</v>
      </c>
      <c r="L449" s="13">
        <v>399.35</v>
      </c>
      <c r="M449" s="13">
        <f t="shared" si="6"/>
        <v>798.7</v>
      </c>
      <c r="N449" s="41"/>
      <c r="O449" s="287">
        <v>28.3</v>
      </c>
      <c r="P449" s="287">
        <f>Tabla3[[#This Row],[COSTO UNITARIO DOLARES EN HAWTHORNE]]*Tabla3[[#This Row],[CANTIDAD SOLICTADA]]</f>
        <v>56.6</v>
      </c>
      <c r="Q449" s="41" t="s">
        <v>674</v>
      </c>
      <c r="R449" s="229">
        <v>0</v>
      </c>
      <c r="S449" s="229">
        <f>+Tabla3[[#This Row],[COSTO UNITARIO DOLARES CTP]]*Tabla3[[#This Row],[CANTIDAD SOLICTADA]]</f>
        <v>0</v>
      </c>
      <c r="T449" s="41"/>
      <c r="U449" s="18" t="s">
        <v>5</v>
      </c>
      <c r="V449" s="211" t="s">
        <v>631</v>
      </c>
      <c r="W449" s="10"/>
      <c r="X449" s="10" t="s">
        <v>89</v>
      </c>
      <c r="Y449" s="10" t="s">
        <v>90</v>
      </c>
      <c r="Z449" s="16"/>
      <c r="AA449" s="16"/>
      <c r="AB449" s="16"/>
      <c r="AC449" s="16"/>
      <c r="AD449" s="16"/>
      <c r="AE449" s="16" t="s">
        <v>186</v>
      </c>
      <c r="AF449" s="16" t="s">
        <v>251</v>
      </c>
      <c r="AG449" s="21" t="s">
        <v>633</v>
      </c>
      <c r="XFD449" s="15" t="str">
        <f>+Tabla3[[#This Row],[ESTATUS DE NUM ECONOMICO]]</f>
        <v>INACTIVA</v>
      </c>
    </row>
    <row r="450" spans="1:33 16384:16384" ht="15.75" thickBot="1" x14ac:dyDescent="0.3">
      <c r="A450" s="8">
        <v>81</v>
      </c>
      <c r="B450" s="9">
        <v>46184</v>
      </c>
      <c r="C450" s="10" t="s">
        <v>87</v>
      </c>
      <c r="D450" s="11"/>
      <c r="E450" s="16">
        <v>25</v>
      </c>
      <c r="F450" s="9">
        <v>46176</v>
      </c>
      <c r="G450" s="212" t="str">
        <f>IFERROR(VLOOKUP(Tabla3[[#This Row],[NUM ECONOMICO]],MAQUINARIA!B:H,7,0), " MAQ")</f>
        <v>INACTIVA</v>
      </c>
      <c r="H450" s="214" t="s">
        <v>627</v>
      </c>
      <c r="I450" s="41" t="s">
        <v>689</v>
      </c>
      <c r="J450" s="10" t="s">
        <v>546</v>
      </c>
      <c r="K450" s="10">
        <v>1</v>
      </c>
      <c r="L450" s="13">
        <v>142.44999999999999</v>
      </c>
      <c r="M450" s="13">
        <f t="shared" ref="M450:M513" si="7">+L450*K450</f>
        <v>142.44999999999999</v>
      </c>
      <c r="N450" s="41"/>
      <c r="O450" s="287">
        <v>10.1</v>
      </c>
      <c r="P450" s="287">
        <f>Tabla3[[#This Row],[COSTO UNITARIO DOLARES EN HAWTHORNE]]*Tabla3[[#This Row],[CANTIDAD SOLICTADA]]</f>
        <v>10.1</v>
      </c>
      <c r="Q450" s="41" t="s">
        <v>674</v>
      </c>
      <c r="R450" s="229">
        <v>0.69</v>
      </c>
      <c r="S450" s="229">
        <f>+Tabla3[[#This Row],[COSTO UNITARIO DOLARES CTP]]*Tabla3[[#This Row],[CANTIDAD SOLICTADA]]</f>
        <v>0.69</v>
      </c>
      <c r="T450" s="41"/>
      <c r="U450" s="18" t="s">
        <v>5</v>
      </c>
      <c r="V450" s="211" t="s">
        <v>631</v>
      </c>
      <c r="W450" s="10"/>
      <c r="X450" s="10" t="s">
        <v>89</v>
      </c>
      <c r="Y450" s="10">
        <v>1</v>
      </c>
      <c r="Z450" s="16"/>
      <c r="AA450" s="16"/>
      <c r="AB450" s="16"/>
      <c r="AC450" s="16"/>
      <c r="AD450" s="16"/>
      <c r="AE450" s="16" t="s">
        <v>186</v>
      </c>
      <c r="AF450" s="16" t="s">
        <v>251</v>
      </c>
      <c r="AG450" s="21" t="s">
        <v>633</v>
      </c>
      <c r="XFD450" s="15" t="str">
        <f>+Tabla3[[#This Row],[ESTATUS DE NUM ECONOMICO]]</f>
        <v>INACTIVA</v>
      </c>
    </row>
    <row r="451" spans="1:33 16384:16384" ht="15.75" thickBot="1" x14ac:dyDescent="0.3">
      <c r="A451" s="8">
        <v>81</v>
      </c>
      <c r="B451" s="9">
        <v>46184</v>
      </c>
      <c r="C451" s="10" t="s">
        <v>87</v>
      </c>
      <c r="D451" s="11"/>
      <c r="E451" s="16">
        <v>25</v>
      </c>
      <c r="F451" s="9">
        <v>46176</v>
      </c>
      <c r="G451" s="212" t="str">
        <f>IFERROR(VLOOKUP(Tabla3[[#This Row],[NUM ECONOMICO]],MAQUINARIA!B:H,7,0), " MAQ")</f>
        <v>INACTIVA</v>
      </c>
      <c r="H451" s="214" t="s">
        <v>627</v>
      </c>
      <c r="I451" s="41" t="s">
        <v>690</v>
      </c>
      <c r="J451" s="10" t="s">
        <v>546</v>
      </c>
      <c r="K451" s="10">
        <v>1</v>
      </c>
      <c r="L451" s="13">
        <v>798.88</v>
      </c>
      <c r="M451" s="13">
        <f t="shared" si="7"/>
        <v>798.88</v>
      </c>
      <c r="N451" s="41"/>
      <c r="O451" s="287">
        <v>54.36</v>
      </c>
      <c r="P451" s="287">
        <f>Tabla3[[#This Row],[COSTO UNITARIO DOLARES EN HAWTHORNE]]*Tabla3[[#This Row],[CANTIDAD SOLICTADA]]</f>
        <v>54.36</v>
      </c>
      <c r="Q451" s="41" t="s">
        <v>674</v>
      </c>
      <c r="R451" s="229">
        <v>0</v>
      </c>
      <c r="S451" s="229">
        <f>+Tabla3[[#This Row],[COSTO UNITARIO DOLARES CTP]]*Tabla3[[#This Row],[CANTIDAD SOLICTADA]]</f>
        <v>0</v>
      </c>
      <c r="T451" s="41"/>
      <c r="U451" s="18" t="s">
        <v>5</v>
      </c>
      <c r="V451" s="211" t="s">
        <v>631</v>
      </c>
      <c r="W451" s="10"/>
      <c r="X451" s="10" t="s">
        <v>89</v>
      </c>
      <c r="Y451" s="10" t="s">
        <v>90</v>
      </c>
      <c r="Z451" s="16"/>
      <c r="AA451" s="16"/>
      <c r="AB451" s="16"/>
      <c r="AC451" s="16"/>
      <c r="AD451" s="16"/>
      <c r="AE451" s="16" t="s">
        <v>186</v>
      </c>
      <c r="AF451" s="16" t="s">
        <v>251</v>
      </c>
      <c r="AG451" s="21" t="s">
        <v>633</v>
      </c>
      <c r="XFD451" s="15" t="str">
        <f>+Tabla3[[#This Row],[ESTATUS DE NUM ECONOMICO]]</f>
        <v>INACTIVA</v>
      </c>
    </row>
    <row r="452" spans="1:33 16384:16384" ht="15.75" thickBot="1" x14ac:dyDescent="0.3">
      <c r="A452" s="8">
        <v>81</v>
      </c>
      <c r="B452" s="9">
        <v>46184</v>
      </c>
      <c r="C452" s="10" t="s">
        <v>87</v>
      </c>
      <c r="D452" s="11"/>
      <c r="E452" s="16">
        <v>25</v>
      </c>
      <c r="F452" s="9">
        <v>46176</v>
      </c>
      <c r="G452" s="212" t="str">
        <f>IFERROR(VLOOKUP(Tabla3[[#This Row],[NUM ECONOMICO]],MAQUINARIA!B:H,7,0), " MAQ")</f>
        <v>INACTIVA</v>
      </c>
      <c r="H452" s="214" t="s">
        <v>627</v>
      </c>
      <c r="I452" s="41" t="s">
        <v>691</v>
      </c>
      <c r="J452" s="10" t="s">
        <v>546</v>
      </c>
      <c r="K452" s="10">
        <v>1</v>
      </c>
      <c r="L452" s="13">
        <v>61.25</v>
      </c>
      <c r="M452" s="13">
        <f t="shared" si="7"/>
        <v>61.25</v>
      </c>
      <c r="N452" s="41"/>
      <c r="O452" s="287">
        <v>4.34</v>
      </c>
      <c r="P452" s="287">
        <f>Tabla3[[#This Row],[COSTO UNITARIO DOLARES EN HAWTHORNE]]*Tabla3[[#This Row],[CANTIDAD SOLICTADA]]</f>
        <v>4.34</v>
      </c>
      <c r="Q452" s="41" t="s">
        <v>674</v>
      </c>
      <c r="R452" s="229">
        <v>0.11</v>
      </c>
      <c r="S452" s="229">
        <f>+Tabla3[[#This Row],[COSTO UNITARIO DOLARES CTP]]*Tabla3[[#This Row],[CANTIDAD SOLICTADA]]</f>
        <v>0.11</v>
      </c>
      <c r="T452" s="41"/>
      <c r="U452" s="18" t="s">
        <v>5</v>
      </c>
      <c r="V452" s="211" t="s">
        <v>631</v>
      </c>
      <c r="W452" s="10"/>
      <c r="X452" s="10" t="s">
        <v>89</v>
      </c>
      <c r="Y452" s="10" t="s">
        <v>90</v>
      </c>
      <c r="Z452" s="16"/>
      <c r="AA452" s="16"/>
      <c r="AB452" s="16"/>
      <c r="AC452" s="16"/>
      <c r="AD452" s="16"/>
      <c r="AE452" s="16" t="s">
        <v>186</v>
      </c>
      <c r="AF452" s="16" t="s">
        <v>251</v>
      </c>
      <c r="AG452" s="21" t="s">
        <v>633</v>
      </c>
      <c r="XFD452" s="15" t="str">
        <f>+Tabla3[[#This Row],[ESTATUS DE NUM ECONOMICO]]</f>
        <v>INACTIVA</v>
      </c>
    </row>
    <row r="453" spans="1:33 16384:16384" ht="15.75" thickBot="1" x14ac:dyDescent="0.3">
      <c r="A453" s="8">
        <v>81</v>
      </c>
      <c r="B453" s="9">
        <v>46184</v>
      </c>
      <c r="C453" s="10" t="s">
        <v>87</v>
      </c>
      <c r="D453" s="11"/>
      <c r="E453" s="16">
        <v>25</v>
      </c>
      <c r="F453" s="9">
        <v>46176</v>
      </c>
      <c r="G453" s="212" t="str">
        <f>IFERROR(VLOOKUP(Tabla3[[#This Row],[NUM ECONOMICO]],MAQUINARIA!B:H,7,0), " MAQ")</f>
        <v>INACTIVA</v>
      </c>
      <c r="H453" s="214" t="s">
        <v>627</v>
      </c>
      <c r="I453" s="41" t="s">
        <v>692</v>
      </c>
      <c r="J453" s="10" t="s">
        <v>693</v>
      </c>
      <c r="K453" s="10">
        <v>1</v>
      </c>
      <c r="L453" s="13">
        <v>130.38</v>
      </c>
      <c r="M453" s="13">
        <f t="shared" si="7"/>
        <v>130.38</v>
      </c>
      <c r="N453" s="41"/>
      <c r="O453" s="287">
        <v>9.25</v>
      </c>
      <c r="P453" s="287">
        <f>Tabla3[[#This Row],[COSTO UNITARIO DOLARES EN HAWTHORNE]]*Tabla3[[#This Row],[CANTIDAD SOLICTADA]]</f>
        <v>9.25</v>
      </c>
      <c r="Q453" s="41" t="s">
        <v>674</v>
      </c>
      <c r="R453" s="229">
        <v>0.38</v>
      </c>
      <c r="S453" s="229">
        <f>+Tabla3[[#This Row],[COSTO UNITARIO DOLARES CTP]]*Tabla3[[#This Row],[CANTIDAD SOLICTADA]]</f>
        <v>0.38</v>
      </c>
      <c r="T453" s="41"/>
      <c r="U453" s="18" t="s">
        <v>5</v>
      </c>
      <c r="V453" s="211" t="s">
        <v>631</v>
      </c>
      <c r="W453" s="10"/>
      <c r="X453" s="10" t="s">
        <v>89</v>
      </c>
      <c r="Y453" s="10" t="s">
        <v>90</v>
      </c>
      <c r="Z453" s="16"/>
      <c r="AA453" s="16"/>
      <c r="AB453" s="16"/>
      <c r="AC453" s="16"/>
      <c r="AD453" s="16"/>
      <c r="AE453" s="16" t="s">
        <v>186</v>
      </c>
      <c r="AF453" s="16" t="s">
        <v>251</v>
      </c>
      <c r="AG453" s="21" t="s">
        <v>633</v>
      </c>
      <c r="XFD453" s="15" t="str">
        <f>+Tabla3[[#This Row],[ESTATUS DE NUM ECONOMICO]]</f>
        <v>INACTIVA</v>
      </c>
    </row>
    <row r="454" spans="1:33 16384:16384" ht="15.75" thickBot="1" x14ac:dyDescent="0.3">
      <c r="A454" s="8">
        <v>81</v>
      </c>
      <c r="B454" s="9">
        <v>46184</v>
      </c>
      <c r="C454" s="10" t="s">
        <v>87</v>
      </c>
      <c r="D454" s="11"/>
      <c r="E454" s="16">
        <v>25</v>
      </c>
      <c r="F454" s="9">
        <v>46176</v>
      </c>
      <c r="G454" s="212" t="str">
        <f>IFERROR(VLOOKUP(Tabla3[[#This Row],[NUM ECONOMICO]],MAQUINARIA!B:H,7,0), " MAQ")</f>
        <v>INACTIVA</v>
      </c>
      <c r="H454" s="214" t="s">
        <v>627</v>
      </c>
      <c r="I454" s="41" t="s">
        <v>694</v>
      </c>
      <c r="J454" s="10" t="s">
        <v>695</v>
      </c>
      <c r="K454" s="10">
        <v>2</v>
      </c>
      <c r="L454" s="13">
        <v>8089.9</v>
      </c>
      <c r="M454" s="13">
        <f t="shared" si="7"/>
        <v>16179.8</v>
      </c>
      <c r="N454" s="41"/>
      <c r="O454" s="287">
        <v>481.58</v>
      </c>
      <c r="P454" s="287">
        <f>Tabla3[[#This Row],[COSTO UNITARIO DOLARES EN HAWTHORNE]]*Tabla3[[#This Row],[CANTIDAD SOLICTADA]]</f>
        <v>963.16</v>
      </c>
      <c r="Q454" s="41" t="s">
        <v>674</v>
      </c>
      <c r="R454" s="229">
        <v>61.73</v>
      </c>
      <c r="S454" s="229">
        <f>+Tabla3[[#This Row],[COSTO UNITARIO DOLARES CTP]]*Tabla3[[#This Row],[CANTIDAD SOLICTADA]]</f>
        <v>123.46</v>
      </c>
      <c r="T454" s="41"/>
      <c r="U454" s="18" t="s">
        <v>5</v>
      </c>
      <c r="V454" s="211" t="s">
        <v>631</v>
      </c>
      <c r="W454" s="10"/>
      <c r="X454" s="10" t="s">
        <v>89</v>
      </c>
      <c r="Y454" s="10" t="s">
        <v>90</v>
      </c>
      <c r="Z454" s="16"/>
      <c r="AA454" s="16"/>
      <c r="AB454" s="16"/>
      <c r="AC454" s="16"/>
      <c r="AD454" s="16"/>
      <c r="AE454" s="16" t="s">
        <v>186</v>
      </c>
      <c r="AF454" s="16" t="s">
        <v>251</v>
      </c>
      <c r="AG454" s="21" t="s">
        <v>633</v>
      </c>
      <c r="XFD454" s="15" t="str">
        <f>+Tabla3[[#This Row],[ESTATUS DE NUM ECONOMICO]]</f>
        <v>INACTIVA</v>
      </c>
    </row>
    <row r="455" spans="1:33 16384:16384" ht="15.75" thickBot="1" x14ac:dyDescent="0.3">
      <c r="A455" s="8">
        <v>81</v>
      </c>
      <c r="B455" s="9">
        <v>46184</v>
      </c>
      <c r="C455" s="10" t="s">
        <v>87</v>
      </c>
      <c r="D455" s="11"/>
      <c r="E455" s="16">
        <v>25</v>
      </c>
      <c r="F455" s="9">
        <v>46176</v>
      </c>
      <c r="G455" s="212" t="str">
        <f>IFERROR(VLOOKUP(Tabla3[[#This Row],[NUM ECONOMICO]],MAQUINARIA!B:H,7,0), " MAQ")</f>
        <v>INACTIVA</v>
      </c>
      <c r="H455" s="214" t="s">
        <v>627</v>
      </c>
      <c r="I455" s="41" t="s">
        <v>696</v>
      </c>
      <c r="J455" s="10" t="s">
        <v>697</v>
      </c>
      <c r="K455" s="10">
        <v>6</v>
      </c>
      <c r="L455" s="13">
        <v>35.18</v>
      </c>
      <c r="M455" s="13">
        <f t="shared" si="7"/>
        <v>211.07999999999998</v>
      </c>
      <c r="N455" s="41"/>
      <c r="O455" s="287">
        <v>2.48</v>
      </c>
      <c r="P455" s="287">
        <f>Tabla3[[#This Row],[COSTO UNITARIO DOLARES EN HAWTHORNE]]*Tabla3[[#This Row],[CANTIDAD SOLICTADA]]</f>
        <v>14.879999999999999</v>
      </c>
      <c r="Q455" s="41" t="s">
        <v>674</v>
      </c>
      <c r="R455" s="229">
        <v>0</v>
      </c>
      <c r="S455" s="229">
        <f>+Tabla3[[#This Row],[COSTO UNITARIO DOLARES CTP]]*Tabla3[[#This Row],[CANTIDAD SOLICTADA]]</f>
        <v>0</v>
      </c>
      <c r="T455" s="41"/>
      <c r="U455" s="18" t="s">
        <v>5</v>
      </c>
      <c r="V455" s="211" t="s">
        <v>631</v>
      </c>
      <c r="W455" s="10"/>
      <c r="X455" s="10" t="s">
        <v>89</v>
      </c>
      <c r="Y455" s="10" t="s">
        <v>90</v>
      </c>
      <c r="Z455" s="16"/>
      <c r="AA455" s="16"/>
      <c r="AB455" s="16"/>
      <c r="AC455" s="16"/>
      <c r="AD455" s="16"/>
      <c r="AE455" s="16" t="s">
        <v>186</v>
      </c>
      <c r="AF455" s="16" t="s">
        <v>251</v>
      </c>
      <c r="AG455" s="21" t="s">
        <v>633</v>
      </c>
      <c r="XFD455" s="15" t="str">
        <f>+Tabla3[[#This Row],[ESTATUS DE NUM ECONOMICO]]</f>
        <v>INACTIVA</v>
      </c>
    </row>
    <row r="456" spans="1:33 16384:16384" ht="15.75" thickBot="1" x14ac:dyDescent="0.3">
      <c r="A456" s="8">
        <v>81</v>
      </c>
      <c r="B456" s="9">
        <v>46184</v>
      </c>
      <c r="C456" s="10" t="s">
        <v>87</v>
      </c>
      <c r="D456" s="11"/>
      <c r="E456" s="16">
        <v>25</v>
      </c>
      <c r="F456" s="9">
        <v>46176</v>
      </c>
      <c r="G456" s="212" t="str">
        <f>IFERROR(VLOOKUP(Tabla3[[#This Row],[NUM ECONOMICO]],MAQUINARIA!B:H,7,0), " MAQ")</f>
        <v>INACTIVA</v>
      </c>
      <c r="H456" s="214" t="s">
        <v>627</v>
      </c>
      <c r="I456" s="41" t="s">
        <v>698</v>
      </c>
      <c r="J456" s="10" t="s">
        <v>699</v>
      </c>
      <c r="K456" s="10">
        <v>4</v>
      </c>
      <c r="L456" s="13">
        <v>226.98</v>
      </c>
      <c r="M456" s="13">
        <f t="shared" si="7"/>
        <v>907.92</v>
      </c>
      <c r="N456" s="41"/>
      <c r="O456" s="287">
        <v>15.71</v>
      </c>
      <c r="P456" s="287">
        <f>Tabla3[[#This Row],[COSTO UNITARIO DOLARES EN HAWTHORNE]]*Tabla3[[#This Row],[CANTIDAD SOLICTADA]]</f>
        <v>62.84</v>
      </c>
      <c r="Q456" s="41" t="s">
        <v>674</v>
      </c>
      <c r="R456" s="229">
        <v>1.25</v>
      </c>
      <c r="S456" s="229">
        <f>+Tabla3[[#This Row],[COSTO UNITARIO DOLARES CTP]]*Tabla3[[#This Row],[CANTIDAD SOLICTADA]]</f>
        <v>5</v>
      </c>
      <c r="T456" s="41"/>
      <c r="U456" s="18" t="s">
        <v>5</v>
      </c>
      <c r="V456" s="211" t="s">
        <v>631</v>
      </c>
      <c r="W456" s="10"/>
      <c r="X456" s="10" t="s">
        <v>89</v>
      </c>
      <c r="Y456" s="10">
        <v>0</v>
      </c>
      <c r="Z456" s="16"/>
      <c r="AA456" s="16"/>
      <c r="AB456" s="16"/>
      <c r="AC456" s="16"/>
      <c r="AD456" s="16"/>
      <c r="AE456" s="16" t="s">
        <v>700</v>
      </c>
      <c r="AF456" s="16" t="s">
        <v>251</v>
      </c>
      <c r="AG456" s="21" t="s">
        <v>633</v>
      </c>
      <c r="XFD456" s="15" t="str">
        <f>+Tabla3[[#This Row],[ESTATUS DE NUM ECONOMICO]]</f>
        <v>INACTIVA</v>
      </c>
    </row>
    <row r="457" spans="1:33 16384:16384" ht="15.75" thickBot="1" x14ac:dyDescent="0.3">
      <c r="A457" s="8">
        <v>81</v>
      </c>
      <c r="B457" s="9">
        <v>46184</v>
      </c>
      <c r="C457" s="10" t="s">
        <v>87</v>
      </c>
      <c r="D457" s="11"/>
      <c r="E457" s="16">
        <v>25</v>
      </c>
      <c r="F457" s="9">
        <v>46176</v>
      </c>
      <c r="G457" s="212" t="str">
        <f>IFERROR(VLOOKUP(Tabla3[[#This Row],[NUM ECONOMICO]],MAQUINARIA!B:H,7,0), " MAQ")</f>
        <v>INACTIVA</v>
      </c>
      <c r="H457" s="214" t="s">
        <v>627</v>
      </c>
      <c r="I457" s="41" t="s">
        <v>701</v>
      </c>
      <c r="J457" s="10" t="s">
        <v>702</v>
      </c>
      <c r="K457" s="10">
        <v>2</v>
      </c>
      <c r="L457" s="13">
        <v>1533</v>
      </c>
      <c r="M457" s="13">
        <f t="shared" si="7"/>
        <v>3066</v>
      </c>
      <c r="N457" s="41"/>
      <c r="O457" s="287">
        <v>95.49</v>
      </c>
      <c r="P457" s="287">
        <f>Tabla3[[#This Row],[COSTO UNITARIO DOLARES EN HAWTHORNE]]*Tabla3[[#This Row],[CANTIDAD SOLICTADA]]</f>
        <v>190.98</v>
      </c>
      <c r="Q457" s="41" t="s">
        <v>217</v>
      </c>
      <c r="R457" s="229">
        <v>14.31</v>
      </c>
      <c r="S457" s="229">
        <f>+Tabla3[[#This Row],[COSTO UNITARIO DOLARES CTP]]*Tabla3[[#This Row],[CANTIDAD SOLICTADA]]</f>
        <v>28.62</v>
      </c>
      <c r="T457" s="41"/>
      <c r="U457" s="18" t="s">
        <v>5</v>
      </c>
      <c r="V457" s="211" t="s">
        <v>631</v>
      </c>
      <c r="W457" s="10"/>
      <c r="X457" s="10" t="s">
        <v>96</v>
      </c>
      <c r="Y457" s="10">
        <v>3</v>
      </c>
      <c r="Z457" s="16"/>
      <c r="AA457" s="16"/>
      <c r="AB457" s="16"/>
      <c r="AC457" s="16"/>
      <c r="AD457" s="16"/>
      <c r="AE457" s="16" t="s">
        <v>186</v>
      </c>
      <c r="AF457" s="16" t="s">
        <v>251</v>
      </c>
      <c r="AG457" s="21" t="s">
        <v>633</v>
      </c>
      <c r="XFD457" s="15" t="str">
        <f>+Tabla3[[#This Row],[ESTATUS DE NUM ECONOMICO]]</f>
        <v>INACTIVA</v>
      </c>
    </row>
    <row r="458" spans="1:33 16384:16384" ht="15.75" thickBot="1" x14ac:dyDescent="0.3">
      <c r="A458" s="8">
        <v>81</v>
      </c>
      <c r="B458" s="9">
        <v>46184</v>
      </c>
      <c r="C458" s="10" t="s">
        <v>87</v>
      </c>
      <c r="D458" s="11"/>
      <c r="E458" s="16">
        <v>25</v>
      </c>
      <c r="F458" s="9">
        <v>46176</v>
      </c>
      <c r="G458" s="212" t="str">
        <f>IFERROR(VLOOKUP(Tabla3[[#This Row],[NUM ECONOMICO]],MAQUINARIA!B:H,7,0), " MAQ")</f>
        <v>INACTIVA</v>
      </c>
      <c r="H458" s="214" t="s">
        <v>627</v>
      </c>
      <c r="I458" s="41" t="s">
        <v>703</v>
      </c>
      <c r="J458" s="10" t="s">
        <v>704</v>
      </c>
      <c r="K458" s="10">
        <v>2</v>
      </c>
      <c r="L458" s="13">
        <v>413.88</v>
      </c>
      <c r="M458" s="13">
        <f t="shared" si="7"/>
        <v>827.76</v>
      </c>
      <c r="N458" s="41"/>
      <c r="O458" s="287">
        <v>29.33</v>
      </c>
      <c r="P458" s="287">
        <f>Tabla3[[#This Row],[COSTO UNITARIO DOLARES EN HAWTHORNE]]*Tabla3[[#This Row],[CANTIDAD SOLICTADA]]</f>
        <v>58.66</v>
      </c>
      <c r="Q458" s="41" t="s">
        <v>674</v>
      </c>
      <c r="R458" s="229">
        <v>8.5299999999999994</v>
      </c>
      <c r="S458" s="229">
        <f>+Tabla3[[#This Row],[COSTO UNITARIO DOLARES CTP]]*Tabla3[[#This Row],[CANTIDAD SOLICTADA]]</f>
        <v>17.059999999999999</v>
      </c>
      <c r="T458" s="41"/>
      <c r="U458" s="18" t="s">
        <v>5</v>
      </c>
      <c r="V458" s="211" t="s">
        <v>631</v>
      </c>
      <c r="W458" s="10"/>
      <c r="X458" s="10" t="s">
        <v>89</v>
      </c>
      <c r="Y458" s="10">
        <v>4</v>
      </c>
      <c r="Z458" s="16"/>
      <c r="AA458" s="16"/>
      <c r="AB458" s="16"/>
      <c r="AC458" s="16"/>
      <c r="AD458" s="16"/>
      <c r="AE458" s="16" t="s">
        <v>186</v>
      </c>
      <c r="AF458" s="16" t="s">
        <v>251</v>
      </c>
      <c r="AG458" s="21" t="s">
        <v>633</v>
      </c>
      <c r="XFD458" s="15" t="str">
        <f>+Tabla3[[#This Row],[ESTATUS DE NUM ECONOMICO]]</f>
        <v>INACTIVA</v>
      </c>
    </row>
    <row r="459" spans="1:33 16384:16384" ht="15.75" thickBot="1" x14ac:dyDescent="0.3">
      <c r="A459" s="8">
        <v>81</v>
      </c>
      <c r="B459" s="9">
        <v>46184</v>
      </c>
      <c r="C459" s="10" t="s">
        <v>87</v>
      </c>
      <c r="D459" s="11"/>
      <c r="E459" s="16">
        <v>25</v>
      </c>
      <c r="F459" s="9">
        <v>46176</v>
      </c>
      <c r="G459" s="212" t="str">
        <f>IFERROR(VLOOKUP(Tabla3[[#This Row],[NUM ECONOMICO]],MAQUINARIA!B:H,7,0), " MAQ")</f>
        <v>INACTIVA</v>
      </c>
      <c r="H459" s="214" t="s">
        <v>627</v>
      </c>
      <c r="I459" s="41" t="s">
        <v>705</v>
      </c>
      <c r="J459" s="10" t="s">
        <v>706</v>
      </c>
      <c r="K459" s="10">
        <v>2</v>
      </c>
      <c r="L459" s="13">
        <v>8.93</v>
      </c>
      <c r="M459" s="13">
        <f t="shared" si="7"/>
        <v>17.86</v>
      </c>
      <c r="N459" s="41"/>
      <c r="O459" s="287">
        <v>0.63</v>
      </c>
      <c r="P459" s="287">
        <f>Tabla3[[#This Row],[COSTO UNITARIO DOLARES EN HAWTHORNE]]*Tabla3[[#This Row],[CANTIDAD SOLICTADA]]</f>
        <v>1.26</v>
      </c>
      <c r="Q459" s="41" t="s">
        <v>674</v>
      </c>
      <c r="R459" s="229">
        <v>0.19</v>
      </c>
      <c r="S459" s="229">
        <f>+Tabla3[[#This Row],[COSTO UNITARIO DOLARES CTP]]*Tabla3[[#This Row],[CANTIDAD SOLICTADA]]</f>
        <v>0.38</v>
      </c>
      <c r="T459" s="41"/>
      <c r="U459" s="18" t="s">
        <v>5</v>
      </c>
      <c r="V459" s="211" t="s">
        <v>631</v>
      </c>
      <c r="W459" s="10"/>
      <c r="X459" s="10" t="s">
        <v>89</v>
      </c>
      <c r="Y459" s="10" t="s">
        <v>90</v>
      </c>
      <c r="Z459" s="16"/>
      <c r="AA459" s="16"/>
      <c r="AB459" s="16"/>
      <c r="AC459" s="16"/>
      <c r="AD459" s="16"/>
      <c r="AE459" s="16" t="s">
        <v>186</v>
      </c>
      <c r="AF459" s="16" t="s">
        <v>251</v>
      </c>
      <c r="AG459" s="21" t="s">
        <v>633</v>
      </c>
      <c r="XFD459" s="15" t="str">
        <f>+Tabla3[[#This Row],[ESTATUS DE NUM ECONOMICO]]</f>
        <v>INACTIVA</v>
      </c>
    </row>
    <row r="460" spans="1:33 16384:16384" ht="15.75" thickBot="1" x14ac:dyDescent="0.3">
      <c r="A460" s="8">
        <v>81</v>
      </c>
      <c r="B460" s="9">
        <v>46184</v>
      </c>
      <c r="C460" s="10" t="s">
        <v>87</v>
      </c>
      <c r="D460" s="11"/>
      <c r="E460" s="16">
        <v>25</v>
      </c>
      <c r="F460" s="9">
        <v>46176</v>
      </c>
      <c r="G460" s="212" t="str">
        <f>IFERROR(VLOOKUP(Tabla3[[#This Row],[NUM ECONOMICO]],MAQUINARIA!B:H,7,0), " MAQ")</f>
        <v>INACTIVA</v>
      </c>
      <c r="H460" s="214" t="s">
        <v>627</v>
      </c>
      <c r="I460" s="41" t="s">
        <v>707</v>
      </c>
      <c r="J460" s="10" t="s">
        <v>708</v>
      </c>
      <c r="K460" s="10">
        <v>2</v>
      </c>
      <c r="L460" s="13">
        <v>137.03</v>
      </c>
      <c r="M460" s="13">
        <f t="shared" si="7"/>
        <v>274.06</v>
      </c>
      <c r="N460" s="41"/>
      <c r="O460" s="287">
        <v>9.7100000000000009</v>
      </c>
      <c r="P460" s="287">
        <f>Tabla3[[#This Row],[COSTO UNITARIO DOLARES EN HAWTHORNE]]*Tabla3[[#This Row],[CANTIDAD SOLICTADA]]</f>
        <v>19.420000000000002</v>
      </c>
      <c r="Q460" s="41" t="s">
        <v>674</v>
      </c>
      <c r="R460" s="229">
        <v>0</v>
      </c>
      <c r="S460" s="229">
        <f>+Tabla3[[#This Row],[COSTO UNITARIO DOLARES CTP]]*Tabla3[[#This Row],[CANTIDAD SOLICTADA]]</f>
        <v>0</v>
      </c>
      <c r="T460" s="41"/>
      <c r="U460" s="18" t="s">
        <v>5</v>
      </c>
      <c r="V460" s="211" t="s">
        <v>631</v>
      </c>
      <c r="W460" s="10"/>
      <c r="X460" s="10" t="s">
        <v>89</v>
      </c>
      <c r="Y460" s="10" t="s">
        <v>90</v>
      </c>
      <c r="Z460" s="16"/>
      <c r="AA460" s="16"/>
      <c r="AB460" s="16"/>
      <c r="AC460" s="16"/>
      <c r="AD460" s="16"/>
      <c r="AE460" s="16" t="s">
        <v>186</v>
      </c>
      <c r="AF460" s="16" t="s">
        <v>251</v>
      </c>
      <c r="AG460" s="21" t="s">
        <v>633</v>
      </c>
      <c r="XFD460" s="15" t="str">
        <f>+Tabla3[[#This Row],[ESTATUS DE NUM ECONOMICO]]</f>
        <v>INACTIVA</v>
      </c>
    </row>
    <row r="461" spans="1:33 16384:16384" ht="15.75" thickBot="1" x14ac:dyDescent="0.3">
      <c r="A461" s="8">
        <v>81</v>
      </c>
      <c r="B461" s="9">
        <v>46184</v>
      </c>
      <c r="C461" s="10" t="s">
        <v>87</v>
      </c>
      <c r="D461" s="11"/>
      <c r="E461" s="16">
        <v>25</v>
      </c>
      <c r="F461" s="9">
        <v>46176</v>
      </c>
      <c r="G461" s="212" t="str">
        <f>IFERROR(VLOOKUP(Tabla3[[#This Row],[NUM ECONOMICO]],MAQUINARIA!B:H,7,0), " MAQ")</f>
        <v>INACTIVA</v>
      </c>
      <c r="H461" s="214" t="s">
        <v>627</v>
      </c>
      <c r="I461" s="41" t="s">
        <v>709</v>
      </c>
      <c r="J461" s="10"/>
      <c r="K461" s="10">
        <v>1</v>
      </c>
      <c r="L461" s="12"/>
      <c r="M461" s="13">
        <f t="shared" si="7"/>
        <v>0</v>
      </c>
      <c r="N461" s="41"/>
      <c r="O461" s="10"/>
      <c r="P461" s="10">
        <f>Tabla3[[#This Row],[COSTO UNITARIO DOLARES EN HAWTHORNE]]*Tabla3[[#This Row],[CANTIDAD SOLICTADA]]</f>
        <v>0</v>
      </c>
      <c r="Q461" s="41"/>
      <c r="R461" s="229"/>
      <c r="S461" s="229">
        <f>+Tabla3[[#This Row],[COSTO UNITARIO DOLARES CTP]]*Tabla3[[#This Row],[CANTIDAD SOLICTADA]]</f>
        <v>0</v>
      </c>
      <c r="T461" s="41"/>
      <c r="U461" s="20" t="s">
        <v>161</v>
      </c>
      <c r="V461" s="8" t="s">
        <v>631</v>
      </c>
      <c r="W461" s="10"/>
      <c r="X461" s="10" t="s">
        <v>96</v>
      </c>
      <c r="Y461" s="10">
        <v>1</v>
      </c>
      <c r="Z461" s="16"/>
      <c r="AA461" s="16"/>
      <c r="AB461" s="16"/>
      <c r="AC461" s="16"/>
      <c r="AD461" s="16"/>
      <c r="AE461" s="16" t="s">
        <v>186</v>
      </c>
      <c r="AF461" s="16"/>
      <c r="AG461" s="21" t="s">
        <v>633</v>
      </c>
      <c r="XFD461" s="15" t="str">
        <f>+Tabla3[[#This Row],[ESTATUS DE NUM ECONOMICO]]</f>
        <v>INACTIVA</v>
      </c>
    </row>
    <row r="462" spans="1:33 16384:16384" ht="15.75" thickBot="1" x14ac:dyDescent="0.3">
      <c r="A462" s="8">
        <v>81</v>
      </c>
      <c r="B462" s="9">
        <v>46184</v>
      </c>
      <c r="C462" s="10" t="s">
        <v>87</v>
      </c>
      <c r="D462" s="11"/>
      <c r="E462" s="16">
        <v>25</v>
      </c>
      <c r="F462" s="9">
        <v>46176</v>
      </c>
      <c r="G462" s="212" t="str">
        <f>IFERROR(VLOOKUP(Tabla3[[#This Row],[NUM ECONOMICO]],MAQUINARIA!B:H,7,0), " MAQ")</f>
        <v>INACTIVA</v>
      </c>
      <c r="H462" s="214" t="s">
        <v>627</v>
      </c>
      <c r="I462" s="41" t="s">
        <v>710</v>
      </c>
      <c r="J462" s="10"/>
      <c r="K462" s="10">
        <v>1</v>
      </c>
      <c r="L462" s="12"/>
      <c r="M462" s="13">
        <f t="shared" si="7"/>
        <v>0</v>
      </c>
      <c r="N462" s="41"/>
      <c r="O462" s="10"/>
      <c r="P462" s="10">
        <f>Tabla3[[#This Row],[COSTO UNITARIO DOLARES EN HAWTHORNE]]*Tabla3[[#This Row],[CANTIDAD SOLICTADA]]</f>
        <v>0</v>
      </c>
      <c r="Q462" s="41"/>
      <c r="R462" s="229"/>
      <c r="S462" s="229">
        <f>+Tabla3[[#This Row],[COSTO UNITARIO DOLARES CTP]]*Tabla3[[#This Row],[CANTIDAD SOLICTADA]]</f>
        <v>0</v>
      </c>
      <c r="T462" s="41"/>
      <c r="U462" s="20" t="s">
        <v>161</v>
      </c>
      <c r="V462" s="8" t="s">
        <v>631</v>
      </c>
      <c r="W462" s="10"/>
      <c r="X462" s="10" t="s">
        <v>96</v>
      </c>
      <c r="Y462" s="10">
        <v>1</v>
      </c>
      <c r="Z462" s="16"/>
      <c r="AA462" s="16"/>
      <c r="AB462" s="16"/>
      <c r="AC462" s="16"/>
      <c r="AD462" s="16"/>
      <c r="AE462" s="16" t="s">
        <v>186</v>
      </c>
      <c r="AF462" s="16"/>
      <c r="AG462" s="21" t="s">
        <v>633</v>
      </c>
      <c r="XFD462" s="15" t="str">
        <f>+Tabla3[[#This Row],[ESTATUS DE NUM ECONOMICO]]</f>
        <v>INACTIVA</v>
      </c>
    </row>
    <row r="463" spans="1:33 16384:16384" ht="15.75" thickBot="1" x14ac:dyDescent="0.3">
      <c r="A463" s="8">
        <v>81</v>
      </c>
      <c r="B463" s="9">
        <v>46184</v>
      </c>
      <c r="C463" s="10" t="s">
        <v>87</v>
      </c>
      <c r="D463" s="11"/>
      <c r="E463" s="16">
        <v>25</v>
      </c>
      <c r="F463" s="9">
        <v>46176</v>
      </c>
      <c r="G463" s="212" t="str">
        <f>IFERROR(VLOOKUP(Tabla3[[#This Row],[NUM ECONOMICO]],MAQUINARIA!B:H,7,0), " MAQ")</f>
        <v>INACTIVA</v>
      </c>
      <c r="H463" s="214" t="s">
        <v>627</v>
      </c>
      <c r="I463" s="41" t="s">
        <v>711</v>
      </c>
      <c r="J463" s="10" t="s">
        <v>712</v>
      </c>
      <c r="K463" s="10">
        <v>1</v>
      </c>
      <c r="L463" s="13">
        <v>105</v>
      </c>
      <c r="M463" s="13">
        <f t="shared" si="7"/>
        <v>105</v>
      </c>
      <c r="N463" s="41"/>
      <c r="O463" s="287">
        <v>7.44</v>
      </c>
      <c r="P463" s="287">
        <f>Tabla3[[#This Row],[COSTO UNITARIO DOLARES EN HAWTHORNE]]*Tabla3[[#This Row],[CANTIDAD SOLICTADA]]</f>
        <v>7.44</v>
      </c>
      <c r="Q463" s="41" t="s">
        <v>674</v>
      </c>
      <c r="R463" s="229">
        <v>0.34</v>
      </c>
      <c r="S463" s="229">
        <f>+Tabla3[[#This Row],[COSTO UNITARIO DOLARES CTP]]*Tabla3[[#This Row],[CANTIDAD SOLICTADA]]</f>
        <v>0.34</v>
      </c>
      <c r="T463" s="41"/>
      <c r="U463" s="18" t="s">
        <v>5</v>
      </c>
      <c r="V463" s="211" t="s">
        <v>631</v>
      </c>
      <c r="W463" s="10"/>
      <c r="X463" s="10" t="s">
        <v>89</v>
      </c>
      <c r="Y463" s="10" t="s">
        <v>90</v>
      </c>
      <c r="Z463" s="16"/>
      <c r="AA463" s="16"/>
      <c r="AB463" s="16"/>
      <c r="AC463" s="16"/>
      <c r="AD463" s="16"/>
      <c r="AE463" s="16" t="s">
        <v>186</v>
      </c>
      <c r="AF463" s="16" t="s">
        <v>251</v>
      </c>
      <c r="AG463" s="21" t="s">
        <v>633</v>
      </c>
      <c r="XFD463" s="15" t="str">
        <f>+Tabla3[[#This Row],[ESTATUS DE NUM ECONOMICO]]</f>
        <v>INACTIVA</v>
      </c>
    </row>
    <row r="464" spans="1:33 16384:16384" ht="15.75" thickBot="1" x14ac:dyDescent="0.3">
      <c r="A464" s="8">
        <v>81</v>
      </c>
      <c r="B464" s="9">
        <v>46184</v>
      </c>
      <c r="C464" s="10" t="s">
        <v>87</v>
      </c>
      <c r="D464" s="11"/>
      <c r="E464" s="16">
        <v>25</v>
      </c>
      <c r="F464" s="9">
        <v>46176</v>
      </c>
      <c r="G464" s="212" t="str">
        <f>IFERROR(VLOOKUP(Tabla3[[#This Row],[NUM ECONOMICO]],MAQUINARIA!B:H,7,0), " MAQ")</f>
        <v>INACTIVA</v>
      </c>
      <c r="H464" s="214" t="s">
        <v>627</v>
      </c>
      <c r="I464" s="41" t="s">
        <v>713</v>
      </c>
      <c r="J464" s="10" t="s">
        <v>714</v>
      </c>
      <c r="K464" s="10">
        <v>1</v>
      </c>
      <c r="L464" s="13">
        <v>112</v>
      </c>
      <c r="M464" s="13">
        <f t="shared" si="7"/>
        <v>112</v>
      </c>
      <c r="N464" s="41"/>
      <c r="O464" s="287">
        <v>7.95</v>
      </c>
      <c r="P464" s="287">
        <f>Tabla3[[#This Row],[COSTO UNITARIO DOLARES EN HAWTHORNE]]*Tabla3[[#This Row],[CANTIDAD SOLICTADA]]</f>
        <v>7.95</v>
      </c>
      <c r="Q464" s="41" t="s">
        <v>674</v>
      </c>
      <c r="R464" s="229">
        <v>0.36</v>
      </c>
      <c r="S464" s="229">
        <f>+Tabla3[[#This Row],[COSTO UNITARIO DOLARES CTP]]*Tabla3[[#This Row],[CANTIDAD SOLICTADA]]</f>
        <v>0.36</v>
      </c>
      <c r="T464" s="41"/>
      <c r="U464" s="18" t="s">
        <v>5</v>
      </c>
      <c r="V464" s="211" t="s">
        <v>631</v>
      </c>
      <c r="W464" s="10"/>
      <c r="X464" s="10" t="s">
        <v>89</v>
      </c>
      <c r="Y464" s="10">
        <v>1</v>
      </c>
      <c r="Z464" s="16"/>
      <c r="AA464" s="16"/>
      <c r="AB464" s="16"/>
      <c r="AC464" s="16"/>
      <c r="AD464" s="16"/>
      <c r="AE464" s="16" t="s">
        <v>715</v>
      </c>
      <c r="AF464" s="16" t="s">
        <v>251</v>
      </c>
      <c r="AG464" s="21" t="s">
        <v>633</v>
      </c>
      <c r="XFD464" s="15" t="str">
        <f>+Tabla3[[#This Row],[ESTATUS DE NUM ECONOMICO]]</f>
        <v>INACTIVA</v>
      </c>
    </row>
    <row r="465" spans="1:33 16384:16384" ht="15.75" thickBot="1" x14ac:dyDescent="0.3">
      <c r="A465" s="8">
        <v>81</v>
      </c>
      <c r="B465" s="9">
        <v>46184</v>
      </c>
      <c r="C465" s="10" t="s">
        <v>87</v>
      </c>
      <c r="D465" s="11"/>
      <c r="E465" s="16">
        <v>25</v>
      </c>
      <c r="F465" s="9">
        <v>46176</v>
      </c>
      <c r="G465" s="212" t="str">
        <f>IFERROR(VLOOKUP(Tabla3[[#This Row],[NUM ECONOMICO]],MAQUINARIA!B:H,7,0), " MAQ")</f>
        <v>INACTIVA</v>
      </c>
      <c r="H465" s="214" t="s">
        <v>627</v>
      </c>
      <c r="I465" s="41">
        <v>2892937</v>
      </c>
      <c r="J465" s="10" t="s">
        <v>716</v>
      </c>
      <c r="K465" s="10">
        <v>1</v>
      </c>
      <c r="L465" s="13">
        <v>633.67999999999995</v>
      </c>
      <c r="M465" s="13">
        <f t="shared" si="7"/>
        <v>633.67999999999995</v>
      </c>
      <c r="N465" s="41"/>
      <c r="O465" s="287">
        <v>42.06</v>
      </c>
      <c r="P465" s="287">
        <f>Tabla3[[#This Row],[COSTO UNITARIO DOLARES EN HAWTHORNE]]*Tabla3[[#This Row],[CANTIDAD SOLICTADA]]</f>
        <v>42.06</v>
      </c>
      <c r="Q465" s="41" t="s">
        <v>674</v>
      </c>
      <c r="R465" s="229">
        <v>3.53</v>
      </c>
      <c r="S465" s="229">
        <f>+Tabla3[[#This Row],[COSTO UNITARIO DOLARES CTP]]*Tabla3[[#This Row],[CANTIDAD SOLICTADA]]</f>
        <v>3.53</v>
      </c>
      <c r="T465" s="41"/>
      <c r="U465" s="18" t="s">
        <v>5</v>
      </c>
      <c r="V465" s="211" t="s">
        <v>631</v>
      </c>
      <c r="W465" s="10"/>
      <c r="X465" s="10" t="s">
        <v>89</v>
      </c>
      <c r="Y465" s="10" t="s">
        <v>90</v>
      </c>
      <c r="Z465" s="16"/>
      <c r="AA465" s="16"/>
      <c r="AB465" s="16"/>
      <c r="AC465" s="16"/>
      <c r="AD465" s="16"/>
      <c r="AE465" s="16" t="s">
        <v>717</v>
      </c>
      <c r="AF465" s="16" t="s">
        <v>251</v>
      </c>
      <c r="AG465" s="21" t="s">
        <v>633</v>
      </c>
      <c r="XFD465" s="15" t="str">
        <f>+Tabla3[[#This Row],[ESTATUS DE NUM ECONOMICO]]</f>
        <v>INACTIVA</v>
      </c>
    </row>
    <row r="466" spans="1:33 16384:16384" ht="15.75" thickBot="1" x14ac:dyDescent="0.3">
      <c r="A466" s="8">
        <v>81</v>
      </c>
      <c r="B466" s="9">
        <v>46184</v>
      </c>
      <c r="C466" s="10" t="s">
        <v>87</v>
      </c>
      <c r="D466" s="11"/>
      <c r="E466" s="16">
        <v>25</v>
      </c>
      <c r="F466" s="9">
        <v>46176</v>
      </c>
      <c r="G466" s="212" t="str">
        <f>IFERROR(VLOOKUP(Tabla3[[#This Row],[NUM ECONOMICO]],MAQUINARIA!B:H,7,0), " MAQ")</f>
        <v>INACTIVA</v>
      </c>
      <c r="H466" s="214" t="s">
        <v>627</v>
      </c>
      <c r="I466" s="41">
        <v>2892948</v>
      </c>
      <c r="J466" s="10" t="s">
        <v>253</v>
      </c>
      <c r="K466" s="10">
        <v>1</v>
      </c>
      <c r="L466" s="12"/>
      <c r="M466" s="13">
        <f t="shared" si="7"/>
        <v>0</v>
      </c>
      <c r="N466" s="41"/>
      <c r="O466" s="10"/>
      <c r="P466" s="10">
        <f>Tabla3[[#This Row],[COSTO UNITARIO DOLARES EN HAWTHORNE]]*Tabla3[[#This Row],[CANTIDAD SOLICTADA]]</f>
        <v>0</v>
      </c>
      <c r="Q466" s="41"/>
      <c r="R466" s="229"/>
      <c r="S466" s="229">
        <f>+Tabla3[[#This Row],[COSTO UNITARIO DOLARES CTP]]*Tabla3[[#This Row],[CANTIDAD SOLICTADA]]</f>
        <v>0</v>
      </c>
      <c r="T466" s="41"/>
      <c r="U466" s="20" t="s">
        <v>161</v>
      </c>
      <c r="V466" s="8" t="s">
        <v>631</v>
      </c>
      <c r="W466" s="10"/>
      <c r="X466" s="10" t="s">
        <v>96</v>
      </c>
      <c r="Y466" s="10" t="s">
        <v>90</v>
      </c>
      <c r="Z466" s="16"/>
      <c r="AA466" s="16"/>
      <c r="AB466" s="16"/>
      <c r="AC466" s="16"/>
      <c r="AD466" s="16"/>
      <c r="AE466" s="16" t="s">
        <v>718</v>
      </c>
      <c r="AF466" s="16"/>
      <c r="AG466" s="21" t="s">
        <v>633</v>
      </c>
      <c r="XFD466" s="15" t="str">
        <f>+Tabla3[[#This Row],[ESTATUS DE NUM ECONOMICO]]</f>
        <v>INACTIVA</v>
      </c>
    </row>
    <row r="467" spans="1:33 16384:16384" ht="15.75" thickBot="1" x14ac:dyDescent="0.3">
      <c r="A467" s="8">
        <v>81</v>
      </c>
      <c r="B467" s="9">
        <v>46184</v>
      </c>
      <c r="C467" s="10" t="s">
        <v>87</v>
      </c>
      <c r="D467" s="11"/>
      <c r="E467" s="16">
        <v>25</v>
      </c>
      <c r="F467" s="9">
        <v>46176</v>
      </c>
      <c r="G467" s="212" t="str">
        <f>IFERROR(VLOOKUP(Tabla3[[#This Row],[NUM ECONOMICO]],MAQUINARIA!B:H,7,0), " MAQ")</f>
        <v>INACTIVA</v>
      </c>
      <c r="H467" s="214" t="s">
        <v>627</v>
      </c>
      <c r="I467" s="41">
        <v>2253281</v>
      </c>
      <c r="J467" s="10"/>
      <c r="K467" s="10">
        <v>1</v>
      </c>
      <c r="L467" s="12"/>
      <c r="M467" s="13">
        <f t="shared" si="7"/>
        <v>0</v>
      </c>
      <c r="N467" s="41"/>
      <c r="O467" s="10"/>
      <c r="P467" s="10">
        <f>Tabla3[[#This Row],[COSTO UNITARIO DOLARES EN HAWTHORNE]]*Tabla3[[#This Row],[CANTIDAD SOLICTADA]]</f>
        <v>0</v>
      </c>
      <c r="Q467" s="43"/>
      <c r="R467" s="230"/>
      <c r="S467" s="230">
        <f>+Tabla3[[#This Row],[COSTO UNITARIO DOLARES CTP]]*Tabla3[[#This Row],[CANTIDAD SOLICTADA]]</f>
        <v>0</v>
      </c>
      <c r="T467" s="43"/>
      <c r="U467" s="28" t="s">
        <v>161</v>
      </c>
      <c r="V467" s="8" t="s">
        <v>631</v>
      </c>
      <c r="W467" s="10"/>
      <c r="X467" s="10" t="s">
        <v>96</v>
      </c>
      <c r="Y467" s="10">
        <v>2</v>
      </c>
      <c r="Z467" s="16"/>
      <c r="AA467" s="16"/>
      <c r="AB467" s="16"/>
      <c r="AC467" s="16"/>
      <c r="AD467" s="16"/>
      <c r="AE467" s="16" t="s">
        <v>186</v>
      </c>
      <c r="AF467" s="16"/>
      <c r="AG467" s="21" t="s">
        <v>633</v>
      </c>
      <c r="XFD467" s="15" t="str">
        <f>+Tabla3[[#This Row],[ESTATUS DE NUM ECONOMICO]]</f>
        <v>INACTIVA</v>
      </c>
    </row>
    <row r="468" spans="1:33 16384:16384" ht="15.75" thickBot="1" x14ac:dyDescent="0.3">
      <c r="A468" s="8">
        <v>82</v>
      </c>
      <c r="B468" s="9">
        <v>46185</v>
      </c>
      <c r="C468" s="10" t="s">
        <v>87</v>
      </c>
      <c r="D468" s="11"/>
      <c r="E468" s="16">
        <v>22</v>
      </c>
      <c r="F468" s="9">
        <v>46185</v>
      </c>
      <c r="G468" s="212" t="str">
        <f>IFERROR(VLOOKUP(Tabla3[[#This Row],[NUM ECONOMICO]],MAQUINARIA!B:H,7,0), " MAQ")</f>
        <v>ACTIVA</v>
      </c>
      <c r="H468" s="214" t="s">
        <v>719</v>
      </c>
      <c r="I468" s="41">
        <v>1900016</v>
      </c>
      <c r="J468" s="10"/>
      <c r="K468" s="10">
        <v>1</v>
      </c>
      <c r="L468" s="13">
        <v>0</v>
      </c>
      <c r="M468" s="13">
        <f t="shared" si="7"/>
        <v>0</v>
      </c>
      <c r="N468" s="41"/>
      <c r="O468" s="10"/>
      <c r="P468" s="10">
        <f>Tabla3[[#This Row],[COSTO UNITARIO DOLARES EN HAWTHORNE]]*Tabla3[[#This Row],[CANTIDAD SOLICTADA]]</f>
        <v>0</v>
      </c>
      <c r="Q468" s="208"/>
      <c r="R468" s="231"/>
      <c r="S468" s="231">
        <f>+Tabla3[[#This Row],[COSTO UNITARIO DOLARES CTP]]*Tabla3[[#This Row],[CANTIDAD SOLICTADA]]</f>
        <v>0</v>
      </c>
      <c r="T468" s="208"/>
      <c r="U468" s="24" t="s">
        <v>8</v>
      </c>
      <c r="V468" s="8" t="s">
        <v>720</v>
      </c>
      <c r="W468" s="10"/>
      <c r="X468" s="10" t="s">
        <v>89</v>
      </c>
      <c r="Y468" s="10" t="s">
        <v>90</v>
      </c>
      <c r="Z468" s="16"/>
      <c r="AA468" s="16"/>
      <c r="AB468" s="16"/>
      <c r="AC468" s="16"/>
      <c r="AD468" s="16"/>
      <c r="AE468" s="16"/>
      <c r="AF468" s="16"/>
      <c r="AG468" s="21" t="s">
        <v>721</v>
      </c>
      <c r="XFD468" s="15" t="str">
        <f>+Tabla3[[#This Row],[ESTATUS DE NUM ECONOMICO]]</f>
        <v>ACTIVA</v>
      </c>
    </row>
    <row r="469" spans="1:33 16384:16384" ht="15.75" thickBot="1" x14ac:dyDescent="0.3">
      <c r="A469" s="8">
        <v>82</v>
      </c>
      <c r="B469" s="9">
        <v>46185</v>
      </c>
      <c r="C469" s="10" t="s">
        <v>87</v>
      </c>
      <c r="D469" s="11"/>
      <c r="E469" s="16">
        <v>22</v>
      </c>
      <c r="F469" s="9">
        <v>46185</v>
      </c>
      <c r="G469" s="212" t="str">
        <f>IFERROR(VLOOKUP(Tabla3[[#This Row],[NUM ECONOMICO]],MAQUINARIA!B:H,7,0), " MAQ")</f>
        <v>ACTIVA</v>
      </c>
      <c r="H469" s="214" t="s">
        <v>719</v>
      </c>
      <c r="I469" s="41">
        <v>1070677</v>
      </c>
      <c r="J469" s="10"/>
      <c r="K469" s="10">
        <v>1</v>
      </c>
      <c r="L469" s="13">
        <v>7188.12</v>
      </c>
      <c r="M469" s="13">
        <f t="shared" si="7"/>
        <v>7188.12</v>
      </c>
      <c r="N469" s="41"/>
      <c r="O469" s="10"/>
      <c r="P469" s="10">
        <f>Tabla3[[#This Row],[COSTO UNITARIO DOLARES EN HAWTHORNE]]*Tabla3[[#This Row],[CANTIDAD SOLICTADA]]</f>
        <v>0</v>
      </c>
      <c r="Q469" s="208"/>
      <c r="R469" s="231"/>
      <c r="S469" s="231">
        <f>+Tabla3[[#This Row],[COSTO UNITARIO DOLARES CTP]]*Tabla3[[#This Row],[CANTIDAD SOLICTADA]]</f>
        <v>0</v>
      </c>
      <c r="T469" s="208"/>
      <c r="U469" s="24" t="s">
        <v>8</v>
      </c>
      <c r="V469" s="8" t="s">
        <v>720</v>
      </c>
      <c r="W469" s="10"/>
      <c r="X469" s="10" t="s">
        <v>89</v>
      </c>
      <c r="Y469" s="10" t="s">
        <v>90</v>
      </c>
      <c r="Z469" s="16"/>
      <c r="AA469" s="16"/>
      <c r="AB469" s="16"/>
      <c r="AC469" s="16"/>
      <c r="AD469" s="16"/>
      <c r="AE469" s="16" t="s">
        <v>722</v>
      </c>
      <c r="AF469" s="16"/>
      <c r="AG469" s="21" t="s">
        <v>723</v>
      </c>
      <c r="XFD469" s="15" t="str">
        <f>+Tabla3[[#This Row],[ESTATUS DE NUM ECONOMICO]]</f>
        <v>ACTIVA</v>
      </c>
    </row>
    <row r="470" spans="1:33 16384:16384" ht="15.75" thickBot="1" x14ac:dyDescent="0.3">
      <c r="A470" s="8">
        <v>82</v>
      </c>
      <c r="B470" s="9">
        <v>46185</v>
      </c>
      <c r="C470" s="10" t="s">
        <v>87</v>
      </c>
      <c r="D470" s="11"/>
      <c r="E470" s="16">
        <v>22</v>
      </c>
      <c r="F470" s="9">
        <v>46185</v>
      </c>
      <c r="G470" s="212" t="str">
        <f>IFERROR(VLOOKUP(Tabla3[[#This Row],[NUM ECONOMICO]],MAQUINARIA!B:H,7,0), " MAQ")</f>
        <v>ACTIVA</v>
      </c>
      <c r="H470" s="214" t="s">
        <v>719</v>
      </c>
      <c r="I470" s="41">
        <v>2147566</v>
      </c>
      <c r="J470" s="10"/>
      <c r="K470" s="10">
        <v>3</v>
      </c>
      <c r="L470" s="13">
        <v>108.72</v>
      </c>
      <c r="M470" s="13">
        <f t="shared" si="7"/>
        <v>326.15999999999997</v>
      </c>
      <c r="N470" s="41"/>
      <c r="O470" s="10"/>
      <c r="P470" s="10">
        <f>Tabla3[[#This Row],[COSTO UNITARIO DOLARES EN HAWTHORNE]]*Tabla3[[#This Row],[CANTIDAD SOLICTADA]]</f>
        <v>0</v>
      </c>
      <c r="Q470" s="208"/>
      <c r="R470" s="231"/>
      <c r="S470" s="231">
        <f>+Tabla3[[#This Row],[COSTO UNITARIO DOLARES CTP]]*Tabla3[[#This Row],[CANTIDAD SOLICTADA]]</f>
        <v>0</v>
      </c>
      <c r="T470" s="208"/>
      <c r="U470" s="24" t="s">
        <v>8</v>
      </c>
      <c r="V470" s="8" t="s">
        <v>720</v>
      </c>
      <c r="W470" s="10"/>
      <c r="X470" s="10" t="s">
        <v>89</v>
      </c>
      <c r="Y470" s="10" t="s">
        <v>90</v>
      </c>
      <c r="Z470" s="16"/>
      <c r="AA470" s="16"/>
      <c r="AB470" s="16"/>
      <c r="AC470" s="16"/>
      <c r="AD470" s="16"/>
      <c r="AE470" s="16" t="s">
        <v>722</v>
      </c>
      <c r="AF470" s="16"/>
      <c r="AG470" s="21" t="s">
        <v>723</v>
      </c>
      <c r="XFD470" s="15" t="str">
        <f>+Tabla3[[#This Row],[ESTATUS DE NUM ECONOMICO]]</f>
        <v>ACTIVA</v>
      </c>
    </row>
    <row r="471" spans="1:33 16384:16384" ht="15.75" thickBot="1" x14ac:dyDescent="0.3">
      <c r="A471" s="8">
        <v>82</v>
      </c>
      <c r="B471" s="9">
        <v>46185</v>
      </c>
      <c r="C471" s="10" t="s">
        <v>87</v>
      </c>
      <c r="D471" s="11"/>
      <c r="E471" s="16">
        <v>22</v>
      </c>
      <c r="F471" s="9">
        <v>46185</v>
      </c>
      <c r="G471" s="212" t="str">
        <f>IFERROR(VLOOKUP(Tabla3[[#This Row],[NUM ECONOMICO]],MAQUINARIA!B:H,7,0), " MAQ")</f>
        <v>ACTIVA</v>
      </c>
      <c r="H471" s="214" t="s">
        <v>719</v>
      </c>
      <c r="I471" s="41" t="s">
        <v>724</v>
      </c>
      <c r="J471" s="10"/>
      <c r="K471" s="10">
        <v>3</v>
      </c>
      <c r="L471" s="13">
        <v>128.34</v>
      </c>
      <c r="M471" s="13">
        <f t="shared" si="7"/>
        <v>385.02</v>
      </c>
      <c r="N471" s="41"/>
      <c r="O471" s="10"/>
      <c r="P471" s="10">
        <f>Tabla3[[#This Row],[COSTO UNITARIO DOLARES EN HAWTHORNE]]*Tabla3[[#This Row],[CANTIDAD SOLICTADA]]</f>
        <v>0</v>
      </c>
      <c r="Q471" s="208"/>
      <c r="R471" s="231"/>
      <c r="S471" s="231">
        <f>+Tabla3[[#This Row],[COSTO UNITARIO DOLARES CTP]]*Tabla3[[#This Row],[CANTIDAD SOLICTADA]]</f>
        <v>0</v>
      </c>
      <c r="T471" s="208"/>
      <c r="U471" s="24" t="s">
        <v>8</v>
      </c>
      <c r="V471" s="8" t="s">
        <v>720</v>
      </c>
      <c r="W471" s="10"/>
      <c r="X471" s="10" t="s">
        <v>89</v>
      </c>
      <c r="Y471" s="10" t="s">
        <v>90</v>
      </c>
      <c r="Z471" s="16"/>
      <c r="AA471" s="16"/>
      <c r="AB471" s="16"/>
      <c r="AC471" s="16"/>
      <c r="AD471" s="16"/>
      <c r="AE471" s="16"/>
      <c r="AF471" s="16"/>
      <c r="AG471" s="21" t="s">
        <v>723</v>
      </c>
      <c r="XFD471" s="15" t="str">
        <f>+Tabla3[[#This Row],[ESTATUS DE NUM ECONOMICO]]</f>
        <v>ACTIVA</v>
      </c>
    </row>
    <row r="472" spans="1:33 16384:16384" ht="15.75" thickBot="1" x14ac:dyDescent="0.3">
      <c r="A472" s="8">
        <v>82</v>
      </c>
      <c r="B472" s="9">
        <v>46185</v>
      </c>
      <c r="C472" s="10" t="s">
        <v>87</v>
      </c>
      <c r="D472" s="11"/>
      <c r="E472" s="16">
        <v>22</v>
      </c>
      <c r="F472" s="9">
        <v>46185</v>
      </c>
      <c r="G472" s="212" t="str">
        <f>IFERROR(VLOOKUP(Tabla3[[#This Row],[NUM ECONOMICO]],MAQUINARIA!B:H,7,0), " MAQ")</f>
        <v>ACTIVA</v>
      </c>
      <c r="H472" s="214" t="s">
        <v>719</v>
      </c>
      <c r="I472" s="41">
        <v>1612309</v>
      </c>
      <c r="J472" s="10"/>
      <c r="K472" s="10">
        <v>1</v>
      </c>
      <c r="L472" s="13" t="s">
        <v>725</v>
      </c>
      <c r="M472" s="13" t="e">
        <f t="shared" si="7"/>
        <v>#VALUE!</v>
      </c>
      <c r="N472" s="41"/>
      <c r="O472" s="10"/>
      <c r="P472" s="10">
        <f>Tabla3[[#This Row],[COSTO UNITARIO DOLARES EN HAWTHORNE]]*Tabla3[[#This Row],[CANTIDAD SOLICTADA]]</f>
        <v>0</v>
      </c>
      <c r="Q472" s="208"/>
      <c r="R472" s="231"/>
      <c r="S472" s="231">
        <f>+Tabla3[[#This Row],[COSTO UNITARIO DOLARES CTP]]*Tabla3[[#This Row],[CANTIDAD SOLICTADA]]</f>
        <v>0</v>
      </c>
      <c r="T472" s="208"/>
      <c r="U472" s="24" t="s">
        <v>8</v>
      </c>
      <c r="V472" s="8" t="s">
        <v>720</v>
      </c>
      <c r="W472" s="10"/>
      <c r="X472" s="10" t="s">
        <v>89</v>
      </c>
      <c r="Y472" s="10" t="s">
        <v>90</v>
      </c>
      <c r="Z472" s="16"/>
      <c r="AA472" s="16"/>
      <c r="AB472" s="16"/>
      <c r="AC472" s="16"/>
      <c r="AD472" s="16"/>
      <c r="AE472" s="16"/>
      <c r="AF472" s="16"/>
      <c r="AG472" s="21" t="s">
        <v>721</v>
      </c>
      <c r="XFD472" s="15" t="str">
        <f>+Tabla3[[#This Row],[ESTATUS DE NUM ECONOMICO]]</f>
        <v>ACTIVA</v>
      </c>
    </row>
    <row r="473" spans="1:33 16384:16384" ht="15.75" thickBot="1" x14ac:dyDescent="0.3">
      <c r="A473" s="8">
        <v>83</v>
      </c>
      <c r="B473" s="9">
        <v>46185</v>
      </c>
      <c r="C473" s="10" t="s">
        <v>87</v>
      </c>
      <c r="D473" s="10">
        <v>22</v>
      </c>
      <c r="E473" s="16">
        <v>21</v>
      </c>
      <c r="F473" s="9">
        <v>46185</v>
      </c>
      <c r="G473" s="212" t="str">
        <f>IFERROR(VLOOKUP(Tabla3[[#This Row],[NUM ECONOMICO]],MAQUINARIA!B:H,7,0), " MAQ")</f>
        <v>INACTIVA</v>
      </c>
      <c r="H473" s="214" t="s">
        <v>141</v>
      </c>
      <c r="I473" s="41" t="s">
        <v>726</v>
      </c>
      <c r="J473" s="10" t="s">
        <v>317</v>
      </c>
      <c r="K473" s="10">
        <v>16</v>
      </c>
      <c r="L473" s="12"/>
      <c r="M473" s="13">
        <f t="shared" si="7"/>
        <v>0</v>
      </c>
      <c r="N473" s="41"/>
      <c r="O473" s="10"/>
      <c r="P473" s="10">
        <f>Tabla3[[#This Row],[COSTO UNITARIO DOLARES EN HAWTHORNE]]*Tabla3[[#This Row],[CANTIDAD SOLICTADA]]</f>
        <v>0</v>
      </c>
      <c r="Q473" s="41"/>
      <c r="R473" s="229"/>
      <c r="S473" s="229">
        <f>+Tabla3[[#This Row],[COSTO UNITARIO DOLARES CTP]]*Tabla3[[#This Row],[CANTIDAD SOLICTADA]]</f>
        <v>0</v>
      </c>
      <c r="T473" s="41"/>
      <c r="U473" s="14" t="s">
        <v>4</v>
      </c>
      <c r="V473" s="8" t="s">
        <v>727</v>
      </c>
      <c r="W473" s="10"/>
      <c r="X473" s="10" t="s">
        <v>89</v>
      </c>
      <c r="Y473" s="10" t="s">
        <v>90</v>
      </c>
      <c r="Z473" s="16" t="s">
        <v>44</v>
      </c>
      <c r="AA473" s="25">
        <v>46198</v>
      </c>
      <c r="AB473" s="25">
        <v>46199</v>
      </c>
      <c r="AC473" s="16" t="s">
        <v>109</v>
      </c>
      <c r="AD473" s="16"/>
      <c r="AE473" s="16" t="s">
        <v>728</v>
      </c>
      <c r="AF473" s="16"/>
      <c r="AG473" s="21" t="s">
        <v>729</v>
      </c>
      <c r="XFD473" s="15" t="str">
        <f>+Tabla3[[#This Row],[ESTATUS DE NUM ECONOMICO]]</f>
        <v>INACTIVA</v>
      </c>
    </row>
    <row r="474" spans="1:33 16384:16384" ht="15.75" thickBot="1" x14ac:dyDescent="0.3">
      <c r="A474" s="8">
        <v>83</v>
      </c>
      <c r="B474" s="9">
        <v>46185</v>
      </c>
      <c r="C474" s="10" t="s">
        <v>87</v>
      </c>
      <c r="D474" s="10">
        <v>22</v>
      </c>
      <c r="E474" s="16">
        <v>21</v>
      </c>
      <c r="F474" s="9">
        <v>46185</v>
      </c>
      <c r="G474" s="212" t="str">
        <f>IFERROR(VLOOKUP(Tabla3[[#This Row],[NUM ECONOMICO]],MAQUINARIA!B:H,7,0), " MAQ")</f>
        <v>INACTIVA</v>
      </c>
      <c r="H474" s="214" t="s">
        <v>141</v>
      </c>
      <c r="I474" s="41" t="s">
        <v>318</v>
      </c>
      <c r="J474" s="10"/>
      <c r="K474" s="10">
        <v>4</v>
      </c>
      <c r="L474" s="12"/>
      <c r="M474" s="13">
        <f t="shared" si="7"/>
        <v>0</v>
      </c>
      <c r="N474" s="41"/>
      <c r="O474" s="10"/>
      <c r="P474" s="10">
        <f>Tabla3[[#This Row],[COSTO UNITARIO DOLARES EN HAWTHORNE]]*Tabla3[[#This Row],[CANTIDAD SOLICTADA]]</f>
        <v>0</v>
      </c>
      <c r="Q474" s="41"/>
      <c r="R474" s="229">
        <v>0.16</v>
      </c>
      <c r="S474" s="229">
        <f>+Tabla3[[#This Row],[COSTO UNITARIO DOLARES CTP]]*Tabla3[[#This Row],[CANTIDAD SOLICTADA]]</f>
        <v>0.64</v>
      </c>
      <c r="T474" s="41"/>
      <c r="U474" s="14" t="s">
        <v>4</v>
      </c>
      <c r="V474" s="8" t="s">
        <v>727</v>
      </c>
      <c r="W474" s="10"/>
      <c r="X474" s="10" t="s">
        <v>89</v>
      </c>
      <c r="Y474" s="10">
        <v>14</v>
      </c>
      <c r="Z474" s="16" t="s">
        <v>44</v>
      </c>
      <c r="AA474" s="25">
        <v>46198</v>
      </c>
      <c r="AB474" s="25">
        <v>46199</v>
      </c>
      <c r="AC474" s="16" t="s">
        <v>109</v>
      </c>
      <c r="AD474" s="16"/>
      <c r="AE474" s="16" t="s">
        <v>728</v>
      </c>
      <c r="AF474" s="16"/>
      <c r="AG474" s="21" t="s">
        <v>729</v>
      </c>
      <c r="XFD474" s="15" t="str">
        <f>+Tabla3[[#This Row],[ESTATUS DE NUM ECONOMICO]]</f>
        <v>INACTIVA</v>
      </c>
    </row>
    <row r="475" spans="1:33 16384:16384" ht="15.75" thickBot="1" x14ac:dyDescent="0.3">
      <c r="A475" s="8">
        <v>83</v>
      </c>
      <c r="B475" s="9">
        <v>46185</v>
      </c>
      <c r="C475" s="10" t="s">
        <v>87</v>
      </c>
      <c r="D475" s="10">
        <v>22</v>
      </c>
      <c r="E475" s="16">
        <v>21</v>
      </c>
      <c r="F475" s="9">
        <v>46185</v>
      </c>
      <c r="G475" s="212" t="str">
        <f>IFERROR(VLOOKUP(Tabla3[[#This Row],[NUM ECONOMICO]],MAQUINARIA!B:H,7,0), " MAQ")</f>
        <v>INACTIVA</v>
      </c>
      <c r="H475" s="214" t="s">
        <v>141</v>
      </c>
      <c r="I475" s="41" t="s">
        <v>730</v>
      </c>
      <c r="J475" s="10"/>
      <c r="K475" s="10">
        <v>16</v>
      </c>
      <c r="L475" s="12"/>
      <c r="M475" s="13">
        <f t="shared" si="7"/>
        <v>0</v>
      </c>
      <c r="N475" s="41"/>
      <c r="O475" s="10"/>
      <c r="P475" s="10">
        <f>Tabla3[[#This Row],[COSTO UNITARIO DOLARES EN HAWTHORNE]]*Tabla3[[#This Row],[CANTIDAD SOLICTADA]]</f>
        <v>0</v>
      </c>
      <c r="Q475" s="41"/>
      <c r="R475" s="229"/>
      <c r="S475" s="229">
        <f>+Tabla3[[#This Row],[COSTO UNITARIO DOLARES CTP]]*Tabla3[[#This Row],[CANTIDAD SOLICTADA]]</f>
        <v>0</v>
      </c>
      <c r="T475" s="41"/>
      <c r="U475" s="14" t="s">
        <v>4</v>
      </c>
      <c r="V475" s="8" t="s">
        <v>727</v>
      </c>
      <c r="W475" s="10"/>
      <c r="X475" s="10" t="s">
        <v>89</v>
      </c>
      <c r="Y475" s="10" t="s">
        <v>90</v>
      </c>
      <c r="Z475" s="16" t="s">
        <v>44</v>
      </c>
      <c r="AA475" s="25">
        <v>46198</v>
      </c>
      <c r="AB475" s="25">
        <v>46199</v>
      </c>
      <c r="AC475" s="16" t="s">
        <v>109</v>
      </c>
      <c r="AD475" s="16"/>
      <c r="AE475" s="16" t="s">
        <v>728</v>
      </c>
      <c r="AF475" s="16"/>
      <c r="AG475" s="21" t="s">
        <v>729</v>
      </c>
      <c r="XFD475" s="15" t="str">
        <f>+Tabla3[[#This Row],[ESTATUS DE NUM ECONOMICO]]</f>
        <v>INACTIVA</v>
      </c>
    </row>
    <row r="476" spans="1:33 16384:16384" ht="15.75" thickBot="1" x14ac:dyDescent="0.3">
      <c r="A476" s="8">
        <v>83</v>
      </c>
      <c r="B476" s="9">
        <v>46185</v>
      </c>
      <c r="C476" s="10" t="s">
        <v>87</v>
      </c>
      <c r="D476" s="10">
        <v>22</v>
      </c>
      <c r="E476" s="16">
        <v>21</v>
      </c>
      <c r="F476" s="9">
        <v>46185</v>
      </c>
      <c r="G476" s="212" t="str">
        <f>IFERROR(VLOOKUP(Tabla3[[#This Row],[NUM ECONOMICO]],MAQUINARIA!B:H,7,0), " MAQ")</f>
        <v>INACTIVA</v>
      </c>
      <c r="H476" s="214" t="s">
        <v>141</v>
      </c>
      <c r="I476" s="41">
        <v>3265212</v>
      </c>
      <c r="J476" s="10"/>
      <c r="K476" s="10">
        <v>3</v>
      </c>
      <c r="L476" s="12"/>
      <c r="M476" s="13">
        <f t="shared" si="7"/>
        <v>0</v>
      </c>
      <c r="N476" s="41"/>
      <c r="O476" s="10"/>
      <c r="P476" s="10">
        <f>Tabla3[[#This Row],[COSTO UNITARIO DOLARES EN HAWTHORNE]]*Tabla3[[#This Row],[CANTIDAD SOLICTADA]]</f>
        <v>0</v>
      </c>
      <c r="Q476" s="41"/>
      <c r="R476" s="229"/>
      <c r="S476" s="229">
        <f>+Tabla3[[#This Row],[COSTO UNITARIO DOLARES CTP]]*Tabla3[[#This Row],[CANTIDAD SOLICTADA]]</f>
        <v>0</v>
      </c>
      <c r="T476" s="41"/>
      <c r="U476" s="14" t="s">
        <v>4</v>
      </c>
      <c r="V476" s="8" t="s">
        <v>727</v>
      </c>
      <c r="W476" s="10"/>
      <c r="X476" s="10" t="s">
        <v>89</v>
      </c>
      <c r="Y476" s="10" t="s">
        <v>90</v>
      </c>
      <c r="Z476" s="16" t="s">
        <v>44</v>
      </c>
      <c r="AA476" s="25">
        <v>46198</v>
      </c>
      <c r="AB476" s="25">
        <v>46199</v>
      </c>
      <c r="AC476" s="16" t="s">
        <v>109</v>
      </c>
      <c r="AD476" s="16"/>
      <c r="AE476" s="16" t="s">
        <v>728</v>
      </c>
      <c r="AF476" s="16"/>
      <c r="AG476" s="21" t="s">
        <v>729</v>
      </c>
      <c r="XFD476" s="15" t="str">
        <f>+Tabla3[[#This Row],[ESTATUS DE NUM ECONOMICO]]</f>
        <v>INACTIVA</v>
      </c>
    </row>
    <row r="477" spans="1:33 16384:16384" ht="15.75" thickBot="1" x14ac:dyDescent="0.3">
      <c r="A477" s="8">
        <v>83</v>
      </c>
      <c r="B477" s="9">
        <v>46185</v>
      </c>
      <c r="C477" s="10" t="s">
        <v>87</v>
      </c>
      <c r="D477" s="10">
        <v>22</v>
      </c>
      <c r="E477" s="16">
        <v>21</v>
      </c>
      <c r="F477" s="9">
        <v>46185</v>
      </c>
      <c r="G477" s="212" t="str">
        <f>IFERROR(VLOOKUP(Tabla3[[#This Row],[NUM ECONOMICO]],MAQUINARIA!B:H,7,0), " MAQ")</f>
        <v>INACTIVA</v>
      </c>
      <c r="H477" s="214" t="s">
        <v>141</v>
      </c>
      <c r="I477" s="41">
        <v>3161438</v>
      </c>
      <c r="J477" s="10"/>
      <c r="K477" s="10">
        <v>2</v>
      </c>
      <c r="L477" s="12"/>
      <c r="M477" s="13">
        <f t="shared" si="7"/>
        <v>0</v>
      </c>
      <c r="N477" s="41"/>
      <c r="O477" s="10"/>
      <c r="P477" s="10">
        <f>Tabla3[[#This Row],[COSTO UNITARIO DOLARES EN HAWTHORNE]]*Tabla3[[#This Row],[CANTIDAD SOLICTADA]]</f>
        <v>0</v>
      </c>
      <c r="Q477" s="41"/>
      <c r="R477" s="229"/>
      <c r="S477" s="229">
        <f>+Tabla3[[#This Row],[COSTO UNITARIO DOLARES CTP]]*Tabla3[[#This Row],[CANTIDAD SOLICTADA]]</f>
        <v>0</v>
      </c>
      <c r="T477" s="41"/>
      <c r="U477" s="14" t="s">
        <v>4</v>
      </c>
      <c r="V477" s="8" t="s">
        <v>727</v>
      </c>
      <c r="W477" s="10"/>
      <c r="X477" s="10" t="s">
        <v>89</v>
      </c>
      <c r="Y477" s="10" t="s">
        <v>90</v>
      </c>
      <c r="Z477" s="16" t="s">
        <v>44</v>
      </c>
      <c r="AA477" s="25">
        <v>46198</v>
      </c>
      <c r="AB477" s="25">
        <v>46199</v>
      </c>
      <c r="AC477" s="16" t="s">
        <v>109</v>
      </c>
      <c r="AD477" s="16"/>
      <c r="AE477" s="16" t="s">
        <v>728</v>
      </c>
      <c r="AF477" s="16"/>
      <c r="AG477" s="21" t="s">
        <v>729</v>
      </c>
      <c r="XFD477" s="15" t="str">
        <f>+Tabla3[[#This Row],[ESTATUS DE NUM ECONOMICO]]</f>
        <v>INACTIVA</v>
      </c>
    </row>
    <row r="478" spans="1:33 16384:16384" ht="15.75" thickBot="1" x14ac:dyDescent="0.3">
      <c r="A478" s="8">
        <v>83</v>
      </c>
      <c r="B478" s="9">
        <v>46185</v>
      </c>
      <c r="C478" s="10" t="s">
        <v>87</v>
      </c>
      <c r="D478" s="10">
        <v>22</v>
      </c>
      <c r="E478" s="16">
        <v>21</v>
      </c>
      <c r="F478" s="9">
        <v>46185</v>
      </c>
      <c r="G478" s="212" t="str">
        <f>IFERROR(VLOOKUP(Tabla3[[#This Row],[NUM ECONOMICO]],MAQUINARIA!B:H,7,0), " MAQ")</f>
        <v>INACTIVA</v>
      </c>
      <c r="H478" s="214" t="s">
        <v>141</v>
      </c>
      <c r="I478" s="41" t="s">
        <v>731</v>
      </c>
      <c r="J478" s="10"/>
      <c r="K478" s="10">
        <v>12</v>
      </c>
      <c r="L478" s="12"/>
      <c r="M478" s="13">
        <f t="shared" si="7"/>
        <v>0</v>
      </c>
      <c r="N478" s="41"/>
      <c r="O478" s="10"/>
      <c r="P478" s="10">
        <f>Tabla3[[#This Row],[COSTO UNITARIO DOLARES EN HAWTHORNE]]*Tabla3[[#This Row],[CANTIDAD SOLICTADA]]</f>
        <v>0</v>
      </c>
      <c r="Q478" s="41"/>
      <c r="R478" s="229"/>
      <c r="S478" s="229">
        <f>+Tabla3[[#This Row],[COSTO UNITARIO DOLARES CTP]]*Tabla3[[#This Row],[CANTIDAD SOLICTADA]]</f>
        <v>0</v>
      </c>
      <c r="T478" s="41"/>
      <c r="U478" s="14" t="s">
        <v>4</v>
      </c>
      <c r="V478" s="8" t="s">
        <v>727</v>
      </c>
      <c r="W478" s="10"/>
      <c r="X478" s="10" t="s">
        <v>89</v>
      </c>
      <c r="Y478" s="10" t="s">
        <v>90</v>
      </c>
      <c r="Z478" s="16" t="s">
        <v>44</v>
      </c>
      <c r="AA478" s="25">
        <v>46198</v>
      </c>
      <c r="AB478" s="25">
        <v>46199</v>
      </c>
      <c r="AC478" s="16" t="s">
        <v>109</v>
      </c>
      <c r="AD478" s="16"/>
      <c r="AE478" s="16" t="s">
        <v>728</v>
      </c>
      <c r="AF478" s="16"/>
      <c r="AG478" s="21" t="s">
        <v>729</v>
      </c>
      <c r="XFD478" s="15" t="str">
        <f>+Tabla3[[#This Row],[ESTATUS DE NUM ECONOMICO]]</f>
        <v>INACTIVA</v>
      </c>
    </row>
    <row r="479" spans="1:33 16384:16384" ht="15.75" thickBot="1" x14ac:dyDescent="0.3">
      <c r="A479" s="8">
        <v>83</v>
      </c>
      <c r="B479" s="9">
        <v>46185</v>
      </c>
      <c r="C479" s="10" t="s">
        <v>87</v>
      </c>
      <c r="D479" s="10">
        <v>22</v>
      </c>
      <c r="E479" s="16">
        <v>21</v>
      </c>
      <c r="F479" s="9">
        <v>46185</v>
      </c>
      <c r="G479" s="212" t="str">
        <f>IFERROR(VLOOKUP(Tabla3[[#This Row],[NUM ECONOMICO]],MAQUINARIA!B:H,7,0), " MAQ")</f>
        <v>INACTIVA</v>
      </c>
      <c r="H479" s="214" t="s">
        <v>141</v>
      </c>
      <c r="I479" s="41">
        <v>304605</v>
      </c>
      <c r="J479" s="10"/>
      <c r="K479" s="10">
        <v>8</v>
      </c>
      <c r="L479" s="12"/>
      <c r="M479" s="13">
        <f t="shared" si="7"/>
        <v>0</v>
      </c>
      <c r="N479" s="41"/>
      <c r="O479" s="10"/>
      <c r="P479" s="10">
        <f>Tabla3[[#This Row],[COSTO UNITARIO DOLARES EN HAWTHORNE]]*Tabla3[[#This Row],[CANTIDAD SOLICTADA]]</f>
        <v>0</v>
      </c>
      <c r="Q479" s="41"/>
      <c r="R479" s="229"/>
      <c r="S479" s="229">
        <f>+Tabla3[[#This Row],[COSTO UNITARIO DOLARES CTP]]*Tabla3[[#This Row],[CANTIDAD SOLICTADA]]</f>
        <v>0</v>
      </c>
      <c r="T479" s="41"/>
      <c r="U479" s="14" t="s">
        <v>4</v>
      </c>
      <c r="V479" s="8" t="s">
        <v>727</v>
      </c>
      <c r="W479" s="10"/>
      <c r="X479" s="10" t="s">
        <v>89</v>
      </c>
      <c r="Y479" s="10" t="s">
        <v>90</v>
      </c>
      <c r="Z479" s="16" t="s">
        <v>44</v>
      </c>
      <c r="AA479" s="25">
        <v>46198</v>
      </c>
      <c r="AB479" s="25">
        <v>46199</v>
      </c>
      <c r="AC479" s="16" t="s">
        <v>109</v>
      </c>
      <c r="AD479" s="16"/>
      <c r="AE479" s="16" t="s">
        <v>728</v>
      </c>
      <c r="AF479" s="16"/>
      <c r="AG479" s="21" t="s">
        <v>729</v>
      </c>
      <c r="XFD479" s="15" t="str">
        <f>+Tabla3[[#This Row],[ESTATUS DE NUM ECONOMICO]]</f>
        <v>INACTIVA</v>
      </c>
    </row>
    <row r="480" spans="1:33 16384:16384" ht="15.75" thickBot="1" x14ac:dyDescent="0.3">
      <c r="A480" s="8">
        <v>84</v>
      </c>
      <c r="B480" s="9">
        <v>46185</v>
      </c>
      <c r="C480" s="10" t="s">
        <v>87</v>
      </c>
      <c r="D480" s="10" t="s">
        <v>732</v>
      </c>
      <c r="E480" s="16"/>
      <c r="F480" s="10"/>
      <c r="G480" s="212" t="str">
        <f>IFERROR(VLOOKUP(Tabla3[[#This Row],[NUM ECONOMICO]],MAQUINARIA!B:H,7,0), " MAQ")</f>
        <v>INACTIVA</v>
      </c>
      <c r="H480" s="214" t="s">
        <v>344</v>
      </c>
      <c r="I480" s="41">
        <v>4568471</v>
      </c>
      <c r="J480" s="10"/>
      <c r="K480" s="10">
        <v>511</v>
      </c>
      <c r="L480" s="12"/>
      <c r="M480" s="13">
        <f t="shared" si="7"/>
        <v>0</v>
      </c>
      <c r="N480" s="41"/>
      <c r="O480" s="10"/>
      <c r="P480" s="10">
        <f>Tabla3[[#This Row],[COSTO UNITARIO DOLARES EN HAWTHORNE]]*Tabla3[[#This Row],[CANTIDAD SOLICTADA]]</f>
        <v>0</v>
      </c>
      <c r="Q480" s="41"/>
      <c r="R480" s="229"/>
      <c r="S480" s="229">
        <f>+Tabla3[[#This Row],[COSTO UNITARIO DOLARES CTP]]*Tabla3[[#This Row],[CANTIDAD SOLICTADA]]</f>
        <v>0</v>
      </c>
      <c r="T480" s="41"/>
      <c r="U480" s="14" t="s">
        <v>4</v>
      </c>
      <c r="V480" s="8" t="s">
        <v>733</v>
      </c>
      <c r="W480" s="9">
        <v>46188</v>
      </c>
      <c r="X480" s="10" t="s">
        <v>89</v>
      </c>
      <c r="Y480" s="10" t="s">
        <v>90</v>
      </c>
      <c r="Z480" s="16" t="s">
        <v>44</v>
      </c>
      <c r="AA480" s="25">
        <v>46185</v>
      </c>
      <c r="AB480" s="25">
        <v>46188</v>
      </c>
      <c r="AC480" s="16" t="s">
        <v>109</v>
      </c>
      <c r="AD480" s="16"/>
      <c r="AE480" s="16" t="s">
        <v>4</v>
      </c>
      <c r="AF480" s="16"/>
      <c r="AG480" s="21" t="s">
        <v>425</v>
      </c>
      <c r="XFD480" s="15" t="str">
        <f>+Tabla3[[#This Row],[ESTATUS DE NUM ECONOMICO]]</f>
        <v>INACTIVA</v>
      </c>
    </row>
    <row r="481" spans="1:33 16384:16384" ht="15.75" thickBot="1" x14ac:dyDescent="0.3">
      <c r="A481" s="8">
        <v>84</v>
      </c>
      <c r="B481" s="9">
        <v>46185</v>
      </c>
      <c r="C481" s="10" t="s">
        <v>87</v>
      </c>
      <c r="D481" s="10" t="s">
        <v>732</v>
      </c>
      <c r="E481" s="16"/>
      <c r="F481" s="10"/>
      <c r="G481" s="212" t="str">
        <f>IFERROR(VLOOKUP(Tabla3[[#This Row],[NUM ECONOMICO]],MAQUINARIA!B:H,7,0), " MAQ")</f>
        <v>INACTIVA</v>
      </c>
      <c r="H481" s="214" t="s">
        <v>344</v>
      </c>
      <c r="I481" s="41" t="s">
        <v>316</v>
      </c>
      <c r="J481" s="10"/>
      <c r="K481" s="10">
        <v>2</v>
      </c>
      <c r="L481" s="12"/>
      <c r="M481" s="13">
        <f t="shared" si="7"/>
        <v>0</v>
      </c>
      <c r="N481" s="41"/>
      <c r="O481" s="10"/>
      <c r="P481" s="10">
        <f>Tabla3[[#This Row],[COSTO UNITARIO DOLARES EN HAWTHORNE]]*Tabla3[[#This Row],[CANTIDAD SOLICTADA]]</f>
        <v>0</v>
      </c>
      <c r="Q481" s="41"/>
      <c r="R481" s="229">
        <v>0.14000000000000001</v>
      </c>
      <c r="S481" s="229">
        <f>+Tabla3[[#This Row],[COSTO UNITARIO DOLARES CTP]]*Tabla3[[#This Row],[CANTIDAD SOLICTADA]]</f>
        <v>0.28000000000000003</v>
      </c>
      <c r="T481" s="41"/>
      <c r="U481" s="14" t="s">
        <v>4</v>
      </c>
      <c r="V481" s="8" t="s">
        <v>733</v>
      </c>
      <c r="W481" s="9">
        <v>46188</v>
      </c>
      <c r="X481" s="10" t="s">
        <v>89</v>
      </c>
      <c r="Y481" s="10">
        <v>0</v>
      </c>
      <c r="Z481" s="16" t="s">
        <v>44</v>
      </c>
      <c r="AA481" s="25">
        <v>46185</v>
      </c>
      <c r="AB481" s="25">
        <v>46188</v>
      </c>
      <c r="AC481" s="16" t="s">
        <v>109</v>
      </c>
      <c r="AD481" s="16"/>
      <c r="AE481" s="16" t="s">
        <v>4</v>
      </c>
      <c r="AF481" s="16"/>
      <c r="AG481" s="21" t="s">
        <v>425</v>
      </c>
      <c r="XFD481" s="15" t="str">
        <f>+Tabla3[[#This Row],[ESTATUS DE NUM ECONOMICO]]</f>
        <v>INACTIVA</v>
      </c>
    </row>
    <row r="482" spans="1:33 16384:16384" ht="15.75" thickBot="1" x14ac:dyDescent="0.3">
      <c r="A482" s="8">
        <v>85</v>
      </c>
      <c r="B482" s="9">
        <v>46185</v>
      </c>
      <c r="C482" s="10" t="s">
        <v>87</v>
      </c>
      <c r="D482" s="10" t="s">
        <v>734</v>
      </c>
      <c r="E482" s="16"/>
      <c r="F482" s="10"/>
      <c r="G482" s="212" t="str">
        <f>IFERROR(VLOOKUP(Tabla3[[#This Row],[NUM ECONOMICO]],MAQUINARIA!B:H,7,0), " MAQ")</f>
        <v>INACTIVA</v>
      </c>
      <c r="H482" s="214" t="s">
        <v>141</v>
      </c>
      <c r="I482" s="41">
        <v>4568434</v>
      </c>
      <c r="J482" s="10"/>
      <c r="K482" s="10">
        <v>32</v>
      </c>
      <c r="L482" s="12"/>
      <c r="M482" s="13">
        <f t="shared" si="7"/>
        <v>0</v>
      </c>
      <c r="N482" s="41"/>
      <c r="O482" s="10"/>
      <c r="P482" s="10">
        <f>Tabla3[[#This Row],[COSTO UNITARIO DOLARES EN HAWTHORNE]]*Tabla3[[#This Row],[CANTIDAD SOLICTADA]]</f>
        <v>0</v>
      </c>
      <c r="Q482" s="41"/>
      <c r="R482" s="229"/>
      <c r="S482" s="229">
        <f>+Tabla3[[#This Row],[COSTO UNITARIO DOLARES CTP]]*Tabla3[[#This Row],[CANTIDAD SOLICTADA]]</f>
        <v>0</v>
      </c>
      <c r="T482" s="41"/>
      <c r="U482" s="14" t="s">
        <v>4</v>
      </c>
      <c r="V482" s="8" t="s">
        <v>735</v>
      </c>
      <c r="W482" s="9">
        <v>46188</v>
      </c>
      <c r="X482" s="10" t="s">
        <v>89</v>
      </c>
      <c r="Y482" s="10" t="s">
        <v>90</v>
      </c>
      <c r="Z482" s="16" t="s">
        <v>44</v>
      </c>
      <c r="AA482" s="25">
        <v>46185</v>
      </c>
      <c r="AB482" s="25">
        <v>46188</v>
      </c>
      <c r="AC482" s="16" t="s">
        <v>109</v>
      </c>
      <c r="AD482" s="16"/>
      <c r="AE482" s="16" t="s">
        <v>4</v>
      </c>
      <c r="AF482" s="16"/>
      <c r="AG482" s="21" t="s">
        <v>425</v>
      </c>
      <c r="XFD482" s="15" t="str">
        <f>+Tabla3[[#This Row],[ESTATUS DE NUM ECONOMICO]]</f>
        <v>INACTIVA</v>
      </c>
    </row>
    <row r="483" spans="1:33 16384:16384" ht="15.75" thickBot="1" x14ac:dyDescent="0.3">
      <c r="A483" s="8">
        <v>85</v>
      </c>
      <c r="B483" s="9">
        <v>46185</v>
      </c>
      <c r="C483" s="10" t="s">
        <v>87</v>
      </c>
      <c r="D483" s="10" t="s">
        <v>734</v>
      </c>
      <c r="E483" s="16"/>
      <c r="F483" s="10"/>
      <c r="G483" s="212" t="str">
        <f>IFERROR(VLOOKUP(Tabla3[[#This Row],[NUM ECONOMICO]],MAQUINARIA!B:H,7,0), " MAQ")</f>
        <v>INACTIVA</v>
      </c>
      <c r="H483" s="214" t="s">
        <v>141</v>
      </c>
      <c r="I483" s="41">
        <v>1242114</v>
      </c>
      <c r="J483" s="10"/>
      <c r="K483" s="10">
        <v>1</v>
      </c>
      <c r="L483" s="12"/>
      <c r="M483" s="13">
        <f t="shared" si="7"/>
        <v>0</v>
      </c>
      <c r="N483" s="41"/>
      <c r="O483" s="10"/>
      <c r="P483" s="10">
        <f>Tabla3[[#This Row],[COSTO UNITARIO DOLARES EN HAWTHORNE]]*Tabla3[[#This Row],[CANTIDAD SOLICTADA]]</f>
        <v>0</v>
      </c>
      <c r="Q483" s="41"/>
      <c r="R483" s="229"/>
      <c r="S483" s="229">
        <f>+Tabla3[[#This Row],[COSTO UNITARIO DOLARES CTP]]*Tabla3[[#This Row],[CANTIDAD SOLICTADA]]</f>
        <v>0</v>
      </c>
      <c r="T483" s="41"/>
      <c r="U483" s="14" t="s">
        <v>4</v>
      </c>
      <c r="V483" s="8" t="s">
        <v>735</v>
      </c>
      <c r="W483" s="9">
        <v>46188</v>
      </c>
      <c r="X483" s="10" t="s">
        <v>89</v>
      </c>
      <c r="Y483" s="10" t="s">
        <v>90</v>
      </c>
      <c r="Z483" s="16" t="s">
        <v>44</v>
      </c>
      <c r="AA483" s="25">
        <v>46185</v>
      </c>
      <c r="AB483" s="25">
        <v>46188</v>
      </c>
      <c r="AC483" s="16" t="s">
        <v>109</v>
      </c>
      <c r="AD483" s="16"/>
      <c r="AE483" s="16" t="s">
        <v>4</v>
      </c>
      <c r="AF483" s="16"/>
      <c r="AG483" s="21" t="s">
        <v>425</v>
      </c>
      <c r="XFD483" s="15" t="str">
        <f>+Tabla3[[#This Row],[ESTATUS DE NUM ECONOMICO]]</f>
        <v>INACTIVA</v>
      </c>
    </row>
    <row r="484" spans="1:33 16384:16384" ht="15.75" thickBot="1" x14ac:dyDescent="0.3">
      <c r="A484" s="8">
        <v>85</v>
      </c>
      <c r="B484" s="9">
        <v>46185</v>
      </c>
      <c r="C484" s="10" t="s">
        <v>87</v>
      </c>
      <c r="D484" s="10" t="s">
        <v>734</v>
      </c>
      <c r="E484" s="16"/>
      <c r="F484" s="10"/>
      <c r="G484" s="212" t="str">
        <f>IFERROR(VLOOKUP(Tabla3[[#This Row],[NUM ECONOMICO]],MAQUINARIA!B:H,7,0), " MAQ")</f>
        <v>INACTIVA</v>
      </c>
      <c r="H484" s="214" t="s">
        <v>141</v>
      </c>
      <c r="I484" s="41">
        <v>1242130</v>
      </c>
      <c r="J484" s="10"/>
      <c r="K484" s="10">
        <v>1</v>
      </c>
      <c r="L484" s="12"/>
      <c r="M484" s="13">
        <f t="shared" si="7"/>
        <v>0</v>
      </c>
      <c r="N484" s="41"/>
      <c r="O484" s="10"/>
      <c r="P484" s="10">
        <f>Tabla3[[#This Row],[COSTO UNITARIO DOLARES EN HAWTHORNE]]*Tabla3[[#This Row],[CANTIDAD SOLICTADA]]</f>
        <v>0</v>
      </c>
      <c r="Q484" s="41"/>
      <c r="R484" s="229"/>
      <c r="S484" s="229">
        <f>+Tabla3[[#This Row],[COSTO UNITARIO DOLARES CTP]]*Tabla3[[#This Row],[CANTIDAD SOLICTADA]]</f>
        <v>0</v>
      </c>
      <c r="T484" s="41"/>
      <c r="U484" s="14" t="s">
        <v>4</v>
      </c>
      <c r="V484" s="8" t="s">
        <v>735</v>
      </c>
      <c r="W484" s="9">
        <v>46188</v>
      </c>
      <c r="X484" s="10" t="s">
        <v>89</v>
      </c>
      <c r="Y484" s="10" t="s">
        <v>90</v>
      </c>
      <c r="Z484" s="16" t="s">
        <v>44</v>
      </c>
      <c r="AA484" s="25">
        <v>46185</v>
      </c>
      <c r="AB484" s="25">
        <v>46188</v>
      </c>
      <c r="AC484" s="16" t="s">
        <v>109</v>
      </c>
      <c r="AD484" s="16"/>
      <c r="AE484" s="16" t="s">
        <v>4</v>
      </c>
      <c r="AF484" s="16"/>
      <c r="AG484" s="21" t="s">
        <v>425</v>
      </c>
      <c r="XFD484" s="15" t="str">
        <f>+Tabla3[[#This Row],[ESTATUS DE NUM ECONOMICO]]</f>
        <v>INACTIVA</v>
      </c>
    </row>
    <row r="485" spans="1:33 16384:16384" ht="15.75" thickBot="1" x14ac:dyDescent="0.3">
      <c r="A485" s="8">
        <v>85</v>
      </c>
      <c r="B485" s="9">
        <v>46185</v>
      </c>
      <c r="C485" s="10" t="s">
        <v>87</v>
      </c>
      <c r="D485" s="10" t="s">
        <v>734</v>
      </c>
      <c r="E485" s="16"/>
      <c r="F485" s="10"/>
      <c r="G485" s="212" t="str">
        <f>IFERROR(VLOOKUP(Tabla3[[#This Row],[NUM ECONOMICO]],MAQUINARIA!B:H,7,0), " MAQ")</f>
        <v>INACTIVA</v>
      </c>
      <c r="H485" s="214" t="s">
        <v>141</v>
      </c>
      <c r="I485" s="41" t="s">
        <v>556</v>
      </c>
      <c r="J485" s="10"/>
      <c r="K485" s="10">
        <v>2</v>
      </c>
      <c r="L485" s="12"/>
      <c r="M485" s="13">
        <f t="shared" si="7"/>
        <v>0</v>
      </c>
      <c r="N485" s="41"/>
      <c r="O485" s="10"/>
      <c r="P485" s="10">
        <f>Tabla3[[#This Row],[COSTO UNITARIO DOLARES EN HAWTHORNE]]*Tabla3[[#This Row],[CANTIDAD SOLICTADA]]</f>
        <v>0</v>
      </c>
      <c r="Q485" s="41"/>
      <c r="R485" s="229"/>
      <c r="S485" s="229">
        <f>+Tabla3[[#This Row],[COSTO UNITARIO DOLARES CTP]]*Tabla3[[#This Row],[CANTIDAD SOLICTADA]]</f>
        <v>0</v>
      </c>
      <c r="T485" s="41"/>
      <c r="U485" s="14" t="s">
        <v>4</v>
      </c>
      <c r="V485" s="8" t="s">
        <v>735</v>
      </c>
      <c r="W485" s="9">
        <v>46188</v>
      </c>
      <c r="X485" s="10" t="s">
        <v>89</v>
      </c>
      <c r="Y485" s="10">
        <v>18</v>
      </c>
      <c r="Z485" s="16" t="s">
        <v>44</v>
      </c>
      <c r="AA485" s="25">
        <v>46185</v>
      </c>
      <c r="AB485" s="25">
        <v>46188</v>
      </c>
      <c r="AC485" s="16" t="s">
        <v>109</v>
      </c>
      <c r="AD485" s="16"/>
      <c r="AE485" s="16" t="s">
        <v>4</v>
      </c>
      <c r="AF485" s="16"/>
      <c r="AG485" s="21" t="s">
        <v>425</v>
      </c>
      <c r="XFD485" s="15" t="str">
        <f>+Tabla3[[#This Row],[ESTATUS DE NUM ECONOMICO]]</f>
        <v>INACTIVA</v>
      </c>
    </row>
    <row r="486" spans="1:33 16384:16384" ht="15.75" thickBot="1" x14ac:dyDescent="0.3">
      <c r="A486" s="8">
        <v>85</v>
      </c>
      <c r="B486" s="9">
        <v>46185</v>
      </c>
      <c r="C486" s="10" t="s">
        <v>87</v>
      </c>
      <c r="D486" s="10" t="s">
        <v>734</v>
      </c>
      <c r="E486" s="16"/>
      <c r="F486" s="10"/>
      <c r="G486" s="212" t="str">
        <f>IFERROR(VLOOKUP(Tabla3[[#This Row],[NUM ECONOMICO]],MAQUINARIA!B:H,7,0), " MAQ")</f>
        <v>INACTIVA</v>
      </c>
      <c r="H486" s="214" t="s">
        <v>141</v>
      </c>
      <c r="I486" s="41">
        <v>4568434</v>
      </c>
      <c r="J486" s="10"/>
      <c r="K486" s="10">
        <v>32</v>
      </c>
      <c r="L486" s="12"/>
      <c r="M486" s="13">
        <f t="shared" si="7"/>
        <v>0</v>
      </c>
      <c r="N486" s="41"/>
      <c r="O486" s="10"/>
      <c r="P486" s="10">
        <f>Tabla3[[#This Row],[COSTO UNITARIO DOLARES EN HAWTHORNE]]*Tabla3[[#This Row],[CANTIDAD SOLICTADA]]</f>
        <v>0</v>
      </c>
      <c r="Q486" s="41"/>
      <c r="R486" s="229"/>
      <c r="S486" s="229">
        <f>+Tabla3[[#This Row],[COSTO UNITARIO DOLARES CTP]]*Tabla3[[#This Row],[CANTIDAD SOLICTADA]]</f>
        <v>0</v>
      </c>
      <c r="T486" s="41"/>
      <c r="U486" s="14" t="s">
        <v>4</v>
      </c>
      <c r="V486" s="8" t="s">
        <v>735</v>
      </c>
      <c r="W486" s="9">
        <v>46188</v>
      </c>
      <c r="X486" s="10" t="s">
        <v>89</v>
      </c>
      <c r="Y486" s="10" t="s">
        <v>90</v>
      </c>
      <c r="Z486" s="16" t="s">
        <v>44</v>
      </c>
      <c r="AA486" s="25">
        <v>46185</v>
      </c>
      <c r="AB486" s="25">
        <v>46188</v>
      </c>
      <c r="AC486" s="16" t="s">
        <v>109</v>
      </c>
      <c r="AD486" s="16"/>
      <c r="AE486" s="16" t="s">
        <v>4</v>
      </c>
      <c r="AF486" s="16"/>
      <c r="AG486" s="21" t="s">
        <v>425</v>
      </c>
      <c r="XFD486" s="15" t="str">
        <f>+Tabla3[[#This Row],[ESTATUS DE NUM ECONOMICO]]</f>
        <v>INACTIVA</v>
      </c>
    </row>
    <row r="487" spans="1:33 16384:16384" ht="15.75" thickBot="1" x14ac:dyDescent="0.3">
      <c r="A487" s="8">
        <v>85</v>
      </c>
      <c r="B487" s="9">
        <v>46185</v>
      </c>
      <c r="C487" s="10" t="s">
        <v>87</v>
      </c>
      <c r="D487" s="10" t="s">
        <v>734</v>
      </c>
      <c r="E487" s="16"/>
      <c r="F487" s="10"/>
      <c r="G487" s="212" t="str">
        <f>IFERROR(VLOOKUP(Tabla3[[#This Row],[NUM ECONOMICO]],MAQUINARIA!B:H,7,0), " MAQ")</f>
        <v>INACTIVA</v>
      </c>
      <c r="H487" s="214" t="s">
        <v>141</v>
      </c>
      <c r="I487" s="41">
        <v>1244114</v>
      </c>
      <c r="J487" s="10"/>
      <c r="K487" s="10">
        <v>1</v>
      </c>
      <c r="L487" s="12"/>
      <c r="M487" s="13">
        <f t="shared" si="7"/>
        <v>0</v>
      </c>
      <c r="N487" s="41"/>
      <c r="O487" s="10"/>
      <c r="P487" s="10">
        <f>Tabla3[[#This Row],[COSTO UNITARIO DOLARES EN HAWTHORNE]]*Tabla3[[#This Row],[CANTIDAD SOLICTADA]]</f>
        <v>0</v>
      </c>
      <c r="Q487" s="41"/>
      <c r="R487" s="229"/>
      <c r="S487" s="229">
        <f>+Tabla3[[#This Row],[COSTO UNITARIO DOLARES CTP]]*Tabla3[[#This Row],[CANTIDAD SOLICTADA]]</f>
        <v>0</v>
      </c>
      <c r="T487" s="41"/>
      <c r="U487" s="14" t="s">
        <v>4</v>
      </c>
      <c r="V487" s="8" t="s">
        <v>735</v>
      </c>
      <c r="W487" s="9">
        <v>46188</v>
      </c>
      <c r="X487" s="10" t="s">
        <v>89</v>
      </c>
      <c r="Y487" s="10" t="s">
        <v>90</v>
      </c>
      <c r="Z487" s="16" t="s">
        <v>44</v>
      </c>
      <c r="AA487" s="25">
        <v>46185</v>
      </c>
      <c r="AB487" s="25">
        <v>46188</v>
      </c>
      <c r="AC487" s="16" t="s">
        <v>109</v>
      </c>
      <c r="AD487" s="16"/>
      <c r="AE487" s="16" t="s">
        <v>4</v>
      </c>
      <c r="AF487" s="16"/>
      <c r="AG487" s="21" t="s">
        <v>425</v>
      </c>
      <c r="XFD487" s="15" t="str">
        <f>+Tabla3[[#This Row],[ESTATUS DE NUM ECONOMICO]]</f>
        <v>INACTIVA</v>
      </c>
    </row>
    <row r="488" spans="1:33 16384:16384" ht="15.75" thickBot="1" x14ac:dyDescent="0.3">
      <c r="A488" s="8">
        <v>85</v>
      </c>
      <c r="B488" s="9">
        <v>46185</v>
      </c>
      <c r="C488" s="10" t="s">
        <v>87</v>
      </c>
      <c r="D488" s="10" t="s">
        <v>734</v>
      </c>
      <c r="E488" s="16"/>
      <c r="F488" s="10"/>
      <c r="G488" s="212" t="str">
        <f>IFERROR(VLOOKUP(Tabla3[[#This Row],[NUM ECONOMICO]],MAQUINARIA!B:H,7,0), " MAQ")</f>
        <v>INACTIVA</v>
      </c>
      <c r="H488" s="214" t="s">
        <v>141</v>
      </c>
      <c r="I488" s="41">
        <v>1242130</v>
      </c>
      <c r="J488" s="10"/>
      <c r="K488" s="10">
        <v>1</v>
      </c>
      <c r="L488" s="12"/>
      <c r="M488" s="13">
        <f t="shared" si="7"/>
        <v>0</v>
      </c>
      <c r="N488" s="41"/>
      <c r="O488" s="10"/>
      <c r="P488" s="10">
        <f>Tabla3[[#This Row],[COSTO UNITARIO DOLARES EN HAWTHORNE]]*Tabla3[[#This Row],[CANTIDAD SOLICTADA]]</f>
        <v>0</v>
      </c>
      <c r="Q488" s="41"/>
      <c r="R488" s="229"/>
      <c r="S488" s="229">
        <f>+Tabla3[[#This Row],[COSTO UNITARIO DOLARES CTP]]*Tabla3[[#This Row],[CANTIDAD SOLICTADA]]</f>
        <v>0</v>
      </c>
      <c r="T488" s="41"/>
      <c r="U488" s="14" t="s">
        <v>4</v>
      </c>
      <c r="V488" s="8" t="s">
        <v>735</v>
      </c>
      <c r="W488" s="9">
        <v>46188</v>
      </c>
      <c r="X488" s="10" t="s">
        <v>89</v>
      </c>
      <c r="Y488" s="10" t="s">
        <v>90</v>
      </c>
      <c r="Z488" s="16" t="s">
        <v>44</v>
      </c>
      <c r="AA488" s="25">
        <v>46185</v>
      </c>
      <c r="AB488" s="25">
        <v>46188</v>
      </c>
      <c r="AC488" s="16" t="s">
        <v>109</v>
      </c>
      <c r="AD488" s="16"/>
      <c r="AE488" s="16" t="s">
        <v>4</v>
      </c>
      <c r="AF488" s="16"/>
      <c r="AG488" s="21" t="s">
        <v>425</v>
      </c>
      <c r="XFD488" s="15" t="str">
        <f>+Tabla3[[#This Row],[ESTATUS DE NUM ECONOMICO]]</f>
        <v>INACTIVA</v>
      </c>
    </row>
    <row r="489" spans="1:33 16384:16384" ht="15.75" thickBot="1" x14ac:dyDescent="0.3">
      <c r="A489" s="8">
        <v>85</v>
      </c>
      <c r="B489" s="9">
        <v>46185</v>
      </c>
      <c r="C489" s="10" t="s">
        <v>87</v>
      </c>
      <c r="D489" s="10" t="s">
        <v>734</v>
      </c>
      <c r="E489" s="16"/>
      <c r="F489" s="10"/>
      <c r="G489" s="212" t="str">
        <f>IFERROR(VLOOKUP(Tabla3[[#This Row],[NUM ECONOMICO]],MAQUINARIA!B:H,7,0), " MAQ")</f>
        <v>INACTIVA</v>
      </c>
      <c r="H489" s="214" t="s">
        <v>141</v>
      </c>
      <c r="I489" s="41" t="s">
        <v>556</v>
      </c>
      <c r="J489" s="10"/>
      <c r="K489" s="10">
        <v>2</v>
      </c>
      <c r="L489" s="12"/>
      <c r="M489" s="13">
        <f t="shared" si="7"/>
        <v>0</v>
      </c>
      <c r="N489" s="41"/>
      <c r="O489" s="10"/>
      <c r="P489" s="10">
        <f>Tabla3[[#This Row],[COSTO UNITARIO DOLARES EN HAWTHORNE]]*Tabla3[[#This Row],[CANTIDAD SOLICTADA]]</f>
        <v>0</v>
      </c>
      <c r="Q489" s="41"/>
      <c r="R489" s="229"/>
      <c r="S489" s="229">
        <f>+Tabla3[[#This Row],[COSTO UNITARIO DOLARES CTP]]*Tabla3[[#This Row],[CANTIDAD SOLICTADA]]</f>
        <v>0</v>
      </c>
      <c r="T489" s="41"/>
      <c r="U489" s="14" t="s">
        <v>4</v>
      </c>
      <c r="V489" s="8" t="s">
        <v>735</v>
      </c>
      <c r="W489" s="9">
        <v>46188</v>
      </c>
      <c r="X489" s="10" t="s">
        <v>89</v>
      </c>
      <c r="Y489" s="10">
        <v>18</v>
      </c>
      <c r="Z489" s="16" t="s">
        <v>44</v>
      </c>
      <c r="AA489" s="25">
        <v>46185</v>
      </c>
      <c r="AB489" s="25">
        <v>46188</v>
      </c>
      <c r="AC489" s="16" t="s">
        <v>109</v>
      </c>
      <c r="AD489" s="16"/>
      <c r="AE489" s="16" t="s">
        <v>4</v>
      </c>
      <c r="AF489" s="16"/>
      <c r="AG489" s="21" t="s">
        <v>425</v>
      </c>
      <c r="XFD489" s="15" t="str">
        <f>+Tabla3[[#This Row],[ESTATUS DE NUM ECONOMICO]]</f>
        <v>INACTIVA</v>
      </c>
    </row>
    <row r="490" spans="1:33 16384:16384" ht="15.75" thickBot="1" x14ac:dyDescent="0.3">
      <c r="A490" s="8">
        <v>86</v>
      </c>
      <c r="B490" s="9">
        <v>46189</v>
      </c>
      <c r="C490" s="10" t="s">
        <v>87</v>
      </c>
      <c r="D490" s="10" t="s">
        <v>736</v>
      </c>
      <c r="E490" s="16"/>
      <c r="F490" s="10"/>
      <c r="G490" s="212" t="str">
        <f>IFERROR(VLOOKUP(Tabla3[[#This Row],[NUM ECONOMICO]],MAQUINARIA!B:H,7,0), " MAQ")</f>
        <v>ACTIVA</v>
      </c>
      <c r="H490" s="214" t="s">
        <v>737</v>
      </c>
      <c r="I490" s="41" t="s">
        <v>738</v>
      </c>
      <c r="J490" s="10"/>
      <c r="K490" s="10">
        <v>2</v>
      </c>
      <c r="L490" s="12"/>
      <c r="M490" s="13">
        <f t="shared" si="7"/>
        <v>0</v>
      </c>
      <c r="N490" s="41"/>
      <c r="O490" s="10"/>
      <c r="P490" s="10">
        <f>Tabla3[[#This Row],[COSTO UNITARIO DOLARES EN HAWTHORNE]]*Tabla3[[#This Row],[CANTIDAD SOLICTADA]]</f>
        <v>0</v>
      </c>
      <c r="Q490" s="41"/>
      <c r="R490" s="229"/>
      <c r="S490" s="229">
        <f>+Tabla3[[#This Row],[COSTO UNITARIO DOLARES CTP]]*Tabla3[[#This Row],[CANTIDAD SOLICTADA]]</f>
        <v>0</v>
      </c>
      <c r="T490" s="41"/>
      <c r="U490" s="14" t="s">
        <v>4</v>
      </c>
      <c r="V490" s="8" t="s">
        <v>739</v>
      </c>
      <c r="W490" s="9">
        <v>46189</v>
      </c>
      <c r="X490" s="10" t="s">
        <v>89</v>
      </c>
      <c r="Y490" s="10">
        <v>1</v>
      </c>
      <c r="Z490" s="16" t="s">
        <v>44</v>
      </c>
      <c r="AA490" s="25">
        <v>46189</v>
      </c>
      <c r="AB490" s="16"/>
      <c r="AC490" s="16" t="s">
        <v>537</v>
      </c>
      <c r="AD490" s="16"/>
      <c r="AE490" s="16" t="s">
        <v>566</v>
      </c>
      <c r="AF490" s="16"/>
      <c r="AG490" s="21" t="s">
        <v>740</v>
      </c>
      <c r="XFD490" s="15" t="str">
        <f>+Tabla3[[#This Row],[ESTATUS DE NUM ECONOMICO]]</f>
        <v>ACTIVA</v>
      </c>
    </row>
    <row r="491" spans="1:33 16384:16384" ht="15.75" thickBot="1" x14ac:dyDescent="0.3">
      <c r="A491" s="8">
        <v>87</v>
      </c>
      <c r="B491" s="9">
        <v>46189</v>
      </c>
      <c r="C491" s="10" t="s">
        <v>87</v>
      </c>
      <c r="D491" s="11"/>
      <c r="E491" s="16"/>
      <c r="F491" s="10"/>
      <c r="G491" s="212" t="str">
        <f>IFERROR(VLOOKUP(Tabla3[[#This Row],[NUM ECONOMICO]],MAQUINARIA!B:H,7,0), " MAQ")</f>
        <v>ACTIVA</v>
      </c>
      <c r="H491" s="214" t="s">
        <v>52</v>
      </c>
      <c r="I491" s="41">
        <v>3900532</v>
      </c>
      <c r="J491" s="10"/>
      <c r="K491" s="10">
        <v>1</v>
      </c>
      <c r="L491" s="12"/>
      <c r="M491" s="13">
        <f t="shared" si="7"/>
        <v>0</v>
      </c>
      <c r="N491" s="41"/>
      <c r="O491" s="10"/>
      <c r="P491" s="10">
        <f>Tabla3[[#This Row],[COSTO UNITARIO DOLARES EN HAWTHORNE]]*Tabla3[[#This Row],[CANTIDAD SOLICTADA]]</f>
        <v>0</v>
      </c>
      <c r="Q491" s="41"/>
      <c r="R491" s="229"/>
      <c r="S491" s="229">
        <f>+Tabla3[[#This Row],[COSTO UNITARIO DOLARES CTP]]*Tabla3[[#This Row],[CANTIDAD SOLICTADA]]</f>
        <v>0</v>
      </c>
      <c r="T491" s="41"/>
      <c r="U491" s="14" t="s">
        <v>4</v>
      </c>
      <c r="V491" s="8" t="s">
        <v>741</v>
      </c>
      <c r="W491" s="9">
        <v>46189</v>
      </c>
      <c r="X491" s="10" t="s">
        <v>89</v>
      </c>
      <c r="Y491" s="10" t="s">
        <v>90</v>
      </c>
      <c r="Z491" s="16" t="s">
        <v>44</v>
      </c>
      <c r="AA491" s="25">
        <v>46189</v>
      </c>
      <c r="AB491" s="16"/>
      <c r="AC491" s="16" t="s">
        <v>537</v>
      </c>
      <c r="AD491" s="16"/>
      <c r="AE491" s="16" t="s">
        <v>566</v>
      </c>
      <c r="AF491" s="16"/>
      <c r="AG491" s="21" t="s">
        <v>742</v>
      </c>
      <c r="XFD491" s="15" t="str">
        <f>+Tabla3[[#This Row],[ESTATUS DE NUM ECONOMICO]]</f>
        <v>ACTIVA</v>
      </c>
    </row>
    <row r="492" spans="1:33 16384:16384" ht="15.75" thickBot="1" x14ac:dyDescent="0.3">
      <c r="A492" s="8">
        <v>88</v>
      </c>
      <c r="B492" s="9">
        <v>46189</v>
      </c>
      <c r="C492" s="10" t="s">
        <v>87</v>
      </c>
      <c r="D492" s="10" t="s">
        <v>743</v>
      </c>
      <c r="E492" s="16">
        <v>34</v>
      </c>
      <c r="F492" s="9">
        <v>46189</v>
      </c>
      <c r="G492" s="212" t="str">
        <f>IFERROR(VLOOKUP(Tabla3[[#This Row],[NUM ECONOMICO]],MAQUINARIA!B:H,7,0), " MAQ")</f>
        <v>ACTIVA</v>
      </c>
      <c r="H492" s="214" t="s">
        <v>188</v>
      </c>
      <c r="I492" s="41">
        <v>6255714</v>
      </c>
      <c r="J492" s="10"/>
      <c r="K492" s="10">
        <v>2</v>
      </c>
      <c r="L492" s="12"/>
      <c r="M492" s="13">
        <f t="shared" si="7"/>
        <v>0</v>
      </c>
      <c r="N492" s="41"/>
      <c r="O492" s="10"/>
      <c r="P492" s="10">
        <f>Tabla3[[#This Row],[COSTO UNITARIO DOLARES EN HAWTHORNE]]*Tabla3[[#This Row],[CANTIDAD SOLICTADA]]</f>
        <v>0</v>
      </c>
      <c r="Q492" s="41"/>
      <c r="R492" s="229"/>
      <c r="S492" s="229">
        <f>+Tabla3[[#This Row],[COSTO UNITARIO DOLARES CTP]]*Tabla3[[#This Row],[CANTIDAD SOLICTADA]]</f>
        <v>0</v>
      </c>
      <c r="T492" s="41"/>
      <c r="U492" s="14" t="s">
        <v>4</v>
      </c>
      <c r="V492" s="8" t="s">
        <v>744</v>
      </c>
      <c r="W492" s="9">
        <v>46199</v>
      </c>
      <c r="X492" s="10" t="s">
        <v>96</v>
      </c>
      <c r="Y492" s="10" t="s">
        <v>90</v>
      </c>
      <c r="Z492" s="16" t="s">
        <v>44</v>
      </c>
      <c r="AA492" s="25">
        <v>46189</v>
      </c>
      <c r="AB492" s="25">
        <v>46189</v>
      </c>
      <c r="AC492" s="16" t="s">
        <v>226</v>
      </c>
      <c r="AD492" s="16"/>
      <c r="AE492" s="16" t="s">
        <v>745</v>
      </c>
      <c r="AF492" s="16"/>
      <c r="AG492" s="21" t="s">
        <v>233</v>
      </c>
      <c r="XFD492" s="15" t="str">
        <f>+Tabla3[[#This Row],[ESTATUS DE NUM ECONOMICO]]</f>
        <v>ACTIVA</v>
      </c>
    </row>
    <row r="493" spans="1:33 16384:16384" ht="15.75" thickBot="1" x14ac:dyDescent="0.3">
      <c r="A493" s="8">
        <v>89</v>
      </c>
      <c r="B493" s="9">
        <v>46189</v>
      </c>
      <c r="C493" s="10" t="s">
        <v>87</v>
      </c>
      <c r="D493" s="11"/>
      <c r="E493" s="16"/>
      <c r="F493" s="10"/>
      <c r="G493" s="212" t="str">
        <f>IFERROR(VLOOKUP(Tabla3[[#This Row],[NUM ECONOMICO]],MAQUINARIA!B:H,7,0), " MAQ")</f>
        <v>ACTIVA</v>
      </c>
      <c r="H493" s="214" t="s">
        <v>214</v>
      </c>
      <c r="I493" s="41" t="s">
        <v>746</v>
      </c>
      <c r="J493" s="10"/>
      <c r="K493" s="10">
        <v>2</v>
      </c>
      <c r="L493" s="12"/>
      <c r="M493" s="13">
        <f t="shared" si="7"/>
        <v>0</v>
      </c>
      <c r="N493" s="41"/>
      <c r="O493" s="10"/>
      <c r="P493" s="10">
        <f>Tabla3[[#This Row],[COSTO UNITARIO DOLARES EN HAWTHORNE]]*Tabla3[[#This Row],[CANTIDAD SOLICTADA]]</f>
        <v>0</v>
      </c>
      <c r="Q493" s="41"/>
      <c r="R493" s="229"/>
      <c r="S493" s="229">
        <f>+Tabla3[[#This Row],[COSTO UNITARIO DOLARES CTP]]*Tabla3[[#This Row],[CANTIDAD SOLICTADA]]</f>
        <v>0</v>
      </c>
      <c r="T493" s="41"/>
      <c r="U493" s="14" t="s">
        <v>4</v>
      </c>
      <c r="V493" s="17"/>
      <c r="W493" s="10"/>
      <c r="X493" s="10" t="s">
        <v>96</v>
      </c>
      <c r="Y493" s="10" t="s">
        <v>90</v>
      </c>
      <c r="Z493" s="16"/>
      <c r="AA493" s="16"/>
      <c r="AB493" s="16"/>
      <c r="AC493" s="16"/>
      <c r="AD493" s="16"/>
      <c r="AE493" s="16"/>
      <c r="AF493" s="16"/>
      <c r="AG493" s="21" t="s">
        <v>747</v>
      </c>
      <c r="XFD493" s="15" t="str">
        <f>+Tabla3[[#This Row],[ESTATUS DE NUM ECONOMICO]]</f>
        <v>ACTIVA</v>
      </c>
    </row>
    <row r="494" spans="1:33 16384:16384" ht="15.75" thickBot="1" x14ac:dyDescent="0.3">
      <c r="A494" s="8">
        <v>89</v>
      </c>
      <c r="B494" s="9">
        <v>46189</v>
      </c>
      <c r="C494" s="10" t="s">
        <v>87</v>
      </c>
      <c r="D494" s="11"/>
      <c r="E494" s="16"/>
      <c r="F494" s="10"/>
      <c r="G494" s="212" t="str">
        <f>IFERROR(VLOOKUP(Tabla3[[#This Row],[NUM ECONOMICO]],MAQUINARIA!B:H,7,0), " MAQ")</f>
        <v>ACTIVA</v>
      </c>
      <c r="H494" s="214" t="s">
        <v>214</v>
      </c>
      <c r="I494" s="41" t="s">
        <v>748</v>
      </c>
      <c r="J494" s="10"/>
      <c r="K494" s="10">
        <v>1</v>
      </c>
      <c r="L494" s="12"/>
      <c r="M494" s="13">
        <f t="shared" si="7"/>
        <v>0</v>
      </c>
      <c r="N494" s="41"/>
      <c r="O494" s="10"/>
      <c r="P494" s="10">
        <f>Tabla3[[#This Row],[COSTO UNITARIO DOLARES EN HAWTHORNE]]*Tabla3[[#This Row],[CANTIDAD SOLICTADA]]</f>
        <v>0</v>
      </c>
      <c r="Q494" s="41"/>
      <c r="R494" s="229"/>
      <c r="S494" s="229">
        <f>+Tabla3[[#This Row],[COSTO UNITARIO DOLARES CTP]]*Tabla3[[#This Row],[CANTIDAD SOLICTADA]]</f>
        <v>0</v>
      </c>
      <c r="T494" s="41"/>
      <c r="U494" s="14" t="s">
        <v>4</v>
      </c>
      <c r="V494" s="17"/>
      <c r="W494" s="10"/>
      <c r="X494" s="10" t="s">
        <v>89</v>
      </c>
      <c r="Y494" s="10">
        <v>0</v>
      </c>
      <c r="Z494" s="16"/>
      <c r="AA494" s="16"/>
      <c r="AB494" s="16"/>
      <c r="AC494" s="16"/>
      <c r="AD494" s="16"/>
      <c r="AE494" s="16"/>
      <c r="AF494" s="16"/>
      <c r="AG494" s="21" t="s">
        <v>747</v>
      </c>
      <c r="XFD494" s="15" t="str">
        <f>+Tabla3[[#This Row],[ESTATUS DE NUM ECONOMICO]]</f>
        <v>ACTIVA</v>
      </c>
    </row>
    <row r="495" spans="1:33 16384:16384" ht="15.75" thickBot="1" x14ac:dyDescent="0.3">
      <c r="A495" s="8">
        <v>89</v>
      </c>
      <c r="B495" s="9">
        <v>46189</v>
      </c>
      <c r="C495" s="10" t="s">
        <v>87</v>
      </c>
      <c r="D495" s="11"/>
      <c r="E495" s="16"/>
      <c r="F495" s="10"/>
      <c r="G495" s="212" t="str">
        <f>IFERROR(VLOOKUP(Tabla3[[#This Row],[NUM ECONOMICO]],MAQUINARIA!B:H,7,0), " MAQ")</f>
        <v>ACTIVA</v>
      </c>
      <c r="H495" s="214" t="s">
        <v>214</v>
      </c>
      <c r="I495" s="41" t="s">
        <v>749</v>
      </c>
      <c r="J495" s="10"/>
      <c r="K495" s="10">
        <v>1</v>
      </c>
      <c r="L495" s="12"/>
      <c r="M495" s="13">
        <f t="shared" si="7"/>
        <v>0</v>
      </c>
      <c r="N495" s="41"/>
      <c r="O495" s="10"/>
      <c r="P495" s="10">
        <f>Tabla3[[#This Row],[COSTO UNITARIO DOLARES EN HAWTHORNE]]*Tabla3[[#This Row],[CANTIDAD SOLICTADA]]</f>
        <v>0</v>
      </c>
      <c r="Q495" s="41"/>
      <c r="R495" s="229"/>
      <c r="S495" s="229">
        <f>+Tabla3[[#This Row],[COSTO UNITARIO DOLARES CTP]]*Tabla3[[#This Row],[CANTIDAD SOLICTADA]]</f>
        <v>0</v>
      </c>
      <c r="T495" s="41"/>
      <c r="U495" s="14" t="s">
        <v>4</v>
      </c>
      <c r="V495" s="8" t="s">
        <v>750</v>
      </c>
      <c r="W495" s="9">
        <v>46199</v>
      </c>
      <c r="X495" s="10" t="s">
        <v>89</v>
      </c>
      <c r="Y495" s="10" t="s">
        <v>90</v>
      </c>
      <c r="Z495" s="16" t="s">
        <v>44</v>
      </c>
      <c r="AA495" s="25">
        <v>46190</v>
      </c>
      <c r="AB495" s="25">
        <v>46190</v>
      </c>
      <c r="AC495" s="16" t="s">
        <v>91</v>
      </c>
      <c r="AD495" s="16"/>
      <c r="AE495" s="16" t="s">
        <v>751</v>
      </c>
      <c r="AF495" s="16"/>
      <c r="AG495" s="21" t="s">
        <v>747</v>
      </c>
      <c r="XFD495" s="15" t="str">
        <f>+Tabla3[[#This Row],[ESTATUS DE NUM ECONOMICO]]</f>
        <v>ACTIVA</v>
      </c>
    </row>
    <row r="496" spans="1:33 16384:16384" ht="15.75" thickBot="1" x14ac:dyDescent="0.3">
      <c r="A496" s="8">
        <v>90</v>
      </c>
      <c r="B496" s="9">
        <v>46190</v>
      </c>
      <c r="C496" s="10" t="s">
        <v>87</v>
      </c>
      <c r="D496" s="11"/>
      <c r="E496" s="16"/>
      <c r="F496" s="10"/>
      <c r="G496" s="212" t="str">
        <f>IFERROR(VLOOKUP(Tabla3[[#This Row],[NUM ECONOMICO]],MAQUINARIA!B:H,7,0), " MAQ")</f>
        <v>INACTIVA</v>
      </c>
      <c r="H496" s="214" t="s">
        <v>752</v>
      </c>
      <c r="I496" s="41" t="s">
        <v>753</v>
      </c>
      <c r="J496" s="10"/>
      <c r="K496" s="10">
        <v>3</v>
      </c>
      <c r="L496" s="13">
        <v>2628</v>
      </c>
      <c r="M496" s="13">
        <f t="shared" si="7"/>
        <v>7884</v>
      </c>
      <c r="N496" s="41"/>
      <c r="O496" s="10"/>
      <c r="P496" s="10">
        <f>Tabla3[[#This Row],[COSTO UNITARIO DOLARES EN HAWTHORNE]]*Tabla3[[#This Row],[CANTIDAD SOLICTADA]]</f>
        <v>0</v>
      </c>
      <c r="Q496" s="41"/>
      <c r="R496" s="229"/>
      <c r="S496" s="229">
        <f>+Tabla3[[#This Row],[COSTO UNITARIO DOLARES CTP]]*Tabla3[[#This Row],[CANTIDAD SOLICTADA]]</f>
        <v>0</v>
      </c>
      <c r="T496" s="41"/>
      <c r="U496" s="14" t="s">
        <v>4</v>
      </c>
      <c r="V496" s="8" t="s">
        <v>754</v>
      </c>
      <c r="W496" s="29">
        <v>46200</v>
      </c>
      <c r="X496" s="16" t="s">
        <v>89</v>
      </c>
      <c r="Y496" s="10" t="s">
        <v>90</v>
      </c>
      <c r="Z496" s="16"/>
      <c r="AA496" s="30"/>
      <c r="AB496" s="30"/>
      <c r="AC496" s="16"/>
      <c r="AD496" s="16"/>
      <c r="AE496" s="16"/>
      <c r="AF496" s="16"/>
      <c r="AG496" s="21"/>
      <c r="XFD496" s="15" t="str">
        <f>+Tabla3[[#This Row],[ESTATUS DE NUM ECONOMICO]]</f>
        <v>INACTIVA</v>
      </c>
    </row>
    <row r="497" spans="1:33 16384:16384" ht="15.75" thickBot="1" x14ac:dyDescent="0.3">
      <c r="A497" s="8">
        <v>90</v>
      </c>
      <c r="B497" s="9">
        <v>46190</v>
      </c>
      <c r="C497" s="10" t="s">
        <v>87</v>
      </c>
      <c r="D497" s="11"/>
      <c r="E497" s="16"/>
      <c r="F497" s="10"/>
      <c r="G497" s="212" t="str">
        <f>IFERROR(VLOOKUP(Tabla3[[#This Row],[NUM ECONOMICO]],MAQUINARIA!B:H,7,0), " MAQ")</f>
        <v>INACTIVA</v>
      </c>
      <c r="H497" s="214" t="s">
        <v>752</v>
      </c>
      <c r="I497" s="41" t="s">
        <v>755</v>
      </c>
      <c r="J497" s="10"/>
      <c r="K497" s="10">
        <v>16</v>
      </c>
      <c r="L497" s="13">
        <v>476.61</v>
      </c>
      <c r="M497" s="13">
        <f t="shared" si="7"/>
        <v>7625.76</v>
      </c>
      <c r="N497" s="41"/>
      <c r="O497" s="10"/>
      <c r="P497" s="10">
        <f>Tabla3[[#This Row],[COSTO UNITARIO DOLARES EN HAWTHORNE]]*Tabla3[[#This Row],[CANTIDAD SOLICTADA]]</f>
        <v>0</v>
      </c>
      <c r="Q497" s="41"/>
      <c r="R497" s="229"/>
      <c r="S497" s="229">
        <f>+Tabla3[[#This Row],[COSTO UNITARIO DOLARES CTP]]*Tabla3[[#This Row],[CANTIDAD SOLICTADA]]</f>
        <v>0</v>
      </c>
      <c r="T497" s="41"/>
      <c r="U497" s="14" t="s">
        <v>4</v>
      </c>
      <c r="V497" s="8" t="s">
        <v>754</v>
      </c>
      <c r="W497" s="29">
        <v>46200</v>
      </c>
      <c r="X497" s="16" t="s">
        <v>89</v>
      </c>
      <c r="Y497" s="10" t="s">
        <v>90</v>
      </c>
      <c r="Z497" s="16"/>
      <c r="AA497" s="30"/>
      <c r="AB497" s="30"/>
      <c r="AC497" s="16"/>
      <c r="AD497" s="16"/>
      <c r="AE497" s="16"/>
      <c r="AF497" s="16"/>
      <c r="AG497" s="21"/>
      <c r="XFD497" s="15" t="str">
        <f>+Tabla3[[#This Row],[ESTATUS DE NUM ECONOMICO]]</f>
        <v>INACTIVA</v>
      </c>
    </row>
    <row r="498" spans="1:33 16384:16384" ht="15.75" thickBot="1" x14ac:dyDescent="0.3">
      <c r="A498" s="8">
        <v>90</v>
      </c>
      <c r="B498" s="9">
        <v>46190</v>
      </c>
      <c r="C498" s="10" t="s">
        <v>87</v>
      </c>
      <c r="D498" s="11"/>
      <c r="E498" s="16"/>
      <c r="F498" s="10"/>
      <c r="G498" s="212" t="str">
        <f>IFERROR(VLOOKUP(Tabla3[[#This Row],[NUM ECONOMICO]],MAQUINARIA!B:H,7,0), " MAQ")</f>
        <v>INACTIVA</v>
      </c>
      <c r="H498" s="214" t="s">
        <v>752</v>
      </c>
      <c r="I498" s="41" t="s">
        <v>756</v>
      </c>
      <c r="J498" s="10"/>
      <c r="K498" s="10">
        <v>16</v>
      </c>
      <c r="L498" s="13">
        <v>14.96</v>
      </c>
      <c r="M498" s="13">
        <f t="shared" si="7"/>
        <v>239.36</v>
      </c>
      <c r="N498" s="41"/>
      <c r="O498" s="10"/>
      <c r="P498" s="10">
        <f>Tabla3[[#This Row],[COSTO UNITARIO DOLARES EN HAWTHORNE]]*Tabla3[[#This Row],[CANTIDAD SOLICTADA]]</f>
        <v>0</v>
      </c>
      <c r="Q498" s="41"/>
      <c r="R498" s="229"/>
      <c r="S498" s="229">
        <f>+Tabla3[[#This Row],[COSTO UNITARIO DOLARES CTP]]*Tabla3[[#This Row],[CANTIDAD SOLICTADA]]</f>
        <v>0</v>
      </c>
      <c r="T498" s="41"/>
      <c r="U498" s="14" t="s">
        <v>4</v>
      </c>
      <c r="V498" s="8" t="s">
        <v>754</v>
      </c>
      <c r="W498" s="29">
        <v>46200</v>
      </c>
      <c r="X498" s="16" t="s">
        <v>89</v>
      </c>
      <c r="Y498" s="10" t="s">
        <v>90</v>
      </c>
      <c r="Z498" s="16"/>
      <c r="AA498" s="30"/>
      <c r="AB498" s="30"/>
      <c r="AC498" s="16"/>
      <c r="AD498" s="16"/>
      <c r="AE498" s="16"/>
      <c r="AF498" s="16"/>
      <c r="AG498" s="21"/>
      <c r="XFD498" s="15" t="str">
        <f>+Tabla3[[#This Row],[ESTATUS DE NUM ECONOMICO]]</f>
        <v>INACTIVA</v>
      </c>
    </row>
    <row r="499" spans="1:33 16384:16384" ht="15.75" thickBot="1" x14ac:dyDescent="0.3">
      <c r="A499" s="8">
        <v>90</v>
      </c>
      <c r="B499" s="9">
        <v>46190</v>
      </c>
      <c r="C499" s="10" t="s">
        <v>87</v>
      </c>
      <c r="D499" s="11"/>
      <c r="E499" s="16"/>
      <c r="F499" s="10"/>
      <c r="G499" s="212" t="str">
        <f>IFERROR(VLOOKUP(Tabla3[[#This Row],[NUM ECONOMICO]],MAQUINARIA!B:H,7,0), " MAQ")</f>
        <v>INACTIVA</v>
      </c>
      <c r="H499" s="214" t="s">
        <v>752</v>
      </c>
      <c r="I499" s="41" t="s">
        <v>757</v>
      </c>
      <c r="J499" s="10"/>
      <c r="K499" s="10">
        <v>16</v>
      </c>
      <c r="L499" s="13">
        <v>14.96</v>
      </c>
      <c r="M499" s="13">
        <f t="shared" si="7"/>
        <v>239.36</v>
      </c>
      <c r="N499" s="41"/>
      <c r="O499" s="10"/>
      <c r="P499" s="10">
        <f>Tabla3[[#This Row],[COSTO UNITARIO DOLARES EN HAWTHORNE]]*Tabla3[[#This Row],[CANTIDAD SOLICTADA]]</f>
        <v>0</v>
      </c>
      <c r="Q499" s="41"/>
      <c r="R499" s="229"/>
      <c r="S499" s="229">
        <f>+Tabla3[[#This Row],[COSTO UNITARIO DOLARES CTP]]*Tabla3[[#This Row],[CANTIDAD SOLICTADA]]</f>
        <v>0</v>
      </c>
      <c r="T499" s="41"/>
      <c r="U499" s="14" t="s">
        <v>4</v>
      </c>
      <c r="V499" s="8" t="s">
        <v>754</v>
      </c>
      <c r="W499" s="29">
        <v>46200</v>
      </c>
      <c r="X499" s="16" t="s">
        <v>89</v>
      </c>
      <c r="Y499" s="10" t="s">
        <v>90</v>
      </c>
      <c r="Z499" s="16"/>
      <c r="AA499" s="30"/>
      <c r="AB499" s="30"/>
      <c r="AC499" s="16"/>
      <c r="AD499" s="16"/>
      <c r="AE499" s="16"/>
      <c r="AF499" s="16"/>
      <c r="AG499" s="21"/>
      <c r="XFD499" s="15" t="str">
        <f>+Tabla3[[#This Row],[ESTATUS DE NUM ECONOMICO]]</f>
        <v>INACTIVA</v>
      </c>
    </row>
    <row r="500" spans="1:33 16384:16384" ht="15.75" thickBot="1" x14ac:dyDescent="0.3">
      <c r="A500" s="8">
        <v>90</v>
      </c>
      <c r="B500" s="9">
        <v>46190</v>
      </c>
      <c r="C500" s="10" t="s">
        <v>87</v>
      </c>
      <c r="D500" s="11"/>
      <c r="E500" s="16"/>
      <c r="F500" s="10"/>
      <c r="G500" s="212" t="str">
        <f>IFERROR(VLOOKUP(Tabla3[[#This Row],[NUM ECONOMICO]],MAQUINARIA!B:H,7,0), " MAQ")</f>
        <v>INACTIVA</v>
      </c>
      <c r="H500" s="214" t="s">
        <v>752</v>
      </c>
      <c r="I500" s="41" t="s">
        <v>758</v>
      </c>
      <c r="J500" s="10"/>
      <c r="K500" s="10">
        <v>16</v>
      </c>
      <c r="L500" s="13">
        <v>355.34</v>
      </c>
      <c r="M500" s="13">
        <f t="shared" si="7"/>
        <v>5685.44</v>
      </c>
      <c r="N500" s="41"/>
      <c r="O500" s="10"/>
      <c r="P500" s="10">
        <f>Tabla3[[#This Row],[COSTO UNITARIO DOLARES EN HAWTHORNE]]*Tabla3[[#This Row],[CANTIDAD SOLICTADA]]</f>
        <v>0</v>
      </c>
      <c r="Q500" s="41"/>
      <c r="R500" s="229"/>
      <c r="S500" s="229">
        <f>+Tabla3[[#This Row],[COSTO UNITARIO DOLARES CTP]]*Tabla3[[#This Row],[CANTIDAD SOLICTADA]]</f>
        <v>0</v>
      </c>
      <c r="T500" s="41"/>
      <c r="U500" s="14" t="s">
        <v>4</v>
      </c>
      <c r="V500" s="8" t="s">
        <v>754</v>
      </c>
      <c r="W500" s="29">
        <v>46200</v>
      </c>
      <c r="X500" s="16" t="s">
        <v>89</v>
      </c>
      <c r="Y500" s="10" t="s">
        <v>90</v>
      </c>
      <c r="Z500" s="16"/>
      <c r="AA500" s="30"/>
      <c r="AB500" s="30"/>
      <c r="AC500" s="16"/>
      <c r="AD500" s="16"/>
      <c r="AE500" s="16"/>
      <c r="AF500" s="16"/>
      <c r="AG500" s="21"/>
      <c r="XFD500" s="15" t="str">
        <f>+Tabla3[[#This Row],[ESTATUS DE NUM ECONOMICO]]</f>
        <v>INACTIVA</v>
      </c>
    </row>
    <row r="501" spans="1:33 16384:16384" ht="15.75" thickBot="1" x14ac:dyDescent="0.3">
      <c r="A501" s="8">
        <v>91</v>
      </c>
      <c r="B501" s="9">
        <v>46190</v>
      </c>
      <c r="C501" s="10" t="s">
        <v>87</v>
      </c>
      <c r="D501" s="10" t="s">
        <v>759</v>
      </c>
      <c r="E501" s="16">
        <v>35</v>
      </c>
      <c r="F501" s="9">
        <v>46190</v>
      </c>
      <c r="G501" s="212" t="str">
        <f>IFERROR(VLOOKUP(Tabla3[[#This Row],[NUM ECONOMICO]],MAQUINARIA!B:H,7,0), " MAQ")</f>
        <v>ACTIVA</v>
      </c>
      <c r="H501" s="214" t="s">
        <v>188</v>
      </c>
      <c r="I501" s="41">
        <v>6415407</v>
      </c>
      <c r="J501" s="10"/>
      <c r="K501" s="10">
        <v>1</v>
      </c>
      <c r="L501" s="12"/>
      <c r="M501" s="13">
        <f t="shared" si="7"/>
        <v>0</v>
      </c>
      <c r="N501" s="41"/>
      <c r="O501" s="10"/>
      <c r="P501" s="10">
        <f>Tabla3[[#This Row],[COSTO UNITARIO DOLARES EN HAWTHORNE]]*Tabla3[[#This Row],[CANTIDAD SOLICTADA]]</f>
        <v>0</v>
      </c>
      <c r="Q501" s="41"/>
      <c r="R501" s="229"/>
      <c r="S501" s="229">
        <f>+Tabla3[[#This Row],[COSTO UNITARIO DOLARES CTP]]*Tabla3[[#This Row],[CANTIDAD SOLICTADA]]</f>
        <v>0</v>
      </c>
      <c r="T501" s="41"/>
      <c r="U501" s="14" t="s">
        <v>4</v>
      </c>
      <c r="V501" s="8" t="s">
        <v>760</v>
      </c>
      <c r="W501" s="9">
        <v>46199</v>
      </c>
      <c r="X501" s="10" t="s">
        <v>89</v>
      </c>
      <c r="Y501" s="10" t="s">
        <v>90</v>
      </c>
      <c r="Z501" s="16" t="s">
        <v>44</v>
      </c>
      <c r="AA501" s="25">
        <v>46190</v>
      </c>
      <c r="AB501" s="25">
        <v>46192</v>
      </c>
      <c r="AC501" s="16" t="s">
        <v>226</v>
      </c>
      <c r="AD501" s="16"/>
      <c r="AE501" s="16" t="s">
        <v>745</v>
      </c>
      <c r="AF501" s="16"/>
      <c r="AG501" s="21" t="s">
        <v>723</v>
      </c>
      <c r="XFD501" s="15" t="str">
        <f>+Tabla3[[#This Row],[ESTATUS DE NUM ECONOMICO]]</f>
        <v>ACTIVA</v>
      </c>
    </row>
    <row r="502" spans="1:33 16384:16384" ht="15.75" thickBot="1" x14ac:dyDescent="0.3">
      <c r="A502" s="8">
        <v>92</v>
      </c>
      <c r="B502" s="9">
        <v>46190</v>
      </c>
      <c r="C502" s="10" t="s">
        <v>87</v>
      </c>
      <c r="D502" s="10" t="s">
        <v>761</v>
      </c>
      <c r="E502" s="16">
        <v>64</v>
      </c>
      <c r="F502" s="9">
        <v>46181</v>
      </c>
      <c r="G502" s="212" t="str">
        <f>IFERROR(VLOOKUP(Tabla3[[#This Row],[NUM ECONOMICO]],MAQUINARIA!B:H,7,0), " MAQ")</f>
        <v>INACTIVA</v>
      </c>
      <c r="H502" s="214" t="s">
        <v>210</v>
      </c>
      <c r="I502" s="41">
        <v>1391537</v>
      </c>
      <c r="J502" s="10" t="s">
        <v>331</v>
      </c>
      <c r="K502" s="10">
        <v>2</v>
      </c>
      <c r="L502" s="12"/>
      <c r="M502" s="13">
        <f t="shared" si="7"/>
        <v>0</v>
      </c>
      <c r="N502" s="41"/>
      <c r="O502" s="10"/>
      <c r="P502" s="10">
        <f>Tabla3[[#This Row],[COSTO UNITARIO DOLARES EN HAWTHORNE]]*Tabla3[[#This Row],[CANTIDAD SOLICTADA]]</f>
        <v>0</v>
      </c>
      <c r="Q502" s="41"/>
      <c r="R502" s="229"/>
      <c r="S502" s="229">
        <f>+Tabla3[[#This Row],[COSTO UNITARIO DOLARES CTP]]*Tabla3[[#This Row],[CANTIDAD SOLICTADA]]</f>
        <v>0</v>
      </c>
      <c r="T502" s="41"/>
      <c r="U502" s="14" t="s">
        <v>4</v>
      </c>
      <c r="V502" s="8" t="s">
        <v>762</v>
      </c>
      <c r="W502" s="9">
        <v>46199</v>
      </c>
      <c r="X502" s="10" t="s">
        <v>89</v>
      </c>
      <c r="Y502" s="10">
        <v>2</v>
      </c>
      <c r="Z502" s="16" t="s">
        <v>44</v>
      </c>
      <c r="AA502" s="25">
        <v>46190</v>
      </c>
      <c r="AB502" s="25">
        <v>46190</v>
      </c>
      <c r="AC502" s="16" t="s">
        <v>109</v>
      </c>
      <c r="AD502" s="16"/>
      <c r="AE502" s="16" t="s">
        <v>4</v>
      </c>
      <c r="AF502" s="16"/>
      <c r="AG502" s="21" t="s">
        <v>763</v>
      </c>
      <c r="XFD502" s="15" t="str">
        <f>+Tabla3[[#This Row],[ESTATUS DE NUM ECONOMICO]]</f>
        <v>INACTIVA</v>
      </c>
    </row>
    <row r="503" spans="1:33 16384:16384" ht="15.75" thickBot="1" x14ac:dyDescent="0.3">
      <c r="A503" s="8">
        <v>93</v>
      </c>
      <c r="B503" s="9">
        <v>46190</v>
      </c>
      <c r="C503" s="10" t="s">
        <v>87</v>
      </c>
      <c r="D503" s="10" t="s">
        <v>764</v>
      </c>
      <c r="E503" s="16"/>
      <c r="F503" s="10"/>
      <c r="G503" s="212" t="str">
        <f>IFERROR(VLOOKUP(Tabla3[[#This Row],[NUM ECONOMICO]],MAQUINARIA!B:H,7,0), " MAQ")</f>
        <v>ACTIVA</v>
      </c>
      <c r="H503" s="214" t="s">
        <v>107</v>
      </c>
      <c r="I503" s="41">
        <v>1730888</v>
      </c>
      <c r="J503" s="10" t="s">
        <v>765</v>
      </c>
      <c r="K503" s="10">
        <v>2</v>
      </c>
      <c r="L503" s="12"/>
      <c r="M503" s="13">
        <f t="shared" si="7"/>
        <v>0</v>
      </c>
      <c r="N503" s="41"/>
      <c r="O503" s="10"/>
      <c r="P503" s="10">
        <f>Tabla3[[#This Row],[COSTO UNITARIO DOLARES EN HAWTHORNE]]*Tabla3[[#This Row],[CANTIDAD SOLICTADA]]</f>
        <v>0</v>
      </c>
      <c r="Q503" s="41"/>
      <c r="R503" s="229"/>
      <c r="S503" s="229">
        <f>+Tabla3[[#This Row],[COSTO UNITARIO DOLARES CTP]]*Tabla3[[#This Row],[CANTIDAD SOLICTADA]]</f>
        <v>0</v>
      </c>
      <c r="T503" s="41"/>
      <c r="U503" s="14" t="s">
        <v>4</v>
      </c>
      <c r="V503" s="8" t="s">
        <v>766</v>
      </c>
      <c r="W503" s="9">
        <v>46190</v>
      </c>
      <c r="X503" s="10" t="s">
        <v>89</v>
      </c>
      <c r="Y503" s="10" t="s">
        <v>90</v>
      </c>
      <c r="Z503" s="16" t="s">
        <v>44</v>
      </c>
      <c r="AA503" s="25">
        <v>46190</v>
      </c>
      <c r="AB503" s="25">
        <v>46191</v>
      </c>
      <c r="AC503" s="16"/>
      <c r="AD503" s="16"/>
      <c r="AE503" s="16" t="s">
        <v>767</v>
      </c>
      <c r="AF503" s="16"/>
      <c r="AG503" s="21" t="s">
        <v>768</v>
      </c>
      <c r="XFD503" s="15" t="str">
        <f>+Tabla3[[#This Row],[ESTATUS DE NUM ECONOMICO]]</f>
        <v>ACTIVA</v>
      </c>
    </row>
    <row r="504" spans="1:33 16384:16384" ht="15.75" thickBot="1" x14ac:dyDescent="0.3">
      <c r="A504" s="8">
        <v>93</v>
      </c>
      <c r="B504" s="9">
        <v>46190</v>
      </c>
      <c r="C504" s="10" t="s">
        <v>87</v>
      </c>
      <c r="D504" s="11"/>
      <c r="E504" s="16"/>
      <c r="F504" s="10"/>
      <c r="G504" s="212" t="str">
        <f>IFERROR(VLOOKUP(Tabla3[[#This Row],[NUM ECONOMICO]],MAQUINARIA!B:H,7,0), " MAQ")</f>
        <v>ACTIVA</v>
      </c>
      <c r="H504" s="214" t="s">
        <v>107</v>
      </c>
      <c r="I504" s="41">
        <v>2346681</v>
      </c>
      <c r="J504" s="10" t="s">
        <v>479</v>
      </c>
      <c r="K504" s="10">
        <v>8</v>
      </c>
      <c r="L504" s="12"/>
      <c r="M504" s="13">
        <f t="shared" si="7"/>
        <v>0</v>
      </c>
      <c r="N504" s="41"/>
      <c r="O504" s="10"/>
      <c r="P504" s="10">
        <f>Tabla3[[#This Row],[COSTO UNITARIO DOLARES EN HAWTHORNE]]*Tabla3[[#This Row],[CANTIDAD SOLICTADA]]</f>
        <v>0</v>
      </c>
      <c r="Q504" s="41"/>
      <c r="R504" s="229"/>
      <c r="S504" s="229">
        <f>+Tabla3[[#This Row],[COSTO UNITARIO DOLARES CTP]]*Tabla3[[#This Row],[CANTIDAD SOLICTADA]]</f>
        <v>0</v>
      </c>
      <c r="T504" s="41"/>
      <c r="U504" s="14" t="s">
        <v>4</v>
      </c>
      <c r="V504" s="8" t="s">
        <v>766</v>
      </c>
      <c r="W504" s="9">
        <v>46190</v>
      </c>
      <c r="X504" s="10" t="s">
        <v>89</v>
      </c>
      <c r="Y504" s="10" t="s">
        <v>90</v>
      </c>
      <c r="Z504" s="16" t="s">
        <v>44</v>
      </c>
      <c r="AA504" s="25">
        <v>46190</v>
      </c>
      <c r="AB504" s="16"/>
      <c r="AC504" s="16"/>
      <c r="AD504" s="16"/>
      <c r="AE504" s="16" t="s">
        <v>769</v>
      </c>
      <c r="AF504" s="16" t="s">
        <v>770</v>
      </c>
      <c r="AG504" s="21" t="s">
        <v>768</v>
      </c>
      <c r="XFD504" s="15" t="str">
        <f>+Tabla3[[#This Row],[ESTATUS DE NUM ECONOMICO]]</f>
        <v>ACTIVA</v>
      </c>
    </row>
    <row r="505" spans="1:33 16384:16384" ht="15.75" thickBot="1" x14ac:dyDescent="0.3">
      <c r="A505" s="8">
        <v>93</v>
      </c>
      <c r="B505" s="9">
        <v>46190</v>
      </c>
      <c r="C505" s="10" t="s">
        <v>87</v>
      </c>
      <c r="D505" s="11"/>
      <c r="E505" s="16"/>
      <c r="F505" s="10"/>
      <c r="G505" s="212" t="str">
        <f>IFERROR(VLOOKUP(Tabla3[[#This Row],[NUM ECONOMICO]],MAQUINARIA!B:H,7,0), " MAQ")</f>
        <v>ACTIVA</v>
      </c>
      <c r="H505" s="214" t="s">
        <v>107</v>
      </c>
      <c r="I505" s="41">
        <v>2346681</v>
      </c>
      <c r="J505" s="10" t="s">
        <v>771</v>
      </c>
      <c r="K505" s="10">
        <v>20</v>
      </c>
      <c r="L505" s="12"/>
      <c r="M505" s="13">
        <f t="shared" si="7"/>
        <v>0</v>
      </c>
      <c r="N505" s="41"/>
      <c r="O505" s="10"/>
      <c r="P505" s="10">
        <f>Tabla3[[#This Row],[COSTO UNITARIO DOLARES EN HAWTHORNE]]*Tabla3[[#This Row],[CANTIDAD SOLICTADA]]</f>
        <v>0</v>
      </c>
      <c r="Q505" s="41"/>
      <c r="R505" s="229"/>
      <c r="S505" s="229">
        <f>+Tabla3[[#This Row],[COSTO UNITARIO DOLARES CTP]]*Tabla3[[#This Row],[CANTIDAD SOLICTADA]]</f>
        <v>0</v>
      </c>
      <c r="T505" s="41"/>
      <c r="U505" s="14" t="s">
        <v>4</v>
      </c>
      <c r="V505" s="8" t="s">
        <v>766</v>
      </c>
      <c r="W505" s="9">
        <v>46190</v>
      </c>
      <c r="X505" s="10" t="s">
        <v>89</v>
      </c>
      <c r="Y505" s="10" t="s">
        <v>90</v>
      </c>
      <c r="Z505" s="16" t="s">
        <v>44</v>
      </c>
      <c r="AA505" s="25">
        <v>46190</v>
      </c>
      <c r="AB505" s="16"/>
      <c r="AC505" s="16"/>
      <c r="AD505" s="16"/>
      <c r="AE505" s="16" t="s">
        <v>769</v>
      </c>
      <c r="AF505" s="16" t="s">
        <v>770</v>
      </c>
      <c r="AG505" s="21" t="s">
        <v>768</v>
      </c>
      <c r="XFD505" s="15" t="str">
        <f>+Tabla3[[#This Row],[ESTATUS DE NUM ECONOMICO]]</f>
        <v>ACTIVA</v>
      </c>
    </row>
    <row r="506" spans="1:33 16384:16384" ht="15.75" thickBot="1" x14ac:dyDescent="0.3">
      <c r="A506" s="8">
        <v>93</v>
      </c>
      <c r="B506" s="9">
        <v>46190</v>
      </c>
      <c r="C506" s="10" t="s">
        <v>87</v>
      </c>
      <c r="D506" s="11"/>
      <c r="E506" s="16"/>
      <c r="F506" s="10"/>
      <c r="G506" s="212" t="str">
        <f>IFERROR(VLOOKUP(Tabla3[[#This Row],[NUM ECONOMICO]],MAQUINARIA!B:H,7,0), " MAQ")</f>
        <v>ACTIVA</v>
      </c>
      <c r="H506" s="214" t="s">
        <v>107</v>
      </c>
      <c r="I506" s="41">
        <v>1730888</v>
      </c>
      <c r="J506" s="10" t="s">
        <v>772</v>
      </c>
      <c r="K506" s="10">
        <v>2</v>
      </c>
      <c r="L506" s="12"/>
      <c r="M506" s="13">
        <f t="shared" si="7"/>
        <v>0</v>
      </c>
      <c r="N506" s="41"/>
      <c r="O506" s="10"/>
      <c r="P506" s="10">
        <f>Tabla3[[#This Row],[COSTO UNITARIO DOLARES EN HAWTHORNE]]*Tabla3[[#This Row],[CANTIDAD SOLICTADA]]</f>
        <v>0</v>
      </c>
      <c r="Q506" s="41"/>
      <c r="R506" s="229"/>
      <c r="S506" s="229">
        <f>+Tabla3[[#This Row],[COSTO UNITARIO DOLARES CTP]]*Tabla3[[#This Row],[CANTIDAD SOLICTADA]]</f>
        <v>0</v>
      </c>
      <c r="T506" s="41"/>
      <c r="U506" s="14" t="s">
        <v>4</v>
      </c>
      <c r="V506" s="8" t="s">
        <v>766</v>
      </c>
      <c r="W506" s="9">
        <v>46190</v>
      </c>
      <c r="X506" s="10" t="s">
        <v>89</v>
      </c>
      <c r="Y506" s="10" t="s">
        <v>90</v>
      </c>
      <c r="Z506" s="16" t="s">
        <v>44</v>
      </c>
      <c r="AA506" s="25">
        <v>46190</v>
      </c>
      <c r="AB506" s="16"/>
      <c r="AC506" s="16"/>
      <c r="AD506" s="16"/>
      <c r="AE506" s="16" t="s">
        <v>769</v>
      </c>
      <c r="AF506" s="16" t="s">
        <v>770</v>
      </c>
      <c r="AG506" s="21" t="s">
        <v>768</v>
      </c>
      <c r="XFD506" s="15" t="str">
        <f>+Tabla3[[#This Row],[ESTATUS DE NUM ECONOMICO]]</f>
        <v>ACTIVA</v>
      </c>
    </row>
    <row r="507" spans="1:33 16384:16384" ht="15.75" thickBot="1" x14ac:dyDescent="0.3">
      <c r="A507" s="8">
        <v>93</v>
      </c>
      <c r="B507" s="9">
        <v>46190</v>
      </c>
      <c r="C507" s="10" t="s">
        <v>87</v>
      </c>
      <c r="D507" s="11"/>
      <c r="E507" s="16"/>
      <c r="F507" s="10"/>
      <c r="G507" s="212" t="str">
        <f>IFERROR(VLOOKUP(Tabla3[[#This Row],[NUM ECONOMICO]],MAQUINARIA!B:H,7,0), " MAQ")</f>
        <v>ACTIVA</v>
      </c>
      <c r="H507" s="214" t="s">
        <v>107</v>
      </c>
      <c r="I507" s="41">
        <v>2346681</v>
      </c>
      <c r="J507" s="10" t="s">
        <v>773</v>
      </c>
      <c r="K507" s="10">
        <v>8</v>
      </c>
      <c r="L507" s="12"/>
      <c r="M507" s="13">
        <f t="shared" si="7"/>
        <v>0</v>
      </c>
      <c r="N507" s="41"/>
      <c r="O507" s="10"/>
      <c r="P507" s="10">
        <f>Tabla3[[#This Row],[COSTO UNITARIO DOLARES EN HAWTHORNE]]*Tabla3[[#This Row],[CANTIDAD SOLICTADA]]</f>
        <v>0</v>
      </c>
      <c r="Q507" s="41"/>
      <c r="R507" s="229"/>
      <c r="S507" s="229">
        <f>+Tabla3[[#This Row],[COSTO UNITARIO DOLARES CTP]]*Tabla3[[#This Row],[CANTIDAD SOLICTADA]]</f>
        <v>0</v>
      </c>
      <c r="T507" s="41"/>
      <c r="U507" s="14" t="s">
        <v>4</v>
      </c>
      <c r="V507" s="8" t="s">
        <v>766</v>
      </c>
      <c r="W507" s="9">
        <v>46190</v>
      </c>
      <c r="X507" s="10" t="s">
        <v>89</v>
      </c>
      <c r="Y507" s="10" t="s">
        <v>90</v>
      </c>
      <c r="Z507" s="16" t="s">
        <v>44</v>
      </c>
      <c r="AA507" s="25">
        <v>46190</v>
      </c>
      <c r="AB507" s="16"/>
      <c r="AC507" s="16"/>
      <c r="AD507" s="16"/>
      <c r="AE507" s="16" t="s">
        <v>769</v>
      </c>
      <c r="AF507" s="16" t="s">
        <v>770</v>
      </c>
      <c r="AG507" s="21" t="s">
        <v>768</v>
      </c>
      <c r="XFD507" s="15" t="str">
        <f>+Tabla3[[#This Row],[ESTATUS DE NUM ECONOMICO]]</f>
        <v>ACTIVA</v>
      </c>
    </row>
    <row r="508" spans="1:33 16384:16384" ht="15.75" thickBot="1" x14ac:dyDescent="0.3">
      <c r="A508" s="8">
        <v>93</v>
      </c>
      <c r="B508" s="9">
        <v>46190</v>
      </c>
      <c r="C508" s="10" t="s">
        <v>87</v>
      </c>
      <c r="D508" s="11"/>
      <c r="E508" s="16"/>
      <c r="F508" s="10"/>
      <c r="G508" s="212" t="str">
        <f>IFERROR(VLOOKUP(Tabla3[[#This Row],[NUM ECONOMICO]],MAQUINARIA!B:H,7,0), " MAQ")</f>
        <v>ACTIVA</v>
      </c>
      <c r="H508" s="214" t="s">
        <v>107</v>
      </c>
      <c r="I508" s="41">
        <v>1730888</v>
      </c>
      <c r="J508" s="10" t="s">
        <v>774</v>
      </c>
      <c r="K508" s="10">
        <v>1</v>
      </c>
      <c r="L508" s="12"/>
      <c r="M508" s="13">
        <f t="shared" si="7"/>
        <v>0</v>
      </c>
      <c r="N508" s="41"/>
      <c r="O508" s="10"/>
      <c r="P508" s="10">
        <f>Tabla3[[#This Row],[COSTO UNITARIO DOLARES EN HAWTHORNE]]*Tabla3[[#This Row],[CANTIDAD SOLICTADA]]</f>
        <v>0</v>
      </c>
      <c r="Q508" s="41"/>
      <c r="R508" s="229"/>
      <c r="S508" s="229">
        <f>+Tabla3[[#This Row],[COSTO UNITARIO DOLARES CTP]]*Tabla3[[#This Row],[CANTIDAD SOLICTADA]]</f>
        <v>0</v>
      </c>
      <c r="T508" s="41"/>
      <c r="U508" s="14" t="s">
        <v>4</v>
      </c>
      <c r="V508" s="8" t="s">
        <v>766</v>
      </c>
      <c r="W508" s="9">
        <v>46190</v>
      </c>
      <c r="X508" s="10" t="s">
        <v>89</v>
      </c>
      <c r="Y508" s="10" t="s">
        <v>90</v>
      </c>
      <c r="Z508" s="16" t="s">
        <v>44</v>
      </c>
      <c r="AA508" s="25">
        <v>46190</v>
      </c>
      <c r="AB508" s="16"/>
      <c r="AC508" s="16"/>
      <c r="AD508" s="16"/>
      <c r="AE508" s="16" t="s">
        <v>769</v>
      </c>
      <c r="AF508" s="16" t="s">
        <v>770</v>
      </c>
      <c r="AG508" s="21" t="s">
        <v>768</v>
      </c>
      <c r="XFD508" s="15" t="str">
        <f>+Tabla3[[#This Row],[ESTATUS DE NUM ECONOMICO]]</f>
        <v>ACTIVA</v>
      </c>
    </row>
    <row r="509" spans="1:33 16384:16384" ht="15.75" thickBot="1" x14ac:dyDescent="0.3">
      <c r="A509" s="8">
        <v>93</v>
      </c>
      <c r="B509" s="9">
        <v>46190</v>
      </c>
      <c r="C509" s="10" t="s">
        <v>87</v>
      </c>
      <c r="D509" s="11"/>
      <c r="E509" s="16"/>
      <c r="F509" s="10"/>
      <c r="G509" s="212" t="str">
        <f>IFERROR(VLOOKUP(Tabla3[[#This Row],[NUM ECONOMICO]],MAQUINARIA!B:H,7,0), " MAQ")</f>
        <v>ACTIVA</v>
      </c>
      <c r="H509" s="214" t="s">
        <v>107</v>
      </c>
      <c r="I509" s="41">
        <v>2346681</v>
      </c>
      <c r="J509" s="10" t="s">
        <v>310</v>
      </c>
      <c r="K509" s="10">
        <v>4</v>
      </c>
      <c r="L509" s="12"/>
      <c r="M509" s="13">
        <f t="shared" si="7"/>
        <v>0</v>
      </c>
      <c r="N509" s="41"/>
      <c r="O509" s="10"/>
      <c r="P509" s="10">
        <f>Tabla3[[#This Row],[COSTO UNITARIO DOLARES EN HAWTHORNE]]*Tabla3[[#This Row],[CANTIDAD SOLICTADA]]</f>
        <v>0</v>
      </c>
      <c r="Q509" s="41"/>
      <c r="R509" s="229"/>
      <c r="S509" s="229">
        <f>+Tabla3[[#This Row],[COSTO UNITARIO DOLARES CTP]]*Tabla3[[#This Row],[CANTIDAD SOLICTADA]]</f>
        <v>0</v>
      </c>
      <c r="T509" s="41"/>
      <c r="U509" s="14" t="s">
        <v>4</v>
      </c>
      <c r="V509" s="8" t="s">
        <v>766</v>
      </c>
      <c r="W509" s="9">
        <v>46190</v>
      </c>
      <c r="X509" s="10" t="s">
        <v>89</v>
      </c>
      <c r="Y509" s="10" t="s">
        <v>90</v>
      </c>
      <c r="Z509" s="16" t="s">
        <v>44</v>
      </c>
      <c r="AA509" s="25">
        <v>46190</v>
      </c>
      <c r="AB509" s="16"/>
      <c r="AC509" s="16"/>
      <c r="AD509" s="16"/>
      <c r="AE509" s="16" t="s">
        <v>769</v>
      </c>
      <c r="AF509" s="16" t="s">
        <v>770</v>
      </c>
      <c r="AG509" s="21" t="s">
        <v>768</v>
      </c>
      <c r="XFD509" s="15" t="str">
        <f>+Tabla3[[#This Row],[ESTATUS DE NUM ECONOMICO]]</f>
        <v>ACTIVA</v>
      </c>
    </row>
    <row r="510" spans="1:33 16384:16384" ht="15.75" thickBot="1" x14ac:dyDescent="0.3">
      <c r="A510" s="8">
        <v>94</v>
      </c>
      <c r="B510" s="9">
        <v>46190</v>
      </c>
      <c r="C510" s="10" t="s">
        <v>87</v>
      </c>
      <c r="D510" s="11"/>
      <c r="E510" s="16"/>
      <c r="F510" s="10"/>
      <c r="G510" s="212" t="str">
        <f>IFERROR(VLOOKUP(Tabla3[[#This Row],[NUM ECONOMICO]],MAQUINARIA!B:H,7,0), " MAQ")</f>
        <v>INACTIVA</v>
      </c>
      <c r="H510" s="214" t="s">
        <v>504</v>
      </c>
      <c r="I510" s="41" t="s">
        <v>330</v>
      </c>
      <c r="J510" s="10" t="s">
        <v>546</v>
      </c>
      <c r="K510" s="10">
        <v>8</v>
      </c>
      <c r="L510" s="12"/>
      <c r="M510" s="13">
        <f t="shared" si="7"/>
        <v>0</v>
      </c>
      <c r="N510" s="41"/>
      <c r="O510" s="10"/>
      <c r="P510" s="10">
        <f>Tabla3[[#This Row],[COSTO UNITARIO DOLARES EN HAWTHORNE]]*Tabla3[[#This Row],[CANTIDAD SOLICTADA]]</f>
        <v>0</v>
      </c>
      <c r="Q510" s="41"/>
      <c r="R510" s="229">
        <v>0.53</v>
      </c>
      <c r="S510" s="229">
        <f>+Tabla3[[#This Row],[COSTO UNITARIO DOLARES CTP]]*Tabla3[[#This Row],[CANTIDAD SOLICTADA]]</f>
        <v>4.24</v>
      </c>
      <c r="T510" s="41"/>
      <c r="U510" s="20" t="s">
        <v>161</v>
      </c>
      <c r="V510" s="8" t="s">
        <v>775</v>
      </c>
      <c r="W510" s="9">
        <v>46191</v>
      </c>
      <c r="X510" s="10" t="s">
        <v>96</v>
      </c>
      <c r="Y510" s="10">
        <v>9</v>
      </c>
      <c r="Z510" s="16"/>
      <c r="AA510" s="16"/>
      <c r="AB510" s="16"/>
      <c r="AC510" s="16"/>
      <c r="AD510" s="16"/>
      <c r="AE510" s="16" t="s">
        <v>776</v>
      </c>
      <c r="AF510" s="16"/>
      <c r="AG510" s="21" t="s">
        <v>777</v>
      </c>
      <c r="XFD510" s="15" t="str">
        <f>+Tabla3[[#This Row],[ESTATUS DE NUM ECONOMICO]]</f>
        <v>INACTIVA</v>
      </c>
    </row>
    <row r="511" spans="1:33 16384:16384" ht="15.75" thickBot="1" x14ac:dyDescent="0.3">
      <c r="A511" s="8">
        <v>94</v>
      </c>
      <c r="B511" s="9">
        <v>46190</v>
      </c>
      <c r="C511" s="10" t="s">
        <v>87</v>
      </c>
      <c r="D511" s="11"/>
      <c r="E511" s="16"/>
      <c r="F511" s="10"/>
      <c r="G511" s="212" t="str">
        <f>IFERROR(VLOOKUP(Tabla3[[#This Row],[NUM ECONOMICO]],MAQUINARIA!B:H,7,0), " MAQ")</f>
        <v>INACTIVA</v>
      </c>
      <c r="H511" s="214" t="s">
        <v>504</v>
      </c>
      <c r="I511" s="41" t="s">
        <v>778</v>
      </c>
      <c r="J511" s="10" t="s">
        <v>779</v>
      </c>
      <c r="K511" s="10">
        <v>8</v>
      </c>
      <c r="L511" s="13">
        <v>1614.44</v>
      </c>
      <c r="M511" s="13">
        <f t="shared" si="7"/>
        <v>12915.52</v>
      </c>
      <c r="N511" s="41"/>
      <c r="O511" s="287">
        <v>81.56</v>
      </c>
      <c r="P511" s="287">
        <f>Tabla3[[#This Row],[COSTO UNITARIO DOLARES EN HAWTHORNE]]*Tabla3[[#This Row],[CANTIDAD SOLICTADA]]</f>
        <v>652.48</v>
      </c>
      <c r="Q511" s="41" t="s">
        <v>674</v>
      </c>
      <c r="R511" s="229">
        <v>23.24</v>
      </c>
      <c r="S511" s="229">
        <f>+Tabla3[[#This Row],[COSTO UNITARIO DOLARES CTP]]*Tabla3[[#This Row],[CANTIDAD SOLICTADA]]</f>
        <v>185.92</v>
      </c>
      <c r="T511" s="41"/>
      <c r="U511" s="18" t="s">
        <v>5</v>
      </c>
      <c r="V511" s="211" t="s">
        <v>775</v>
      </c>
      <c r="W511" s="10"/>
      <c r="X511" s="10" t="s">
        <v>89</v>
      </c>
      <c r="Y511" s="10" t="s">
        <v>90</v>
      </c>
      <c r="Z511" s="16"/>
      <c r="AA511" s="16"/>
      <c r="AB511" s="16"/>
      <c r="AC511" s="16"/>
      <c r="AD511" s="16"/>
      <c r="AE511" s="16" t="s">
        <v>776</v>
      </c>
      <c r="AF511" s="27" t="s">
        <v>780</v>
      </c>
      <c r="AG511" s="21" t="s">
        <v>777</v>
      </c>
      <c r="XFD511" s="15" t="str">
        <f>+Tabla3[[#This Row],[ESTATUS DE NUM ECONOMICO]]</f>
        <v>INACTIVA</v>
      </c>
    </row>
    <row r="512" spans="1:33 16384:16384" ht="15.75" thickBot="1" x14ac:dyDescent="0.3">
      <c r="A512" s="8">
        <v>94</v>
      </c>
      <c r="B512" s="9">
        <v>46190</v>
      </c>
      <c r="C512" s="10" t="s">
        <v>87</v>
      </c>
      <c r="D512" s="11"/>
      <c r="E512" s="16"/>
      <c r="F512" s="10"/>
      <c r="G512" s="212" t="str">
        <f>IFERROR(VLOOKUP(Tabla3[[#This Row],[NUM ECONOMICO]],MAQUINARIA!B:H,7,0), " MAQ")</f>
        <v>INACTIVA</v>
      </c>
      <c r="H512" s="214" t="s">
        <v>504</v>
      </c>
      <c r="I512" s="41" t="s">
        <v>781</v>
      </c>
      <c r="J512" s="10" t="s">
        <v>220</v>
      </c>
      <c r="K512" s="10">
        <v>8</v>
      </c>
      <c r="L512" s="12"/>
      <c r="M512" s="13">
        <f t="shared" si="7"/>
        <v>0</v>
      </c>
      <c r="N512" s="41"/>
      <c r="O512" s="10"/>
      <c r="P512" s="10">
        <f>Tabla3[[#This Row],[COSTO UNITARIO DOLARES EN HAWTHORNE]]*Tabla3[[#This Row],[CANTIDAD SOLICTADA]]</f>
        <v>0</v>
      </c>
      <c r="Q512" s="41"/>
      <c r="R512" s="229">
        <v>1.71</v>
      </c>
      <c r="S512" s="229">
        <f>+Tabla3[[#This Row],[COSTO UNITARIO DOLARES CTP]]*Tabla3[[#This Row],[CANTIDAD SOLICTADA]]</f>
        <v>13.68</v>
      </c>
      <c r="T512" s="41"/>
      <c r="U512" s="20" t="s">
        <v>161</v>
      </c>
      <c r="V512" s="8" t="s">
        <v>775</v>
      </c>
      <c r="W512" s="10"/>
      <c r="X512" s="10" t="s">
        <v>96</v>
      </c>
      <c r="Y512" s="10">
        <v>34</v>
      </c>
      <c r="Z512" s="16"/>
      <c r="AA512" s="16"/>
      <c r="AB512" s="16"/>
      <c r="AC512" s="16"/>
      <c r="AD512" s="16"/>
      <c r="AE512" s="16" t="s">
        <v>776</v>
      </c>
      <c r="AF512" s="16"/>
      <c r="AG512" s="21" t="s">
        <v>777</v>
      </c>
      <c r="XFD512" s="15" t="str">
        <f>+Tabla3[[#This Row],[ESTATUS DE NUM ECONOMICO]]</f>
        <v>INACTIVA</v>
      </c>
    </row>
    <row r="513" spans="1:33 16384:16384" ht="15.75" thickBot="1" x14ac:dyDescent="0.3">
      <c r="A513" s="8">
        <v>94</v>
      </c>
      <c r="B513" s="9">
        <v>46190</v>
      </c>
      <c r="C513" s="10" t="s">
        <v>87</v>
      </c>
      <c r="D513" s="11"/>
      <c r="E513" s="16"/>
      <c r="F513" s="10"/>
      <c r="G513" s="212" t="str">
        <f>IFERROR(VLOOKUP(Tabla3[[#This Row],[NUM ECONOMICO]],MAQUINARIA!B:H,7,0), " MAQ")</f>
        <v>INACTIVA</v>
      </c>
      <c r="H513" s="214" t="s">
        <v>504</v>
      </c>
      <c r="I513" s="41" t="s">
        <v>782</v>
      </c>
      <c r="J513" s="10" t="s">
        <v>783</v>
      </c>
      <c r="K513" s="10">
        <v>1</v>
      </c>
      <c r="L513" s="13">
        <v>50249.760000000002</v>
      </c>
      <c r="M513" s="13">
        <f t="shared" si="7"/>
        <v>50249.760000000002</v>
      </c>
      <c r="N513" s="41" t="s">
        <v>674</v>
      </c>
      <c r="O513" s="287">
        <v>925.55</v>
      </c>
      <c r="P513" s="287">
        <f>Tabla3[[#This Row],[COSTO UNITARIO DOLARES EN HAWTHORNE]]*Tabla3[[#This Row],[CANTIDAD SOLICTADA]]</f>
        <v>925.55</v>
      </c>
      <c r="Q513" s="41" t="s">
        <v>674</v>
      </c>
      <c r="R513" s="229"/>
      <c r="S513" s="229">
        <f>+Tabla3[[#This Row],[COSTO UNITARIO DOLARES CTP]]*Tabla3[[#This Row],[CANTIDAD SOLICTADA]]</f>
        <v>0</v>
      </c>
      <c r="T513" s="41"/>
      <c r="U513" s="18" t="s">
        <v>5</v>
      </c>
      <c r="V513" s="211" t="s">
        <v>775</v>
      </c>
      <c r="W513" s="10"/>
      <c r="X513" s="10" t="s">
        <v>89</v>
      </c>
      <c r="Y513" s="10" t="s">
        <v>90</v>
      </c>
      <c r="Z513" s="16"/>
      <c r="AA513" s="16"/>
      <c r="AB513" s="16"/>
      <c r="AC513" s="16"/>
      <c r="AD513" s="16"/>
      <c r="AE513" s="16" t="s">
        <v>776</v>
      </c>
      <c r="AF513" s="27" t="s">
        <v>780</v>
      </c>
      <c r="AG513" s="21" t="s">
        <v>777</v>
      </c>
      <c r="XFD513" s="15" t="str">
        <f>+Tabla3[[#This Row],[ESTATUS DE NUM ECONOMICO]]</f>
        <v>INACTIVA</v>
      </c>
    </row>
    <row r="514" spans="1:33 16384:16384" ht="15.75" thickBot="1" x14ac:dyDescent="0.3">
      <c r="A514" s="8">
        <v>94</v>
      </c>
      <c r="B514" s="9">
        <v>46190</v>
      </c>
      <c r="C514" s="10" t="s">
        <v>87</v>
      </c>
      <c r="D514" s="11"/>
      <c r="E514" s="16"/>
      <c r="F514" s="10"/>
      <c r="G514" s="212" t="str">
        <f>IFERROR(VLOOKUP(Tabla3[[#This Row],[NUM ECONOMICO]],MAQUINARIA!B:H,7,0), " MAQ")</f>
        <v>INACTIVA</v>
      </c>
      <c r="H514" s="214" t="s">
        <v>504</v>
      </c>
      <c r="I514" s="41" t="s">
        <v>784</v>
      </c>
      <c r="J514" s="10" t="s">
        <v>693</v>
      </c>
      <c r="K514" s="10">
        <v>1</v>
      </c>
      <c r="L514" s="13">
        <v>391.07</v>
      </c>
      <c r="M514" s="13">
        <f t="shared" ref="M514:M576" si="8">+L514*K514</f>
        <v>391.07</v>
      </c>
      <c r="N514" s="41" t="s">
        <v>674</v>
      </c>
      <c r="O514" s="287">
        <v>21.79</v>
      </c>
      <c r="P514" s="287">
        <f>Tabla3[[#This Row],[COSTO UNITARIO DOLARES EN HAWTHORNE]]*Tabla3[[#This Row],[CANTIDAD SOLICTADA]]</f>
        <v>21.79</v>
      </c>
      <c r="Q514" s="41" t="s">
        <v>674</v>
      </c>
      <c r="R514" s="229">
        <v>4.24</v>
      </c>
      <c r="S514" s="229">
        <f>+Tabla3[[#This Row],[COSTO UNITARIO DOLARES CTP]]*Tabla3[[#This Row],[CANTIDAD SOLICTADA]]</f>
        <v>4.24</v>
      </c>
      <c r="T514" s="41"/>
      <c r="U514" s="18" t="s">
        <v>5</v>
      </c>
      <c r="V514" s="211" t="s">
        <v>775</v>
      </c>
      <c r="W514" s="10"/>
      <c r="X514" s="10" t="s">
        <v>89</v>
      </c>
      <c r="Y514" s="10" t="s">
        <v>90</v>
      </c>
      <c r="Z514" s="16"/>
      <c r="AA514" s="16"/>
      <c r="AB514" s="16"/>
      <c r="AC514" s="16"/>
      <c r="AD514" s="16"/>
      <c r="AE514" s="16" t="s">
        <v>776</v>
      </c>
      <c r="AF514" s="27" t="s">
        <v>780</v>
      </c>
      <c r="AG514" s="21" t="s">
        <v>777</v>
      </c>
      <c r="XFD514" s="15" t="str">
        <f>+Tabla3[[#This Row],[ESTATUS DE NUM ECONOMICO]]</f>
        <v>INACTIVA</v>
      </c>
    </row>
    <row r="515" spans="1:33 16384:16384" ht="15.75" thickBot="1" x14ac:dyDescent="0.3">
      <c r="A515" s="8">
        <v>95</v>
      </c>
      <c r="B515" s="9">
        <v>46191</v>
      </c>
      <c r="C515" s="10" t="s">
        <v>87</v>
      </c>
      <c r="D515" s="11"/>
      <c r="E515" s="16">
        <v>74</v>
      </c>
      <c r="F515" s="9">
        <v>46161</v>
      </c>
      <c r="G515" s="212" t="str">
        <f>IFERROR(VLOOKUP(Tabla3[[#This Row],[NUM ECONOMICO]],MAQUINARIA!B:H,7,0), " MAQ")</f>
        <v>ACTIVA</v>
      </c>
      <c r="H515" s="214" t="s">
        <v>132</v>
      </c>
      <c r="I515" s="41" t="s">
        <v>785</v>
      </c>
      <c r="J515" s="10" t="s">
        <v>786</v>
      </c>
      <c r="K515" s="10">
        <v>1</v>
      </c>
      <c r="L515" s="13">
        <v>14816.07</v>
      </c>
      <c r="M515" s="13">
        <f t="shared" si="8"/>
        <v>14816.07</v>
      </c>
      <c r="N515" s="41"/>
      <c r="O515" s="287">
        <v>685.81</v>
      </c>
      <c r="P515" s="287">
        <f>Tabla3[[#This Row],[COSTO UNITARIO DOLARES EN HAWTHORNE]]*Tabla3[[#This Row],[CANTIDAD SOLICTADA]]</f>
        <v>685.81</v>
      </c>
      <c r="Q515" s="41" t="s">
        <v>674</v>
      </c>
      <c r="R515" s="229">
        <v>222.64</v>
      </c>
      <c r="S515" s="229">
        <f>+Tabla3[[#This Row],[COSTO UNITARIO DOLARES CTP]]*Tabla3[[#This Row],[CANTIDAD SOLICTADA]]</f>
        <v>222.64</v>
      </c>
      <c r="T515" s="41"/>
      <c r="U515" s="18" t="s">
        <v>5</v>
      </c>
      <c r="V515" s="211" t="s">
        <v>787</v>
      </c>
      <c r="W515" s="10"/>
      <c r="X515" s="10" t="s">
        <v>89</v>
      </c>
      <c r="Y515" s="10" t="s">
        <v>90</v>
      </c>
      <c r="Z515" s="16"/>
      <c r="AA515" s="16"/>
      <c r="AB515" s="16"/>
      <c r="AC515" s="16"/>
      <c r="AD515" s="16"/>
      <c r="AE515" s="16" t="s">
        <v>788</v>
      </c>
      <c r="AF515" s="27" t="s">
        <v>788</v>
      </c>
      <c r="AG515" s="21" t="s">
        <v>789</v>
      </c>
      <c r="XFD515" s="15" t="str">
        <f>+Tabla3[[#This Row],[ESTATUS DE NUM ECONOMICO]]</f>
        <v>ACTIVA</v>
      </c>
    </row>
    <row r="516" spans="1:33 16384:16384" ht="15.75" thickBot="1" x14ac:dyDescent="0.3">
      <c r="A516" s="8">
        <v>95</v>
      </c>
      <c r="B516" s="9">
        <v>46191</v>
      </c>
      <c r="C516" s="10" t="s">
        <v>87</v>
      </c>
      <c r="D516" s="11"/>
      <c r="E516" s="16">
        <v>74</v>
      </c>
      <c r="F516" s="9">
        <v>46161</v>
      </c>
      <c r="G516" s="212" t="str">
        <f>IFERROR(VLOOKUP(Tabla3[[#This Row],[NUM ECONOMICO]],MAQUINARIA!B:H,7,0), " MAQ")</f>
        <v>ACTIVA</v>
      </c>
      <c r="H516" s="214" t="s">
        <v>132</v>
      </c>
      <c r="I516" s="41" t="s">
        <v>790</v>
      </c>
      <c r="J516" s="10" t="s">
        <v>786</v>
      </c>
      <c r="K516" s="10">
        <v>1</v>
      </c>
      <c r="L516" s="13">
        <v>4870.12</v>
      </c>
      <c r="M516" s="13">
        <f t="shared" si="8"/>
        <v>4870.12</v>
      </c>
      <c r="N516" s="41"/>
      <c r="O516" s="287">
        <v>225.44</v>
      </c>
      <c r="P516" s="287">
        <f>Tabla3[[#This Row],[COSTO UNITARIO DOLARES EN HAWTHORNE]]*Tabla3[[#This Row],[CANTIDAD SOLICTADA]]</f>
        <v>225.44</v>
      </c>
      <c r="Q516" s="41" t="s">
        <v>674</v>
      </c>
      <c r="R516" s="229">
        <v>90.85</v>
      </c>
      <c r="S516" s="229">
        <f>+Tabla3[[#This Row],[COSTO UNITARIO DOLARES CTP]]*Tabla3[[#This Row],[CANTIDAD SOLICTADA]]</f>
        <v>90.85</v>
      </c>
      <c r="T516" s="41"/>
      <c r="U516" s="18" t="s">
        <v>5</v>
      </c>
      <c r="V516" s="211" t="s">
        <v>787</v>
      </c>
      <c r="W516" s="10"/>
      <c r="X516" s="10" t="s">
        <v>89</v>
      </c>
      <c r="Y516" s="10" t="s">
        <v>90</v>
      </c>
      <c r="Z516" s="16"/>
      <c r="AA516" s="16"/>
      <c r="AB516" s="16"/>
      <c r="AC516" s="16"/>
      <c r="AD516" s="16"/>
      <c r="AE516" s="16" t="s">
        <v>788</v>
      </c>
      <c r="AF516" s="27" t="s">
        <v>788</v>
      </c>
      <c r="AG516" s="21" t="s">
        <v>789</v>
      </c>
      <c r="XFD516" s="15" t="str">
        <f>+Tabla3[[#This Row],[ESTATUS DE NUM ECONOMICO]]</f>
        <v>ACTIVA</v>
      </c>
    </row>
    <row r="517" spans="1:33 16384:16384" ht="15.75" thickBot="1" x14ac:dyDescent="0.3">
      <c r="A517" s="8">
        <v>95</v>
      </c>
      <c r="B517" s="9">
        <v>46191</v>
      </c>
      <c r="C517" s="10" t="s">
        <v>87</v>
      </c>
      <c r="D517" s="11"/>
      <c r="E517" s="16">
        <v>74</v>
      </c>
      <c r="F517" s="9">
        <v>46161</v>
      </c>
      <c r="G517" s="212" t="str">
        <f>IFERROR(VLOOKUP(Tabla3[[#This Row],[NUM ECONOMICO]],MAQUINARIA!B:H,7,0), " MAQ")</f>
        <v>ACTIVA</v>
      </c>
      <c r="H517" s="214" t="s">
        <v>132</v>
      </c>
      <c r="I517" s="41" t="s">
        <v>311</v>
      </c>
      <c r="J517" s="10" t="s">
        <v>546</v>
      </c>
      <c r="K517" s="10">
        <v>1</v>
      </c>
      <c r="L517" s="13">
        <v>220.65</v>
      </c>
      <c r="M517" s="13">
        <f t="shared" si="8"/>
        <v>220.65</v>
      </c>
      <c r="N517" s="41"/>
      <c r="O517" s="287">
        <v>12.15</v>
      </c>
      <c r="P517" s="287">
        <f>Tabla3[[#This Row],[COSTO UNITARIO DOLARES EN HAWTHORNE]]*Tabla3[[#This Row],[CANTIDAD SOLICTADA]]</f>
        <v>12.15</v>
      </c>
      <c r="Q517" s="41" t="s">
        <v>1812</v>
      </c>
      <c r="R517" s="229">
        <v>1.0900000000000001</v>
      </c>
      <c r="S517" s="229">
        <f>+Tabla3[[#This Row],[COSTO UNITARIO DOLARES CTP]]*Tabla3[[#This Row],[CANTIDAD SOLICTADA]]</f>
        <v>1.0900000000000001</v>
      </c>
      <c r="T517" s="41"/>
      <c r="U517" s="18" t="s">
        <v>5</v>
      </c>
      <c r="V517" s="211" t="s">
        <v>787</v>
      </c>
      <c r="W517" s="10"/>
      <c r="X517" s="10" t="s">
        <v>89</v>
      </c>
      <c r="Y517" s="10">
        <v>0</v>
      </c>
      <c r="Z517" s="16"/>
      <c r="AA517" s="16"/>
      <c r="AB517" s="16"/>
      <c r="AC517" s="16"/>
      <c r="AD517" s="16"/>
      <c r="AE517" s="16" t="s">
        <v>788</v>
      </c>
      <c r="AF517" s="27" t="s">
        <v>788</v>
      </c>
      <c r="AG517" s="21" t="s">
        <v>789</v>
      </c>
      <c r="XFD517" s="15" t="str">
        <f>+Tabla3[[#This Row],[ESTATUS DE NUM ECONOMICO]]</f>
        <v>ACTIVA</v>
      </c>
    </row>
    <row r="518" spans="1:33 16384:16384" ht="15.75" thickBot="1" x14ac:dyDescent="0.3">
      <c r="A518" s="8">
        <v>95</v>
      </c>
      <c r="B518" s="9">
        <v>46191</v>
      </c>
      <c r="C518" s="10" t="s">
        <v>87</v>
      </c>
      <c r="D518" s="11"/>
      <c r="E518" s="16">
        <v>74</v>
      </c>
      <c r="F518" s="9">
        <v>46161</v>
      </c>
      <c r="G518" s="212" t="str">
        <f>IFERROR(VLOOKUP(Tabla3[[#This Row],[NUM ECONOMICO]],MAQUINARIA!B:H,7,0), " MAQ")</f>
        <v>ACTIVA</v>
      </c>
      <c r="H518" s="214" t="s">
        <v>132</v>
      </c>
      <c r="I518" s="41" t="s">
        <v>791</v>
      </c>
      <c r="J518" s="10" t="s">
        <v>546</v>
      </c>
      <c r="K518" s="10">
        <v>1</v>
      </c>
      <c r="L518" s="13">
        <v>136.55000000000001</v>
      </c>
      <c r="M518" s="13">
        <f t="shared" si="8"/>
        <v>136.55000000000001</v>
      </c>
      <c r="N518" s="41"/>
      <c r="O518" s="287">
        <v>7.53</v>
      </c>
      <c r="P518" s="287">
        <f>Tabla3[[#This Row],[COSTO UNITARIO DOLARES EN HAWTHORNE]]*Tabla3[[#This Row],[CANTIDAD SOLICTADA]]</f>
        <v>7.53</v>
      </c>
      <c r="Q518" s="41" t="s">
        <v>1812</v>
      </c>
      <c r="R518" s="229">
        <v>0.38</v>
      </c>
      <c r="S518" s="229">
        <f>+Tabla3[[#This Row],[COSTO UNITARIO DOLARES CTP]]*Tabla3[[#This Row],[CANTIDAD SOLICTADA]]</f>
        <v>0.38</v>
      </c>
      <c r="T518" s="41"/>
      <c r="U518" s="18" t="s">
        <v>5</v>
      </c>
      <c r="V518" s="211" t="s">
        <v>787</v>
      </c>
      <c r="W518" s="10"/>
      <c r="X518" s="10" t="s">
        <v>89</v>
      </c>
      <c r="Y518" s="10">
        <v>2</v>
      </c>
      <c r="Z518" s="16"/>
      <c r="AA518" s="16"/>
      <c r="AB518" s="16"/>
      <c r="AC518" s="16"/>
      <c r="AD518" s="16"/>
      <c r="AE518" s="16" t="s">
        <v>788</v>
      </c>
      <c r="AF518" s="27" t="s">
        <v>788</v>
      </c>
      <c r="AG518" s="21" t="s">
        <v>789</v>
      </c>
      <c r="XFD518" s="15" t="str">
        <f>+Tabla3[[#This Row],[ESTATUS DE NUM ECONOMICO]]</f>
        <v>ACTIVA</v>
      </c>
    </row>
    <row r="519" spans="1:33 16384:16384" ht="15.75" thickBot="1" x14ac:dyDescent="0.3">
      <c r="A519" s="8">
        <v>95</v>
      </c>
      <c r="B519" s="9">
        <v>46191</v>
      </c>
      <c r="C519" s="10" t="s">
        <v>87</v>
      </c>
      <c r="D519" s="11"/>
      <c r="E519" s="16">
        <v>74</v>
      </c>
      <c r="F519" s="9">
        <v>46161</v>
      </c>
      <c r="G519" s="212" t="str">
        <f>IFERROR(VLOOKUP(Tabla3[[#This Row],[NUM ECONOMICO]],MAQUINARIA!B:H,7,0), " MAQ")</f>
        <v>ACTIVA</v>
      </c>
      <c r="H519" s="214" t="s">
        <v>132</v>
      </c>
      <c r="I519" s="41" t="s">
        <v>792</v>
      </c>
      <c r="J519" s="10" t="s">
        <v>1827</v>
      </c>
      <c r="K519" s="10">
        <v>1</v>
      </c>
      <c r="L519" s="13">
        <v>4027.35</v>
      </c>
      <c r="M519" s="13">
        <f t="shared" si="8"/>
        <v>4027.35</v>
      </c>
      <c r="N519" s="41"/>
      <c r="O519" s="287">
        <v>186.41</v>
      </c>
      <c r="P519" s="287">
        <f>Tabla3[[#This Row],[COSTO UNITARIO DOLARES EN HAWTHORNE]]*Tabla3[[#This Row],[CANTIDAD SOLICTADA]]</f>
        <v>186.41</v>
      </c>
      <c r="Q519" s="41" t="s">
        <v>1812</v>
      </c>
      <c r="R519" s="229">
        <v>49.97</v>
      </c>
      <c r="S519" s="229">
        <f>+Tabla3[[#This Row],[COSTO UNITARIO DOLARES CTP]]*Tabla3[[#This Row],[CANTIDAD SOLICTADA]]</f>
        <v>49.97</v>
      </c>
      <c r="T519" s="41"/>
      <c r="U519" s="18" t="s">
        <v>5</v>
      </c>
      <c r="V519" s="211" t="s">
        <v>787</v>
      </c>
      <c r="W519" s="10"/>
      <c r="X519" s="10" t="s">
        <v>89</v>
      </c>
      <c r="Y519" s="10">
        <v>1</v>
      </c>
      <c r="Z519" s="16"/>
      <c r="AA519" s="16"/>
      <c r="AB519" s="16"/>
      <c r="AC519" s="16"/>
      <c r="AD519" s="16"/>
      <c r="AE519" s="16" t="s">
        <v>788</v>
      </c>
      <c r="AF519" s="27" t="s">
        <v>788</v>
      </c>
      <c r="AG519" s="21" t="s">
        <v>789</v>
      </c>
      <c r="XFD519" s="15" t="str">
        <f>+Tabla3[[#This Row],[ESTATUS DE NUM ECONOMICO]]</f>
        <v>ACTIVA</v>
      </c>
    </row>
    <row r="520" spans="1:33 16384:16384" ht="15.75" thickBot="1" x14ac:dyDescent="0.3">
      <c r="A520" s="8">
        <v>95</v>
      </c>
      <c r="B520" s="9">
        <v>46191</v>
      </c>
      <c r="C520" s="10" t="s">
        <v>87</v>
      </c>
      <c r="D520" s="11"/>
      <c r="E520" s="16">
        <v>74</v>
      </c>
      <c r="F520" s="9">
        <v>46161</v>
      </c>
      <c r="G520" s="212" t="str">
        <f>IFERROR(VLOOKUP(Tabla3[[#This Row],[NUM ECONOMICO]],MAQUINARIA!B:H,7,0), " MAQ")</f>
        <v>ACTIVA</v>
      </c>
      <c r="H520" s="214" t="s">
        <v>132</v>
      </c>
      <c r="I520" s="41" t="s">
        <v>793</v>
      </c>
      <c r="J520" s="10" t="s">
        <v>253</v>
      </c>
      <c r="K520" s="10">
        <v>1</v>
      </c>
      <c r="L520" s="13">
        <v>348.67</v>
      </c>
      <c r="M520" s="13">
        <f t="shared" si="8"/>
        <v>348.67</v>
      </c>
      <c r="N520" s="41"/>
      <c r="O520" s="287">
        <v>19.2</v>
      </c>
      <c r="P520" s="287">
        <f>Tabla3[[#This Row],[COSTO UNITARIO DOLARES EN HAWTHORNE]]*Tabla3[[#This Row],[CANTIDAD SOLICTADA]]</f>
        <v>19.2</v>
      </c>
      <c r="Q520" s="41" t="s">
        <v>1812</v>
      </c>
      <c r="R520" s="229">
        <v>2.75</v>
      </c>
      <c r="S520" s="229">
        <f>+Tabla3[[#This Row],[COSTO UNITARIO DOLARES CTP]]*Tabla3[[#This Row],[CANTIDAD SOLICTADA]]</f>
        <v>2.75</v>
      </c>
      <c r="T520" s="41"/>
      <c r="U520" s="18" t="s">
        <v>5</v>
      </c>
      <c r="V520" s="211" t="s">
        <v>787</v>
      </c>
      <c r="W520" s="10"/>
      <c r="X520" s="10" t="s">
        <v>89</v>
      </c>
      <c r="Y520" s="10">
        <v>0</v>
      </c>
      <c r="Z520" s="16"/>
      <c r="AA520" s="16"/>
      <c r="AB520" s="16"/>
      <c r="AC520" s="16"/>
      <c r="AD520" s="16"/>
      <c r="AE520" s="16" t="s">
        <v>788</v>
      </c>
      <c r="AF520" s="27" t="s">
        <v>788</v>
      </c>
      <c r="AG520" s="21" t="s">
        <v>789</v>
      </c>
      <c r="XFD520" s="15" t="str">
        <f>+Tabla3[[#This Row],[ESTATUS DE NUM ECONOMICO]]</f>
        <v>ACTIVA</v>
      </c>
    </row>
    <row r="521" spans="1:33 16384:16384" ht="15.75" thickBot="1" x14ac:dyDescent="0.3">
      <c r="A521" s="8">
        <v>95</v>
      </c>
      <c r="B521" s="9">
        <v>46191</v>
      </c>
      <c r="C521" s="10" t="s">
        <v>87</v>
      </c>
      <c r="D521" s="11"/>
      <c r="E521" s="16">
        <v>74</v>
      </c>
      <c r="F521" s="9">
        <v>46161</v>
      </c>
      <c r="G521" s="212" t="str">
        <f>IFERROR(VLOOKUP(Tabla3[[#This Row],[NUM ECONOMICO]],MAQUINARIA!B:H,7,0), " MAQ")</f>
        <v>ACTIVA</v>
      </c>
      <c r="H521" s="214" t="s">
        <v>132</v>
      </c>
      <c r="I521" s="41" t="s">
        <v>794</v>
      </c>
      <c r="J521" s="10" t="s">
        <v>546</v>
      </c>
      <c r="K521" s="10">
        <v>1</v>
      </c>
      <c r="L521" s="13">
        <v>12891.92</v>
      </c>
      <c r="M521" s="13">
        <f t="shared" si="8"/>
        <v>12891.92</v>
      </c>
      <c r="N521" s="41"/>
      <c r="O521" s="287">
        <v>596.75</v>
      </c>
      <c r="P521" s="287">
        <f>Tabla3[[#This Row],[COSTO UNITARIO DOLARES EN HAWTHORNE]]*Tabla3[[#This Row],[CANTIDAD SOLICTADA]]</f>
        <v>596.75</v>
      </c>
      <c r="Q521" s="41" t="s">
        <v>1812</v>
      </c>
      <c r="R521" s="229">
        <v>43.56</v>
      </c>
      <c r="S521" s="229">
        <f>+Tabla3[[#This Row],[COSTO UNITARIO DOLARES CTP]]*Tabla3[[#This Row],[CANTIDAD SOLICTADA]]</f>
        <v>43.56</v>
      </c>
      <c r="T521" s="41"/>
      <c r="U521" s="18" t="s">
        <v>5</v>
      </c>
      <c r="V521" s="211" t="s">
        <v>787</v>
      </c>
      <c r="W521" s="10"/>
      <c r="X521" s="10" t="s">
        <v>89</v>
      </c>
      <c r="Y521" s="10">
        <v>1</v>
      </c>
      <c r="Z521" s="16"/>
      <c r="AA521" s="16"/>
      <c r="AB521" s="16"/>
      <c r="AC521" s="16"/>
      <c r="AD521" s="16"/>
      <c r="AE521" s="16" t="s">
        <v>788</v>
      </c>
      <c r="AF521" s="27" t="s">
        <v>788</v>
      </c>
      <c r="AG521" s="21" t="s">
        <v>789</v>
      </c>
      <c r="XFD521" s="15" t="str">
        <f>+Tabla3[[#This Row],[ESTATUS DE NUM ECONOMICO]]</f>
        <v>ACTIVA</v>
      </c>
    </row>
    <row r="522" spans="1:33 16384:16384" ht="15.75" thickBot="1" x14ac:dyDescent="0.3">
      <c r="A522" s="8">
        <v>95</v>
      </c>
      <c r="B522" s="9">
        <v>46191</v>
      </c>
      <c r="C522" s="10" t="s">
        <v>87</v>
      </c>
      <c r="D522" s="11"/>
      <c r="E522" s="16">
        <v>74</v>
      </c>
      <c r="F522" s="9">
        <v>46161</v>
      </c>
      <c r="G522" s="212" t="str">
        <f>IFERROR(VLOOKUP(Tabla3[[#This Row],[NUM ECONOMICO]],MAQUINARIA!B:H,7,0), " MAQ")</f>
        <v>ACTIVA</v>
      </c>
      <c r="H522" s="214" t="s">
        <v>132</v>
      </c>
      <c r="I522" s="41" t="s">
        <v>796</v>
      </c>
      <c r="J522" s="10" t="s">
        <v>546</v>
      </c>
      <c r="K522" s="10">
        <v>1</v>
      </c>
      <c r="L522" s="13">
        <v>177.62</v>
      </c>
      <c r="M522" s="13">
        <f t="shared" si="8"/>
        <v>177.62</v>
      </c>
      <c r="N522" s="41"/>
      <c r="O522" s="287">
        <v>9.7899999999999991</v>
      </c>
      <c r="P522" s="287">
        <f>Tabla3[[#This Row],[COSTO UNITARIO DOLARES EN HAWTHORNE]]*Tabla3[[#This Row],[CANTIDAD SOLICTADA]]</f>
        <v>9.7899999999999991</v>
      </c>
      <c r="Q522" s="41" t="s">
        <v>1812</v>
      </c>
      <c r="R522" s="229">
        <v>0.88</v>
      </c>
      <c r="S522" s="229">
        <f>+Tabla3[[#This Row],[COSTO UNITARIO DOLARES CTP]]*Tabla3[[#This Row],[CANTIDAD SOLICTADA]]</f>
        <v>0.88</v>
      </c>
      <c r="T522" s="41"/>
      <c r="U522" s="18" t="s">
        <v>5</v>
      </c>
      <c r="V522" s="211" t="s">
        <v>787</v>
      </c>
      <c r="W522" s="10"/>
      <c r="X522" s="10" t="s">
        <v>89</v>
      </c>
      <c r="Y522" s="10">
        <v>0</v>
      </c>
      <c r="Z522" s="16"/>
      <c r="AA522" s="16"/>
      <c r="AB522" s="16"/>
      <c r="AC522" s="16"/>
      <c r="AD522" s="16"/>
      <c r="AE522" s="16" t="s">
        <v>788</v>
      </c>
      <c r="AF522" s="27" t="s">
        <v>788</v>
      </c>
      <c r="AG522" s="21" t="s">
        <v>789</v>
      </c>
      <c r="XFD522" s="15" t="str">
        <f>+Tabla3[[#This Row],[ESTATUS DE NUM ECONOMICO]]</f>
        <v>ACTIVA</v>
      </c>
    </row>
    <row r="523" spans="1:33 16384:16384" ht="15.75" thickBot="1" x14ac:dyDescent="0.3">
      <c r="A523" s="8">
        <v>95</v>
      </c>
      <c r="B523" s="9">
        <v>46191</v>
      </c>
      <c r="C523" s="10" t="s">
        <v>87</v>
      </c>
      <c r="D523" s="11"/>
      <c r="E523" s="16">
        <v>74</v>
      </c>
      <c r="F523" s="9">
        <v>46161</v>
      </c>
      <c r="G523" s="212" t="str">
        <f>IFERROR(VLOOKUP(Tabla3[[#This Row],[NUM ECONOMICO]],MAQUINARIA!B:H,7,0), " MAQ")</f>
        <v>ACTIVA</v>
      </c>
      <c r="H523" s="214" t="s">
        <v>132</v>
      </c>
      <c r="I523" s="41" t="s">
        <v>797</v>
      </c>
      <c r="J523" s="10" t="s">
        <v>1828</v>
      </c>
      <c r="K523" s="10">
        <v>1</v>
      </c>
      <c r="L523" s="13">
        <v>10592.97</v>
      </c>
      <c r="M523" s="13">
        <f t="shared" si="8"/>
        <v>10592.97</v>
      </c>
      <c r="N523" s="41"/>
      <c r="O523" s="287">
        <v>490.33</v>
      </c>
      <c r="P523" s="287">
        <f>Tabla3[[#This Row],[COSTO UNITARIO DOLARES EN HAWTHORNE]]*Tabla3[[#This Row],[CANTIDAD SOLICTADA]]</f>
        <v>490.33</v>
      </c>
      <c r="Q523" s="41" t="s">
        <v>1812</v>
      </c>
      <c r="R523" s="229">
        <v>113.23</v>
      </c>
      <c r="S523" s="229">
        <f>+Tabla3[[#This Row],[COSTO UNITARIO DOLARES CTP]]*Tabla3[[#This Row],[CANTIDAD SOLICTADA]]</f>
        <v>113.23</v>
      </c>
      <c r="T523" s="41"/>
      <c r="U523" s="18" t="s">
        <v>5</v>
      </c>
      <c r="V523" s="211" t="s">
        <v>787</v>
      </c>
      <c r="W523" s="10"/>
      <c r="X523" s="10" t="s">
        <v>89</v>
      </c>
      <c r="Y523" s="10">
        <v>1</v>
      </c>
      <c r="Z523" s="16"/>
      <c r="AA523" s="16"/>
      <c r="AB523" s="16"/>
      <c r="AC523" s="16"/>
      <c r="AD523" s="16"/>
      <c r="AE523" s="16" t="s">
        <v>788</v>
      </c>
      <c r="AF523" s="27" t="s">
        <v>788</v>
      </c>
      <c r="AG523" s="21" t="s">
        <v>789</v>
      </c>
      <c r="XFD523" s="15" t="str">
        <f>+Tabla3[[#This Row],[ESTATUS DE NUM ECONOMICO]]</f>
        <v>ACTIVA</v>
      </c>
    </row>
    <row r="524" spans="1:33 16384:16384" ht="15.75" thickBot="1" x14ac:dyDescent="0.3">
      <c r="A524" s="8">
        <v>96</v>
      </c>
      <c r="B524" s="9">
        <v>46192</v>
      </c>
      <c r="C524" s="10" t="s">
        <v>87</v>
      </c>
      <c r="D524" s="11"/>
      <c r="E524" s="16"/>
      <c r="F524" s="10"/>
      <c r="G524" s="212" t="str">
        <f>IFERROR(VLOOKUP(Tabla3[[#This Row],[NUM ECONOMICO]],MAQUINARIA!B:H,7,0), " MAQ")</f>
        <v>ACTIVA</v>
      </c>
      <c r="H524" s="214" t="s">
        <v>449</v>
      </c>
      <c r="I524" s="41">
        <v>311119</v>
      </c>
      <c r="J524" s="10" t="s">
        <v>795</v>
      </c>
      <c r="K524" s="10">
        <v>1</v>
      </c>
      <c r="L524" s="12"/>
      <c r="M524" s="13">
        <f t="shared" si="8"/>
        <v>0</v>
      </c>
      <c r="N524" s="41"/>
      <c r="O524" s="10"/>
      <c r="P524" s="10">
        <f>Tabla3[[#This Row],[COSTO UNITARIO DOLARES EN HAWTHORNE]]*Tabla3[[#This Row],[CANTIDAD SOLICTADA]]</f>
        <v>0</v>
      </c>
      <c r="Q524" s="41"/>
      <c r="R524" s="229"/>
      <c r="S524" s="229">
        <f>+Tabla3[[#This Row],[COSTO UNITARIO DOLARES CTP]]*Tabla3[[#This Row],[CANTIDAD SOLICTADA]]</f>
        <v>0</v>
      </c>
      <c r="T524" s="41"/>
      <c r="U524" s="14" t="s">
        <v>4</v>
      </c>
      <c r="V524" s="8" t="s">
        <v>798</v>
      </c>
      <c r="W524" s="10"/>
      <c r="X524" s="10" t="s">
        <v>89</v>
      </c>
      <c r="Y524" s="10" t="s">
        <v>90</v>
      </c>
      <c r="Z524" s="16" t="s">
        <v>46</v>
      </c>
      <c r="AA524" s="25">
        <v>46193</v>
      </c>
      <c r="AB524" s="25">
        <v>46197</v>
      </c>
      <c r="AC524" s="16"/>
      <c r="AD524" s="16"/>
      <c r="AE524" s="16" t="s">
        <v>799</v>
      </c>
      <c r="AF524" s="16"/>
      <c r="AG524" s="21" t="s">
        <v>800</v>
      </c>
      <c r="XFD524" s="15" t="str">
        <f>+Tabla3[[#This Row],[ESTATUS DE NUM ECONOMICO]]</f>
        <v>ACTIVA</v>
      </c>
    </row>
    <row r="525" spans="1:33 16384:16384" ht="15.75" thickBot="1" x14ac:dyDescent="0.3">
      <c r="A525" s="8">
        <v>97</v>
      </c>
      <c r="B525" s="9">
        <v>46192</v>
      </c>
      <c r="C525" s="10" t="s">
        <v>87</v>
      </c>
      <c r="D525" s="11"/>
      <c r="E525" s="16"/>
      <c r="F525" s="10"/>
      <c r="G525" s="212" t="str">
        <f>IFERROR(VLOOKUP(Tabla3[[#This Row],[NUM ECONOMICO]],MAQUINARIA!B:H,7,0), " MAQ")</f>
        <v>ACTIVA</v>
      </c>
      <c r="H525" s="214" t="s">
        <v>801</v>
      </c>
      <c r="I525" s="41" t="s">
        <v>802</v>
      </c>
      <c r="J525" s="10" t="s">
        <v>253</v>
      </c>
      <c r="K525" s="10">
        <v>1</v>
      </c>
      <c r="L525" s="13">
        <v>0</v>
      </c>
      <c r="M525" s="13">
        <f t="shared" si="8"/>
        <v>0</v>
      </c>
      <c r="N525" s="41"/>
      <c r="O525" s="10"/>
      <c r="P525" s="10">
        <f>Tabla3[[#This Row],[COSTO UNITARIO DOLARES EN HAWTHORNE]]*Tabla3[[#This Row],[CANTIDAD SOLICTADA]]</f>
        <v>0</v>
      </c>
      <c r="Q525" s="41"/>
      <c r="R525" s="229">
        <v>0</v>
      </c>
      <c r="S525" s="229">
        <f>+Tabla3[[#This Row],[COSTO UNITARIO DOLARES CTP]]*Tabla3[[#This Row],[CANTIDAD SOLICTADA]]</f>
        <v>0</v>
      </c>
      <c r="T525" s="41"/>
      <c r="U525" s="19" t="s">
        <v>7</v>
      </c>
      <c r="V525" s="8" t="s">
        <v>803</v>
      </c>
      <c r="W525" s="10"/>
      <c r="X525" s="10" t="s">
        <v>89</v>
      </c>
      <c r="Y525" s="10" t="s">
        <v>90</v>
      </c>
      <c r="Z525" s="16"/>
      <c r="AA525" s="16"/>
      <c r="AB525" s="16"/>
      <c r="AC525" s="16"/>
      <c r="AD525" s="16"/>
      <c r="AE525" s="16" t="s">
        <v>804</v>
      </c>
      <c r="AF525" s="16"/>
      <c r="AG525" s="21" t="s">
        <v>805</v>
      </c>
      <c r="XFD525" s="15" t="str">
        <f>+Tabla3[[#This Row],[ESTATUS DE NUM ECONOMICO]]</f>
        <v>ACTIVA</v>
      </c>
    </row>
    <row r="526" spans="1:33 16384:16384" ht="15.75" thickBot="1" x14ac:dyDescent="0.3">
      <c r="A526" s="8">
        <v>97</v>
      </c>
      <c r="B526" s="9">
        <v>46192</v>
      </c>
      <c r="C526" s="10" t="s">
        <v>87</v>
      </c>
      <c r="D526" s="10">
        <v>14</v>
      </c>
      <c r="E526" s="16">
        <v>16</v>
      </c>
      <c r="F526" s="9">
        <v>46202</v>
      </c>
      <c r="G526" s="212" t="str">
        <f>IFERROR(VLOOKUP(Tabla3[[#This Row],[NUM ECONOMICO]],MAQUINARIA!B:H,7,0), " MAQ")</f>
        <v>ACTIVA</v>
      </c>
      <c r="H526" s="214" t="s">
        <v>801</v>
      </c>
      <c r="I526" s="41" t="s">
        <v>806</v>
      </c>
      <c r="J526" s="10" t="s">
        <v>807</v>
      </c>
      <c r="K526" s="10">
        <v>1</v>
      </c>
      <c r="L526" s="13">
        <v>3026.73</v>
      </c>
      <c r="M526" s="13">
        <f t="shared" si="8"/>
        <v>3026.73</v>
      </c>
      <c r="N526" s="41"/>
      <c r="O526" s="10"/>
      <c r="P526" s="10">
        <f>Tabla3[[#This Row],[COSTO UNITARIO DOLARES EN HAWTHORNE]]*Tabla3[[#This Row],[CANTIDAD SOLICTADA]]</f>
        <v>0</v>
      </c>
      <c r="Q526" s="41"/>
      <c r="R526" s="229"/>
      <c r="S526" s="229">
        <f>+Tabla3[[#This Row],[COSTO UNITARIO DOLARES CTP]]*Tabla3[[#This Row],[CANTIDAD SOLICTADA]]</f>
        <v>0</v>
      </c>
      <c r="T526" s="41"/>
      <c r="U526" s="14" t="s">
        <v>4</v>
      </c>
      <c r="V526" s="8" t="s">
        <v>803</v>
      </c>
      <c r="W526" s="9">
        <v>46203</v>
      </c>
      <c r="X526" s="10" t="s">
        <v>89</v>
      </c>
      <c r="Y526" s="10" t="s">
        <v>90</v>
      </c>
      <c r="Z526" s="16" t="s">
        <v>232</v>
      </c>
      <c r="AA526" s="25">
        <v>46203</v>
      </c>
      <c r="AB526" s="25">
        <v>46203</v>
      </c>
      <c r="AC526" s="16" t="s">
        <v>91</v>
      </c>
      <c r="AD526" s="16">
        <v>1669</v>
      </c>
      <c r="AE526" s="16" t="s">
        <v>407</v>
      </c>
      <c r="AF526" s="16"/>
      <c r="AG526" s="21" t="s">
        <v>805</v>
      </c>
      <c r="XFD526" s="15" t="str">
        <f>+Tabla3[[#This Row],[ESTATUS DE NUM ECONOMICO]]</f>
        <v>ACTIVA</v>
      </c>
    </row>
    <row r="527" spans="1:33 16384:16384" ht="15.75" thickBot="1" x14ac:dyDescent="0.3">
      <c r="A527" s="8">
        <v>97</v>
      </c>
      <c r="B527" s="9">
        <v>46192</v>
      </c>
      <c r="C527" s="10" t="s">
        <v>87</v>
      </c>
      <c r="D527" s="11"/>
      <c r="E527" s="16"/>
      <c r="F527" s="10"/>
      <c r="G527" s="212" t="str">
        <f>IFERROR(VLOOKUP(Tabla3[[#This Row],[NUM ECONOMICO]],MAQUINARIA!B:H,7,0), " MAQ")</f>
        <v>ACTIVA</v>
      </c>
      <c r="H527" s="214" t="s">
        <v>801</v>
      </c>
      <c r="I527" s="41" t="s">
        <v>808</v>
      </c>
      <c r="J527" s="10" t="s">
        <v>253</v>
      </c>
      <c r="K527" s="10">
        <v>1</v>
      </c>
      <c r="L527" s="13">
        <v>0</v>
      </c>
      <c r="M527" s="13">
        <f t="shared" si="8"/>
        <v>0</v>
      </c>
      <c r="N527" s="41"/>
      <c r="O527" s="10"/>
      <c r="P527" s="10">
        <f>Tabla3[[#This Row],[COSTO UNITARIO DOLARES EN HAWTHORNE]]*Tabla3[[#This Row],[CANTIDAD SOLICTADA]]</f>
        <v>0</v>
      </c>
      <c r="Q527" s="41"/>
      <c r="R527" s="229">
        <v>0</v>
      </c>
      <c r="S527" s="229">
        <f>+Tabla3[[#This Row],[COSTO UNITARIO DOLARES CTP]]*Tabla3[[#This Row],[CANTIDAD SOLICTADA]]</f>
        <v>0</v>
      </c>
      <c r="T527" s="41"/>
      <c r="U527" s="19" t="s">
        <v>7</v>
      </c>
      <c r="V527" s="8" t="s">
        <v>803</v>
      </c>
      <c r="W527" s="10"/>
      <c r="X527" s="10" t="s">
        <v>89</v>
      </c>
      <c r="Y527" s="10" t="s">
        <v>90</v>
      </c>
      <c r="Z527" s="16"/>
      <c r="AA527" s="16"/>
      <c r="AB527" s="16"/>
      <c r="AC527" s="16"/>
      <c r="AD527" s="16"/>
      <c r="AE527" s="16" t="s">
        <v>804</v>
      </c>
      <c r="AF527" s="16"/>
      <c r="AG527" s="21" t="s">
        <v>805</v>
      </c>
      <c r="XFD527" s="15" t="str">
        <f>+Tabla3[[#This Row],[ESTATUS DE NUM ECONOMICO]]</f>
        <v>ACTIVA</v>
      </c>
    </row>
    <row r="528" spans="1:33 16384:16384" ht="15.75" thickBot="1" x14ac:dyDescent="0.3">
      <c r="A528" s="8">
        <v>98</v>
      </c>
      <c r="B528" s="9">
        <v>46192</v>
      </c>
      <c r="C528" s="10" t="s">
        <v>87</v>
      </c>
      <c r="D528" s="11"/>
      <c r="E528" s="16">
        <v>20</v>
      </c>
      <c r="F528" s="9">
        <v>46193</v>
      </c>
      <c r="G528" s="212" t="str">
        <f>IFERROR(VLOOKUP(Tabla3[[#This Row],[NUM ECONOMICO]],MAQUINARIA!B:H,7,0), " MAQ")</f>
        <v>INACTIVA</v>
      </c>
      <c r="H528" s="214" t="s">
        <v>504</v>
      </c>
      <c r="I528" s="41" t="s">
        <v>802</v>
      </c>
      <c r="J528" s="10" t="s">
        <v>623</v>
      </c>
      <c r="K528" s="10">
        <v>1</v>
      </c>
      <c r="L528" s="13">
        <v>0</v>
      </c>
      <c r="M528" s="13">
        <f t="shared" si="8"/>
        <v>0</v>
      </c>
      <c r="N528" s="41" t="s">
        <v>674</v>
      </c>
      <c r="O528" s="287">
        <v>0</v>
      </c>
      <c r="P528" s="287">
        <f>Tabla3[[#This Row],[COSTO UNITARIO DOLARES EN HAWTHORNE]]*Tabla3[[#This Row],[CANTIDAD SOLICTADA]]</f>
        <v>0</v>
      </c>
      <c r="Q528" s="41" t="s">
        <v>217</v>
      </c>
      <c r="R528" s="229">
        <v>0</v>
      </c>
      <c r="S528" s="229">
        <f>+Tabla3[[#This Row],[COSTO UNITARIO DOLARES CTP]]*Tabla3[[#This Row],[CANTIDAD SOLICTADA]]</f>
        <v>0</v>
      </c>
      <c r="T528" s="41"/>
      <c r="U528" s="18" t="s">
        <v>5</v>
      </c>
      <c r="V528" s="211" t="s">
        <v>809</v>
      </c>
      <c r="W528" s="10"/>
      <c r="X528" s="10" t="s">
        <v>89</v>
      </c>
      <c r="Y528" s="10" t="s">
        <v>90</v>
      </c>
      <c r="Z528" s="16"/>
      <c r="AA528" s="16"/>
      <c r="AB528" s="16"/>
      <c r="AC528" s="16"/>
      <c r="AD528" s="16"/>
      <c r="AE528" s="16" t="s">
        <v>251</v>
      </c>
      <c r="AF528" s="16" t="s">
        <v>251</v>
      </c>
      <c r="AG528" s="21" t="s">
        <v>810</v>
      </c>
      <c r="XFD528" s="15" t="str">
        <f>+Tabla3[[#This Row],[ESTATUS DE NUM ECONOMICO]]</f>
        <v>INACTIVA</v>
      </c>
    </row>
    <row r="529" spans="1:33 16384:16384" ht="15.75" thickBot="1" x14ac:dyDescent="0.3">
      <c r="A529" s="8">
        <v>98</v>
      </c>
      <c r="B529" s="9">
        <v>46192</v>
      </c>
      <c r="C529" s="10" t="s">
        <v>87</v>
      </c>
      <c r="D529" s="11"/>
      <c r="E529" s="16">
        <v>20</v>
      </c>
      <c r="F529" s="9">
        <v>46193</v>
      </c>
      <c r="G529" s="212" t="str">
        <f>IFERROR(VLOOKUP(Tabla3[[#This Row],[NUM ECONOMICO]],MAQUINARIA!B:H,7,0), " MAQ")</f>
        <v>INACTIVA</v>
      </c>
      <c r="H529" s="214" t="s">
        <v>504</v>
      </c>
      <c r="I529" s="41" t="s">
        <v>811</v>
      </c>
      <c r="J529" s="10" t="s">
        <v>812</v>
      </c>
      <c r="K529" s="10">
        <v>1</v>
      </c>
      <c r="L529" s="13">
        <v>2207.2800000000002</v>
      </c>
      <c r="M529" s="13">
        <f t="shared" si="8"/>
        <v>2207.2800000000002</v>
      </c>
      <c r="N529" s="41" t="s">
        <v>674</v>
      </c>
      <c r="O529" s="287">
        <v>122.89</v>
      </c>
      <c r="P529" s="287">
        <f>Tabla3[[#This Row],[COSTO UNITARIO DOLARES EN HAWTHORNE]]*Tabla3[[#This Row],[CANTIDAD SOLICTADA]]</f>
        <v>122.89</v>
      </c>
      <c r="Q529" s="41" t="s">
        <v>1812</v>
      </c>
      <c r="R529" s="229">
        <v>0</v>
      </c>
      <c r="S529" s="229">
        <f>+Tabla3[[#This Row],[COSTO UNITARIO DOLARES CTP]]*Tabla3[[#This Row],[CANTIDAD SOLICTADA]]</f>
        <v>0</v>
      </c>
      <c r="T529" s="41"/>
      <c r="U529" s="18" t="s">
        <v>5</v>
      </c>
      <c r="V529" s="211" t="s">
        <v>809</v>
      </c>
      <c r="W529" s="10"/>
      <c r="X529" s="10" t="s">
        <v>89</v>
      </c>
      <c r="Y529" s="10" t="s">
        <v>90</v>
      </c>
      <c r="Z529" s="16"/>
      <c r="AA529" s="16"/>
      <c r="AB529" s="16"/>
      <c r="AC529" s="16"/>
      <c r="AD529" s="16"/>
      <c r="AE529" s="16" t="s">
        <v>251</v>
      </c>
      <c r="AF529" s="16" t="s">
        <v>251</v>
      </c>
      <c r="AG529" s="21" t="s">
        <v>810</v>
      </c>
      <c r="XFD529" s="15" t="str">
        <f>+Tabla3[[#This Row],[ESTATUS DE NUM ECONOMICO]]</f>
        <v>INACTIVA</v>
      </c>
    </row>
    <row r="530" spans="1:33 16384:16384" ht="15.75" thickBot="1" x14ac:dyDescent="0.3">
      <c r="A530" s="8">
        <v>98</v>
      </c>
      <c r="B530" s="9">
        <v>46192</v>
      </c>
      <c r="C530" s="10" t="s">
        <v>87</v>
      </c>
      <c r="D530" s="11"/>
      <c r="E530" s="16">
        <v>20</v>
      </c>
      <c r="F530" s="9">
        <v>46193</v>
      </c>
      <c r="G530" s="212" t="str">
        <f>IFERROR(VLOOKUP(Tabla3[[#This Row],[NUM ECONOMICO]],MAQUINARIA!B:H,7,0), " MAQ")</f>
        <v>INACTIVA</v>
      </c>
      <c r="H530" s="214" t="s">
        <v>504</v>
      </c>
      <c r="I530" s="41" t="s">
        <v>808</v>
      </c>
      <c r="J530" s="10" t="s">
        <v>812</v>
      </c>
      <c r="K530" s="10">
        <v>1</v>
      </c>
      <c r="L530" s="13">
        <v>0</v>
      </c>
      <c r="M530" s="13">
        <f t="shared" si="8"/>
        <v>0</v>
      </c>
      <c r="N530" s="41" t="s">
        <v>674</v>
      </c>
      <c r="O530" s="287">
        <v>0</v>
      </c>
      <c r="P530" s="287">
        <f>Tabla3[[#This Row],[COSTO UNITARIO DOLARES EN HAWTHORNE]]*Tabla3[[#This Row],[CANTIDAD SOLICTADA]]</f>
        <v>0</v>
      </c>
      <c r="Q530" s="41" t="s">
        <v>217</v>
      </c>
      <c r="R530" s="229">
        <v>0</v>
      </c>
      <c r="S530" s="229">
        <f>+Tabla3[[#This Row],[COSTO UNITARIO DOLARES CTP]]*Tabla3[[#This Row],[CANTIDAD SOLICTADA]]</f>
        <v>0</v>
      </c>
      <c r="T530" s="41"/>
      <c r="U530" s="18" t="s">
        <v>5</v>
      </c>
      <c r="V530" s="211" t="s">
        <v>809</v>
      </c>
      <c r="W530" s="10"/>
      <c r="X530" s="10" t="s">
        <v>89</v>
      </c>
      <c r="Y530" s="10" t="s">
        <v>90</v>
      </c>
      <c r="Z530" s="16"/>
      <c r="AA530" s="16"/>
      <c r="AB530" s="16"/>
      <c r="AC530" s="16"/>
      <c r="AD530" s="16"/>
      <c r="AE530" s="16" t="s">
        <v>251</v>
      </c>
      <c r="AF530" s="16" t="s">
        <v>251</v>
      </c>
      <c r="AG530" s="21" t="s">
        <v>810</v>
      </c>
      <c r="XFD530" s="15" t="str">
        <f>+Tabla3[[#This Row],[ESTATUS DE NUM ECONOMICO]]</f>
        <v>INACTIVA</v>
      </c>
    </row>
    <row r="531" spans="1:33 16384:16384" ht="15.75" thickBot="1" x14ac:dyDescent="0.3">
      <c r="A531" s="8">
        <v>98</v>
      </c>
      <c r="B531" s="9">
        <v>46192</v>
      </c>
      <c r="C531" s="10" t="s">
        <v>87</v>
      </c>
      <c r="D531" s="11"/>
      <c r="E531" s="16">
        <v>20</v>
      </c>
      <c r="F531" s="9">
        <v>46193</v>
      </c>
      <c r="G531" s="212" t="str">
        <f>IFERROR(VLOOKUP(Tabla3[[#This Row],[NUM ECONOMICO]],MAQUINARIA!B:H,7,0), " MAQ")</f>
        <v>INACTIVA</v>
      </c>
      <c r="H531" s="214" t="s">
        <v>504</v>
      </c>
      <c r="I531" s="41" t="s">
        <v>813</v>
      </c>
      <c r="J531" s="10" t="s">
        <v>479</v>
      </c>
      <c r="K531" s="10">
        <v>4</v>
      </c>
      <c r="L531" s="13">
        <v>864.49</v>
      </c>
      <c r="M531" s="13">
        <f t="shared" si="8"/>
        <v>3457.96</v>
      </c>
      <c r="N531" s="41" t="s">
        <v>674</v>
      </c>
      <c r="O531" s="287">
        <v>56.24</v>
      </c>
      <c r="P531" s="287">
        <f>Tabla3[[#This Row],[COSTO UNITARIO DOLARES EN HAWTHORNE]]*Tabla3[[#This Row],[CANTIDAD SOLICTADA]]</f>
        <v>224.96</v>
      </c>
      <c r="Q531" s="41" t="s">
        <v>1812</v>
      </c>
      <c r="R531" s="229">
        <v>11.75</v>
      </c>
      <c r="S531" s="229">
        <f>+Tabla3[[#This Row],[COSTO UNITARIO DOLARES CTP]]*Tabla3[[#This Row],[CANTIDAD SOLICTADA]]</f>
        <v>47</v>
      </c>
      <c r="T531" s="41"/>
      <c r="U531" s="18" t="s">
        <v>5</v>
      </c>
      <c r="V531" s="211" t="s">
        <v>809</v>
      </c>
      <c r="W531" s="10"/>
      <c r="X531" s="11"/>
      <c r="Y531" s="10">
        <v>9</v>
      </c>
      <c r="Z531" s="16"/>
      <c r="AA531" s="16"/>
      <c r="AB531" s="16"/>
      <c r="AC531" s="16"/>
      <c r="AD531" s="16"/>
      <c r="AE531" s="16" t="s">
        <v>251</v>
      </c>
      <c r="AF531" s="16" t="s">
        <v>251</v>
      </c>
      <c r="AG531" s="21" t="s">
        <v>810</v>
      </c>
      <c r="XFD531" s="15" t="str">
        <f>+Tabla3[[#This Row],[ESTATUS DE NUM ECONOMICO]]</f>
        <v>INACTIVA</v>
      </c>
    </row>
    <row r="532" spans="1:33 16384:16384" ht="15.75" thickBot="1" x14ac:dyDescent="0.3">
      <c r="A532" s="8">
        <v>98</v>
      </c>
      <c r="B532" s="9">
        <v>46192</v>
      </c>
      <c r="C532" s="10" t="s">
        <v>87</v>
      </c>
      <c r="D532" s="11"/>
      <c r="E532" s="16">
        <v>20</v>
      </c>
      <c r="F532" s="9">
        <v>46193</v>
      </c>
      <c r="G532" s="212" t="str">
        <f>IFERROR(VLOOKUP(Tabla3[[#This Row],[NUM ECONOMICO]],MAQUINARIA!B:H,7,0), " MAQ")</f>
        <v>INACTIVA</v>
      </c>
      <c r="H532" s="214" t="s">
        <v>504</v>
      </c>
      <c r="I532" s="41" t="s">
        <v>814</v>
      </c>
      <c r="J532" s="10" t="s">
        <v>152</v>
      </c>
      <c r="K532" s="10">
        <v>1</v>
      </c>
      <c r="L532" s="13">
        <v>18486.28</v>
      </c>
      <c r="M532" s="13">
        <f t="shared" si="8"/>
        <v>18486.28</v>
      </c>
      <c r="N532" s="41" t="s">
        <v>674</v>
      </c>
      <c r="O532" s="287">
        <v>1029.19</v>
      </c>
      <c r="P532" s="287">
        <f>Tabla3[[#This Row],[COSTO UNITARIO DOLARES EN HAWTHORNE]]*Tabla3[[#This Row],[CANTIDAD SOLICTADA]]</f>
        <v>1029.19</v>
      </c>
      <c r="Q532" s="41" t="s">
        <v>1812</v>
      </c>
      <c r="R532" s="229">
        <v>0</v>
      </c>
      <c r="S532" s="229">
        <f>+Tabla3[[#This Row],[COSTO UNITARIO DOLARES CTP]]*Tabla3[[#This Row],[CANTIDAD SOLICTADA]]</f>
        <v>0</v>
      </c>
      <c r="T532" s="41"/>
      <c r="U532" s="18" t="s">
        <v>5</v>
      </c>
      <c r="V532" s="211" t="s">
        <v>809</v>
      </c>
      <c r="W532" s="10"/>
      <c r="X532" s="11"/>
      <c r="Y532" s="10" t="s">
        <v>90</v>
      </c>
      <c r="Z532" s="16"/>
      <c r="AA532" s="16"/>
      <c r="AB532" s="16"/>
      <c r="AC532" s="16"/>
      <c r="AD532" s="16"/>
      <c r="AE532" s="16" t="s">
        <v>251</v>
      </c>
      <c r="AF532" s="16" t="s">
        <v>251</v>
      </c>
      <c r="AG532" s="21" t="s">
        <v>810</v>
      </c>
      <c r="XFD532" s="15" t="str">
        <f>+Tabla3[[#This Row],[ESTATUS DE NUM ECONOMICO]]</f>
        <v>INACTIVA</v>
      </c>
    </row>
    <row r="533" spans="1:33 16384:16384" ht="15.75" thickBot="1" x14ac:dyDescent="0.3">
      <c r="A533" s="8">
        <v>98</v>
      </c>
      <c r="B533" s="9">
        <v>46192</v>
      </c>
      <c r="C533" s="10" t="s">
        <v>87</v>
      </c>
      <c r="D533" s="11"/>
      <c r="E533" s="16">
        <v>20</v>
      </c>
      <c r="F533" s="9">
        <v>46193</v>
      </c>
      <c r="G533" s="212" t="str">
        <f>IFERROR(VLOOKUP(Tabla3[[#This Row],[NUM ECONOMICO]],MAQUINARIA!B:H,7,0), " MAQ")</f>
        <v>INACTIVA</v>
      </c>
      <c r="H533" s="214" t="s">
        <v>504</v>
      </c>
      <c r="I533" s="41">
        <v>1299416</v>
      </c>
      <c r="J533" s="10" t="s">
        <v>220</v>
      </c>
      <c r="K533" s="10">
        <v>1</v>
      </c>
      <c r="L533" s="13">
        <v>114.57</v>
      </c>
      <c r="M533" s="13">
        <f t="shared" si="8"/>
        <v>114.57</v>
      </c>
      <c r="N533" s="41" t="s">
        <v>674</v>
      </c>
      <c r="O533" s="287">
        <v>7.88</v>
      </c>
      <c r="P533" s="287">
        <f>Tabla3[[#This Row],[COSTO UNITARIO DOLARES EN HAWTHORNE]]*Tabla3[[#This Row],[CANTIDAD SOLICTADA]]</f>
        <v>7.88</v>
      </c>
      <c r="Q533" s="41" t="s">
        <v>1812</v>
      </c>
      <c r="R533" s="229">
        <v>3.07</v>
      </c>
      <c r="S533" s="229">
        <f>+Tabla3[[#This Row],[COSTO UNITARIO DOLARES CTP]]*Tabla3[[#This Row],[CANTIDAD SOLICTADA]]</f>
        <v>3.07</v>
      </c>
      <c r="T533" s="41"/>
      <c r="U533" s="18" t="s">
        <v>5</v>
      </c>
      <c r="V533" s="211" t="s">
        <v>809</v>
      </c>
      <c r="W533" s="10"/>
      <c r="X533" s="11"/>
      <c r="Y533" s="10">
        <v>1</v>
      </c>
      <c r="Z533" s="16"/>
      <c r="AA533" s="16"/>
      <c r="AB533" s="16"/>
      <c r="AC533" s="16"/>
      <c r="AD533" s="16"/>
      <c r="AE533" s="16" t="s">
        <v>251</v>
      </c>
      <c r="AF533" s="16" t="s">
        <v>251</v>
      </c>
      <c r="AG533" s="21" t="s">
        <v>810</v>
      </c>
      <c r="XFD533" s="15" t="str">
        <f>+Tabla3[[#This Row],[ESTATUS DE NUM ECONOMICO]]</f>
        <v>INACTIVA</v>
      </c>
    </row>
    <row r="534" spans="1:33 16384:16384" ht="15.75" thickBot="1" x14ac:dyDescent="0.3">
      <c r="A534" s="8">
        <v>98</v>
      </c>
      <c r="B534" s="9">
        <v>46192</v>
      </c>
      <c r="C534" s="10" t="s">
        <v>87</v>
      </c>
      <c r="D534" s="11"/>
      <c r="E534" s="16">
        <v>20</v>
      </c>
      <c r="F534" s="9">
        <v>46193</v>
      </c>
      <c r="G534" s="212" t="str">
        <f>IFERROR(VLOOKUP(Tabla3[[#This Row],[NUM ECONOMICO]],MAQUINARIA!B:H,7,0), " MAQ")</f>
        <v>INACTIVA</v>
      </c>
      <c r="H534" s="214" t="s">
        <v>504</v>
      </c>
      <c r="I534" s="41" t="s">
        <v>815</v>
      </c>
      <c r="J534" s="10" t="s">
        <v>253</v>
      </c>
      <c r="K534" s="10">
        <v>4</v>
      </c>
      <c r="L534" s="13">
        <v>248.06</v>
      </c>
      <c r="M534" s="13">
        <f t="shared" si="8"/>
        <v>992.24</v>
      </c>
      <c r="N534" s="41" t="s">
        <v>674</v>
      </c>
      <c r="O534" s="287">
        <v>17.329999999999998</v>
      </c>
      <c r="P534" s="287">
        <f>Tabla3[[#This Row],[COSTO UNITARIO DOLARES EN HAWTHORNE]]*Tabla3[[#This Row],[CANTIDAD SOLICTADA]]</f>
        <v>69.319999999999993</v>
      </c>
      <c r="Q534" s="41" t="s">
        <v>1812</v>
      </c>
      <c r="R534" s="229">
        <v>1.52</v>
      </c>
      <c r="S534" s="229">
        <f>+Tabla3[[#This Row],[COSTO UNITARIO DOLARES CTP]]*Tabla3[[#This Row],[CANTIDAD SOLICTADA]]</f>
        <v>6.08</v>
      </c>
      <c r="T534" s="41"/>
      <c r="U534" s="18" t="s">
        <v>5</v>
      </c>
      <c r="V534" s="211" t="s">
        <v>809</v>
      </c>
      <c r="W534" s="10"/>
      <c r="X534" s="11"/>
      <c r="Y534" s="10">
        <v>9</v>
      </c>
      <c r="Z534" s="16"/>
      <c r="AA534" s="16"/>
      <c r="AB534" s="16"/>
      <c r="AC534" s="16"/>
      <c r="AD534" s="16"/>
      <c r="AE534" s="16" t="s">
        <v>251</v>
      </c>
      <c r="AF534" s="16" t="s">
        <v>251</v>
      </c>
      <c r="AG534" s="21" t="s">
        <v>810</v>
      </c>
      <c r="XFD534" s="15" t="str">
        <f>+Tabla3[[#This Row],[ESTATUS DE NUM ECONOMICO]]</f>
        <v>INACTIVA</v>
      </c>
    </row>
    <row r="535" spans="1:33 16384:16384" ht="15.75" thickBot="1" x14ac:dyDescent="0.3">
      <c r="A535" s="8">
        <v>98</v>
      </c>
      <c r="B535" s="9">
        <v>46192</v>
      </c>
      <c r="C535" s="10" t="s">
        <v>87</v>
      </c>
      <c r="D535" s="11"/>
      <c r="E535" s="16">
        <v>20</v>
      </c>
      <c r="F535" s="9">
        <v>46193</v>
      </c>
      <c r="G535" s="212" t="str">
        <f>IFERROR(VLOOKUP(Tabla3[[#This Row],[NUM ECONOMICO]],MAQUINARIA!B:H,7,0), " MAQ")</f>
        <v>INACTIVA</v>
      </c>
      <c r="H535" s="214" t="s">
        <v>504</v>
      </c>
      <c r="I535" s="41" t="s">
        <v>816</v>
      </c>
      <c r="J535" s="10" t="s">
        <v>1829</v>
      </c>
      <c r="K535" s="10">
        <v>4</v>
      </c>
      <c r="L535" s="13">
        <v>212.44</v>
      </c>
      <c r="M535" s="13">
        <f t="shared" si="8"/>
        <v>849.76</v>
      </c>
      <c r="N535" s="41" t="s">
        <v>674</v>
      </c>
      <c r="O535" s="287">
        <v>14.86</v>
      </c>
      <c r="P535" s="287">
        <f>Tabla3[[#This Row],[COSTO UNITARIO DOLARES EN HAWTHORNE]]*Tabla3[[#This Row],[CANTIDAD SOLICTADA]]</f>
        <v>59.44</v>
      </c>
      <c r="Q535" s="41" t="s">
        <v>1812</v>
      </c>
      <c r="R535" s="229">
        <v>2.33</v>
      </c>
      <c r="S535" s="229">
        <f>+Tabla3[[#This Row],[COSTO UNITARIO DOLARES CTP]]*Tabla3[[#This Row],[CANTIDAD SOLICTADA]]</f>
        <v>9.32</v>
      </c>
      <c r="T535" s="41"/>
      <c r="U535" s="18" t="s">
        <v>5</v>
      </c>
      <c r="V535" s="211" t="s">
        <v>809</v>
      </c>
      <c r="W535" s="10"/>
      <c r="X535" s="11"/>
      <c r="Y535" s="10">
        <v>16</v>
      </c>
      <c r="Z535" s="16"/>
      <c r="AA535" s="16"/>
      <c r="AB535" s="16"/>
      <c r="AC535" s="16"/>
      <c r="AD535" s="16"/>
      <c r="AE535" s="16" t="s">
        <v>251</v>
      </c>
      <c r="AF535" s="16" t="s">
        <v>251</v>
      </c>
      <c r="AG535" s="21" t="s">
        <v>810</v>
      </c>
      <c r="XFD535" s="15" t="str">
        <f>+Tabla3[[#This Row],[ESTATUS DE NUM ECONOMICO]]</f>
        <v>INACTIVA</v>
      </c>
    </row>
    <row r="536" spans="1:33 16384:16384" ht="15.75" thickBot="1" x14ac:dyDescent="0.3">
      <c r="A536" s="8">
        <v>98</v>
      </c>
      <c r="B536" s="9">
        <v>46192</v>
      </c>
      <c r="C536" s="10" t="s">
        <v>87</v>
      </c>
      <c r="D536" s="11"/>
      <c r="E536" s="16">
        <v>20</v>
      </c>
      <c r="F536" s="9">
        <v>46193</v>
      </c>
      <c r="G536" s="212" t="str">
        <f>IFERROR(VLOOKUP(Tabla3[[#This Row],[NUM ECONOMICO]],MAQUINARIA!B:H,7,0), " MAQ")</f>
        <v>INACTIVA</v>
      </c>
      <c r="H536" s="214" t="s">
        <v>504</v>
      </c>
      <c r="I536" s="41" t="s">
        <v>784</v>
      </c>
      <c r="J536" s="10" t="s">
        <v>546</v>
      </c>
      <c r="K536" s="10">
        <v>1</v>
      </c>
      <c r="L536" s="13">
        <v>311.58</v>
      </c>
      <c r="M536" s="13">
        <f t="shared" si="8"/>
        <v>311.58</v>
      </c>
      <c r="N536" s="41" t="s">
        <v>674</v>
      </c>
      <c r="O536" s="287">
        <v>21.79</v>
      </c>
      <c r="P536" s="287">
        <f>Tabla3[[#This Row],[COSTO UNITARIO DOLARES EN HAWTHORNE]]*Tabla3[[#This Row],[CANTIDAD SOLICTADA]]</f>
        <v>21.79</v>
      </c>
      <c r="Q536" s="41" t="s">
        <v>1812</v>
      </c>
      <c r="R536" s="229">
        <v>4.24</v>
      </c>
      <c r="S536" s="229">
        <f>+Tabla3[[#This Row],[COSTO UNITARIO DOLARES CTP]]*Tabla3[[#This Row],[CANTIDAD SOLICTADA]]</f>
        <v>4.24</v>
      </c>
      <c r="T536" s="41"/>
      <c r="U536" s="18" t="s">
        <v>5</v>
      </c>
      <c r="V536" s="211" t="s">
        <v>809</v>
      </c>
      <c r="W536" s="10"/>
      <c r="X536" s="11"/>
      <c r="Y536" s="10" t="s">
        <v>90</v>
      </c>
      <c r="Z536" s="16"/>
      <c r="AA536" s="16"/>
      <c r="AB536" s="16"/>
      <c r="AC536" s="16"/>
      <c r="AD536" s="16"/>
      <c r="AE536" s="16" t="s">
        <v>251</v>
      </c>
      <c r="AF536" s="16" t="s">
        <v>251</v>
      </c>
      <c r="AG536" s="21" t="s">
        <v>810</v>
      </c>
      <c r="XFD536" s="15" t="str">
        <f>+Tabla3[[#This Row],[ESTATUS DE NUM ECONOMICO]]</f>
        <v>INACTIVA</v>
      </c>
    </row>
    <row r="537" spans="1:33 16384:16384" ht="15.75" thickBot="1" x14ac:dyDescent="0.3">
      <c r="A537" s="8">
        <v>98</v>
      </c>
      <c r="B537" s="9">
        <v>46192</v>
      </c>
      <c r="C537" s="10" t="s">
        <v>87</v>
      </c>
      <c r="D537" s="11"/>
      <c r="E537" s="16">
        <v>20</v>
      </c>
      <c r="F537" s="9">
        <v>46193</v>
      </c>
      <c r="G537" s="212" t="str">
        <f>IFERROR(VLOOKUP(Tabla3[[#This Row],[NUM ECONOMICO]],MAQUINARIA!B:H,7,0), " MAQ")</f>
        <v>INACTIVA</v>
      </c>
      <c r="H537" s="214" t="s">
        <v>504</v>
      </c>
      <c r="I537" s="41" t="s">
        <v>817</v>
      </c>
      <c r="J537" s="10" t="s">
        <v>1830</v>
      </c>
      <c r="K537" s="10">
        <v>1</v>
      </c>
      <c r="L537" s="13">
        <v>3306.51</v>
      </c>
      <c r="M537" s="13">
        <f t="shared" si="8"/>
        <v>3306.51</v>
      </c>
      <c r="N537" s="41" t="s">
        <v>674</v>
      </c>
      <c r="O537" s="287">
        <v>191.1</v>
      </c>
      <c r="P537" s="287">
        <f>Tabla3[[#This Row],[COSTO UNITARIO DOLARES EN HAWTHORNE]]*Tabla3[[#This Row],[CANTIDAD SOLICTADA]]</f>
        <v>191.1</v>
      </c>
      <c r="Q537" s="41" t="s">
        <v>217</v>
      </c>
      <c r="R537" s="229">
        <v>0</v>
      </c>
      <c r="S537" s="229">
        <f>+Tabla3[[#This Row],[COSTO UNITARIO DOLARES CTP]]*Tabla3[[#This Row],[CANTIDAD SOLICTADA]]</f>
        <v>0</v>
      </c>
      <c r="T537" s="41"/>
      <c r="U537" s="18" t="s">
        <v>5</v>
      </c>
      <c r="V537" s="211" t="s">
        <v>809</v>
      </c>
      <c r="W537" s="10"/>
      <c r="X537" s="11"/>
      <c r="Y537" s="10" t="s">
        <v>90</v>
      </c>
      <c r="Z537" s="16"/>
      <c r="AA537" s="16"/>
      <c r="AB537" s="16"/>
      <c r="AC537" s="16"/>
      <c r="AD537" s="16"/>
      <c r="AE537" s="16" t="s">
        <v>251</v>
      </c>
      <c r="AF537" s="16" t="s">
        <v>251</v>
      </c>
      <c r="AG537" s="21" t="s">
        <v>810</v>
      </c>
      <c r="XFD537" s="15" t="str">
        <f>+Tabla3[[#This Row],[ESTATUS DE NUM ECONOMICO]]</f>
        <v>INACTIVA</v>
      </c>
    </row>
    <row r="538" spans="1:33 16384:16384" ht="15.75" thickBot="1" x14ac:dyDescent="0.3">
      <c r="A538" s="8">
        <v>98</v>
      </c>
      <c r="B538" s="9">
        <v>46192</v>
      </c>
      <c r="C538" s="10" t="s">
        <v>87</v>
      </c>
      <c r="D538" s="11"/>
      <c r="E538" s="16">
        <v>20</v>
      </c>
      <c r="F538" s="9">
        <v>46193</v>
      </c>
      <c r="G538" s="212" t="str">
        <f>IFERROR(VLOOKUP(Tabla3[[#This Row],[NUM ECONOMICO]],MAQUINARIA!B:H,7,0), " MAQ")</f>
        <v>INACTIVA</v>
      </c>
      <c r="H538" s="214" t="s">
        <v>504</v>
      </c>
      <c r="I538" s="41" t="s">
        <v>818</v>
      </c>
      <c r="J538" s="10" t="s">
        <v>1831</v>
      </c>
      <c r="K538" s="10">
        <v>1</v>
      </c>
      <c r="L538" s="13">
        <v>449.14</v>
      </c>
      <c r="M538" s="13">
        <f t="shared" si="8"/>
        <v>449.14</v>
      </c>
      <c r="N538" s="41" t="s">
        <v>674</v>
      </c>
      <c r="O538" s="287">
        <v>30.89</v>
      </c>
      <c r="P538" s="287">
        <f>Tabla3[[#This Row],[COSTO UNITARIO DOLARES EN HAWTHORNE]]*Tabla3[[#This Row],[CANTIDAD SOLICTADA]]</f>
        <v>30.89</v>
      </c>
      <c r="Q538" s="41" t="s">
        <v>1812</v>
      </c>
      <c r="R538" s="229">
        <v>3.75</v>
      </c>
      <c r="S538" s="229">
        <f>+Tabla3[[#This Row],[COSTO UNITARIO DOLARES CTP]]*Tabla3[[#This Row],[CANTIDAD SOLICTADA]]</f>
        <v>3.75</v>
      </c>
      <c r="T538" s="41"/>
      <c r="U538" s="18" t="s">
        <v>5</v>
      </c>
      <c r="V538" s="211" t="s">
        <v>809</v>
      </c>
      <c r="W538" s="10"/>
      <c r="X538" s="11"/>
      <c r="Y538" s="10">
        <v>0</v>
      </c>
      <c r="Z538" s="16"/>
      <c r="AA538" s="16"/>
      <c r="AB538" s="16"/>
      <c r="AC538" s="16"/>
      <c r="AD538" s="16"/>
      <c r="AE538" s="16" t="s">
        <v>251</v>
      </c>
      <c r="AF538" s="16" t="s">
        <v>251</v>
      </c>
      <c r="AG538" s="21" t="s">
        <v>810</v>
      </c>
      <c r="XFD538" s="15" t="str">
        <f>+Tabla3[[#This Row],[ESTATUS DE NUM ECONOMICO]]</f>
        <v>INACTIVA</v>
      </c>
    </row>
    <row r="539" spans="1:33 16384:16384" ht="15.75" thickBot="1" x14ac:dyDescent="0.3">
      <c r="A539" s="8">
        <v>98</v>
      </c>
      <c r="B539" s="9">
        <v>46192</v>
      </c>
      <c r="C539" s="10" t="s">
        <v>87</v>
      </c>
      <c r="D539" s="11"/>
      <c r="E539" s="16">
        <v>20</v>
      </c>
      <c r="F539" s="9">
        <v>46193</v>
      </c>
      <c r="G539" s="212" t="str">
        <f>IFERROR(VLOOKUP(Tabla3[[#This Row],[NUM ECONOMICO]],MAQUINARIA!B:H,7,0), " MAQ")</f>
        <v>INACTIVA</v>
      </c>
      <c r="H539" s="214" t="s">
        <v>504</v>
      </c>
      <c r="I539" s="41" t="s">
        <v>819</v>
      </c>
      <c r="J539" s="10" t="s">
        <v>220</v>
      </c>
      <c r="K539" s="10">
        <v>1</v>
      </c>
      <c r="L539" s="13">
        <v>31.97</v>
      </c>
      <c r="M539" s="13">
        <f t="shared" si="8"/>
        <v>31.97</v>
      </c>
      <c r="N539" s="41" t="s">
        <v>674</v>
      </c>
      <c r="O539" s="287">
        <v>2.2000000000000002</v>
      </c>
      <c r="P539" s="287">
        <f>Tabla3[[#This Row],[COSTO UNITARIO DOLARES EN HAWTHORNE]]*Tabla3[[#This Row],[CANTIDAD SOLICTADA]]</f>
        <v>2.2000000000000002</v>
      </c>
      <c r="Q539" s="41" t="s">
        <v>1812</v>
      </c>
      <c r="R539" s="229">
        <v>0.5</v>
      </c>
      <c r="S539" s="229">
        <f>+Tabla3[[#This Row],[COSTO UNITARIO DOLARES CTP]]*Tabla3[[#This Row],[CANTIDAD SOLICTADA]]</f>
        <v>0.5</v>
      </c>
      <c r="T539" s="41"/>
      <c r="U539" s="18" t="s">
        <v>5</v>
      </c>
      <c r="V539" s="211" t="s">
        <v>809</v>
      </c>
      <c r="W539" s="10"/>
      <c r="X539" s="11"/>
      <c r="Y539" s="10" t="s">
        <v>90</v>
      </c>
      <c r="Z539" s="16"/>
      <c r="AA539" s="16"/>
      <c r="AB539" s="16"/>
      <c r="AC539" s="16"/>
      <c r="AD539" s="16"/>
      <c r="AE539" s="16" t="s">
        <v>251</v>
      </c>
      <c r="AF539" s="16" t="s">
        <v>251</v>
      </c>
      <c r="AG539" s="21" t="s">
        <v>810</v>
      </c>
      <c r="XFD539" s="15" t="str">
        <f>+Tabla3[[#This Row],[ESTATUS DE NUM ECONOMICO]]</f>
        <v>INACTIVA</v>
      </c>
    </row>
    <row r="540" spans="1:33 16384:16384" ht="15.75" thickBot="1" x14ac:dyDescent="0.3">
      <c r="A540" s="8">
        <v>98</v>
      </c>
      <c r="B540" s="9">
        <v>46192</v>
      </c>
      <c r="C540" s="10" t="s">
        <v>87</v>
      </c>
      <c r="D540" s="11"/>
      <c r="E540" s="16">
        <v>20</v>
      </c>
      <c r="F540" s="9">
        <v>46193</v>
      </c>
      <c r="G540" s="212" t="str">
        <f>IFERROR(VLOOKUP(Tabla3[[#This Row],[NUM ECONOMICO]],MAQUINARIA!B:H,7,0), " MAQ")</f>
        <v>INACTIVA</v>
      </c>
      <c r="H540" s="214" t="s">
        <v>504</v>
      </c>
      <c r="I540" s="41" t="s">
        <v>572</v>
      </c>
      <c r="J540" s="10" t="s">
        <v>820</v>
      </c>
      <c r="K540" s="10">
        <v>1</v>
      </c>
      <c r="L540" s="13">
        <v>12134.65</v>
      </c>
      <c r="M540" s="13">
        <f t="shared" si="8"/>
        <v>12134.65</v>
      </c>
      <c r="N540" s="41" t="s">
        <v>674</v>
      </c>
      <c r="O540" s="287">
        <v>675.56</v>
      </c>
      <c r="P540" s="287">
        <f>Tabla3[[#This Row],[COSTO UNITARIO DOLARES EN HAWTHORNE]]*Tabla3[[#This Row],[CANTIDAD SOLICTADA]]</f>
        <v>675.56</v>
      </c>
      <c r="Q540" s="41" t="s">
        <v>1812</v>
      </c>
      <c r="R540" s="229">
        <v>249.74</v>
      </c>
      <c r="S540" s="229">
        <f>+Tabla3[[#This Row],[COSTO UNITARIO DOLARES CTP]]*Tabla3[[#This Row],[CANTIDAD SOLICTADA]]</f>
        <v>249.74</v>
      </c>
      <c r="T540" s="41"/>
      <c r="U540" s="18" t="s">
        <v>5</v>
      </c>
      <c r="V540" s="211" t="s">
        <v>809</v>
      </c>
      <c r="W540" s="10"/>
      <c r="X540" s="11"/>
      <c r="Y540" s="10">
        <v>1</v>
      </c>
      <c r="Z540" s="16"/>
      <c r="AA540" s="16"/>
      <c r="AB540" s="16"/>
      <c r="AC540" s="16"/>
      <c r="AD540" s="16"/>
      <c r="AE540" s="16" t="s">
        <v>251</v>
      </c>
      <c r="AF540" s="16" t="s">
        <v>251</v>
      </c>
      <c r="AG540" s="21" t="s">
        <v>810</v>
      </c>
      <c r="XFD540" s="15" t="str">
        <f>+Tabla3[[#This Row],[ESTATUS DE NUM ECONOMICO]]</f>
        <v>INACTIVA</v>
      </c>
    </row>
    <row r="541" spans="1:33 16384:16384" ht="15.75" thickBot="1" x14ac:dyDescent="0.3">
      <c r="A541" s="8">
        <v>98</v>
      </c>
      <c r="B541" s="9">
        <v>46192</v>
      </c>
      <c r="C541" s="10" t="s">
        <v>87</v>
      </c>
      <c r="D541" s="11"/>
      <c r="E541" s="16">
        <v>20</v>
      </c>
      <c r="F541" s="9">
        <v>46193</v>
      </c>
      <c r="G541" s="212" t="str">
        <f>IFERROR(VLOOKUP(Tabla3[[#This Row],[NUM ECONOMICO]],MAQUINARIA!B:H,7,0), " MAQ")</f>
        <v>INACTIVA</v>
      </c>
      <c r="H541" s="214" t="s">
        <v>504</v>
      </c>
      <c r="I541" s="41" t="s">
        <v>151</v>
      </c>
      <c r="J541" s="10" t="s">
        <v>1832</v>
      </c>
      <c r="K541" s="10">
        <v>4</v>
      </c>
      <c r="L541" s="13">
        <v>135.88</v>
      </c>
      <c r="M541" s="13">
        <f t="shared" si="8"/>
        <v>543.52</v>
      </c>
      <c r="N541" s="41" t="s">
        <v>674</v>
      </c>
      <c r="O541" s="287">
        <v>9.5</v>
      </c>
      <c r="P541" s="287">
        <f>Tabla3[[#This Row],[COSTO UNITARIO DOLARES EN HAWTHORNE]]*Tabla3[[#This Row],[CANTIDAD SOLICTADA]]</f>
        <v>38</v>
      </c>
      <c r="Q541" s="41" t="s">
        <v>217</v>
      </c>
      <c r="R541" s="229">
        <v>0.82</v>
      </c>
      <c r="S541" s="229">
        <f>+Tabla3[[#This Row],[COSTO UNITARIO DOLARES CTP]]*Tabla3[[#This Row],[CANTIDAD SOLICTADA]]</f>
        <v>3.28</v>
      </c>
      <c r="T541" s="41"/>
      <c r="U541" s="18" t="s">
        <v>5</v>
      </c>
      <c r="V541" s="211" t="s">
        <v>809</v>
      </c>
      <c r="W541" s="10"/>
      <c r="X541" s="11"/>
      <c r="Y541" s="10">
        <v>6</v>
      </c>
      <c r="Z541" s="16"/>
      <c r="AA541" s="16"/>
      <c r="AB541" s="16"/>
      <c r="AC541" s="16"/>
      <c r="AD541" s="16"/>
      <c r="AE541" s="16" t="s">
        <v>251</v>
      </c>
      <c r="AF541" s="16" t="s">
        <v>251</v>
      </c>
      <c r="AG541" s="21" t="s">
        <v>810</v>
      </c>
      <c r="XFD541" s="15" t="str">
        <f>+Tabla3[[#This Row],[ESTATUS DE NUM ECONOMICO]]</f>
        <v>INACTIVA</v>
      </c>
    </row>
    <row r="542" spans="1:33 16384:16384" ht="15.75" thickBot="1" x14ac:dyDescent="0.3">
      <c r="A542" s="8">
        <v>98</v>
      </c>
      <c r="B542" s="9">
        <v>46192</v>
      </c>
      <c r="C542" s="10" t="s">
        <v>87</v>
      </c>
      <c r="D542" s="11"/>
      <c r="E542" s="16">
        <v>20</v>
      </c>
      <c r="F542" s="9">
        <v>46193</v>
      </c>
      <c r="G542" s="212" t="str">
        <f>IFERROR(VLOOKUP(Tabla3[[#This Row],[NUM ECONOMICO]],MAQUINARIA!B:H,7,0), " MAQ")</f>
        <v>INACTIVA</v>
      </c>
      <c r="H542" s="214" t="s">
        <v>504</v>
      </c>
      <c r="I542" s="41" t="s">
        <v>330</v>
      </c>
      <c r="J542" s="10" t="s">
        <v>546</v>
      </c>
      <c r="K542" s="10">
        <v>8</v>
      </c>
      <c r="L542" s="13">
        <v>119.05</v>
      </c>
      <c r="M542" s="13">
        <f t="shared" si="8"/>
        <v>952.4</v>
      </c>
      <c r="N542" s="41" t="s">
        <v>674</v>
      </c>
      <c r="O542" s="287">
        <v>8.31</v>
      </c>
      <c r="P542" s="287">
        <f>Tabla3[[#This Row],[COSTO UNITARIO DOLARES EN HAWTHORNE]]*Tabla3[[#This Row],[CANTIDAD SOLICTADA]]</f>
        <v>66.48</v>
      </c>
      <c r="Q542" s="41" t="s">
        <v>1812</v>
      </c>
      <c r="R542" s="229">
        <v>0.53</v>
      </c>
      <c r="S542" s="229">
        <f>+Tabla3[[#This Row],[COSTO UNITARIO DOLARES CTP]]*Tabla3[[#This Row],[CANTIDAD SOLICTADA]]</f>
        <v>4.24</v>
      </c>
      <c r="T542" s="41"/>
      <c r="U542" s="18" t="s">
        <v>5</v>
      </c>
      <c r="V542" s="211" t="s">
        <v>809</v>
      </c>
      <c r="W542" s="10"/>
      <c r="X542" s="11"/>
      <c r="Y542" s="10">
        <v>9</v>
      </c>
      <c r="Z542" s="16"/>
      <c r="AA542" s="16"/>
      <c r="AB542" s="16"/>
      <c r="AC542" s="16"/>
      <c r="AD542" s="16"/>
      <c r="AE542" s="16" t="s">
        <v>251</v>
      </c>
      <c r="AF542" s="16" t="s">
        <v>251</v>
      </c>
      <c r="AG542" s="21" t="s">
        <v>810</v>
      </c>
      <c r="XFD542" s="15" t="str">
        <f>+Tabla3[[#This Row],[ESTATUS DE NUM ECONOMICO]]</f>
        <v>INACTIVA</v>
      </c>
    </row>
    <row r="543" spans="1:33 16384:16384" ht="15.75" thickBot="1" x14ac:dyDescent="0.3">
      <c r="A543" s="8">
        <v>98</v>
      </c>
      <c r="B543" s="9">
        <v>46192</v>
      </c>
      <c r="C543" s="10" t="s">
        <v>87</v>
      </c>
      <c r="D543" s="11"/>
      <c r="E543" s="16">
        <v>20</v>
      </c>
      <c r="F543" s="9">
        <v>46193</v>
      </c>
      <c r="G543" s="212" t="str">
        <f>IFERROR(VLOOKUP(Tabla3[[#This Row],[NUM ECONOMICO]],MAQUINARIA!B:H,7,0), " MAQ")</f>
        <v>INACTIVA</v>
      </c>
      <c r="H543" s="214" t="s">
        <v>504</v>
      </c>
      <c r="I543" s="41" t="s">
        <v>821</v>
      </c>
      <c r="J543" s="10" t="s">
        <v>546</v>
      </c>
      <c r="K543" s="10">
        <v>4</v>
      </c>
      <c r="L543" s="13">
        <v>301.76</v>
      </c>
      <c r="M543" s="13">
        <f t="shared" si="8"/>
        <v>1207.04</v>
      </c>
      <c r="N543" s="41" t="s">
        <v>674</v>
      </c>
      <c r="O543" s="287">
        <v>21.09</v>
      </c>
      <c r="P543" s="287">
        <f>Tabla3[[#This Row],[COSTO UNITARIO DOLARES EN HAWTHORNE]]*Tabla3[[#This Row],[CANTIDAD SOLICTADA]]</f>
        <v>84.36</v>
      </c>
      <c r="Q543" s="41" t="s">
        <v>1812</v>
      </c>
      <c r="R543" s="229">
        <v>2.08</v>
      </c>
      <c r="S543" s="229">
        <f>+Tabla3[[#This Row],[COSTO UNITARIO DOLARES CTP]]*Tabla3[[#This Row],[CANTIDAD SOLICTADA]]</f>
        <v>8.32</v>
      </c>
      <c r="T543" s="41"/>
      <c r="U543" s="18" t="s">
        <v>5</v>
      </c>
      <c r="V543" s="211" t="s">
        <v>809</v>
      </c>
      <c r="W543" s="10"/>
      <c r="X543" s="11"/>
      <c r="Y543" s="10">
        <v>4</v>
      </c>
      <c r="Z543" s="16"/>
      <c r="AA543" s="16"/>
      <c r="AB543" s="16"/>
      <c r="AC543" s="16"/>
      <c r="AD543" s="16"/>
      <c r="AE543" s="16" t="s">
        <v>251</v>
      </c>
      <c r="AF543" s="16" t="s">
        <v>251</v>
      </c>
      <c r="AG543" s="21" t="s">
        <v>810</v>
      </c>
      <c r="XFD543" s="15" t="str">
        <f>+Tabla3[[#This Row],[ESTATUS DE NUM ECONOMICO]]</f>
        <v>INACTIVA</v>
      </c>
    </row>
    <row r="544" spans="1:33 16384:16384" ht="15.75" thickBot="1" x14ac:dyDescent="0.3">
      <c r="A544" s="8">
        <v>98</v>
      </c>
      <c r="B544" s="9">
        <v>46192</v>
      </c>
      <c r="C544" s="10" t="s">
        <v>87</v>
      </c>
      <c r="D544" s="11"/>
      <c r="E544" s="16">
        <v>20</v>
      </c>
      <c r="F544" s="9">
        <v>46193</v>
      </c>
      <c r="G544" s="212" t="str">
        <f>IFERROR(VLOOKUP(Tabla3[[#This Row],[NUM ECONOMICO]],MAQUINARIA!B:H,7,0), " MAQ")</f>
        <v>INACTIVA</v>
      </c>
      <c r="H544" s="214" t="s">
        <v>504</v>
      </c>
      <c r="I544" s="41" t="s">
        <v>778</v>
      </c>
      <c r="J544" s="10" t="s">
        <v>1833</v>
      </c>
      <c r="K544" s="10">
        <v>8</v>
      </c>
      <c r="L544" s="13">
        <v>1288.67</v>
      </c>
      <c r="M544" s="13">
        <f t="shared" si="8"/>
        <v>10309.36</v>
      </c>
      <c r="N544" s="41" t="s">
        <v>674</v>
      </c>
      <c r="O544" s="287">
        <v>81.56</v>
      </c>
      <c r="P544" s="287">
        <f>Tabla3[[#This Row],[COSTO UNITARIO DOLARES EN HAWTHORNE]]*Tabla3[[#This Row],[CANTIDAD SOLICTADA]]</f>
        <v>652.48</v>
      </c>
      <c r="Q544" s="41" t="s">
        <v>1812</v>
      </c>
      <c r="R544" s="229">
        <v>23.24</v>
      </c>
      <c r="S544" s="229">
        <f>+Tabla3[[#This Row],[COSTO UNITARIO DOLARES CTP]]*Tabla3[[#This Row],[CANTIDAD SOLICTADA]]</f>
        <v>185.92</v>
      </c>
      <c r="T544" s="41"/>
      <c r="U544" s="18" t="s">
        <v>5</v>
      </c>
      <c r="V544" s="211" t="s">
        <v>809</v>
      </c>
      <c r="W544" s="10"/>
      <c r="X544" s="11"/>
      <c r="Y544" s="10" t="s">
        <v>90</v>
      </c>
      <c r="Z544" s="16"/>
      <c r="AA544" s="16"/>
      <c r="AB544" s="16"/>
      <c r="AC544" s="16"/>
      <c r="AD544" s="16"/>
      <c r="AE544" s="16" t="s">
        <v>251</v>
      </c>
      <c r="AF544" s="16" t="s">
        <v>251</v>
      </c>
      <c r="AG544" s="21" t="s">
        <v>810</v>
      </c>
      <c r="XFD544" s="15" t="str">
        <f>+Tabla3[[#This Row],[ESTATUS DE NUM ECONOMICO]]</f>
        <v>INACTIVA</v>
      </c>
    </row>
    <row r="545" spans="1:33 16384:16384" ht="15.75" thickBot="1" x14ac:dyDescent="0.3">
      <c r="A545" s="8">
        <v>98</v>
      </c>
      <c r="B545" s="9">
        <v>46192</v>
      </c>
      <c r="C545" s="10" t="s">
        <v>87</v>
      </c>
      <c r="D545" s="11"/>
      <c r="E545" s="16">
        <v>20</v>
      </c>
      <c r="F545" s="9">
        <v>46193</v>
      </c>
      <c r="G545" s="212" t="str">
        <f>IFERROR(VLOOKUP(Tabla3[[#This Row],[NUM ECONOMICO]],MAQUINARIA!B:H,7,0), " MAQ")</f>
        <v>INACTIVA</v>
      </c>
      <c r="H545" s="214" t="s">
        <v>504</v>
      </c>
      <c r="I545" s="41" t="s">
        <v>822</v>
      </c>
      <c r="J545" s="10" t="s">
        <v>1834</v>
      </c>
      <c r="K545" s="10">
        <v>1</v>
      </c>
      <c r="L545" s="13">
        <v>40035.64</v>
      </c>
      <c r="M545" s="13">
        <f t="shared" si="8"/>
        <v>40035.64</v>
      </c>
      <c r="N545" s="41" t="s">
        <v>674</v>
      </c>
      <c r="O545" s="287">
        <v>925.55</v>
      </c>
      <c r="P545" s="287">
        <f>Tabla3[[#This Row],[COSTO UNITARIO DOLARES EN HAWTHORNE]]*Tabla3[[#This Row],[CANTIDAD SOLICTADA]]</f>
        <v>925.55</v>
      </c>
      <c r="Q545" s="41" t="s">
        <v>1812</v>
      </c>
      <c r="R545" s="229">
        <v>0</v>
      </c>
      <c r="S545" s="229">
        <f>+Tabla3[[#This Row],[COSTO UNITARIO DOLARES CTP]]*Tabla3[[#This Row],[CANTIDAD SOLICTADA]]</f>
        <v>0</v>
      </c>
      <c r="T545" s="41"/>
      <c r="U545" s="18" t="s">
        <v>5</v>
      </c>
      <c r="V545" s="211" t="s">
        <v>809</v>
      </c>
      <c r="W545" s="10"/>
      <c r="X545" s="11"/>
      <c r="Y545" s="10" t="s">
        <v>90</v>
      </c>
      <c r="Z545" s="16"/>
      <c r="AA545" s="16"/>
      <c r="AB545" s="16"/>
      <c r="AC545" s="16"/>
      <c r="AD545" s="16"/>
      <c r="AE545" s="16" t="s">
        <v>251</v>
      </c>
      <c r="AF545" s="16" t="s">
        <v>251</v>
      </c>
      <c r="AG545" s="21" t="s">
        <v>810</v>
      </c>
      <c r="XFD545" s="15" t="str">
        <f>+Tabla3[[#This Row],[ESTATUS DE NUM ECONOMICO]]</f>
        <v>INACTIVA</v>
      </c>
    </row>
    <row r="546" spans="1:33 16384:16384" ht="15.75" thickBot="1" x14ac:dyDescent="0.3">
      <c r="A546" s="8">
        <v>98</v>
      </c>
      <c r="B546" s="9">
        <v>46192</v>
      </c>
      <c r="C546" s="10" t="s">
        <v>87</v>
      </c>
      <c r="D546" s="11"/>
      <c r="E546" s="16">
        <v>20</v>
      </c>
      <c r="F546" s="9">
        <v>46193</v>
      </c>
      <c r="G546" s="212" t="str">
        <f>IFERROR(VLOOKUP(Tabla3[[#This Row],[NUM ECONOMICO]],MAQUINARIA!B:H,7,0), " MAQ")</f>
        <v>INACTIVA</v>
      </c>
      <c r="H546" s="214" t="s">
        <v>504</v>
      </c>
      <c r="I546" s="41" t="s">
        <v>823</v>
      </c>
      <c r="J546" s="10" t="s">
        <v>1837</v>
      </c>
      <c r="K546" s="10">
        <v>1</v>
      </c>
      <c r="L546" s="13">
        <v>48.8</v>
      </c>
      <c r="M546" s="13">
        <f t="shared" si="8"/>
        <v>48.8</v>
      </c>
      <c r="N546" s="41" t="s">
        <v>674</v>
      </c>
      <c r="O546" s="287">
        <v>3.41</v>
      </c>
      <c r="P546" s="287">
        <f>Tabla3[[#This Row],[COSTO UNITARIO DOLARES EN HAWTHORNE]]*Tabla3[[#This Row],[CANTIDAD SOLICTADA]]</f>
        <v>3.41</v>
      </c>
      <c r="Q546" s="41" t="s">
        <v>1812</v>
      </c>
      <c r="R546" s="229">
        <v>0.12</v>
      </c>
      <c r="S546" s="229">
        <f>+Tabla3[[#This Row],[COSTO UNITARIO DOLARES CTP]]*Tabla3[[#This Row],[CANTIDAD SOLICTADA]]</f>
        <v>0.12</v>
      </c>
      <c r="T546" s="41"/>
      <c r="U546" s="18" t="s">
        <v>5</v>
      </c>
      <c r="V546" s="211" t="s">
        <v>809</v>
      </c>
      <c r="W546" s="10"/>
      <c r="X546" s="11"/>
      <c r="Y546" s="10">
        <v>2</v>
      </c>
      <c r="Z546" s="16"/>
      <c r="AA546" s="16"/>
      <c r="AB546" s="16"/>
      <c r="AC546" s="16"/>
      <c r="AD546" s="16"/>
      <c r="AE546" s="16" t="s">
        <v>251</v>
      </c>
      <c r="AF546" s="16" t="s">
        <v>251</v>
      </c>
      <c r="AG546" s="21" t="s">
        <v>810</v>
      </c>
      <c r="XFD546" s="15" t="str">
        <f>+Tabla3[[#This Row],[ESTATUS DE NUM ECONOMICO]]</f>
        <v>INACTIVA</v>
      </c>
    </row>
    <row r="547" spans="1:33 16384:16384" ht="15.75" thickBot="1" x14ac:dyDescent="0.3">
      <c r="A547" s="8">
        <v>98</v>
      </c>
      <c r="B547" s="9">
        <v>46192</v>
      </c>
      <c r="C547" s="10" t="s">
        <v>87</v>
      </c>
      <c r="D547" s="11"/>
      <c r="E547" s="16">
        <v>20</v>
      </c>
      <c r="F547" s="9">
        <v>46193</v>
      </c>
      <c r="G547" s="212" t="str">
        <f>IFERROR(VLOOKUP(Tabla3[[#This Row],[NUM ECONOMICO]],MAQUINARIA!B:H,7,0), " MAQ")</f>
        <v>INACTIVA</v>
      </c>
      <c r="H547" s="214" t="s">
        <v>504</v>
      </c>
      <c r="I547" s="41" t="s">
        <v>824</v>
      </c>
      <c r="J547" s="10" t="s">
        <v>1835</v>
      </c>
      <c r="K547" s="10">
        <v>1</v>
      </c>
      <c r="L547" s="13">
        <v>7678.44</v>
      </c>
      <c r="M547" s="13">
        <f t="shared" si="8"/>
        <v>7678.44</v>
      </c>
      <c r="N547" s="41" t="s">
        <v>674</v>
      </c>
      <c r="O547" s="287">
        <v>432.75</v>
      </c>
      <c r="P547" s="287">
        <f>Tabla3[[#This Row],[COSTO UNITARIO DOLARES EN HAWTHORNE]]*Tabla3[[#This Row],[CANTIDAD SOLICTADA]]</f>
        <v>432.75</v>
      </c>
      <c r="Q547" s="41" t="s">
        <v>1836</v>
      </c>
      <c r="R547" s="229">
        <v>0</v>
      </c>
      <c r="S547" s="229">
        <f>+Tabla3[[#This Row],[COSTO UNITARIO DOLARES CTP]]*Tabla3[[#This Row],[CANTIDAD SOLICTADA]]</f>
        <v>0</v>
      </c>
      <c r="T547" s="41"/>
      <c r="U547" s="18" t="s">
        <v>5</v>
      </c>
      <c r="V547" s="211" t="s">
        <v>809</v>
      </c>
      <c r="W547" s="10"/>
      <c r="X547" s="11"/>
      <c r="Y547" s="10" t="s">
        <v>90</v>
      </c>
      <c r="Z547" s="16"/>
      <c r="AA547" s="16"/>
      <c r="AB547" s="16"/>
      <c r="AC547" s="16"/>
      <c r="AD547" s="16"/>
      <c r="AE547" s="16" t="s">
        <v>251</v>
      </c>
      <c r="AF547" s="16" t="s">
        <v>251</v>
      </c>
      <c r="AG547" s="21" t="s">
        <v>810</v>
      </c>
      <c r="XFD547" s="15" t="str">
        <f>+Tabla3[[#This Row],[ESTATUS DE NUM ECONOMICO]]</f>
        <v>INACTIVA</v>
      </c>
    </row>
    <row r="548" spans="1:33 16384:16384" ht="15.75" thickBot="1" x14ac:dyDescent="0.3">
      <c r="A548" s="8">
        <v>98</v>
      </c>
      <c r="B548" s="9">
        <v>46192</v>
      </c>
      <c r="C548" s="10" t="s">
        <v>87</v>
      </c>
      <c r="D548" s="11"/>
      <c r="E548" s="16">
        <v>20</v>
      </c>
      <c r="F548" s="9">
        <v>46193</v>
      </c>
      <c r="G548" s="212" t="str">
        <f>IFERROR(VLOOKUP(Tabla3[[#This Row],[NUM ECONOMICO]],MAQUINARIA!B:H,7,0), " MAQ")</f>
        <v>INACTIVA</v>
      </c>
      <c r="H548" s="214" t="s">
        <v>504</v>
      </c>
      <c r="I548" s="41" t="s">
        <v>1838</v>
      </c>
      <c r="J548" s="10" t="s">
        <v>1839</v>
      </c>
      <c r="K548" s="10">
        <v>1</v>
      </c>
      <c r="L548" s="13">
        <v>2731.44</v>
      </c>
      <c r="M548" s="13">
        <f t="shared" si="8"/>
        <v>2731.44</v>
      </c>
      <c r="N548" s="41" t="s">
        <v>674</v>
      </c>
      <c r="O548" s="287">
        <v>152.06</v>
      </c>
      <c r="P548" s="287">
        <f>Tabla3[[#This Row],[COSTO UNITARIO DOLARES EN HAWTHORNE]]*Tabla3[[#This Row],[CANTIDAD SOLICTADA]]</f>
        <v>152.06</v>
      </c>
      <c r="Q548" s="41" t="s">
        <v>674</v>
      </c>
      <c r="R548" s="229">
        <v>0</v>
      </c>
      <c r="S548" s="229">
        <f>+Tabla3[[#This Row],[COSTO UNITARIO DOLARES CTP]]*Tabla3[[#This Row],[CANTIDAD SOLICTADA]]</f>
        <v>0</v>
      </c>
      <c r="T548" s="41"/>
      <c r="U548" s="18" t="s">
        <v>5</v>
      </c>
      <c r="V548" s="211" t="s">
        <v>809</v>
      </c>
      <c r="W548" s="10"/>
      <c r="X548" s="11"/>
      <c r="Y548" s="10" t="s">
        <v>90</v>
      </c>
      <c r="Z548" s="16"/>
      <c r="AA548" s="16"/>
      <c r="AB548" s="16"/>
      <c r="AC548" s="16"/>
      <c r="AD548" s="16"/>
      <c r="AE548" s="16" t="s">
        <v>251</v>
      </c>
      <c r="AF548" s="16" t="s">
        <v>251</v>
      </c>
      <c r="AG548" s="21" t="s">
        <v>810</v>
      </c>
      <c r="XFD548" s="15" t="str">
        <f>+Tabla3[[#This Row],[ESTATUS DE NUM ECONOMICO]]</f>
        <v>INACTIVA</v>
      </c>
    </row>
    <row r="549" spans="1:33 16384:16384" ht="15.75" thickBot="1" x14ac:dyDescent="0.3">
      <c r="A549" s="8">
        <v>98</v>
      </c>
      <c r="B549" s="9">
        <v>46192</v>
      </c>
      <c r="C549" s="10" t="s">
        <v>87</v>
      </c>
      <c r="D549" s="11"/>
      <c r="E549" s="16">
        <v>20</v>
      </c>
      <c r="F549" s="9">
        <v>46193</v>
      </c>
      <c r="G549" s="212" t="str">
        <f>IFERROR(VLOOKUP(Tabla3[[#This Row],[NUM ECONOMICO]],MAQUINARIA!B:H,7,0), " MAQ")</f>
        <v>INACTIVA</v>
      </c>
      <c r="H549" s="214" t="s">
        <v>504</v>
      </c>
      <c r="I549" s="41" t="s">
        <v>825</v>
      </c>
      <c r="J549" s="10" t="s">
        <v>1840</v>
      </c>
      <c r="K549" s="10">
        <v>1</v>
      </c>
      <c r="L549" s="13">
        <v>41538.15</v>
      </c>
      <c r="M549" s="13">
        <f t="shared" si="8"/>
        <v>41538.15</v>
      </c>
      <c r="N549" s="41" t="s">
        <v>674</v>
      </c>
      <c r="O549" s="287">
        <v>1699.35</v>
      </c>
      <c r="P549" s="287">
        <f>Tabla3[[#This Row],[COSTO UNITARIO DOLARES EN HAWTHORNE]]*Tabla3[[#This Row],[CANTIDAD SOLICTADA]]</f>
        <v>1699.35</v>
      </c>
      <c r="Q549" s="41" t="s">
        <v>1841</v>
      </c>
      <c r="R549" s="229">
        <v>0</v>
      </c>
      <c r="S549" s="229">
        <f>+Tabla3[[#This Row],[COSTO UNITARIO DOLARES CTP]]*Tabla3[[#This Row],[CANTIDAD SOLICTADA]]</f>
        <v>0</v>
      </c>
      <c r="T549" s="41"/>
      <c r="U549" s="18" t="s">
        <v>5</v>
      </c>
      <c r="V549" s="211" t="s">
        <v>809</v>
      </c>
      <c r="W549" s="10"/>
      <c r="X549" s="11"/>
      <c r="Y549" s="10" t="s">
        <v>90</v>
      </c>
      <c r="Z549" s="16"/>
      <c r="AA549" s="16"/>
      <c r="AB549" s="16"/>
      <c r="AC549" s="16"/>
      <c r="AD549" s="16"/>
      <c r="AE549" s="16" t="s">
        <v>251</v>
      </c>
      <c r="AF549" s="16" t="s">
        <v>251</v>
      </c>
      <c r="AG549" s="21" t="s">
        <v>810</v>
      </c>
      <c r="XFD549" s="15" t="str">
        <f>+Tabla3[[#This Row],[ESTATUS DE NUM ECONOMICO]]</f>
        <v>INACTIVA</v>
      </c>
    </row>
    <row r="550" spans="1:33 16384:16384" ht="15.75" thickBot="1" x14ac:dyDescent="0.3">
      <c r="A550" s="8">
        <v>98</v>
      </c>
      <c r="B550" s="9">
        <v>46192</v>
      </c>
      <c r="C550" s="10" t="s">
        <v>87</v>
      </c>
      <c r="D550" s="11"/>
      <c r="E550" s="16">
        <v>20</v>
      </c>
      <c r="F550" s="9">
        <v>46193</v>
      </c>
      <c r="G550" s="212" t="str">
        <f>IFERROR(VLOOKUP(Tabla3[[#This Row],[NUM ECONOMICO]],MAQUINARIA!B:H,7,0), " MAQ")</f>
        <v>INACTIVA</v>
      </c>
      <c r="H550" s="214" t="s">
        <v>504</v>
      </c>
      <c r="I550" s="41">
        <v>1832823</v>
      </c>
      <c r="J550" s="10" t="s">
        <v>1842</v>
      </c>
      <c r="K550" s="10">
        <v>1</v>
      </c>
      <c r="L550" s="13">
        <v>4136.3599999999997</v>
      </c>
      <c r="M550" s="13">
        <f t="shared" si="8"/>
        <v>4136.3599999999997</v>
      </c>
      <c r="N550" s="41" t="s">
        <v>674</v>
      </c>
      <c r="O550" s="287">
        <v>239.05</v>
      </c>
      <c r="P550" s="287">
        <f>Tabla3[[#This Row],[COSTO UNITARIO DOLARES EN HAWTHORNE]]*Tabla3[[#This Row],[CANTIDAD SOLICTADA]]</f>
        <v>239.05</v>
      </c>
      <c r="Q550" s="41" t="s">
        <v>1812</v>
      </c>
      <c r="R550" s="229">
        <v>24.96</v>
      </c>
      <c r="S550" s="229">
        <f>+Tabla3[[#This Row],[COSTO UNITARIO DOLARES CTP]]*Tabla3[[#This Row],[CANTIDAD SOLICTADA]]</f>
        <v>24.96</v>
      </c>
      <c r="T550" s="41"/>
      <c r="U550" s="18" t="s">
        <v>5</v>
      </c>
      <c r="V550" s="211" t="s">
        <v>809</v>
      </c>
      <c r="W550" s="10"/>
      <c r="X550" s="11"/>
      <c r="Y550" s="10" t="s">
        <v>90</v>
      </c>
      <c r="Z550" s="16"/>
      <c r="AA550" s="16"/>
      <c r="AB550" s="16"/>
      <c r="AC550" s="16"/>
      <c r="AD550" s="16"/>
      <c r="AE550" s="16" t="s">
        <v>251</v>
      </c>
      <c r="AF550" s="16" t="s">
        <v>251</v>
      </c>
      <c r="AG550" s="21" t="s">
        <v>810</v>
      </c>
      <c r="XFD550" s="15" t="str">
        <f>+Tabla3[[#This Row],[ESTATUS DE NUM ECONOMICO]]</f>
        <v>INACTIVA</v>
      </c>
    </row>
    <row r="551" spans="1:33 16384:16384" ht="15.75" thickBot="1" x14ac:dyDescent="0.3">
      <c r="A551" s="8">
        <v>98</v>
      </c>
      <c r="B551" s="9">
        <v>46192</v>
      </c>
      <c r="C551" s="10" t="s">
        <v>87</v>
      </c>
      <c r="D551" s="11"/>
      <c r="E551" s="16">
        <v>20</v>
      </c>
      <c r="F551" s="9">
        <v>46193</v>
      </c>
      <c r="G551" s="212" t="str">
        <f>IFERROR(VLOOKUP(Tabla3[[#This Row],[NUM ECONOMICO]],MAQUINARIA!B:H,7,0), " MAQ")</f>
        <v>INACTIVA</v>
      </c>
      <c r="H551" s="214" t="s">
        <v>504</v>
      </c>
      <c r="I551" s="41" t="s">
        <v>811</v>
      </c>
      <c r="J551" s="10" t="s">
        <v>1843</v>
      </c>
      <c r="K551" s="10">
        <v>1</v>
      </c>
      <c r="L551" s="13">
        <v>2207.2800000000002</v>
      </c>
      <c r="M551" s="13">
        <f t="shared" si="8"/>
        <v>2207.2800000000002</v>
      </c>
      <c r="N551" s="41" t="s">
        <v>674</v>
      </c>
      <c r="O551" s="287">
        <v>122.89</v>
      </c>
      <c r="P551" s="287">
        <f>Tabla3[[#This Row],[COSTO UNITARIO DOLARES EN HAWTHORNE]]*Tabla3[[#This Row],[CANTIDAD SOLICTADA]]</f>
        <v>122.89</v>
      </c>
      <c r="Q551" s="41" t="s">
        <v>1812</v>
      </c>
      <c r="R551" s="229">
        <v>0</v>
      </c>
      <c r="S551" s="229">
        <f>+Tabla3[[#This Row],[COSTO UNITARIO DOLARES CTP]]*Tabla3[[#This Row],[CANTIDAD SOLICTADA]]</f>
        <v>0</v>
      </c>
      <c r="T551" s="41"/>
      <c r="U551" s="18" t="s">
        <v>5</v>
      </c>
      <c r="V551" s="211" t="s">
        <v>809</v>
      </c>
      <c r="W551" s="10"/>
      <c r="X551" s="11"/>
      <c r="Y551" s="10" t="s">
        <v>90</v>
      </c>
      <c r="Z551" s="16"/>
      <c r="AA551" s="16"/>
      <c r="AB551" s="16"/>
      <c r="AC551" s="16"/>
      <c r="AD551" s="16"/>
      <c r="AE551" s="16" t="s">
        <v>251</v>
      </c>
      <c r="AF551" s="16" t="s">
        <v>251</v>
      </c>
      <c r="AG551" s="21" t="s">
        <v>810</v>
      </c>
      <c r="XFD551" s="15" t="str">
        <f>+Tabla3[[#This Row],[ESTATUS DE NUM ECONOMICO]]</f>
        <v>INACTIVA</v>
      </c>
    </row>
    <row r="552" spans="1:33 16384:16384" ht="15.75" thickBot="1" x14ac:dyDescent="0.3">
      <c r="A552" s="8">
        <v>98</v>
      </c>
      <c r="B552" s="9">
        <v>46192</v>
      </c>
      <c r="C552" s="10" t="s">
        <v>87</v>
      </c>
      <c r="D552" s="11"/>
      <c r="E552" s="16">
        <v>20</v>
      </c>
      <c r="F552" s="9">
        <v>46193</v>
      </c>
      <c r="G552" s="212" t="str">
        <f>IFERROR(VLOOKUP(Tabla3[[#This Row],[NUM ECONOMICO]],MAQUINARIA!B:H,7,0), " MAQ")</f>
        <v>INACTIVA</v>
      </c>
      <c r="H552" s="214" t="s">
        <v>504</v>
      </c>
      <c r="I552" s="41" t="s">
        <v>826</v>
      </c>
      <c r="J552" s="10" t="s">
        <v>1844</v>
      </c>
      <c r="K552" s="10">
        <v>1</v>
      </c>
      <c r="L552" s="13">
        <v>894.22</v>
      </c>
      <c r="M552" s="13">
        <f t="shared" si="8"/>
        <v>894.22</v>
      </c>
      <c r="N552" s="41" t="s">
        <v>674</v>
      </c>
      <c r="O552" s="287">
        <v>58.18</v>
      </c>
      <c r="P552" s="287">
        <f>Tabla3[[#This Row],[COSTO UNITARIO DOLARES EN HAWTHORNE]]*Tabla3[[#This Row],[CANTIDAD SOLICTADA]]</f>
        <v>58.18</v>
      </c>
      <c r="Q552" s="41" t="s">
        <v>1812</v>
      </c>
      <c r="R552" s="229">
        <v>0</v>
      </c>
      <c r="S552" s="229">
        <f>+Tabla3[[#This Row],[COSTO UNITARIO DOLARES CTP]]*Tabla3[[#This Row],[CANTIDAD SOLICTADA]]</f>
        <v>0</v>
      </c>
      <c r="T552" s="41"/>
      <c r="U552" s="18" t="s">
        <v>5</v>
      </c>
      <c r="V552" s="211" t="s">
        <v>809</v>
      </c>
      <c r="W552" s="10"/>
      <c r="X552" s="11"/>
      <c r="Y552" s="10" t="s">
        <v>90</v>
      </c>
      <c r="Z552" s="16"/>
      <c r="AA552" s="16"/>
      <c r="AB552" s="16"/>
      <c r="AC552" s="16"/>
      <c r="AD552" s="16"/>
      <c r="AE552" s="16" t="s">
        <v>251</v>
      </c>
      <c r="AF552" s="16" t="s">
        <v>251</v>
      </c>
      <c r="AG552" s="21" t="s">
        <v>810</v>
      </c>
      <c r="XFD552" s="15" t="str">
        <f>+Tabla3[[#This Row],[ESTATUS DE NUM ECONOMICO]]</f>
        <v>INACTIVA</v>
      </c>
    </row>
    <row r="553" spans="1:33 16384:16384" ht="15.75" thickBot="1" x14ac:dyDescent="0.3">
      <c r="A553" s="8">
        <v>98</v>
      </c>
      <c r="B553" s="9">
        <v>46192</v>
      </c>
      <c r="C553" s="10" t="s">
        <v>87</v>
      </c>
      <c r="D553" s="11"/>
      <c r="E553" s="16">
        <v>20</v>
      </c>
      <c r="F553" s="9">
        <v>46193</v>
      </c>
      <c r="G553" s="212" t="str">
        <f>IFERROR(VLOOKUP(Tabla3[[#This Row],[NUM ECONOMICO]],MAQUINARIA!B:H,7,0), " MAQ")</f>
        <v>INACTIVA</v>
      </c>
      <c r="H553" s="214" t="s">
        <v>504</v>
      </c>
      <c r="I553" s="41" t="s">
        <v>827</v>
      </c>
      <c r="J553" s="10" t="s">
        <v>1845</v>
      </c>
      <c r="K553" s="10">
        <v>1</v>
      </c>
      <c r="L553" s="13">
        <v>16399.03</v>
      </c>
      <c r="M553" s="13">
        <f t="shared" si="8"/>
        <v>16399.03</v>
      </c>
      <c r="N553" s="41" t="s">
        <v>674</v>
      </c>
      <c r="O553" s="287">
        <v>913</v>
      </c>
      <c r="P553" s="287">
        <f>Tabla3[[#This Row],[COSTO UNITARIO DOLARES EN HAWTHORNE]]*Tabla3[[#This Row],[CANTIDAD SOLICTADA]]</f>
        <v>913</v>
      </c>
      <c r="Q553" s="41" t="s">
        <v>1812</v>
      </c>
      <c r="R553" s="229">
        <v>121.96</v>
      </c>
      <c r="S553" s="229">
        <f>+Tabla3[[#This Row],[COSTO UNITARIO DOLARES CTP]]*Tabla3[[#This Row],[CANTIDAD SOLICTADA]]</f>
        <v>121.96</v>
      </c>
      <c r="T553" s="41"/>
      <c r="U553" s="18" t="s">
        <v>5</v>
      </c>
      <c r="V553" s="211" t="s">
        <v>809</v>
      </c>
      <c r="W553" s="10"/>
      <c r="X553" s="11"/>
      <c r="Y553" s="10">
        <v>0</v>
      </c>
      <c r="Z553" s="16"/>
      <c r="AA553" s="16"/>
      <c r="AB553" s="16"/>
      <c r="AC553" s="16"/>
      <c r="AD553" s="16"/>
      <c r="AE553" s="16" t="s">
        <v>251</v>
      </c>
      <c r="AF553" s="16" t="s">
        <v>251</v>
      </c>
      <c r="AG553" s="21" t="s">
        <v>810</v>
      </c>
      <c r="XFD553" s="15" t="str">
        <f>+Tabla3[[#This Row],[ESTATUS DE NUM ECONOMICO]]</f>
        <v>INACTIVA</v>
      </c>
    </row>
    <row r="554" spans="1:33 16384:16384" ht="15.75" thickBot="1" x14ac:dyDescent="0.3">
      <c r="A554" s="8">
        <v>98</v>
      </c>
      <c r="B554" s="9">
        <v>46192</v>
      </c>
      <c r="C554" s="10" t="s">
        <v>87</v>
      </c>
      <c r="D554" s="11"/>
      <c r="E554" s="16">
        <v>20</v>
      </c>
      <c r="F554" s="9">
        <v>46193</v>
      </c>
      <c r="G554" s="212" t="str">
        <f>IFERROR(VLOOKUP(Tabla3[[#This Row],[NUM ECONOMICO]],MAQUINARIA!B:H,7,0), " MAQ")</f>
        <v>INACTIVA</v>
      </c>
      <c r="H554" s="214" t="s">
        <v>504</v>
      </c>
      <c r="I554" s="41" t="s">
        <v>828</v>
      </c>
      <c r="J554" s="10" t="s">
        <v>1846</v>
      </c>
      <c r="K554" s="10">
        <v>1</v>
      </c>
      <c r="L554" s="13">
        <v>17828.060000000001</v>
      </c>
      <c r="M554" s="13">
        <f t="shared" si="8"/>
        <v>17828.060000000001</v>
      </c>
      <c r="N554" s="41" t="s">
        <v>674</v>
      </c>
      <c r="O554" s="287">
        <v>992.52</v>
      </c>
      <c r="P554" s="287">
        <f>Tabla3[[#This Row],[COSTO UNITARIO DOLARES EN HAWTHORNE]]*Tabla3[[#This Row],[CANTIDAD SOLICTADA]]</f>
        <v>992.52</v>
      </c>
      <c r="Q554" s="41" t="s">
        <v>1812</v>
      </c>
      <c r="R554" s="229">
        <v>126.32</v>
      </c>
      <c r="S554" s="229">
        <f>+Tabla3[[#This Row],[COSTO UNITARIO DOLARES CTP]]*Tabla3[[#This Row],[CANTIDAD SOLICTADA]]</f>
        <v>126.32</v>
      </c>
      <c r="T554" s="41"/>
      <c r="U554" s="18" t="s">
        <v>5</v>
      </c>
      <c r="V554" s="211" t="s">
        <v>809</v>
      </c>
      <c r="W554" s="10"/>
      <c r="X554" s="11"/>
      <c r="Y554" s="10">
        <v>1</v>
      </c>
      <c r="Z554" s="16"/>
      <c r="AA554" s="16"/>
      <c r="AB554" s="16"/>
      <c r="AC554" s="16"/>
      <c r="AD554" s="16"/>
      <c r="AE554" s="16" t="s">
        <v>251</v>
      </c>
      <c r="AF554" s="16" t="s">
        <v>251</v>
      </c>
      <c r="AG554" s="21" t="s">
        <v>810</v>
      </c>
      <c r="XFD554" s="15" t="str">
        <f>+Tabla3[[#This Row],[ESTATUS DE NUM ECONOMICO]]</f>
        <v>INACTIVA</v>
      </c>
    </row>
    <row r="555" spans="1:33 16384:16384" ht="15.75" thickBot="1" x14ac:dyDescent="0.3">
      <c r="A555" s="8">
        <v>98</v>
      </c>
      <c r="B555" s="9">
        <v>46192</v>
      </c>
      <c r="C555" s="10" t="s">
        <v>87</v>
      </c>
      <c r="D555" s="11"/>
      <c r="E555" s="16">
        <v>20</v>
      </c>
      <c r="F555" s="9">
        <v>46193</v>
      </c>
      <c r="G555" s="212" t="str">
        <f>IFERROR(VLOOKUP(Tabla3[[#This Row],[NUM ECONOMICO]],MAQUINARIA!B:H,7,0), " MAQ")</f>
        <v>INACTIVA</v>
      </c>
      <c r="H555" s="214" t="s">
        <v>504</v>
      </c>
      <c r="I555" s="41" t="s">
        <v>153</v>
      </c>
      <c r="J555" s="10" t="s">
        <v>1847</v>
      </c>
      <c r="K555" s="10">
        <v>1</v>
      </c>
      <c r="L555" s="13">
        <v>170.24</v>
      </c>
      <c r="M555" s="13">
        <f t="shared" si="8"/>
        <v>170.24</v>
      </c>
      <c r="N555" s="41" t="s">
        <v>674</v>
      </c>
      <c r="O555" s="287">
        <v>11.73</v>
      </c>
      <c r="P555" s="287">
        <f>Tabla3[[#This Row],[COSTO UNITARIO DOLARES EN HAWTHORNE]]*Tabla3[[#This Row],[CANTIDAD SOLICTADA]]</f>
        <v>11.73</v>
      </c>
      <c r="Q555" s="41" t="s">
        <v>1812</v>
      </c>
      <c r="R555" s="229">
        <v>3.98</v>
      </c>
      <c r="S555" s="229">
        <f>+Tabla3[[#This Row],[COSTO UNITARIO DOLARES CTP]]*Tabla3[[#This Row],[CANTIDAD SOLICTADA]]</f>
        <v>3.98</v>
      </c>
      <c r="T555" s="41"/>
      <c r="U555" s="18" t="s">
        <v>5</v>
      </c>
      <c r="V555" s="211" t="s">
        <v>809</v>
      </c>
      <c r="W555" s="10"/>
      <c r="X555" s="11"/>
      <c r="Y555" s="10">
        <v>22</v>
      </c>
      <c r="Z555" s="16"/>
      <c r="AA555" s="16"/>
      <c r="AB555" s="16"/>
      <c r="AC555" s="16"/>
      <c r="AD555" s="16"/>
      <c r="AE555" s="16" t="s">
        <v>251</v>
      </c>
      <c r="AF555" s="16" t="s">
        <v>251</v>
      </c>
      <c r="AG555" s="21" t="s">
        <v>810</v>
      </c>
      <c r="XFD555" s="15" t="str">
        <f>+Tabla3[[#This Row],[ESTATUS DE NUM ECONOMICO]]</f>
        <v>INACTIVA</v>
      </c>
    </row>
    <row r="556" spans="1:33 16384:16384" ht="15.75" thickBot="1" x14ac:dyDescent="0.3">
      <c r="A556" s="8">
        <v>98</v>
      </c>
      <c r="B556" s="9">
        <v>46192</v>
      </c>
      <c r="C556" s="10" t="s">
        <v>87</v>
      </c>
      <c r="D556" s="11"/>
      <c r="E556" s="16">
        <v>20</v>
      </c>
      <c r="F556" s="9">
        <v>46193</v>
      </c>
      <c r="G556" s="212" t="str">
        <f>IFERROR(VLOOKUP(Tabla3[[#This Row],[NUM ECONOMICO]],MAQUINARIA!B:H,7,0), " MAQ")</f>
        <v>INACTIVA</v>
      </c>
      <c r="H556" s="214" t="s">
        <v>504</v>
      </c>
      <c r="I556" s="41" t="s">
        <v>829</v>
      </c>
      <c r="J556" s="10" t="s">
        <v>1848</v>
      </c>
      <c r="K556" s="10">
        <v>1</v>
      </c>
      <c r="L556" s="13">
        <v>2391.12</v>
      </c>
      <c r="M556" s="13">
        <f t="shared" si="8"/>
        <v>2391.12</v>
      </c>
      <c r="N556" s="41" t="s">
        <v>674</v>
      </c>
      <c r="O556" s="287">
        <v>136.93</v>
      </c>
      <c r="P556" s="287">
        <f>Tabla3[[#This Row],[COSTO UNITARIO DOLARES EN HAWTHORNE]]*Tabla3[[#This Row],[CANTIDAD SOLICTADA]]</f>
        <v>136.93</v>
      </c>
      <c r="Q556" s="41" t="s">
        <v>1812</v>
      </c>
      <c r="R556" s="229"/>
      <c r="S556" s="229">
        <f>+Tabla3[[#This Row],[COSTO UNITARIO DOLARES CTP]]*Tabla3[[#This Row],[CANTIDAD SOLICTADA]]</f>
        <v>0</v>
      </c>
      <c r="T556" s="41"/>
      <c r="U556" s="18" t="s">
        <v>5</v>
      </c>
      <c r="V556" s="211" t="s">
        <v>809</v>
      </c>
      <c r="W556" s="10"/>
      <c r="X556" s="11"/>
      <c r="Y556" s="10">
        <v>2</v>
      </c>
      <c r="Z556" s="16"/>
      <c r="AA556" s="16"/>
      <c r="AB556" s="16"/>
      <c r="AC556" s="16"/>
      <c r="AD556" s="16"/>
      <c r="AE556" s="16" t="s">
        <v>251</v>
      </c>
      <c r="AF556" s="16" t="s">
        <v>251</v>
      </c>
      <c r="AG556" s="21" t="s">
        <v>810</v>
      </c>
      <c r="XFD556" s="15" t="str">
        <f>+Tabla3[[#This Row],[ESTATUS DE NUM ECONOMICO]]</f>
        <v>INACTIVA</v>
      </c>
    </row>
    <row r="557" spans="1:33 16384:16384" ht="15.75" thickBot="1" x14ac:dyDescent="0.3">
      <c r="A557" s="8">
        <v>98</v>
      </c>
      <c r="B557" s="9">
        <v>46192</v>
      </c>
      <c r="C557" s="10" t="s">
        <v>87</v>
      </c>
      <c r="D557" s="11"/>
      <c r="E557" s="16">
        <v>20</v>
      </c>
      <c r="F557" s="9">
        <v>46193</v>
      </c>
      <c r="G557" s="212" t="str">
        <f>IFERROR(VLOOKUP(Tabla3[[#This Row],[NUM ECONOMICO]],MAQUINARIA!B:H,7,0), " MAQ")</f>
        <v>INACTIVA</v>
      </c>
      <c r="H557" s="214" t="s">
        <v>504</v>
      </c>
      <c r="I557" s="41" t="s">
        <v>781</v>
      </c>
      <c r="J557" s="10" t="s">
        <v>1849</v>
      </c>
      <c r="K557" s="10">
        <v>8</v>
      </c>
      <c r="L557" s="13">
        <v>43.61</v>
      </c>
      <c r="M557" s="13">
        <f t="shared" si="8"/>
        <v>348.88</v>
      </c>
      <c r="N557" s="41" t="s">
        <v>674</v>
      </c>
      <c r="O557" s="287">
        <v>3</v>
      </c>
      <c r="P557" s="287">
        <f>Tabla3[[#This Row],[COSTO UNITARIO DOLARES EN HAWTHORNE]]*Tabla3[[#This Row],[CANTIDAD SOLICTADA]]</f>
        <v>24</v>
      </c>
      <c r="Q557" s="41" t="s">
        <v>1812</v>
      </c>
      <c r="R557" s="229">
        <v>1.71</v>
      </c>
      <c r="S557" s="229">
        <f>+Tabla3[[#This Row],[COSTO UNITARIO DOLARES CTP]]*Tabla3[[#This Row],[CANTIDAD SOLICTADA]]</f>
        <v>13.68</v>
      </c>
      <c r="T557" s="41"/>
      <c r="U557" s="18" t="s">
        <v>5</v>
      </c>
      <c r="V557" s="211" t="s">
        <v>809</v>
      </c>
      <c r="W557" s="10"/>
      <c r="X557" s="11"/>
      <c r="Y557" s="10">
        <v>34</v>
      </c>
      <c r="Z557" s="16"/>
      <c r="AA557" s="16"/>
      <c r="AB557" s="16"/>
      <c r="AC557" s="16"/>
      <c r="AD557" s="16"/>
      <c r="AE557" s="16" t="s">
        <v>251</v>
      </c>
      <c r="AF557" s="16" t="s">
        <v>251</v>
      </c>
      <c r="AG557" s="21" t="s">
        <v>810</v>
      </c>
      <c r="XFD557" s="15" t="str">
        <f>+Tabla3[[#This Row],[ESTATUS DE NUM ECONOMICO]]</f>
        <v>INACTIVA</v>
      </c>
    </row>
    <row r="558" spans="1:33 16384:16384" ht="15.75" thickBot="1" x14ac:dyDescent="0.3">
      <c r="A558" s="8">
        <v>98</v>
      </c>
      <c r="B558" s="9">
        <v>46192</v>
      </c>
      <c r="C558" s="10" t="s">
        <v>87</v>
      </c>
      <c r="D558" s="11"/>
      <c r="E558" s="16">
        <v>20</v>
      </c>
      <c r="F558" s="9">
        <v>46193</v>
      </c>
      <c r="G558" s="212" t="str">
        <f>IFERROR(VLOOKUP(Tabla3[[#This Row],[NUM ECONOMICO]],MAQUINARIA!B:H,7,0), " MAQ")</f>
        <v>INACTIVA</v>
      </c>
      <c r="H558" s="214" t="s">
        <v>504</v>
      </c>
      <c r="I558" s="41" t="s">
        <v>831</v>
      </c>
      <c r="J558" s="10" t="s">
        <v>1850</v>
      </c>
      <c r="K558" s="10">
        <v>2</v>
      </c>
      <c r="L558" s="13">
        <v>355.75</v>
      </c>
      <c r="M558" s="13">
        <f t="shared" si="8"/>
        <v>711.5</v>
      </c>
      <c r="N558" s="41" t="s">
        <v>674</v>
      </c>
      <c r="O558" s="287">
        <v>24.11</v>
      </c>
      <c r="P558" s="287">
        <f>Tabla3[[#This Row],[COSTO UNITARIO DOLARES EN HAWTHORNE]]*Tabla3[[#This Row],[CANTIDAD SOLICTADA]]</f>
        <v>48.22</v>
      </c>
      <c r="Q558" s="41" t="s">
        <v>1812</v>
      </c>
      <c r="R558" s="229">
        <v>3.47</v>
      </c>
      <c r="S558" s="229">
        <f>+Tabla3[[#This Row],[COSTO UNITARIO DOLARES CTP]]*Tabla3[[#This Row],[CANTIDAD SOLICTADA]]</f>
        <v>6.94</v>
      </c>
      <c r="T558" s="41"/>
      <c r="U558" s="18" t="s">
        <v>5</v>
      </c>
      <c r="V558" s="211" t="s">
        <v>809</v>
      </c>
      <c r="W558" s="10"/>
      <c r="X558" s="11"/>
      <c r="Y558" s="10" t="s">
        <v>90</v>
      </c>
      <c r="Z558" s="16"/>
      <c r="AA558" s="16"/>
      <c r="AB558" s="16"/>
      <c r="AC558" s="16"/>
      <c r="AD558" s="16"/>
      <c r="AE558" s="16" t="s">
        <v>251</v>
      </c>
      <c r="AF558" s="16" t="s">
        <v>251</v>
      </c>
      <c r="AG558" s="21" t="s">
        <v>810</v>
      </c>
      <c r="XFD558" s="15" t="str">
        <f>+Tabla3[[#This Row],[ESTATUS DE NUM ECONOMICO]]</f>
        <v>INACTIVA</v>
      </c>
    </row>
    <row r="559" spans="1:33 16384:16384" ht="15.75" thickBot="1" x14ac:dyDescent="0.3">
      <c r="A559" s="8">
        <v>98</v>
      </c>
      <c r="B559" s="9">
        <v>46192</v>
      </c>
      <c r="C559" s="10" t="s">
        <v>87</v>
      </c>
      <c r="D559" s="11"/>
      <c r="E559" s="16">
        <v>20</v>
      </c>
      <c r="F559" s="9">
        <v>46193</v>
      </c>
      <c r="G559" s="212" t="str">
        <f>IFERROR(VLOOKUP(Tabla3[[#This Row],[NUM ECONOMICO]],MAQUINARIA!B:H,7,0), " MAQ")</f>
        <v>INACTIVA</v>
      </c>
      <c r="H559" s="214" t="s">
        <v>504</v>
      </c>
      <c r="I559" s="41" t="s">
        <v>832</v>
      </c>
      <c r="J559" s="10" t="s">
        <v>1851</v>
      </c>
      <c r="K559" s="10">
        <v>2</v>
      </c>
      <c r="L559" s="13">
        <v>51.46</v>
      </c>
      <c r="M559" s="13">
        <f t="shared" si="8"/>
        <v>102.92</v>
      </c>
      <c r="N559" s="41" t="s">
        <v>674</v>
      </c>
      <c r="O559" s="287">
        <v>3.59</v>
      </c>
      <c r="P559" s="287">
        <f>Tabla3[[#This Row],[COSTO UNITARIO DOLARES EN HAWTHORNE]]*Tabla3[[#This Row],[CANTIDAD SOLICTADA]]</f>
        <v>7.18</v>
      </c>
      <c r="Q559" s="43" t="s">
        <v>1812</v>
      </c>
      <c r="R559" s="230">
        <v>0.2</v>
      </c>
      <c r="S559" s="230">
        <f>+Tabla3[[#This Row],[COSTO UNITARIO DOLARES CTP]]*Tabla3[[#This Row],[CANTIDAD SOLICTADA]]</f>
        <v>0.4</v>
      </c>
      <c r="T559" s="43"/>
      <c r="U559" s="31" t="s">
        <v>5</v>
      </c>
      <c r="V559" s="211" t="s">
        <v>809</v>
      </c>
      <c r="W559" s="10"/>
      <c r="X559" s="11"/>
      <c r="Y559" s="10" t="s">
        <v>90</v>
      </c>
      <c r="Z559" s="16"/>
      <c r="AA559" s="16"/>
      <c r="AB559" s="16"/>
      <c r="AC559" s="16"/>
      <c r="AD559" s="16"/>
      <c r="AE559" s="16" t="s">
        <v>251</v>
      </c>
      <c r="AF559" s="16" t="s">
        <v>251</v>
      </c>
      <c r="AG559" s="21" t="s">
        <v>810</v>
      </c>
      <c r="XFD559" s="15" t="str">
        <f>+Tabla3[[#This Row],[ESTATUS DE NUM ECONOMICO]]</f>
        <v>INACTIVA</v>
      </c>
    </row>
    <row r="560" spans="1:33 16384:16384" ht="15.75" thickBot="1" x14ac:dyDescent="0.3">
      <c r="A560" s="8">
        <v>99</v>
      </c>
      <c r="B560" s="9">
        <v>46192</v>
      </c>
      <c r="C560" s="10" t="s">
        <v>87</v>
      </c>
      <c r="D560" s="11"/>
      <c r="E560" s="16">
        <v>66</v>
      </c>
      <c r="F560" s="9">
        <v>46192</v>
      </c>
      <c r="G560" s="212" t="str">
        <f>IFERROR(VLOOKUP(Tabla3[[#This Row],[NUM ECONOMICO]],MAQUINARIA!B:H,7,0), " MAQ")</f>
        <v>INACTIVA</v>
      </c>
      <c r="H560" s="214" t="s">
        <v>210</v>
      </c>
      <c r="I560" s="41">
        <v>5984550</v>
      </c>
      <c r="J560" s="10"/>
      <c r="K560" s="10">
        <v>4</v>
      </c>
      <c r="L560" s="13">
        <v>25040.75</v>
      </c>
      <c r="M560" s="13">
        <f t="shared" si="8"/>
        <v>100163</v>
      </c>
      <c r="N560" s="41"/>
      <c r="O560" s="10"/>
      <c r="P560" s="10">
        <f>Tabla3[[#This Row],[COSTO UNITARIO DOLARES EN HAWTHORNE]]*Tabla3[[#This Row],[CANTIDAD SOLICTADA]]</f>
        <v>0</v>
      </c>
      <c r="Q560" s="208"/>
      <c r="R560" s="231"/>
      <c r="S560" s="231">
        <f>+Tabla3[[#This Row],[COSTO UNITARIO DOLARES CTP]]*Tabla3[[#This Row],[CANTIDAD SOLICTADA]]</f>
        <v>0</v>
      </c>
      <c r="T560" s="208"/>
      <c r="U560" s="24" t="s">
        <v>4</v>
      </c>
      <c r="V560" s="8" t="s">
        <v>833</v>
      </c>
      <c r="W560" s="9">
        <v>46196</v>
      </c>
      <c r="X560" s="10" t="s">
        <v>96</v>
      </c>
      <c r="Y560" s="10" t="s">
        <v>90</v>
      </c>
      <c r="Z560" s="16" t="s">
        <v>44</v>
      </c>
      <c r="AA560" s="25">
        <v>46202</v>
      </c>
      <c r="AB560" s="25">
        <v>46202</v>
      </c>
      <c r="AC560" s="16" t="s">
        <v>109</v>
      </c>
      <c r="AD560" s="16"/>
      <c r="AE560" s="16" t="s">
        <v>834</v>
      </c>
      <c r="AF560" s="27" t="s">
        <v>835</v>
      </c>
      <c r="AG560" s="21" t="s">
        <v>836</v>
      </c>
      <c r="XFD560" s="15" t="str">
        <f>+Tabla3[[#This Row],[ESTATUS DE NUM ECONOMICO]]</f>
        <v>INACTIVA</v>
      </c>
    </row>
    <row r="561" spans="1:33 16384:16384" ht="15.75" thickBot="1" x14ac:dyDescent="0.3">
      <c r="A561" s="8">
        <v>99</v>
      </c>
      <c r="B561" s="9">
        <v>46192</v>
      </c>
      <c r="C561" s="10" t="s">
        <v>87</v>
      </c>
      <c r="D561" s="11"/>
      <c r="E561" s="16">
        <v>66</v>
      </c>
      <c r="F561" s="9">
        <v>46192</v>
      </c>
      <c r="G561" s="212" t="str">
        <f>IFERROR(VLOOKUP(Tabla3[[#This Row],[NUM ECONOMICO]],MAQUINARIA!B:H,7,0), " MAQ")</f>
        <v>INACTIVA</v>
      </c>
      <c r="H561" s="214" t="s">
        <v>210</v>
      </c>
      <c r="I561" s="41">
        <v>1844396</v>
      </c>
      <c r="J561" s="10"/>
      <c r="K561" s="10">
        <v>8</v>
      </c>
      <c r="L561" s="12"/>
      <c r="M561" s="13">
        <f t="shared" si="8"/>
        <v>0</v>
      </c>
      <c r="N561" s="41"/>
      <c r="O561" s="10"/>
      <c r="P561" s="10">
        <f>Tabla3[[#This Row],[COSTO UNITARIO DOLARES EN HAWTHORNE]]*Tabla3[[#This Row],[CANTIDAD SOLICTADA]]</f>
        <v>0</v>
      </c>
      <c r="Q561" s="41"/>
      <c r="R561" s="229"/>
      <c r="S561" s="229">
        <f>+Tabla3[[#This Row],[COSTO UNITARIO DOLARES CTP]]*Tabla3[[#This Row],[CANTIDAD SOLICTADA]]</f>
        <v>0</v>
      </c>
      <c r="T561" s="41"/>
      <c r="U561" s="14" t="s">
        <v>4</v>
      </c>
      <c r="V561" s="8" t="s">
        <v>833</v>
      </c>
      <c r="W561" s="9">
        <v>46196</v>
      </c>
      <c r="X561" s="10" t="s">
        <v>96</v>
      </c>
      <c r="Y561" s="10" t="s">
        <v>90</v>
      </c>
      <c r="Z561" s="16"/>
      <c r="AA561" s="16"/>
      <c r="AB561" s="16"/>
      <c r="AC561" s="16"/>
      <c r="AD561" s="16"/>
      <c r="AE561" s="16" t="s">
        <v>837</v>
      </c>
      <c r="AF561" s="16"/>
      <c r="AG561" s="21" t="s">
        <v>836</v>
      </c>
      <c r="XFD561" s="15" t="str">
        <f>+Tabla3[[#This Row],[ESTATUS DE NUM ECONOMICO]]</f>
        <v>INACTIVA</v>
      </c>
    </row>
    <row r="562" spans="1:33 16384:16384" ht="15.75" thickBot="1" x14ac:dyDescent="0.3">
      <c r="A562" s="8">
        <v>99</v>
      </c>
      <c r="B562" s="9">
        <v>46192</v>
      </c>
      <c r="C562" s="10" t="s">
        <v>87</v>
      </c>
      <c r="D562" s="11"/>
      <c r="E562" s="16">
        <v>66</v>
      </c>
      <c r="F562" s="9">
        <v>46192</v>
      </c>
      <c r="G562" s="212" t="str">
        <f>IFERROR(VLOOKUP(Tabla3[[#This Row],[NUM ECONOMICO]],MAQUINARIA!B:H,7,0), " MAQ")</f>
        <v>INACTIVA</v>
      </c>
      <c r="H562" s="214" t="s">
        <v>210</v>
      </c>
      <c r="I562" s="41" t="s">
        <v>838</v>
      </c>
      <c r="J562" s="10"/>
      <c r="K562" s="10">
        <v>16</v>
      </c>
      <c r="L562" s="13">
        <v>55.3</v>
      </c>
      <c r="M562" s="13">
        <f t="shared" si="8"/>
        <v>884.8</v>
      </c>
      <c r="N562" s="41"/>
      <c r="O562" s="10"/>
      <c r="P562" s="10">
        <f>Tabla3[[#This Row],[COSTO UNITARIO DOLARES EN HAWTHORNE]]*Tabla3[[#This Row],[CANTIDAD SOLICTADA]]</f>
        <v>0</v>
      </c>
      <c r="Q562" s="41"/>
      <c r="R562" s="229"/>
      <c r="S562" s="229">
        <f>+Tabla3[[#This Row],[COSTO UNITARIO DOLARES CTP]]*Tabla3[[#This Row],[CANTIDAD SOLICTADA]]</f>
        <v>0</v>
      </c>
      <c r="T562" s="41"/>
      <c r="U562" s="20" t="s">
        <v>4</v>
      </c>
      <c r="V562" s="8" t="s">
        <v>833</v>
      </c>
      <c r="W562" s="10"/>
      <c r="X562" s="10" t="s">
        <v>89</v>
      </c>
      <c r="Y562" s="10">
        <v>0</v>
      </c>
      <c r="Z562" s="16"/>
      <c r="AA562" s="16"/>
      <c r="AB562" s="16"/>
      <c r="AC562" s="16"/>
      <c r="AD562" s="16"/>
      <c r="AE562" s="16" t="s">
        <v>251</v>
      </c>
      <c r="AF562" s="16"/>
      <c r="AG562" s="21" t="s">
        <v>836</v>
      </c>
      <c r="XFD562" s="15" t="str">
        <f>+Tabla3[[#This Row],[ESTATUS DE NUM ECONOMICO]]</f>
        <v>INACTIVA</v>
      </c>
    </row>
    <row r="563" spans="1:33 16384:16384" ht="15.75" thickBot="1" x14ac:dyDescent="0.3">
      <c r="A563" s="8">
        <v>99</v>
      </c>
      <c r="B563" s="9">
        <v>46192</v>
      </c>
      <c r="C563" s="10" t="s">
        <v>87</v>
      </c>
      <c r="D563" s="11"/>
      <c r="E563" s="16">
        <v>66</v>
      </c>
      <c r="F563" s="9">
        <v>46192</v>
      </c>
      <c r="G563" s="212" t="str">
        <f>IFERROR(VLOOKUP(Tabla3[[#This Row],[NUM ECONOMICO]],MAQUINARIA!B:H,7,0), " MAQ")</f>
        <v>INACTIVA</v>
      </c>
      <c r="H563" s="214" t="s">
        <v>210</v>
      </c>
      <c r="I563" s="41" t="s">
        <v>839</v>
      </c>
      <c r="J563" s="10"/>
      <c r="K563" s="10">
        <v>16</v>
      </c>
      <c r="L563" s="13">
        <v>314.12</v>
      </c>
      <c r="M563" s="13">
        <f t="shared" si="8"/>
        <v>5025.92</v>
      </c>
      <c r="N563" s="41"/>
      <c r="O563" s="10"/>
      <c r="P563" s="10">
        <f>Tabla3[[#This Row],[COSTO UNITARIO DOLARES EN HAWTHORNE]]*Tabla3[[#This Row],[CANTIDAD SOLICTADA]]</f>
        <v>0</v>
      </c>
      <c r="Q563" s="41"/>
      <c r="R563" s="229"/>
      <c r="S563" s="229">
        <f>+Tabla3[[#This Row],[COSTO UNITARIO DOLARES CTP]]*Tabla3[[#This Row],[CANTIDAD SOLICTADA]]</f>
        <v>0</v>
      </c>
      <c r="T563" s="41"/>
      <c r="U563" s="20" t="s">
        <v>161</v>
      </c>
      <c r="V563" s="8" t="s">
        <v>833</v>
      </c>
      <c r="W563" s="10"/>
      <c r="X563" s="10" t="s">
        <v>96</v>
      </c>
      <c r="Y563" s="10" t="s">
        <v>90</v>
      </c>
      <c r="Z563" s="16"/>
      <c r="AA563" s="16"/>
      <c r="AB563" s="16"/>
      <c r="AC563" s="16"/>
      <c r="AD563" s="16"/>
      <c r="AE563" s="16" t="s">
        <v>251</v>
      </c>
      <c r="AF563" s="16"/>
      <c r="AG563" s="21" t="s">
        <v>836</v>
      </c>
      <c r="XFD563" s="15" t="str">
        <f>+Tabla3[[#This Row],[ESTATUS DE NUM ECONOMICO]]</f>
        <v>INACTIVA</v>
      </c>
    </row>
    <row r="564" spans="1:33 16384:16384" ht="15.75" thickBot="1" x14ac:dyDescent="0.3">
      <c r="A564" s="8">
        <v>99</v>
      </c>
      <c r="B564" s="9">
        <v>46192</v>
      </c>
      <c r="C564" s="10" t="s">
        <v>87</v>
      </c>
      <c r="D564" s="11"/>
      <c r="E564" s="16">
        <v>66</v>
      </c>
      <c r="F564" s="9">
        <v>46192</v>
      </c>
      <c r="G564" s="212" t="str">
        <f>IFERROR(VLOOKUP(Tabla3[[#This Row],[NUM ECONOMICO]],MAQUINARIA!B:H,7,0), " MAQ")</f>
        <v>INACTIVA</v>
      </c>
      <c r="H564" s="214" t="s">
        <v>210</v>
      </c>
      <c r="I564" s="41" t="s">
        <v>840</v>
      </c>
      <c r="J564" s="10"/>
      <c r="K564" s="10">
        <v>12</v>
      </c>
      <c r="L564" s="13">
        <v>12391.22</v>
      </c>
      <c r="M564" s="13">
        <f t="shared" si="8"/>
        <v>148694.63999999998</v>
      </c>
      <c r="N564" s="41"/>
      <c r="O564" s="10"/>
      <c r="P564" s="10">
        <f>Tabla3[[#This Row],[COSTO UNITARIO DOLARES EN HAWTHORNE]]*Tabla3[[#This Row],[CANTIDAD SOLICTADA]]</f>
        <v>0</v>
      </c>
      <c r="Q564" s="41"/>
      <c r="R564" s="229"/>
      <c r="S564" s="229">
        <f>+Tabla3[[#This Row],[COSTO UNITARIO DOLARES CTP]]*Tabla3[[#This Row],[CANTIDAD SOLICTADA]]</f>
        <v>0</v>
      </c>
      <c r="T564" s="41"/>
      <c r="U564" s="14" t="s">
        <v>4</v>
      </c>
      <c r="V564" s="8" t="s">
        <v>833</v>
      </c>
      <c r="W564" s="9">
        <v>46196</v>
      </c>
      <c r="X564" s="10" t="s">
        <v>96</v>
      </c>
      <c r="Y564" s="10" t="s">
        <v>90</v>
      </c>
      <c r="Z564" s="16" t="s">
        <v>44</v>
      </c>
      <c r="AA564" s="25">
        <v>46202</v>
      </c>
      <c r="AB564" s="25">
        <v>46202</v>
      </c>
      <c r="AC564" s="16" t="s">
        <v>87</v>
      </c>
      <c r="AD564" s="16"/>
      <c r="AE564" s="16" t="s">
        <v>841</v>
      </c>
      <c r="AF564" s="27" t="s">
        <v>842</v>
      </c>
      <c r="AG564" s="21" t="s">
        <v>836</v>
      </c>
      <c r="XFD564" s="15" t="str">
        <f>+Tabla3[[#This Row],[ESTATUS DE NUM ECONOMICO]]</f>
        <v>INACTIVA</v>
      </c>
    </row>
    <row r="565" spans="1:33 16384:16384" ht="15.75" thickBot="1" x14ac:dyDescent="0.3">
      <c r="A565" s="8">
        <v>99</v>
      </c>
      <c r="B565" s="9">
        <v>46192</v>
      </c>
      <c r="C565" s="10" t="s">
        <v>87</v>
      </c>
      <c r="D565" s="11"/>
      <c r="E565" s="16">
        <v>66</v>
      </c>
      <c r="F565" s="9">
        <v>46192</v>
      </c>
      <c r="G565" s="212" t="str">
        <f>IFERROR(VLOOKUP(Tabla3[[#This Row],[NUM ECONOMICO]],MAQUINARIA!B:H,7,0), " MAQ")</f>
        <v>INACTIVA</v>
      </c>
      <c r="H565" s="214" t="s">
        <v>210</v>
      </c>
      <c r="I565" s="41">
        <v>673161</v>
      </c>
      <c r="J565" s="10"/>
      <c r="K565" s="10">
        <v>8</v>
      </c>
      <c r="L565" s="13">
        <v>309.39999999999998</v>
      </c>
      <c r="M565" s="13">
        <f t="shared" si="8"/>
        <v>2475.1999999999998</v>
      </c>
      <c r="N565" s="41"/>
      <c r="O565" s="10"/>
      <c r="P565" s="10">
        <f>Tabla3[[#This Row],[COSTO UNITARIO DOLARES EN HAWTHORNE]]*Tabla3[[#This Row],[CANTIDAD SOLICTADA]]</f>
        <v>0</v>
      </c>
      <c r="Q565" s="41"/>
      <c r="R565" s="229">
        <v>2.7</v>
      </c>
      <c r="S565" s="229">
        <f>+Tabla3[[#This Row],[COSTO UNITARIO DOLARES CTP]]*Tabla3[[#This Row],[CANTIDAD SOLICTADA]]</f>
        <v>21.6</v>
      </c>
      <c r="T565" s="41"/>
      <c r="U565" s="20" t="s">
        <v>161</v>
      </c>
      <c r="V565" s="8" t="s">
        <v>833</v>
      </c>
      <c r="W565" s="9">
        <v>46196</v>
      </c>
      <c r="X565" s="10" t="s">
        <v>96</v>
      </c>
      <c r="Y565" s="10">
        <v>10</v>
      </c>
      <c r="Z565" s="16"/>
      <c r="AA565" s="16"/>
      <c r="AB565" s="16"/>
      <c r="AC565" s="16"/>
      <c r="AD565" s="16"/>
      <c r="AE565" s="16" t="s">
        <v>251</v>
      </c>
      <c r="AF565" s="16"/>
      <c r="AG565" s="21" t="s">
        <v>836</v>
      </c>
      <c r="XFD565" s="15" t="str">
        <f>+Tabla3[[#This Row],[ESTATUS DE NUM ECONOMICO]]</f>
        <v>INACTIVA</v>
      </c>
    </row>
    <row r="566" spans="1:33 16384:16384" ht="15.75" thickBot="1" x14ac:dyDescent="0.3">
      <c r="A566" s="8">
        <v>100</v>
      </c>
      <c r="B566" s="9">
        <v>46192</v>
      </c>
      <c r="C566" s="10" t="s">
        <v>87</v>
      </c>
      <c r="D566" s="11"/>
      <c r="E566" s="16">
        <v>13</v>
      </c>
      <c r="F566" s="9">
        <v>46185</v>
      </c>
      <c r="G566" s="212" t="str">
        <f>IFERROR(VLOOKUP(Tabla3[[#This Row],[NUM ECONOMICO]],MAQUINARIA!B:H,7,0), " MAQ")</f>
        <v>ACTIVA</v>
      </c>
      <c r="H566" s="214" t="s">
        <v>121</v>
      </c>
      <c r="I566" s="41" t="s">
        <v>118</v>
      </c>
      <c r="J566" s="10"/>
      <c r="K566" s="10">
        <v>36</v>
      </c>
      <c r="L566" s="12"/>
      <c r="M566" s="13">
        <f t="shared" si="8"/>
        <v>0</v>
      </c>
      <c r="N566" s="41"/>
      <c r="O566" s="10"/>
      <c r="P566" s="10">
        <f>Tabla3[[#This Row],[COSTO UNITARIO DOLARES EN HAWTHORNE]]*Tabla3[[#This Row],[CANTIDAD SOLICTADA]]</f>
        <v>0</v>
      </c>
      <c r="Q566" s="41"/>
      <c r="R566" s="229"/>
      <c r="S566" s="229">
        <f>+Tabla3[[#This Row],[COSTO UNITARIO DOLARES CTP]]*Tabla3[[#This Row],[CANTIDAD SOLICTADA]]</f>
        <v>0</v>
      </c>
      <c r="T566" s="41"/>
      <c r="U566" s="14" t="s">
        <v>4</v>
      </c>
      <c r="V566" s="8" t="s">
        <v>843</v>
      </c>
      <c r="W566" s="9">
        <v>46195</v>
      </c>
      <c r="X566" s="10" t="s">
        <v>96</v>
      </c>
      <c r="Y566" s="10">
        <v>682</v>
      </c>
      <c r="Z566" s="16" t="s">
        <v>844</v>
      </c>
      <c r="AA566" s="16"/>
      <c r="AB566" s="16"/>
      <c r="AC566" s="16"/>
      <c r="AD566" s="16"/>
      <c r="AE566" s="16" t="s">
        <v>845</v>
      </c>
      <c r="AF566" s="16"/>
      <c r="AG566" s="21" t="s">
        <v>846</v>
      </c>
      <c r="XFD566" s="15" t="str">
        <f>+Tabla3[[#This Row],[ESTATUS DE NUM ECONOMICO]]</f>
        <v>ACTIVA</v>
      </c>
    </row>
    <row r="567" spans="1:33 16384:16384" ht="15.75" thickBot="1" x14ac:dyDescent="0.3">
      <c r="A567" s="8">
        <v>100</v>
      </c>
      <c r="B567" s="9">
        <v>46192</v>
      </c>
      <c r="C567" s="10" t="s">
        <v>87</v>
      </c>
      <c r="D567" s="11"/>
      <c r="E567" s="16">
        <v>13</v>
      </c>
      <c r="F567" s="9">
        <v>46185</v>
      </c>
      <c r="G567" s="212" t="str">
        <f>IFERROR(VLOOKUP(Tabla3[[#This Row],[NUM ECONOMICO]],MAQUINARIA!B:H,7,0), " MAQ")</f>
        <v>ACTIVA</v>
      </c>
      <c r="H567" s="214" t="s">
        <v>121</v>
      </c>
      <c r="I567" s="41" t="s">
        <v>608</v>
      </c>
      <c r="J567" s="10"/>
      <c r="K567" s="10">
        <v>36</v>
      </c>
      <c r="L567" s="12"/>
      <c r="M567" s="13">
        <f t="shared" si="8"/>
        <v>0</v>
      </c>
      <c r="N567" s="41"/>
      <c r="O567" s="10"/>
      <c r="P567" s="10">
        <f>Tabla3[[#This Row],[COSTO UNITARIO DOLARES EN HAWTHORNE]]*Tabla3[[#This Row],[CANTIDAD SOLICTADA]]</f>
        <v>0</v>
      </c>
      <c r="Q567" s="41"/>
      <c r="R567" s="229"/>
      <c r="S567" s="229">
        <f>+Tabla3[[#This Row],[COSTO UNITARIO DOLARES CTP]]*Tabla3[[#This Row],[CANTIDAD SOLICTADA]]</f>
        <v>0</v>
      </c>
      <c r="T567" s="41"/>
      <c r="U567" s="14" t="s">
        <v>4</v>
      </c>
      <c r="V567" s="8" t="s">
        <v>843</v>
      </c>
      <c r="W567" s="9">
        <v>46195</v>
      </c>
      <c r="X567" s="10" t="s">
        <v>96</v>
      </c>
      <c r="Y567" s="10">
        <v>0</v>
      </c>
      <c r="Z567" s="16" t="s">
        <v>844</v>
      </c>
      <c r="AA567" s="16"/>
      <c r="AB567" s="16"/>
      <c r="AC567" s="16"/>
      <c r="AD567" s="16"/>
      <c r="AE567" s="16" t="s">
        <v>845</v>
      </c>
      <c r="AF567" s="16"/>
      <c r="AG567" s="21" t="s">
        <v>846</v>
      </c>
      <c r="XFD567" s="15" t="str">
        <f>+Tabla3[[#This Row],[ESTATUS DE NUM ECONOMICO]]</f>
        <v>ACTIVA</v>
      </c>
    </row>
    <row r="568" spans="1:33 16384:16384" ht="15.75" thickBot="1" x14ac:dyDescent="0.3">
      <c r="A568" s="8">
        <v>100</v>
      </c>
      <c r="B568" s="9">
        <v>46192</v>
      </c>
      <c r="C568" s="10" t="s">
        <v>87</v>
      </c>
      <c r="D568" s="11"/>
      <c r="E568" s="16">
        <v>13</v>
      </c>
      <c r="F568" s="9">
        <v>46185</v>
      </c>
      <c r="G568" s="212" t="str">
        <f>IFERROR(VLOOKUP(Tabla3[[#This Row],[NUM ECONOMICO]],MAQUINARIA!B:H,7,0), " MAQ")</f>
        <v>ACTIVA</v>
      </c>
      <c r="H568" s="214" t="s">
        <v>121</v>
      </c>
      <c r="I568" s="41" t="s">
        <v>117</v>
      </c>
      <c r="J568" s="10"/>
      <c r="K568" s="10">
        <v>36</v>
      </c>
      <c r="L568" s="12"/>
      <c r="M568" s="13">
        <f t="shared" si="8"/>
        <v>0</v>
      </c>
      <c r="N568" s="41"/>
      <c r="O568" s="10"/>
      <c r="P568" s="10">
        <f>Tabla3[[#This Row],[COSTO UNITARIO DOLARES EN HAWTHORNE]]*Tabla3[[#This Row],[CANTIDAD SOLICTADA]]</f>
        <v>0</v>
      </c>
      <c r="Q568" s="41"/>
      <c r="R568" s="229"/>
      <c r="S568" s="229">
        <f>+Tabla3[[#This Row],[COSTO UNITARIO DOLARES CTP]]*Tabla3[[#This Row],[CANTIDAD SOLICTADA]]</f>
        <v>0</v>
      </c>
      <c r="T568" s="41"/>
      <c r="U568" s="14" t="s">
        <v>4</v>
      </c>
      <c r="V568" s="8" t="s">
        <v>843</v>
      </c>
      <c r="W568" s="9">
        <v>46195</v>
      </c>
      <c r="X568" s="10" t="s">
        <v>96</v>
      </c>
      <c r="Y568" s="10">
        <v>0</v>
      </c>
      <c r="Z568" s="16" t="s">
        <v>844</v>
      </c>
      <c r="AA568" s="16"/>
      <c r="AB568" s="16"/>
      <c r="AC568" s="16"/>
      <c r="AD568" s="16"/>
      <c r="AE568" s="16" t="s">
        <v>845</v>
      </c>
      <c r="AF568" s="16"/>
      <c r="AG568" s="21" t="s">
        <v>846</v>
      </c>
      <c r="XFD568" s="15" t="str">
        <f>+Tabla3[[#This Row],[ESTATUS DE NUM ECONOMICO]]</f>
        <v>ACTIVA</v>
      </c>
    </row>
    <row r="569" spans="1:33 16384:16384" ht="15.75" thickBot="1" x14ac:dyDescent="0.3">
      <c r="A569" s="8">
        <v>100</v>
      </c>
      <c r="B569" s="9">
        <v>46192</v>
      </c>
      <c r="C569" s="10" t="s">
        <v>87</v>
      </c>
      <c r="D569" s="11"/>
      <c r="E569" s="16">
        <v>13</v>
      </c>
      <c r="F569" s="9">
        <v>46185</v>
      </c>
      <c r="G569" s="212" t="str">
        <f>IFERROR(VLOOKUP(Tabla3[[#This Row],[NUM ECONOMICO]],MAQUINARIA!B:H,7,0), " MAQ")</f>
        <v>ACTIVA</v>
      </c>
      <c r="H569" s="214" t="s">
        <v>121</v>
      </c>
      <c r="I569" s="41" t="s">
        <v>610</v>
      </c>
      <c r="J569" s="10"/>
      <c r="K569" s="10">
        <v>1</v>
      </c>
      <c r="L569" s="12"/>
      <c r="M569" s="13">
        <f t="shared" si="8"/>
        <v>0</v>
      </c>
      <c r="N569" s="41"/>
      <c r="O569" s="10"/>
      <c r="P569" s="10">
        <f>Tabla3[[#This Row],[COSTO UNITARIO DOLARES EN HAWTHORNE]]*Tabla3[[#This Row],[CANTIDAD SOLICTADA]]</f>
        <v>0</v>
      </c>
      <c r="Q569" s="41"/>
      <c r="R569" s="229"/>
      <c r="S569" s="229">
        <f>+Tabla3[[#This Row],[COSTO UNITARIO DOLARES CTP]]*Tabla3[[#This Row],[CANTIDAD SOLICTADA]]</f>
        <v>0</v>
      </c>
      <c r="T569" s="41"/>
      <c r="U569" s="14" t="s">
        <v>4</v>
      </c>
      <c r="V569" s="8" t="s">
        <v>843</v>
      </c>
      <c r="W569" s="9">
        <v>46195</v>
      </c>
      <c r="X569" s="10" t="s">
        <v>96</v>
      </c>
      <c r="Y569" s="10" t="s">
        <v>90</v>
      </c>
      <c r="Z569" s="16" t="s">
        <v>844</v>
      </c>
      <c r="AA569" s="16"/>
      <c r="AB569" s="16"/>
      <c r="AC569" s="16"/>
      <c r="AD569" s="16"/>
      <c r="AE569" s="16" t="s">
        <v>845</v>
      </c>
      <c r="AF569" s="16"/>
      <c r="AG569" s="21" t="s">
        <v>846</v>
      </c>
      <c r="XFD569" s="15" t="str">
        <f>+Tabla3[[#This Row],[ESTATUS DE NUM ECONOMICO]]</f>
        <v>ACTIVA</v>
      </c>
    </row>
    <row r="570" spans="1:33 16384:16384" ht="15.75" thickBot="1" x14ac:dyDescent="0.3">
      <c r="A570" s="8">
        <v>100</v>
      </c>
      <c r="B570" s="9">
        <v>46192</v>
      </c>
      <c r="C570" s="10" t="s">
        <v>87</v>
      </c>
      <c r="D570" s="11"/>
      <c r="E570" s="16">
        <v>13</v>
      </c>
      <c r="F570" s="9">
        <v>46185</v>
      </c>
      <c r="G570" s="212" t="str">
        <f>IFERROR(VLOOKUP(Tabla3[[#This Row],[NUM ECONOMICO]],MAQUINARIA!B:H,7,0), " MAQ")</f>
        <v>ACTIVA</v>
      </c>
      <c r="H570" s="214" t="s">
        <v>121</v>
      </c>
      <c r="I570" s="41" t="s">
        <v>609</v>
      </c>
      <c r="J570" s="10"/>
      <c r="K570" s="10">
        <v>1</v>
      </c>
      <c r="L570" s="12"/>
      <c r="M570" s="13">
        <f t="shared" si="8"/>
        <v>0</v>
      </c>
      <c r="N570" s="41"/>
      <c r="O570" s="10"/>
      <c r="P570" s="10">
        <f>Tabla3[[#This Row],[COSTO UNITARIO DOLARES EN HAWTHORNE]]*Tabla3[[#This Row],[CANTIDAD SOLICTADA]]</f>
        <v>0</v>
      </c>
      <c r="Q570" s="41"/>
      <c r="R570" s="229"/>
      <c r="S570" s="229">
        <f>+Tabla3[[#This Row],[COSTO UNITARIO DOLARES CTP]]*Tabla3[[#This Row],[CANTIDAD SOLICTADA]]</f>
        <v>0</v>
      </c>
      <c r="T570" s="41"/>
      <c r="U570" s="14" t="s">
        <v>4</v>
      </c>
      <c r="V570" s="8" t="s">
        <v>843</v>
      </c>
      <c r="W570" s="9">
        <v>46195</v>
      </c>
      <c r="X570" s="10" t="s">
        <v>96</v>
      </c>
      <c r="Y570" s="10" t="s">
        <v>90</v>
      </c>
      <c r="Z570" s="16" t="s">
        <v>844</v>
      </c>
      <c r="AA570" s="16"/>
      <c r="AB570" s="16"/>
      <c r="AC570" s="16"/>
      <c r="AD570" s="16"/>
      <c r="AE570" s="16" t="s">
        <v>845</v>
      </c>
      <c r="AF570" s="16"/>
      <c r="AG570" s="21" t="s">
        <v>846</v>
      </c>
      <c r="XFD570" s="15" t="str">
        <f>+Tabla3[[#This Row],[ESTATUS DE NUM ECONOMICO]]</f>
        <v>ACTIVA</v>
      </c>
    </row>
    <row r="571" spans="1:33 16384:16384" ht="15.75" thickBot="1" x14ac:dyDescent="0.3">
      <c r="A571" s="8">
        <v>101</v>
      </c>
      <c r="B571" s="9">
        <v>46192</v>
      </c>
      <c r="C571" s="10" t="s">
        <v>87</v>
      </c>
      <c r="D571" s="11"/>
      <c r="E571" s="16">
        <v>5</v>
      </c>
      <c r="F571" s="9">
        <v>46195</v>
      </c>
      <c r="G571" s="212" t="str">
        <f>IFERROR(VLOOKUP(Tabla3[[#This Row],[NUM ECONOMICO]],MAQUINARIA!B:H,7,0), " MAQ")</f>
        <v>ACTIVA</v>
      </c>
      <c r="H571" s="214" t="s">
        <v>737</v>
      </c>
      <c r="I571" s="41" t="s">
        <v>847</v>
      </c>
      <c r="J571" s="10"/>
      <c r="K571" s="10">
        <v>1</v>
      </c>
      <c r="L571" s="12"/>
      <c r="M571" s="13">
        <f t="shared" si="8"/>
        <v>0</v>
      </c>
      <c r="N571" s="41"/>
      <c r="O571" s="10"/>
      <c r="P571" s="10">
        <f>Tabla3[[#This Row],[COSTO UNITARIO DOLARES EN HAWTHORNE]]*Tabla3[[#This Row],[CANTIDAD SOLICTADA]]</f>
        <v>0</v>
      </c>
      <c r="Q571" s="41"/>
      <c r="R571" s="229"/>
      <c r="S571" s="229">
        <f>+Tabla3[[#This Row],[COSTO UNITARIO DOLARES CTP]]*Tabla3[[#This Row],[CANTIDAD SOLICTADA]]</f>
        <v>0</v>
      </c>
      <c r="T571" s="41"/>
      <c r="U571" s="14" t="s">
        <v>4</v>
      </c>
      <c r="V571" s="8" t="s">
        <v>848</v>
      </c>
      <c r="W571" s="9">
        <v>46197</v>
      </c>
      <c r="X571" s="10" t="s">
        <v>89</v>
      </c>
      <c r="Y571" s="10">
        <v>2</v>
      </c>
      <c r="Z571" s="16" t="s">
        <v>46</v>
      </c>
      <c r="AA571" s="25">
        <v>46193</v>
      </c>
      <c r="AB571" s="25">
        <v>46197</v>
      </c>
      <c r="AC571" s="16"/>
      <c r="AD571" s="16"/>
      <c r="AE571" s="16" t="s">
        <v>4</v>
      </c>
      <c r="AF571" s="16"/>
      <c r="AG571" s="21" t="s">
        <v>849</v>
      </c>
      <c r="XFD571" s="15" t="str">
        <f>+Tabla3[[#This Row],[ESTATUS DE NUM ECONOMICO]]</f>
        <v>ACTIVA</v>
      </c>
    </row>
    <row r="572" spans="1:33 16384:16384" ht="15.75" thickBot="1" x14ac:dyDescent="0.3">
      <c r="A572" s="8">
        <v>101</v>
      </c>
      <c r="B572" s="9">
        <v>46192</v>
      </c>
      <c r="C572" s="10" t="s">
        <v>87</v>
      </c>
      <c r="D572" s="11"/>
      <c r="E572" s="16">
        <v>5</v>
      </c>
      <c r="F572" s="9">
        <v>46195</v>
      </c>
      <c r="G572" s="212" t="str">
        <f>IFERROR(VLOOKUP(Tabla3[[#This Row],[NUM ECONOMICO]],MAQUINARIA!B:H,7,0), " MAQ")</f>
        <v>ACTIVA</v>
      </c>
      <c r="H572" s="214" t="s">
        <v>737</v>
      </c>
      <c r="I572" s="41" t="s">
        <v>850</v>
      </c>
      <c r="J572" s="10" t="s">
        <v>807</v>
      </c>
      <c r="K572" s="10">
        <v>1</v>
      </c>
      <c r="L572" s="12"/>
      <c r="M572" s="13">
        <f t="shared" si="8"/>
        <v>0</v>
      </c>
      <c r="N572" s="41"/>
      <c r="O572" s="10"/>
      <c r="P572" s="10">
        <f>Tabla3[[#This Row],[COSTO UNITARIO DOLARES EN HAWTHORNE]]*Tabla3[[#This Row],[CANTIDAD SOLICTADA]]</f>
        <v>0</v>
      </c>
      <c r="Q572" s="41"/>
      <c r="R572" s="229"/>
      <c r="S572" s="229">
        <f>+Tabla3[[#This Row],[COSTO UNITARIO DOLARES CTP]]*Tabla3[[#This Row],[CANTIDAD SOLICTADA]]</f>
        <v>0</v>
      </c>
      <c r="T572" s="41"/>
      <c r="U572" s="14" t="s">
        <v>4</v>
      </c>
      <c r="V572" s="8" t="s">
        <v>848</v>
      </c>
      <c r="W572" s="9">
        <v>46197</v>
      </c>
      <c r="X572" s="10" t="s">
        <v>89</v>
      </c>
      <c r="Y572" s="10" t="s">
        <v>90</v>
      </c>
      <c r="Z572" s="16" t="s">
        <v>46</v>
      </c>
      <c r="AA572" s="25">
        <v>46193</v>
      </c>
      <c r="AB572" s="25">
        <v>46197</v>
      </c>
      <c r="AC572" s="16"/>
      <c r="AD572" s="16"/>
      <c r="AE572" s="16" t="s">
        <v>4</v>
      </c>
      <c r="AF572" s="16"/>
      <c r="AG572" s="21" t="s">
        <v>849</v>
      </c>
      <c r="XFD572" s="15" t="str">
        <f>+Tabla3[[#This Row],[ESTATUS DE NUM ECONOMICO]]</f>
        <v>ACTIVA</v>
      </c>
    </row>
    <row r="573" spans="1:33 16384:16384" ht="15.75" thickBot="1" x14ac:dyDescent="0.3">
      <c r="A573" s="8">
        <v>101</v>
      </c>
      <c r="B573" s="9">
        <v>46192</v>
      </c>
      <c r="C573" s="10" t="s">
        <v>87</v>
      </c>
      <c r="D573" s="11"/>
      <c r="E573" s="16">
        <v>5</v>
      </c>
      <c r="F573" s="9">
        <v>46195</v>
      </c>
      <c r="G573" s="212" t="str">
        <f>IFERROR(VLOOKUP(Tabla3[[#This Row],[NUM ECONOMICO]],MAQUINARIA!B:H,7,0), " MAQ")</f>
        <v>ACTIVA</v>
      </c>
      <c r="H573" s="214" t="s">
        <v>737</v>
      </c>
      <c r="I573" s="41">
        <v>1090076</v>
      </c>
      <c r="J573" s="10" t="s">
        <v>154</v>
      </c>
      <c r="K573" s="10">
        <v>6</v>
      </c>
      <c r="L573" s="12"/>
      <c r="M573" s="13">
        <f t="shared" si="8"/>
        <v>0</v>
      </c>
      <c r="N573" s="41"/>
      <c r="O573" s="10"/>
      <c r="P573" s="10">
        <f>Tabla3[[#This Row],[COSTO UNITARIO DOLARES EN HAWTHORNE]]*Tabla3[[#This Row],[CANTIDAD SOLICTADA]]</f>
        <v>0</v>
      </c>
      <c r="Q573" s="41"/>
      <c r="R573" s="229"/>
      <c r="S573" s="229">
        <f>+Tabla3[[#This Row],[COSTO UNITARIO DOLARES CTP]]*Tabla3[[#This Row],[CANTIDAD SOLICTADA]]</f>
        <v>0</v>
      </c>
      <c r="T573" s="41"/>
      <c r="U573" s="14" t="s">
        <v>4</v>
      </c>
      <c r="V573" s="8" t="s">
        <v>848</v>
      </c>
      <c r="W573" s="9">
        <v>46198</v>
      </c>
      <c r="X573" s="10" t="s">
        <v>89</v>
      </c>
      <c r="Y573" s="10">
        <v>3</v>
      </c>
      <c r="Z573" s="16"/>
      <c r="AA573" s="16"/>
      <c r="AB573" s="16"/>
      <c r="AC573" s="16"/>
      <c r="AD573" s="16"/>
      <c r="AE573" s="16" t="s">
        <v>4</v>
      </c>
      <c r="AF573" s="16"/>
      <c r="AG573" s="21" t="s">
        <v>849</v>
      </c>
      <c r="XFD573" s="15" t="str">
        <f>+Tabla3[[#This Row],[ESTATUS DE NUM ECONOMICO]]</f>
        <v>ACTIVA</v>
      </c>
    </row>
    <row r="574" spans="1:33 16384:16384" ht="15.75" thickBot="1" x14ac:dyDescent="0.3">
      <c r="A574" s="8">
        <v>101</v>
      </c>
      <c r="B574" s="9">
        <v>46192</v>
      </c>
      <c r="C574" s="10" t="s">
        <v>87</v>
      </c>
      <c r="D574" s="11"/>
      <c r="E574" s="16">
        <v>5</v>
      </c>
      <c r="F574" s="9">
        <v>46195</v>
      </c>
      <c r="G574" s="212" t="str">
        <f>IFERROR(VLOOKUP(Tabla3[[#This Row],[NUM ECONOMICO]],MAQUINARIA!B:H,7,0), " MAQ")</f>
        <v>ACTIVA</v>
      </c>
      <c r="H574" s="214" t="s">
        <v>737</v>
      </c>
      <c r="I574" s="41">
        <v>1128186</v>
      </c>
      <c r="J574" s="10"/>
      <c r="K574" s="10">
        <v>2</v>
      </c>
      <c r="L574" s="12"/>
      <c r="M574" s="13">
        <f t="shared" si="8"/>
        <v>0</v>
      </c>
      <c r="N574" s="41"/>
      <c r="O574" s="10"/>
      <c r="P574" s="10">
        <f>Tabla3[[#This Row],[COSTO UNITARIO DOLARES EN HAWTHORNE]]*Tabla3[[#This Row],[CANTIDAD SOLICTADA]]</f>
        <v>0</v>
      </c>
      <c r="Q574" s="41"/>
      <c r="R574" s="229"/>
      <c r="S574" s="229">
        <f>+Tabla3[[#This Row],[COSTO UNITARIO DOLARES CTP]]*Tabla3[[#This Row],[CANTIDAD SOLICTADA]]</f>
        <v>0</v>
      </c>
      <c r="T574" s="41"/>
      <c r="U574" s="14" t="s">
        <v>4</v>
      </c>
      <c r="V574" s="8" t="s">
        <v>848</v>
      </c>
      <c r="W574" s="9">
        <v>46197</v>
      </c>
      <c r="X574" s="10" t="s">
        <v>89</v>
      </c>
      <c r="Y574" s="10">
        <v>1</v>
      </c>
      <c r="Z574" s="16" t="s">
        <v>46</v>
      </c>
      <c r="AA574" s="25">
        <v>46193</v>
      </c>
      <c r="AB574" s="25">
        <v>46197</v>
      </c>
      <c r="AC574" s="16"/>
      <c r="AD574" s="16"/>
      <c r="AE574" s="16" t="s">
        <v>4</v>
      </c>
      <c r="AF574" s="16"/>
      <c r="AG574" s="21" t="s">
        <v>849</v>
      </c>
      <c r="XFD574" s="15" t="str">
        <f>+Tabla3[[#This Row],[ESTATUS DE NUM ECONOMICO]]</f>
        <v>ACTIVA</v>
      </c>
    </row>
    <row r="575" spans="1:33 16384:16384" ht="15.75" thickBot="1" x14ac:dyDescent="0.3">
      <c r="A575" s="8">
        <v>101</v>
      </c>
      <c r="B575" s="9">
        <v>46192</v>
      </c>
      <c r="C575" s="10" t="s">
        <v>87</v>
      </c>
      <c r="D575" s="11"/>
      <c r="E575" s="16">
        <v>5</v>
      </c>
      <c r="F575" s="9">
        <v>46195</v>
      </c>
      <c r="G575" s="212" t="str">
        <f>IFERROR(VLOOKUP(Tabla3[[#This Row],[NUM ECONOMICO]],MAQUINARIA!B:H,7,0), " MAQ")</f>
        <v>ACTIVA</v>
      </c>
      <c r="H575" s="214" t="s">
        <v>737</v>
      </c>
      <c r="I575" s="41">
        <v>1123259</v>
      </c>
      <c r="J575" s="10" t="s">
        <v>152</v>
      </c>
      <c r="K575" s="10">
        <v>2</v>
      </c>
      <c r="L575" s="12"/>
      <c r="M575" s="13">
        <f t="shared" si="8"/>
        <v>0</v>
      </c>
      <c r="N575" s="41"/>
      <c r="O575" s="10"/>
      <c r="P575" s="10">
        <f>Tabla3[[#This Row],[COSTO UNITARIO DOLARES EN HAWTHORNE]]*Tabla3[[#This Row],[CANTIDAD SOLICTADA]]</f>
        <v>0</v>
      </c>
      <c r="Q575" s="41"/>
      <c r="R575" s="229"/>
      <c r="S575" s="229">
        <f>+Tabla3[[#This Row],[COSTO UNITARIO DOLARES CTP]]*Tabla3[[#This Row],[CANTIDAD SOLICTADA]]</f>
        <v>0</v>
      </c>
      <c r="T575" s="41"/>
      <c r="U575" s="14" t="s">
        <v>4</v>
      </c>
      <c r="V575" s="8" t="s">
        <v>848</v>
      </c>
      <c r="W575" s="9">
        <v>46197</v>
      </c>
      <c r="X575" s="10" t="s">
        <v>89</v>
      </c>
      <c r="Y575" s="10" t="s">
        <v>90</v>
      </c>
      <c r="Z575" s="16" t="s">
        <v>46</v>
      </c>
      <c r="AA575" s="25">
        <v>46193</v>
      </c>
      <c r="AB575" s="25">
        <v>46197</v>
      </c>
      <c r="AC575" s="16"/>
      <c r="AD575" s="16"/>
      <c r="AE575" s="16" t="s">
        <v>4</v>
      </c>
      <c r="AF575" s="16"/>
      <c r="AG575" s="21" t="s">
        <v>849</v>
      </c>
      <c r="XFD575" s="15" t="str">
        <f>+Tabla3[[#This Row],[ESTATUS DE NUM ECONOMICO]]</f>
        <v>ACTIVA</v>
      </c>
    </row>
    <row r="576" spans="1:33 16384:16384" ht="15.75" thickBot="1" x14ac:dyDescent="0.3">
      <c r="A576" s="8">
        <v>101</v>
      </c>
      <c r="B576" s="9">
        <v>46192</v>
      </c>
      <c r="C576" s="10" t="s">
        <v>87</v>
      </c>
      <c r="D576" s="11"/>
      <c r="E576" s="16">
        <v>5</v>
      </c>
      <c r="F576" s="9">
        <v>46195</v>
      </c>
      <c r="G576" s="212" t="str">
        <f>IFERROR(VLOOKUP(Tabla3[[#This Row],[NUM ECONOMICO]],MAQUINARIA!B:H,7,0), " MAQ")</f>
        <v>ACTIVA</v>
      </c>
      <c r="H576" s="214" t="s">
        <v>737</v>
      </c>
      <c r="I576" s="41" t="s">
        <v>851</v>
      </c>
      <c r="J576" s="10" t="s">
        <v>253</v>
      </c>
      <c r="K576" s="10">
        <v>1</v>
      </c>
      <c r="L576" s="12"/>
      <c r="M576" s="13">
        <f t="shared" si="8"/>
        <v>0</v>
      </c>
      <c r="N576" s="41"/>
      <c r="O576" s="10"/>
      <c r="P576" s="10">
        <f>Tabla3[[#This Row],[COSTO UNITARIO DOLARES EN HAWTHORNE]]*Tabla3[[#This Row],[CANTIDAD SOLICTADA]]</f>
        <v>0</v>
      </c>
      <c r="Q576" s="41"/>
      <c r="R576" s="229"/>
      <c r="S576" s="229">
        <f>+Tabla3[[#This Row],[COSTO UNITARIO DOLARES CTP]]*Tabla3[[#This Row],[CANTIDAD SOLICTADA]]</f>
        <v>0</v>
      </c>
      <c r="T576" s="41"/>
      <c r="U576" s="14" t="s">
        <v>4</v>
      </c>
      <c r="V576" s="8" t="s">
        <v>848</v>
      </c>
      <c r="W576" s="9">
        <v>46197</v>
      </c>
      <c r="X576" s="10" t="s">
        <v>89</v>
      </c>
      <c r="Y576" s="10" t="s">
        <v>90</v>
      </c>
      <c r="Z576" s="16" t="s">
        <v>46</v>
      </c>
      <c r="AA576" s="25">
        <v>46193</v>
      </c>
      <c r="AB576" s="25">
        <v>46197</v>
      </c>
      <c r="AC576" s="16"/>
      <c r="AD576" s="16"/>
      <c r="AE576" s="16" t="s">
        <v>4</v>
      </c>
      <c r="AF576" s="16"/>
      <c r="AG576" s="21" t="s">
        <v>849</v>
      </c>
      <c r="XFD576" s="15" t="str">
        <f>+Tabla3[[#This Row],[ESTATUS DE NUM ECONOMICO]]</f>
        <v>ACTIVA</v>
      </c>
    </row>
    <row r="577" spans="1:33 16384:16384" ht="15.75" thickBot="1" x14ac:dyDescent="0.3">
      <c r="A577" s="8">
        <v>101</v>
      </c>
      <c r="B577" s="9">
        <v>46192</v>
      </c>
      <c r="C577" s="10" t="s">
        <v>87</v>
      </c>
      <c r="D577" s="11"/>
      <c r="E577" s="16">
        <v>5</v>
      </c>
      <c r="F577" s="9">
        <v>46195</v>
      </c>
      <c r="G577" s="212" t="str">
        <f>IFERROR(VLOOKUP(Tabla3[[#This Row],[NUM ECONOMICO]],MAQUINARIA!B:H,7,0), " MAQ")</f>
        <v>ACTIVA</v>
      </c>
      <c r="H577" s="214" t="s">
        <v>737</v>
      </c>
      <c r="I577" s="41">
        <v>1123258</v>
      </c>
      <c r="J577" s="10"/>
      <c r="K577" s="10">
        <v>3</v>
      </c>
      <c r="L577" s="12"/>
      <c r="M577" s="13">
        <f t="shared" ref="M577:M640" si="9">+L577*K577</f>
        <v>0</v>
      </c>
      <c r="N577" s="41"/>
      <c r="O577" s="10"/>
      <c r="P577" s="10">
        <f>Tabla3[[#This Row],[COSTO UNITARIO DOLARES EN HAWTHORNE]]*Tabla3[[#This Row],[CANTIDAD SOLICTADA]]</f>
        <v>0</v>
      </c>
      <c r="Q577" s="41"/>
      <c r="R577" s="229"/>
      <c r="S577" s="229">
        <f>+Tabla3[[#This Row],[COSTO UNITARIO DOLARES CTP]]*Tabla3[[#This Row],[CANTIDAD SOLICTADA]]</f>
        <v>0</v>
      </c>
      <c r="T577" s="41"/>
      <c r="U577" s="14" t="s">
        <v>4</v>
      </c>
      <c r="V577" s="8" t="s">
        <v>848</v>
      </c>
      <c r="W577" s="9">
        <v>46197</v>
      </c>
      <c r="X577" s="10" t="s">
        <v>89</v>
      </c>
      <c r="Y577" s="10">
        <v>0</v>
      </c>
      <c r="Z577" s="16" t="s">
        <v>46</v>
      </c>
      <c r="AA577" s="25">
        <v>46193</v>
      </c>
      <c r="AB577" s="25">
        <v>46197</v>
      </c>
      <c r="AC577" s="16"/>
      <c r="AD577" s="16"/>
      <c r="AE577" s="16" t="s">
        <v>4</v>
      </c>
      <c r="AF577" s="16"/>
      <c r="AG577" s="21" t="s">
        <v>849</v>
      </c>
      <c r="XFD577" s="15" t="str">
        <f>+Tabla3[[#This Row],[ESTATUS DE NUM ECONOMICO]]</f>
        <v>ACTIVA</v>
      </c>
    </row>
    <row r="578" spans="1:33 16384:16384" ht="15.75" thickBot="1" x14ac:dyDescent="0.3">
      <c r="A578" s="8">
        <v>101</v>
      </c>
      <c r="B578" s="9">
        <v>46192</v>
      </c>
      <c r="C578" s="10" t="s">
        <v>87</v>
      </c>
      <c r="D578" s="11"/>
      <c r="E578" s="16">
        <v>5</v>
      </c>
      <c r="F578" s="9">
        <v>46195</v>
      </c>
      <c r="G578" s="212" t="str">
        <f>IFERROR(VLOOKUP(Tabla3[[#This Row],[NUM ECONOMICO]],MAQUINARIA!B:H,7,0), " MAQ")</f>
        <v>ACTIVA</v>
      </c>
      <c r="H578" s="214" t="s">
        <v>737</v>
      </c>
      <c r="I578" s="41" t="s">
        <v>852</v>
      </c>
      <c r="J578" s="10"/>
      <c r="K578" s="10">
        <v>1</v>
      </c>
      <c r="L578" s="12"/>
      <c r="M578" s="13">
        <f t="shared" si="9"/>
        <v>0</v>
      </c>
      <c r="N578" s="41"/>
      <c r="O578" s="10"/>
      <c r="P578" s="10">
        <f>Tabla3[[#This Row],[COSTO UNITARIO DOLARES EN HAWTHORNE]]*Tabla3[[#This Row],[CANTIDAD SOLICTADA]]</f>
        <v>0</v>
      </c>
      <c r="Q578" s="41"/>
      <c r="R578" s="229"/>
      <c r="S578" s="229">
        <f>+Tabla3[[#This Row],[COSTO UNITARIO DOLARES CTP]]*Tabla3[[#This Row],[CANTIDAD SOLICTADA]]</f>
        <v>0</v>
      </c>
      <c r="T578" s="41"/>
      <c r="U578" s="14" t="s">
        <v>4</v>
      </c>
      <c r="V578" s="8" t="s">
        <v>848</v>
      </c>
      <c r="W578" s="9">
        <v>46198</v>
      </c>
      <c r="X578" s="10" t="s">
        <v>89</v>
      </c>
      <c r="Y578" s="10">
        <v>7</v>
      </c>
      <c r="Z578" s="16"/>
      <c r="AA578" s="16"/>
      <c r="AB578" s="16"/>
      <c r="AC578" s="16"/>
      <c r="AD578" s="16"/>
      <c r="AE578" s="16" t="s">
        <v>4</v>
      </c>
      <c r="AF578" s="16"/>
      <c r="AG578" s="21" t="s">
        <v>849</v>
      </c>
      <c r="XFD578" s="15" t="str">
        <f>+Tabla3[[#This Row],[ESTATUS DE NUM ECONOMICO]]</f>
        <v>ACTIVA</v>
      </c>
    </row>
    <row r="579" spans="1:33 16384:16384" ht="15.75" thickBot="1" x14ac:dyDescent="0.3">
      <c r="A579" s="8">
        <v>101</v>
      </c>
      <c r="B579" s="9">
        <v>46192</v>
      </c>
      <c r="C579" s="10" t="s">
        <v>87</v>
      </c>
      <c r="D579" s="11"/>
      <c r="E579" s="16">
        <v>5</v>
      </c>
      <c r="F579" s="9">
        <v>46195</v>
      </c>
      <c r="G579" s="212" t="str">
        <f>IFERROR(VLOOKUP(Tabla3[[#This Row],[NUM ECONOMICO]],MAQUINARIA!B:H,7,0), " MAQ")</f>
        <v>ACTIVA</v>
      </c>
      <c r="H579" s="214" t="s">
        <v>737</v>
      </c>
      <c r="I579" s="41" t="s">
        <v>142</v>
      </c>
      <c r="J579" s="10"/>
      <c r="K579" s="10">
        <v>2</v>
      </c>
      <c r="L579" s="12"/>
      <c r="M579" s="13">
        <f t="shared" si="9"/>
        <v>0</v>
      </c>
      <c r="N579" s="41"/>
      <c r="O579" s="10"/>
      <c r="P579" s="10">
        <f>Tabla3[[#This Row],[COSTO UNITARIO DOLARES EN HAWTHORNE]]*Tabla3[[#This Row],[CANTIDAD SOLICTADA]]</f>
        <v>0</v>
      </c>
      <c r="Q579" s="41"/>
      <c r="R579" s="229"/>
      <c r="S579" s="229">
        <f>+Tabla3[[#This Row],[COSTO UNITARIO DOLARES CTP]]*Tabla3[[#This Row],[CANTIDAD SOLICTADA]]</f>
        <v>0</v>
      </c>
      <c r="T579" s="41"/>
      <c r="U579" s="14" t="s">
        <v>4</v>
      </c>
      <c r="V579" s="8" t="s">
        <v>848</v>
      </c>
      <c r="W579" s="9">
        <v>46197</v>
      </c>
      <c r="X579" s="10" t="s">
        <v>89</v>
      </c>
      <c r="Y579" s="10">
        <v>3</v>
      </c>
      <c r="Z579" s="16" t="s">
        <v>46</v>
      </c>
      <c r="AA579" s="25">
        <v>46193</v>
      </c>
      <c r="AB579" s="25">
        <v>46197</v>
      </c>
      <c r="AC579" s="16"/>
      <c r="AD579" s="16"/>
      <c r="AE579" s="16" t="s">
        <v>4</v>
      </c>
      <c r="AF579" s="16"/>
      <c r="AG579" s="21" t="s">
        <v>849</v>
      </c>
      <c r="XFD579" s="15" t="str">
        <f>+Tabla3[[#This Row],[ESTATUS DE NUM ECONOMICO]]</f>
        <v>ACTIVA</v>
      </c>
    </row>
    <row r="580" spans="1:33 16384:16384" ht="15.75" thickBot="1" x14ac:dyDescent="0.3">
      <c r="A580" s="8">
        <v>101</v>
      </c>
      <c r="B580" s="9">
        <v>46192</v>
      </c>
      <c r="C580" s="10" t="s">
        <v>87</v>
      </c>
      <c r="D580" s="11"/>
      <c r="E580" s="16">
        <v>5</v>
      </c>
      <c r="F580" s="9">
        <v>46195</v>
      </c>
      <c r="G580" s="212" t="str">
        <f>IFERROR(VLOOKUP(Tabla3[[#This Row],[NUM ECONOMICO]],MAQUINARIA!B:H,7,0), " MAQ")</f>
        <v>ACTIVA</v>
      </c>
      <c r="H580" s="214" t="s">
        <v>737</v>
      </c>
      <c r="I580" s="41" t="s">
        <v>815</v>
      </c>
      <c r="J580" s="10"/>
      <c r="K580" s="10">
        <v>4</v>
      </c>
      <c r="L580" s="12"/>
      <c r="M580" s="13">
        <f t="shared" si="9"/>
        <v>0</v>
      </c>
      <c r="N580" s="41"/>
      <c r="O580" s="10"/>
      <c r="P580" s="10">
        <f>Tabla3[[#This Row],[COSTO UNITARIO DOLARES EN HAWTHORNE]]*Tabla3[[#This Row],[CANTIDAD SOLICTADA]]</f>
        <v>0</v>
      </c>
      <c r="Q580" s="41"/>
      <c r="R580" s="229">
        <v>1.52</v>
      </c>
      <c r="S580" s="229">
        <f>+Tabla3[[#This Row],[COSTO UNITARIO DOLARES CTP]]*Tabla3[[#This Row],[CANTIDAD SOLICTADA]]</f>
        <v>6.08</v>
      </c>
      <c r="T580" s="41"/>
      <c r="U580" s="14" t="s">
        <v>4</v>
      </c>
      <c r="V580" s="8" t="s">
        <v>848</v>
      </c>
      <c r="W580" s="9">
        <v>46198</v>
      </c>
      <c r="X580" s="10" t="s">
        <v>89</v>
      </c>
      <c r="Y580" s="10">
        <v>9</v>
      </c>
      <c r="Z580" s="16"/>
      <c r="AA580" s="16"/>
      <c r="AB580" s="16"/>
      <c r="AC580" s="16"/>
      <c r="AD580" s="16"/>
      <c r="AE580" s="16" t="s">
        <v>4</v>
      </c>
      <c r="AF580" s="16"/>
      <c r="AG580" s="21" t="s">
        <v>849</v>
      </c>
      <c r="XFD580" s="15" t="str">
        <f>+Tabla3[[#This Row],[ESTATUS DE NUM ECONOMICO]]</f>
        <v>ACTIVA</v>
      </c>
    </row>
    <row r="581" spans="1:33 16384:16384" ht="15.75" thickBot="1" x14ac:dyDescent="0.3">
      <c r="A581" s="8">
        <v>101</v>
      </c>
      <c r="B581" s="9">
        <v>46192</v>
      </c>
      <c r="C581" s="10" t="s">
        <v>87</v>
      </c>
      <c r="D581" s="11"/>
      <c r="E581" s="16">
        <v>5</v>
      </c>
      <c r="F581" s="9">
        <v>46195</v>
      </c>
      <c r="G581" s="212" t="str">
        <f>IFERROR(VLOOKUP(Tabla3[[#This Row],[NUM ECONOMICO]],MAQUINARIA!B:H,7,0), " MAQ")</f>
        <v>ACTIVA</v>
      </c>
      <c r="H581" s="214" t="s">
        <v>737</v>
      </c>
      <c r="I581" s="41" t="s">
        <v>153</v>
      </c>
      <c r="J581" s="10"/>
      <c r="K581" s="10">
        <v>1</v>
      </c>
      <c r="L581" s="12"/>
      <c r="M581" s="13">
        <f t="shared" si="9"/>
        <v>0</v>
      </c>
      <c r="N581" s="41"/>
      <c r="O581" s="10"/>
      <c r="P581" s="10">
        <f>Tabla3[[#This Row],[COSTO UNITARIO DOLARES EN HAWTHORNE]]*Tabla3[[#This Row],[CANTIDAD SOLICTADA]]</f>
        <v>0</v>
      </c>
      <c r="Q581" s="41"/>
      <c r="R581" s="229">
        <v>3.98</v>
      </c>
      <c r="S581" s="229">
        <f>+Tabla3[[#This Row],[COSTO UNITARIO DOLARES CTP]]*Tabla3[[#This Row],[CANTIDAD SOLICTADA]]</f>
        <v>3.98</v>
      </c>
      <c r="T581" s="41"/>
      <c r="U581" s="14" t="s">
        <v>4</v>
      </c>
      <c r="V581" s="8" t="s">
        <v>848</v>
      </c>
      <c r="W581" s="9">
        <v>46198</v>
      </c>
      <c r="X581" s="10" t="s">
        <v>89</v>
      </c>
      <c r="Y581" s="10">
        <v>22</v>
      </c>
      <c r="Z581" s="16"/>
      <c r="AA581" s="16"/>
      <c r="AB581" s="16"/>
      <c r="AC581" s="16"/>
      <c r="AD581" s="16"/>
      <c r="AE581" s="16" t="s">
        <v>4</v>
      </c>
      <c r="AF581" s="16"/>
      <c r="AG581" s="21" t="s">
        <v>849</v>
      </c>
      <c r="XFD581" s="15" t="str">
        <f>+Tabla3[[#This Row],[ESTATUS DE NUM ECONOMICO]]</f>
        <v>ACTIVA</v>
      </c>
    </row>
    <row r="582" spans="1:33 16384:16384" ht="15.75" thickBot="1" x14ac:dyDescent="0.3">
      <c r="A582" s="8">
        <v>101</v>
      </c>
      <c r="B582" s="9">
        <v>46192</v>
      </c>
      <c r="C582" s="10" t="s">
        <v>87</v>
      </c>
      <c r="D582" s="11"/>
      <c r="E582" s="16">
        <v>5</v>
      </c>
      <c r="F582" s="9">
        <v>46195</v>
      </c>
      <c r="G582" s="212" t="str">
        <f>IFERROR(VLOOKUP(Tabla3[[#This Row],[NUM ECONOMICO]],MAQUINARIA!B:H,7,0), " MAQ")</f>
        <v>ACTIVA</v>
      </c>
      <c r="H582" s="214" t="s">
        <v>737</v>
      </c>
      <c r="I582" s="41" t="s">
        <v>853</v>
      </c>
      <c r="J582" s="10"/>
      <c r="K582" s="10">
        <v>4</v>
      </c>
      <c r="L582" s="12"/>
      <c r="M582" s="13">
        <f t="shared" si="9"/>
        <v>0</v>
      </c>
      <c r="N582" s="41"/>
      <c r="O582" s="10"/>
      <c r="P582" s="10">
        <f>Tabla3[[#This Row],[COSTO UNITARIO DOLARES EN HAWTHORNE]]*Tabla3[[#This Row],[CANTIDAD SOLICTADA]]</f>
        <v>0</v>
      </c>
      <c r="Q582" s="41"/>
      <c r="R582" s="229"/>
      <c r="S582" s="229">
        <f>+Tabla3[[#This Row],[COSTO UNITARIO DOLARES CTP]]*Tabla3[[#This Row],[CANTIDAD SOLICTADA]]</f>
        <v>0</v>
      </c>
      <c r="T582" s="41"/>
      <c r="U582" s="14" t="s">
        <v>4</v>
      </c>
      <c r="V582" s="8" t="s">
        <v>848</v>
      </c>
      <c r="W582" s="9">
        <v>46198</v>
      </c>
      <c r="X582" s="10" t="s">
        <v>89</v>
      </c>
      <c r="Y582" s="10" t="s">
        <v>90</v>
      </c>
      <c r="Z582" s="16"/>
      <c r="AA582" s="16"/>
      <c r="AB582" s="16"/>
      <c r="AC582" s="16"/>
      <c r="AD582" s="16"/>
      <c r="AE582" s="16" t="s">
        <v>4</v>
      </c>
      <c r="AF582" s="16"/>
      <c r="AG582" s="21" t="s">
        <v>849</v>
      </c>
      <c r="XFD582" s="15" t="str">
        <f>+Tabla3[[#This Row],[ESTATUS DE NUM ECONOMICO]]</f>
        <v>ACTIVA</v>
      </c>
    </row>
    <row r="583" spans="1:33 16384:16384" ht="15.75" thickBot="1" x14ac:dyDescent="0.3">
      <c r="A583" s="8">
        <v>101</v>
      </c>
      <c r="B583" s="9">
        <v>46192</v>
      </c>
      <c r="C583" s="10" t="s">
        <v>87</v>
      </c>
      <c r="D583" s="11"/>
      <c r="E583" s="16">
        <v>5</v>
      </c>
      <c r="F583" s="9">
        <v>46195</v>
      </c>
      <c r="G583" s="212" t="str">
        <f>IFERROR(VLOOKUP(Tabla3[[#This Row],[NUM ECONOMICO]],MAQUINARIA!B:H,7,0), " MAQ")</f>
        <v>ACTIVA</v>
      </c>
      <c r="H583" s="214" t="s">
        <v>737</v>
      </c>
      <c r="I583" s="41" t="s">
        <v>151</v>
      </c>
      <c r="J583" s="10"/>
      <c r="K583" s="10">
        <v>4</v>
      </c>
      <c r="L583" s="12"/>
      <c r="M583" s="13">
        <f t="shared" si="9"/>
        <v>0</v>
      </c>
      <c r="N583" s="41"/>
      <c r="O583" s="10"/>
      <c r="P583" s="10">
        <f>Tabla3[[#This Row],[COSTO UNITARIO DOLARES EN HAWTHORNE]]*Tabla3[[#This Row],[CANTIDAD SOLICTADA]]</f>
        <v>0</v>
      </c>
      <c r="Q583" s="41"/>
      <c r="R583" s="229">
        <v>0.82</v>
      </c>
      <c r="S583" s="229">
        <f>+Tabla3[[#This Row],[COSTO UNITARIO DOLARES CTP]]*Tabla3[[#This Row],[CANTIDAD SOLICTADA]]</f>
        <v>3.28</v>
      </c>
      <c r="T583" s="41"/>
      <c r="U583" s="14" t="s">
        <v>4</v>
      </c>
      <c r="V583" s="8" t="s">
        <v>848</v>
      </c>
      <c r="W583" s="9">
        <v>46198</v>
      </c>
      <c r="X583" s="10" t="s">
        <v>89</v>
      </c>
      <c r="Y583" s="10">
        <v>6</v>
      </c>
      <c r="Z583" s="16"/>
      <c r="AA583" s="16"/>
      <c r="AB583" s="16"/>
      <c r="AC583" s="16"/>
      <c r="AD583" s="16"/>
      <c r="AE583" s="16" t="s">
        <v>4</v>
      </c>
      <c r="AF583" s="16"/>
      <c r="AG583" s="21" t="s">
        <v>849</v>
      </c>
      <c r="XFD583" s="15" t="str">
        <f>+Tabla3[[#This Row],[ESTATUS DE NUM ECONOMICO]]</f>
        <v>ACTIVA</v>
      </c>
    </row>
    <row r="584" spans="1:33 16384:16384" ht="15.75" thickBot="1" x14ac:dyDescent="0.3">
      <c r="A584" s="8">
        <v>101</v>
      </c>
      <c r="B584" s="9">
        <v>46192</v>
      </c>
      <c r="C584" s="10" t="s">
        <v>87</v>
      </c>
      <c r="D584" s="11"/>
      <c r="E584" s="16">
        <v>5</v>
      </c>
      <c r="F584" s="9">
        <v>46195</v>
      </c>
      <c r="G584" s="212" t="str">
        <f>IFERROR(VLOOKUP(Tabla3[[#This Row],[NUM ECONOMICO]],MAQUINARIA!B:H,7,0), " MAQ")</f>
        <v>ACTIVA</v>
      </c>
      <c r="H584" s="214" t="s">
        <v>737</v>
      </c>
      <c r="I584" s="41" t="s">
        <v>813</v>
      </c>
      <c r="J584" s="10"/>
      <c r="K584" s="10">
        <v>4</v>
      </c>
      <c r="L584" s="12"/>
      <c r="M584" s="13">
        <f t="shared" si="9"/>
        <v>0</v>
      </c>
      <c r="N584" s="41"/>
      <c r="O584" s="10"/>
      <c r="P584" s="10">
        <f>Tabla3[[#This Row],[COSTO UNITARIO DOLARES EN HAWTHORNE]]*Tabla3[[#This Row],[CANTIDAD SOLICTADA]]</f>
        <v>0</v>
      </c>
      <c r="Q584" s="41"/>
      <c r="R584" s="229">
        <v>11.75</v>
      </c>
      <c r="S584" s="229">
        <f>+Tabla3[[#This Row],[COSTO UNITARIO DOLARES CTP]]*Tabla3[[#This Row],[CANTIDAD SOLICTADA]]</f>
        <v>47</v>
      </c>
      <c r="T584" s="41"/>
      <c r="U584" s="14" t="s">
        <v>4</v>
      </c>
      <c r="V584" s="8" t="s">
        <v>848</v>
      </c>
      <c r="W584" s="9">
        <v>46197</v>
      </c>
      <c r="X584" s="10" t="s">
        <v>89</v>
      </c>
      <c r="Y584" s="10">
        <v>9</v>
      </c>
      <c r="Z584" s="16" t="s">
        <v>46</v>
      </c>
      <c r="AA584" s="25">
        <v>46193</v>
      </c>
      <c r="AB584" s="25">
        <v>46197</v>
      </c>
      <c r="AC584" s="16"/>
      <c r="AD584" s="16"/>
      <c r="AE584" s="16" t="s">
        <v>4</v>
      </c>
      <c r="AF584" s="16"/>
      <c r="AG584" s="21" t="s">
        <v>849</v>
      </c>
      <c r="XFD584" s="15" t="str">
        <f>+Tabla3[[#This Row],[ESTATUS DE NUM ECONOMICO]]</f>
        <v>ACTIVA</v>
      </c>
    </row>
    <row r="585" spans="1:33 16384:16384" ht="15.75" thickBot="1" x14ac:dyDescent="0.3">
      <c r="A585" s="8">
        <v>101</v>
      </c>
      <c r="B585" s="9">
        <v>46192</v>
      </c>
      <c r="C585" s="10" t="s">
        <v>87</v>
      </c>
      <c r="D585" s="11"/>
      <c r="E585" s="16">
        <v>5</v>
      </c>
      <c r="F585" s="9">
        <v>46195</v>
      </c>
      <c r="G585" s="212" t="str">
        <f>IFERROR(VLOOKUP(Tabla3[[#This Row],[NUM ECONOMICO]],MAQUINARIA!B:H,7,0), " MAQ")</f>
        <v>ACTIVA</v>
      </c>
      <c r="H585" s="214" t="s">
        <v>737</v>
      </c>
      <c r="I585" s="41" t="s">
        <v>854</v>
      </c>
      <c r="J585" s="10"/>
      <c r="K585" s="10">
        <v>4</v>
      </c>
      <c r="L585" s="12"/>
      <c r="M585" s="13">
        <f t="shared" si="9"/>
        <v>0</v>
      </c>
      <c r="N585" s="41"/>
      <c r="O585" s="10"/>
      <c r="P585" s="10">
        <f>Tabla3[[#This Row],[COSTO UNITARIO DOLARES EN HAWTHORNE]]*Tabla3[[#This Row],[CANTIDAD SOLICTADA]]</f>
        <v>0</v>
      </c>
      <c r="Q585" s="41"/>
      <c r="R585" s="229"/>
      <c r="S585" s="229">
        <f>+Tabla3[[#This Row],[COSTO UNITARIO DOLARES CTP]]*Tabla3[[#This Row],[CANTIDAD SOLICTADA]]</f>
        <v>0</v>
      </c>
      <c r="T585" s="41"/>
      <c r="U585" s="14" t="s">
        <v>4</v>
      </c>
      <c r="V585" s="8" t="s">
        <v>848</v>
      </c>
      <c r="W585" s="9">
        <v>46197</v>
      </c>
      <c r="X585" s="10" t="s">
        <v>89</v>
      </c>
      <c r="Y585" s="10">
        <v>4</v>
      </c>
      <c r="Z585" s="16" t="s">
        <v>46</v>
      </c>
      <c r="AA585" s="25">
        <v>46193</v>
      </c>
      <c r="AB585" s="25">
        <v>46197</v>
      </c>
      <c r="AC585" s="16"/>
      <c r="AD585" s="16"/>
      <c r="AE585" s="16" t="s">
        <v>4</v>
      </c>
      <c r="AF585" s="16"/>
      <c r="AG585" s="21" t="s">
        <v>849</v>
      </c>
      <c r="XFD585" s="15" t="str">
        <f>+Tabla3[[#This Row],[ESTATUS DE NUM ECONOMICO]]</f>
        <v>ACTIVA</v>
      </c>
    </row>
    <row r="586" spans="1:33 16384:16384" ht="15.75" thickBot="1" x14ac:dyDescent="0.3">
      <c r="A586" s="8">
        <v>102</v>
      </c>
      <c r="B586" s="9">
        <v>46196</v>
      </c>
      <c r="C586" s="10" t="s">
        <v>87</v>
      </c>
      <c r="D586" s="10" t="s">
        <v>855</v>
      </c>
      <c r="E586" s="16">
        <v>22</v>
      </c>
      <c r="F586" s="9">
        <v>46196</v>
      </c>
      <c r="G586" s="212" t="str">
        <f>IFERROR(VLOOKUP(Tabla3[[#This Row],[NUM ECONOMICO]],MAQUINARIA!B:H,7,0), " MAQ")</f>
        <v>ACTIVA</v>
      </c>
      <c r="H586" s="214" t="s">
        <v>94</v>
      </c>
      <c r="I586" s="41" t="s">
        <v>856</v>
      </c>
      <c r="J586" s="10"/>
      <c r="K586" s="10">
        <v>2</v>
      </c>
      <c r="L586" s="12"/>
      <c r="M586" s="13">
        <f t="shared" si="9"/>
        <v>0</v>
      </c>
      <c r="N586" s="41"/>
      <c r="O586" s="10"/>
      <c r="P586" s="10">
        <f>Tabla3[[#This Row],[COSTO UNITARIO DOLARES EN HAWTHORNE]]*Tabla3[[#This Row],[CANTIDAD SOLICTADA]]</f>
        <v>0</v>
      </c>
      <c r="Q586" s="43"/>
      <c r="R586" s="230"/>
      <c r="S586" s="230">
        <f>+Tabla3[[#This Row],[COSTO UNITARIO DOLARES CTP]]*Tabla3[[#This Row],[CANTIDAD SOLICTADA]]</f>
        <v>0</v>
      </c>
      <c r="T586" s="43"/>
      <c r="U586" s="26" t="s">
        <v>4</v>
      </c>
      <c r="V586" s="8">
        <v>3255</v>
      </c>
      <c r="W586" s="9">
        <v>46196</v>
      </c>
      <c r="X586" s="10" t="s">
        <v>89</v>
      </c>
      <c r="Y586" s="10" t="s">
        <v>90</v>
      </c>
      <c r="Z586" s="16" t="s">
        <v>857</v>
      </c>
      <c r="AA586" s="25">
        <v>46196</v>
      </c>
      <c r="AB586" s="25">
        <v>46196</v>
      </c>
      <c r="AC586" s="16" t="s">
        <v>109</v>
      </c>
      <c r="AD586" s="16"/>
      <c r="AE586" s="16" t="s">
        <v>858</v>
      </c>
      <c r="AF586" s="16"/>
      <c r="AG586" s="21" t="s">
        <v>425</v>
      </c>
      <c r="XFD586" s="15" t="str">
        <f>+Tabla3[[#This Row],[ESTATUS DE NUM ECONOMICO]]</f>
        <v>ACTIVA</v>
      </c>
    </row>
    <row r="587" spans="1:33 16384:16384" ht="15.75" thickBot="1" x14ac:dyDescent="0.3">
      <c r="A587" s="8">
        <v>103</v>
      </c>
      <c r="B587" s="9">
        <v>46197</v>
      </c>
      <c r="C587" s="10" t="s">
        <v>87</v>
      </c>
      <c r="D587" s="11"/>
      <c r="E587" s="16">
        <v>29</v>
      </c>
      <c r="F587" s="9">
        <v>46198</v>
      </c>
      <c r="G587" s="212" t="str">
        <f>IFERROR(VLOOKUP(Tabla3[[#This Row],[NUM ECONOMICO]],MAQUINARIA!B:H,7,0), " MAQ")</f>
        <v>ACTIVA</v>
      </c>
      <c r="H587" s="214" t="s">
        <v>196</v>
      </c>
      <c r="I587" s="41" t="s">
        <v>859</v>
      </c>
      <c r="J587" s="10"/>
      <c r="K587" s="10">
        <v>27</v>
      </c>
      <c r="L587" s="13">
        <v>2.52</v>
      </c>
      <c r="M587" s="13">
        <f t="shared" si="9"/>
        <v>68.040000000000006</v>
      </c>
      <c r="N587" s="41"/>
      <c r="O587" s="10"/>
      <c r="P587" s="10">
        <f>Tabla3[[#This Row],[COSTO UNITARIO DOLARES EN HAWTHORNE]]*Tabla3[[#This Row],[CANTIDAD SOLICTADA]]</f>
        <v>0</v>
      </c>
      <c r="Q587" s="208"/>
      <c r="R587" s="231"/>
      <c r="S587" s="231">
        <f>+Tabla3[[#This Row],[COSTO UNITARIO DOLARES CTP]]*Tabla3[[#This Row],[CANTIDAD SOLICTADA]]</f>
        <v>0</v>
      </c>
      <c r="T587" s="208"/>
      <c r="U587" s="24" t="s">
        <v>4</v>
      </c>
      <c r="V587" s="8" t="s">
        <v>860</v>
      </c>
      <c r="W587" s="30">
        <v>46206</v>
      </c>
      <c r="X587" s="10" t="s">
        <v>89</v>
      </c>
      <c r="Y587" s="10" t="s">
        <v>90</v>
      </c>
      <c r="Z587" s="16" t="s">
        <v>44</v>
      </c>
      <c r="AA587" s="205">
        <v>46204</v>
      </c>
      <c r="AB587" s="205">
        <v>46205</v>
      </c>
      <c r="AC587" s="16" t="s">
        <v>91</v>
      </c>
      <c r="AD587" s="16"/>
      <c r="AE587" s="16" t="s">
        <v>861</v>
      </c>
      <c r="AF587" s="16"/>
      <c r="AG587" s="21" t="s">
        <v>862</v>
      </c>
      <c r="XFD587" s="15" t="str">
        <f>+Tabla3[[#This Row],[ESTATUS DE NUM ECONOMICO]]</f>
        <v>ACTIVA</v>
      </c>
    </row>
    <row r="588" spans="1:33 16384:16384" ht="15.75" thickBot="1" x14ac:dyDescent="0.3">
      <c r="A588" s="8">
        <v>103</v>
      </c>
      <c r="B588" s="9">
        <v>46197</v>
      </c>
      <c r="C588" s="10" t="s">
        <v>87</v>
      </c>
      <c r="D588" s="11"/>
      <c r="E588" s="16">
        <v>29</v>
      </c>
      <c r="F588" s="9">
        <v>46198</v>
      </c>
      <c r="G588" s="212" t="str">
        <f>IFERROR(VLOOKUP(Tabla3[[#This Row],[NUM ECONOMICO]],MAQUINARIA!B:H,7,0), " MAQ")</f>
        <v>ACTIVA</v>
      </c>
      <c r="H588" s="214" t="s">
        <v>196</v>
      </c>
      <c r="I588" s="41">
        <v>1616963</v>
      </c>
      <c r="J588" s="10"/>
      <c r="K588" s="10">
        <v>2</v>
      </c>
      <c r="L588" s="13">
        <v>13.32</v>
      </c>
      <c r="M588" s="13">
        <f t="shared" si="9"/>
        <v>26.64</v>
      </c>
      <c r="N588" s="41"/>
      <c r="O588" s="10"/>
      <c r="P588" s="10">
        <f>Tabla3[[#This Row],[COSTO UNITARIO DOLARES EN HAWTHORNE]]*Tabla3[[#This Row],[CANTIDAD SOLICTADA]]</f>
        <v>0</v>
      </c>
      <c r="Q588" s="208"/>
      <c r="R588" s="231"/>
      <c r="S588" s="231">
        <f>+Tabla3[[#This Row],[COSTO UNITARIO DOLARES CTP]]*Tabla3[[#This Row],[CANTIDAD SOLICTADA]]</f>
        <v>0</v>
      </c>
      <c r="T588" s="208"/>
      <c r="U588" s="24" t="s">
        <v>4</v>
      </c>
      <c r="V588" s="8" t="s">
        <v>860</v>
      </c>
      <c r="W588" s="30">
        <v>46206</v>
      </c>
      <c r="X588" s="10" t="s">
        <v>89</v>
      </c>
      <c r="Y588" s="10" t="s">
        <v>90</v>
      </c>
      <c r="Z588" s="16" t="s">
        <v>44</v>
      </c>
      <c r="AA588" s="205"/>
      <c r="AB588" s="205"/>
      <c r="AC588" s="16" t="s">
        <v>91</v>
      </c>
      <c r="AD588" s="16"/>
      <c r="AE588" s="16" t="s">
        <v>861</v>
      </c>
      <c r="AF588" s="16"/>
      <c r="AG588" s="21" t="s">
        <v>862</v>
      </c>
      <c r="XFD588" s="15" t="str">
        <f>+Tabla3[[#This Row],[ESTATUS DE NUM ECONOMICO]]</f>
        <v>ACTIVA</v>
      </c>
    </row>
    <row r="589" spans="1:33 16384:16384" ht="15.75" thickBot="1" x14ac:dyDescent="0.3">
      <c r="A589" s="8">
        <v>103</v>
      </c>
      <c r="B589" s="9">
        <v>46197</v>
      </c>
      <c r="C589" s="10" t="s">
        <v>87</v>
      </c>
      <c r="D589" s="11"/>
      <c r="E589" s="16">
        <v>29</v>
      </c>
      <c r="F589" s="9">
        <v>46198</v>
      </c>
      <c r="G589" s="212" t="str">
        <f>IFERROR(VLOOKUP(Tabla3[[#This Row],[NUM ECONOMICO]],MAQUINARIA!B:H,7,0), " MAQ")</f>
        <v>ACTIVA</v>
      </c>
      <c r="H589" s="214" t="s">
        <v>196</v>
      </c>
      <c r="I589" s="41">
        <v>2414981</v>
      </c>
      <c r="J589" s="10" t="s">
        <v>863</v>
      </c>
      <c r="K589" s="10">
        <v>1</v>
      </c>
      <c r="L589" s="13">
        <v>1185.6600000000001</v>
      </c>
      <c r="M589" s="13">
        <f t="shared" si="9"/>
        <v>1185.6600000000001</v>
      </c>
      <c r="N589" s="41"/>
      <c r="O589" s="10"/>
      <c r="P589" s="10">
        <f>Tabla3[[#This Row],[COSTO UNITARIO DOLARES EN HAWTHORNE]]*Tabla3[[#This Row],[CANTIDAD SOLICTADA]]</f>
        <v>0</v>
      </c>
      <c r="Q589" s="208"/>
      <c r="R589" s="231"/>
      <c r="S589" s="231">
        <f>+Tabla3[[#This Row],[COSTO UNITARIO DOLARES CTP]]*Tabla3[[#This Row],[CANTIDAD SOLICTADA]]</f>
        <v>0</v>
      </c>
      <c r="T589" s="208"/>
      <c r="U589" s="24" t="s">
        <v>4</v>
      </c>
      <c r="V589" s="8" t="s">
        <v>860</v>
      </c>
      <c r="W589" s="30">
        <v>46206</v>
      </c>
      <c r="X589" s="10" t="s">
        <v>89</v>
      </c>
      <c r="Y589" s="10" t="s">
        <v>90</v>
      </c>
      <c r="Z589" s="16" t="s">
        <v>44</v>
      </c>
      <c r="AA589" s="205"/>
      <c r="AB589" s="205"/>
      <c r="AC589" s="16" t="s">
        <v>91</v>
      </c>
      <c r="AD589" s="16"/>
      <c r="AE589" s="16" t="s">
        <v>861</v>
      </c>
      <c r="AF589" s="16"/>
      <c r="AG589" s="21" t="s">
        <v>862</v>
      </c>
      <c r="XFD589" s="15" t="str">
        <f>+Tabla3[[#This Row],[ESTATUS DE NUM ECONOMICO]]</f>
        <v>ACTIVA</v>
      </c>
    </row>
    <row r="590" spans="1:33 16384:16384" ht="15.75" thickBot="1" x14ac:dyDescent="0.3">
      <c r="A590" s="8">
        <v>104</v>
      </c>
      <c r="B590" s="9">
        <v>46197</v>
      </c>
      <c r="C590" s="10" t="s">
        <v>87</v>
      </c>
      <c r="D590" s="11"/>
      <c r="E590" s="16"/>
      <c r="F590" s="10"/>
      <c r="G590" s="212" t="str">
        <f>IFERROR(VLOOKUP(Tabla3[[#This Row],[NUM ECONOMICO]],MAQUINARIA!B:H,7,0), " MAQ")</f>
        <v>ACTIVA</v>
      </c>
      <c r="H590" s="214" t="s">
        <v>132</v>
      </c>
      <c r="I590" s="41" t="s">
        <v>864</v>
      </c>
      <c r="J590" s="10"/>
      <c r="K590" s="10">
        <v>7</v>
      </c>
      <c r="L590" s="12"/>
      <c r="M590" s="13">
        <f t="shared" si="9"/>
        <v>0</v>
      </c>
      <c r="N590" s="41"/>
      <c r="O590" s="10"/>
      <c r="P590" s="10">
        <f>Tabla3[[#This Row],[COSTO UNITARIO DOLARES EN HAWTHORNE]]*Tabla3[[#This Row],[CANTIDAD SOLICTADA]]</f>
        <v>0</v>
      </c>
      <c r="Q590" s="41"/>
      <c r="R590" s="229"/>
      <c r="S590" s="229">
        <f>+Tabla3[[#This Row],[COSTO UNITARIO DOLARES CTP]]*Tabla3[[#This Row],[CANTIDAD SOLICTADA]]</f>
        <v>0</v>
      </c>
      <c r="T590" s="41"/>
      <c r="U590" s="19" t="s">
        <v>7</v>
      </c>
      <c r="V590" s="8" t="s">
        <v>865</v>
      </c>
      <c r="W590" s="10"/>
      <c r="X590" s="10" t="s">
        <v>89</v>
      </c>
      <c r="Y590" s="10">
        <v>0</v>
      </c>
      <c r="Z590" s="16"/>
      <c r="AA590" s="16"/>
      <c r="AB590" s="16"/>
      <c r="AC590" s="16"/>
      <c r="AD590" s="16"/>
      <c r="AE590" s="16" t="s">
        <v>866</v>
      </c>
      <c r="AF590" s="16"/>
      <c r="AG590" s="21" t="s">
        <v>867</v>
      </c>
      <c r="XFD590" s="15" t="str">
        <f>+Tabla3[[#This Row],[ESTATUS DE NUM ECONOMICO]]</f>
        <v>ACTIVA</v>
      </c>
    </row>
    <row r="591" spans="1:33 16384:16384" ht="15.75" thickBot="1" x14ac:dyDescent="0.3">
      <c r="A591" s="8">
        <v>105</v>
      </c>
      <c r="B591" s="9">
        <v>46197</v>
      </c>
      <c r="C591" s="10" t="s">
        <v>87</v>
      </c>
      <c r="D591" s="11"/>
      <c r="E591" s="16">
        <v>30</v>
      </c>
      <c r="F591" s="9">
        <v>46196</v>
      </c>
      <c r="G591" s="212" t="str">
        <f>IFERROR(VLOOKUP(Tabla3[[#This Row],[NUM ECONOMICO]],MAQUINARIA!B:H,7,0), " MAQ")</f>
        <v>INACTIVA</v>
      </c>
      <c r="H591" s="214" t="s">
        <v>868</v>
      </c>
      <c r="I591" s="41" t="s">
        <v>869</v>
      </c>
      <c r="J591" s="10"/>
      <c r="K591" s="10">
        <v>1</v>
      </c>
      <c r="L591" s="12"/>
      <c r="M591" s="13">
        <f t="shared" si="9"/>
        <v>0</v>
      </c>
      <c r="N591" s="41"/>
      <c r="O591" s="10"/>
      <c r="P591" s="10">
        <f>Tabla3[[#This Row],[COSTO UNITARIO DOLARES EN HAWTHORNE]]*Tabla3[[#This Row],[CANTIDAD SOLICTADA]]</f>
        <v>0</v>
      </c>
      <c r="Q591" s="41"/>
      <c r="R591" s="229"/>
      <c r="S591" s="229">
        <f>+Tabla3[[#This Row],[COSTO UNITARIO DOLARES CTP]]*Tabla3[[#This Row],[CANTIDAD SOLICTADA]]</f>
        <v>0</v>
      </c>
      <c r="T591" s="41"/>
      <c r="U591" s="14" t="s">
        <v>4</v>
      </c>
      <c r="V591" s="8" t="s">
        <v>870</v>
      </c>
      <c r="W591" s="9">
        <v>46198</v>
      </c>
      <c r="X591" s="10" t="s">
        <v>89</v>
      </c>
      <c r="Y591" s="10" t="s">
        <v>90</v>
      </c>
      <c r="Z591" s="16" t="s">
        <v>44</v>
      </c>
      <c r="AA591" s="25">
        <v>46198</v>
      </c>
      <c r="AB591" s="25">
        <v>46198</v>
      </c>
      <c r="AC591" s="16"/>
      <c r="AD591" s="16"/>
      <c r="AE591" s="16" t="s">
        <v>866</v>
      </c>
      <c r="AF591" s="16"/>
      <c r="AG591" s="21" t="s">
        <v>871</v>
      </c>
      <c r="XFD591" s="15" t="str">
        <f>+Tabla3[[#This Row],[ESTATUS DE NUM ECONOMICO]]</f>
        <v>INACTIVA</v>
      </c>
    </row>
    <row r="592" spans="1:33 16384:16384" ht="15.75" thickBot="1" x14ac:dyDescent="0.3">
      <c r="A592" s="8">
        <v>105</v>
      </c>
      <c r="B592" s="9">
        <v>46197</v>
      </c>
      <c r="C592" s="10" t="s">
        <v>87</v>
      </c>
      <c r="D592" s="11"/>
      <c r="E592" s="16">
        <v>30</v>
      </c>
      <c r="F592" s="9">
        <v>46196</v>
      </c>
      <c r="G592" s="212" t="str">
        <f>IFERROR(VLOOKUP(Tabla3[[#This Row],[NUM ECONOMICO]],MAQUINARIA!B:H,7,0), " MAQ")</f>
        <v>INACTIVA</v>
      </c>
      <c r="H592" s="214" t="s">
        <v>868</v>
      </c>
      <c r="I592" s="41" t="s">
        <v>872</v>
      </c>
      <c r="J592" s="10"/>
      <c r="K592" s="10">
        <v>1</v>
      </c>
      <c r="L592" s="12"/>
      <c r="M592" s="13">
        <f t="shared" si="9"/>
        <v>0</v>
      </c>
      <c r="N592" s="41"/>
      <c r="O592" s="10"/>
      <c r="P592" s="10">
        <f>Tabla3[[#This Row],[COSTO UNITARIO DOLARES EN HAWTHORNE]]*Tabla3[[#This Row],[CANTIDAD SOLICTADA]]</f>
        <v>0</v>
      </c>
      <c r="Q592" s="41"/>
      <c r="R592" s="229"/>
      <c r="S592" s="229">
        <f>+Tabla3[[#This Row],[COSTO UNITARIO DOLARES CTP]]*Tabla3[[#This Row],[CANTIDAD SOLICTADA]]</f>
        <v>0</v>
      </c>
      <c r="T592" s="41"/>
      <c r="U592" s="14" t="s">
        <v>4</v>
      </c>
      <c r="V592" s="8" t="s">
        <v>870</v>
      </c>
      <c r="W592" s="9">
        <v>46198</v>
      </c>
      <c r="X592" s="10" t="s">
        <v>89</v>
      </c>
      <c r="Y592" s="10" t="s">
        <v>90</v>
      </c>
      <c r="Z592" s="16" t="s">
        <v>44</v>
      </c>
      <c r="AA592" s="25">
        <v>46198</v>
      </c>
      <c r="AB592" s="25">
        <v>46198</v>
      </c>
      <c r="AC592" s="16"/>
      <c r="AD592" s="16"/>
      <c r="AE592" s="16" t="s">
        <v>866</v>
      </c>
      <c r="AF592" s="16"/>
      <c r="AG592" s="21" t="s">
        <v>871</v>
      </c>
      <c r="XFD592" s="15" t="str">
        <f>+Tabla3[[#This Row],[ESTATUS DE NUM ECONOMICO]]</f>
        <v>INACTIVA</v>
      </c>
    </row>
    <row r="593" spans="1:33 16384:16384" ht="15.75" thickBot="1" x14ac:dyDescent="0.3">
      <c r="A593" s="8">
        <v>106</v>
      </c>
      <c r="B593" s="9">
        <v>46198</v>
      </c>
      <c r="C593" s="10" t="s">
        <v>87</v>
      </c>
      <c r="D593" s="10">
        <v>44</v>
      </c>
      <c r="E593" s="16">
        <v>81</v>
      </c>
      <c r="F593" s="9">
        <v>46198</v>
      </c>
      <c r="G593" s="212" t="str">
        <f>IFERROR(VLOOKUP(Tabla3[[#This Row],[NUM ECONOMICO]],MAQUINARIA!B:H,7,0), " MAQ")</f>
        <v>ACTIVA</v>
      </c>
      <c r="H593" s="214" t="s">
        <v>132</v>
      </c>
      <c r="I593" s="41">
        <v>1559524</v>
      </c>
      <c r="J593" s="10" t="s">
        <v>873</v>
      </c>
      <c r="K593" s="10">
        <v>1</v>
      </c>
      <c r="L593" s="12"/>
      <c r="M593" s="13">
        <f t="shared" si="9"/>
        <v>0</v>
      </c>
      <c r="N593" s="41"/>
      <c r="O593" s="10"/>
      <c r="P593" s="10">
        <f>Tabla3[[#This Row],[COSTO UNITARIO DOLARES EN HAWTHORNE]]*Tabla3[[#This Row],[CANTIDAD SOLICTADA]]</f>
        <v>0</v>
      </c>
      <c r="Q593" s="41"/>
      <c r="R593" s="229"/>
      <c r="S593" s="229">
        <f>+Tabla3[[#This Row],[COSTO UNITARIO DOLARES CTP]]*Tabla3[[#This Row],[CANTIDAD SOLICTADA]]</f>
        <v>0</v>
      </c>
      <c r="T593" s="41"/>
      <c r="U593" s="14" t="s">
        <v>4</v>
      </c>
      <c r="V593" s="8" t="s">
        <v>874</v>
      </c>
      <c r="W593" s="9">
        <v>46198</v>
      </c>
      <c r="X593" s="10" t="s">
        <v>89</v>
      </c>
      <c r="Y593" s="10" t="s">
        <v>90</v>
      </c>
      <c r="Z593" s="16" t="s">
        <v>44</v>
      </c>
      <c r="AA593" s="25">
        <v>46198</v>
      </c>
      <c r="AB593" s="25">
        <v>46198</v>
      </c>
      <c r="AC593" s="16" t="s">
        <v>91</v>
      </c>
      <c r="AD593" s="16"/>
      <c r="AE593" s="16" t="s">
        <v>866</v>
      </c>
      <c r="AF593" s="27" t="s">
        <v>875</v>
      </c>
      <c r="AG593" s="21" t="s">
        <v>876</v>
      </c>
      <c r="XFD593" s="15" t="str">
        <f>+Tabla3[[#This Row],[ESTATUS DE NUM ECONOMICO]]</f>
        <v>ACTIVA</v>
      </c>
    </row>
    <row r="594" spans="1:33 16384:16384" ht="15.75" thickBot="1" x14ac:dyDescent="0.3">
      <c r="A594" s="8">
        <v>106</v>
      </c>
      <c r="B594" s="9">
        <v>46198</v>
      </c>
      <c r="C594" s="10" t="s">
        <v>87</v>
      </c>
      <c r="D594" s="10">
        <v>44</v>
      </c>
      <c r="E594" s="16">
        <v>81</v>
      </c>
      <c r="F594" s="9">
        <v>46198</v>
      </c>
      <c r="G594" s="212" t="str">
        <f>IFERROR(VLOOKUP(Tabla3[[#This Row],[NUM ECONOMICO]],MAQUINARIA!B:H,7,0), " MAQ")</f>
        <v>ACTIVA</v>
      </c>
      <c r="H594" s="214" t="s">
        <v>132</v>
      </c>
      <c r="I594" s="41">
        <v>1669144</v>
      </c>
      <c r="J594" s="10"/>
      <c r="K594" s="10">
        <v>1</v>
      </c>
      <c r="L594" s="12"/>
      <c r="M594" s="13">
        <f t="shared" si="9"/>
        <v>0</v>
      </c>
      <c r="N594" s="41"/>
      <c r="O594" s="10"/>
      <c r="P594" s="10">
        <f>Tabla3[[#This Row],[COSTO UNITARIO DOLARES EN HAWTHORNE]]*Tabla3[[#This Row],[CANTIDAD SOLICTADA]]</f>
        <v>0</v>
      </c>
      <c r="Q594" s="41"/>
      <c r="R594" s="229"/>
      <c r="S594" s="229">
        <f>+Tabla3[[#This Row],[COSTO UNITARIO DOLARES CTP]]*Tabla3[[#This Row],[CANTIDAD SOLICTADA]]</f>
        <v>0</v>
      </c>
      <c r="T594" s="41"/>
      <c r="U594" s="14" t="s">
        <v>4</v>
      </c>
      <c r="V594" s="8" t="s">
        <v>874</v>
      </c>
      <c r="W594" s="9">
        <v>46198</v>
      </c>
      <c r="X594" s="10" t="s">
        <v>89</v>
      </c>
      <c r="Y594" s="10" t="s">
        <v>90</v>
      </c>
      <c r="Z594" s="16" t="s">
        <v>44</v>
      </c>
      <c r="AA594" s="25">
        <v>46198</v>
      </c>
      <c r="AB594" s="25">
        <v>46198</v>
      </c>
      <c r="AC594" s="16" t="s">
        <v>91</v>
      </c>
      <c r="AD594" s="16"/>
      <c r="AE594" s="16" t="s">
        <v>866</v>
      </c>
      <c r="AF594" s="27" t="s">
        <v>875</v>
      </c>
      <c r="AG594" s="21" t="s">
        <v>876</v>
      </c>
      <c r="XFD594" s="15" t="str">
        <f>+Tabla3[[#This Row],[ESTATUS DE NUM ECONOMICO]]</f>
        <v>ACTIVA</v>
      </c>
    </row>
    <row r="595" spans="1:33 16384:16384" ht="15.75" thickBot="1" x14ac:dyDescent="0.3">
      <c r="A595" s="8">
        <v>106</v>
      </c>
      <c r="B595" s="9">
        <v>46198</v>
      </c>
      <c r="C595" s="10" t="s">
        <v>87</v>
      </c>
      <c r="D595" s="10">
        <v>44</v>
      </c>
      <c r="E595" s="16">
        <v>81</v>
      </c>
      <c r="F595" s="9">
        <v>46198</v>
      </c>
      <c r="G595" s="212" t="str">
        <f>IFERROR(VLOOKUP(Tabla3[[#This Row],[NUM ECONOMICO]],MAQUINARIA!B:H,7,0), " MAQ")</f>
        <v>ACTIVA</v>
      </c>
      <c r="H595" s="214" t="s">
        <v>132</v>
      </c>
      <c r="I595" s="41">
        <v>619455</v>
      </c>
      <c r="J595" s="10"/>
      <c r="K595" s="10">
        <v>1</v>
      </c>
      <c r="L595" s="12"/>
      <c r="M595" s="13">
        <f t="shared" si="9"/>
        <v>0</v>
      </c>
      <c r="N595" s="41"/>
      <c r="O595" s="10"/>
      <c r="P595" s="10">
        <f>Tabla3[[#This Row],[COSTO UNITARIO DOLARES EN HAWTHORNE]]*Tabla3[[#This Row],[CANTIDAD SOLICTADA]]</f>
        <v>0</v>
      </c>
      <c r="Q595" s="41"/>
      <c r="R595" s="229"/>
      <c r="S595" s="229">
        <f>+Tabla3[[#This Row],[COSTO UNITARIO DOLARES CTP]]*Tabla3[[#This Row],[CANTIDAD SOLICTADA]]</f>
        <v>0</v>
      </c>
      <c r="T595" s="41"/>
      <c r="U595" s="14" t="s">
        <v>4</v>
      </c>
      <c r="V595" s="8" t="s">
        <v>874</v>
      </c>
      <c r="W595" s="9">
        <v>46198</v>
      </c>
      <c r="X595" s="10" t="s">
        <v>89</v>
      </c>
      <c r="Y595" s="10">
        <v>1</v>
      </c>
      <c r="Z595" s="16" t="s">
        <v>44</v>
      </c>
      <c r="AA595" s="25">
        <v>46198</v>
      </c>
      <c r="AB595" s="25">
        <v>46198</v>
      </c>
      <c r="AC595" s="16" t="s">
        <v>91</v>
      </c>
      <c r="AD595" s="16"/>
      <c r="AE595" s="16" t="s">
        <v>866</v>
      </c>
      <c r="AF595" s="27" t="s">
        <v>875</v>
      </c>
      <c r="AG595" s="21" t="s">
        <v>876</v>
      </c>
      <c r="XFD595" s="15" t="str">
        <f>+Tabla3[[#This Row],[ESTATUS DE NUM ECONOMICO]]</f>
        <v>ACTIVA</v>
      </c>
    </row>
    <row r="596" spans="1:33 16384:16384" ht="15.75" thickBot="1" x14ac:dyDescent="0.3">
      <c r="A596" s="8">
        <v>106</v>
      </c>
      <c r="B596" s="9">
        <v>46198</v>
      </c>
      <c r="C596" s="10" t="s">
        <v>87</v>
      </c>
      <c r="D596" s="10">
        <v>44</v>
      </c>
      <c r="E596" s="16">
        <v>81</v>
      </c>
      <c r="F596" s="9">
        <v>46198</v>
      </c>
      <c r="G596" s="212" t="str">
        <f>IFERROR(VLOOKUP(Tabla3[[#This Row],[NUM ECONOMICO]],MAQUINARIA!B:H,7,0), " MAQ")</f>
        <v>ACTIVA</v>
      </c>
      <c r="H596" s="214" t="s">
        <v>132</v>
      </c>
      <c r="I596" s="41" t="s">
        <v>877</v>
      </c>
      <c r="J596" s="10"/>
      <c r="K596" s="10">
        <v>8</v>
      </c>
      <c r="L596" s="12"/>
      <c r="M596" s="13">
        <f t="shared" si="9"/>
        <v>0</v>
      </c>
      <c r="N596" s="41"/>
      <c r="O596" s="10"/>
      <c r="P596" s="10">
        <f>Tabla3[[#This Row],[COSTO UNITARIO DOLARES EN HAWTHORNE]]*Tabla3[[#This Row],[CANTIDAD SOLICTADA]]</f>
        <v>0</v>
      </c>
      <c r="Q596" s="41"/>
      <c r="R596" s="229"/>
      <c r="S596" s="229">
        <f>+Tabla3[[#This Row],[COSTO UNITARIO DOLARES CTP]]*Tabla3[[#This Row],[CANTIDAD SOLICTADA]]</f>
        <v>0</v>
      </c>
      <c r="T596" s="41"/>
      <c r="U596" s="14" t="s">
        <v>4</v>
      </c>
      <c r="V596" s="8" t="s">
        <v>874</v>
      </c>
      <c r="W596" s="9">
        <v>46198</v>
      </c>
      <c r="X596" s="10" t="s">
        <v>89</v>
      </c>
      <c r="Y596" s="10">
        <v>46</v>
      </c>
      <c r="Z596" s="16" t="s">
        <v>44</v>
      </c>
      <c r="AA596" s="25">
        <v>46198</v>
      </c>
      <c r="AB596" s="25">
        <v>46198</v>
      </c>
      <c r="AC596" s="16" t="s">
        <v>91</v>
      </c>
      <c r="AD596" s="16"/>
      <c r="AE596" s="16" t="s">
        <v>866</v>
      </c>
      <c r="AF596" s="27" t="s">
        <v>875</v>
      </c>
      <c r="AG596" s="21" t="s">
        <v>876</v>
      </c>
      <c r="XFD596" s="15" t="str">
        <f>+Tabla3[[#This Row],[ESTATUS DE NUM ECONOMICO]]</f>
        <v>ACTIVA</v>
      </c>
    </row>
    <row r="597" spans="1:33 16384:16384" ht="15.75" thickBot="1" x14ac:dyDescent="0.3">
      <c r="A597" s="8">
        <v>106</v>
      </c>
      <c r="B597" s="9">
        <v>46198</v>
      </c>
      <c r="C597" s="10" t="s">
        <v>87</v>
      </c>
      <c r="D597" s="10">
        <v>44</v>
      </c>
      <c r="E597" s="16">
        <v>81</v>
      </c>
      <c r="F597" s="9">
        <v>46198</v>
      </c>
      <c r="G597" s="212" t="str">
        <f>IFERROR(VLOOKUP(Tabla3[[#This Row],[NUM ECONOMICO]],MAQUINARIA!B:H,7,0), " MAQ")</f>
        <v>ACTIVA</v>
      </c>
      <c r="H597" s="214" t="s">
        <v>132</v>
      </c>
      <c r="I597" s="41" t="s">
        <v>391</v>
      </c>
      <c r="J597" s="10"/>
      <c r="K597" s="10">
        <v>4</v>
      </c>
      <c r="L597" s="12"/>
      <c r="M597" s="13">
        <f t="shared" si="9"/>
        <v>0</v>
      </c>
      <c r="N597" s="41"/>
      <c r="O597" s="10"/>
      <c r="P597" s="10">
        <f>Tabla3[[#This Row],[COSTO UNITARIO DOLARES EN HAWTHORNE]]*Tabla3[[#This Row],[CANTIDAD SOLICTADA]]</f>
        <v>0</v>
      </c>
      <c r="Q597" s="41"/>
      <c r="R597" s="229">
        <v>0.35</v>
      </c>
      <c r="S597" s="229">
        <f>+Tabla3[[#This Row],[COSTO UNITARIO DOLARES CTP]]*Tabla3[[#This Row],[CANTIDAD SOLICTADA]]</f>
        <v>1.4</v>
      </c>
      <c r="T597" s="41"/>
      <c r="U597" s="14" t="s">
        <v>4</v>
      </c>
      <c r="V597" s="8" t="s">
        <v>874</v>
      </c>
      <c r="W597" s="9">
        <v>46198</v>
      </c>
      <c r="X597" s="10" t="s">
        <v>89</v>
      </c>
      <c r="Y597" s="10" t="s">
        <v>90</v>
      </c>
      <c r="Z597" s="16" t="s">
        <v>44</v>
      </c>
      <c r="AA597" s="25">
        <v>46198</v>
      </c>
      <c r="AB597" s="25">
        <v>46198</v>
      </c>
      <c r="AC597" s="16" t="s">
        <v>91</v>
      </c>
      <c r="AD597" s="16"/>
      <c r="AE597" s="16" t="s">
        <v>866</v>
      </c>
      <c r="AF597" s="27" t="s">
        <v>875</v>
      </c>
      <c r="AG597" s="21" t="s">
        <v>876</v>
      </c>
      <c r="XFD597" s="15" t="str">
        <f>+Tabla3[[#This Row],[ESTATUS DE NUM ECONOMICO]]</f>
        <v>ACTIVA</v>
      </c>
    </row>
    <row r="598" spans="1:33 16384:16384" ht="15.75" thickBot="1" x14ac:dyDescent="0.3">
      <c r="A598" s="8">
        <v>106</v>
      </c>
      <c r="B598" s="9">
        <v>46198</v>
      </c>
      <c r="C598" s="10" t="s">
        <v>87</v>
      </c>
      <c r="D598" s="10">
        <v>44</v>
      </c>
      <c r="E598" s="16">
        <v>81</v>
      </c>
      <c r="F598" s="9">
        <v>46198</v>
      </c>
      <c r="G598" s="212" t="str">
        <f>IFERROR(VLOOKUP(Tabla3[[#This Row],[NUM ECONOMICO]],MAQUINARIA!B:H,7,0), " MAQ")</f>
        <v>ACTIVA</v>
      </c>
      <c r="H598" s="214" t="s">
        <v>132</v>
      </c>
      <c r="I598" s="41" t="s">
        <v>878</v>
      </c>
      <c r="J598" s="10"/>
      <c r="K598" s="10">
        <v>4</v>
      </c>
      <c r="L598" s="12"/>
      <c r="M598" s="13">
        <f t="shared" si="9"/>
        <v>0</v>
      </c>
      <c r="N598" s="41"/>
      <c r="O598" s="10"/>
      <c r="P598" s="10">
        <f>Tabla3[[#This Row],[COSTO UNITARIO DOLARES EN HAWTHORNE]]*Tabla3[[#This Row],[CANTIDAD SOLICTADA]]</f>
        <v>0</v>
      </c>
      <c r="Q598" s="41"/>
      <c r="R598" s="229"/>
      <c r="S598" s="229">
        <f>+Tabla3[[#This Row],[COSTO UNITARIO DOLARES CTP]]*Tabla3[[#This Row],[CANTIDAD SOLICTADA]]</f>
        <v>0</v>
      </c>
      <c r="T598" s="41"/>
      <c r="U598" s="14" t="s">
        <v>4</v>
      </c>
      <c r="V598" s="8" t="s">
        <v>874</v>
      </c>
      <c r="W598" s="9">
        <v>46198</v>
      </c>
      <c r="X598" s="10" t="s">
        <v>89</v>
      </c>
      <c r="Y598" s="10" t="s">
        <v>90</v>
      </c>
      <c r="Z598" s="16" t="s">
        <v>44</v>
      </c>
      <c r="AA598" s="25">
        <v>46198</v>
      </c>
      <c r="AB598" s="25">
        <v>46198</v>
      </c>
      <c r="AC598" s="16" t="s">
        <v>91</v>
      </c>
      <c r="AD598" s="16"/>
      <c r="AE598" s="16" t="s">
        <v>866</v>
      </c>
      <c r="AF598" s="27" t="s">
        <v>875</v>
      </c>
      <c r="AG598" s="21" t="s">
        <v>876</v>
      </c>
      <c r="XFD598" s="15" t="str">
        <f>+Tabla3[[#This Row],[ESTATUS DE NUM ECONOMICO]]</f>
        <v>ACTIVA</v>
      </c>
    </row>
    <row r="599" spans="1:33 16384:16384" ht="15.75" thickBot="1" x14ac:dyDescent="0.3">
      <c r="A599" s="8">
        <v>106</v>
      </c>
      <c r="B599" s="9">
        <v>46198</v>
      </c>
      <c r="C599" s="10" t="s">
        <v>87</v>
      </c>
      <c r="D599" s="10">
        <v>44</v>
      </c>
      <c r="E599" s="16">
        <v>81</v>
      </c>
      <c r="F599" s="9">
        <v>46198</v>
      </c>
      <c r="G599" s="212" t="str">
        <f>IFERROR(VLOOKUP(Tabla3[[#This Row],[NUM ECONOMICO]],MAQUINARIA!B:H,7,0), " MAQ")</f>
        <v>ACTIVA</v>
      </c>
      <c r="H599" s="214" t="s">
        <v>132</v>
      </c>
      <c r="I599" s="41">
        <v>1607271</v>
      </c>
      <c r="J599" s="10"/>
      <c r="K599" s="10">
        <v>1</v>
      </c>
      <c r="L599" s="12"/>
      <c r="M599" s="13">
        <f t="shared" si="9"/>
        <v>0</v>
      </c>
      <c r="N599" s="41"/>
      <c r="O599" s="10"/>
      <c r="P599" s="10">
        <f>Tabla3[[#This Row],[COSTO UNITARIO DOLARES EN HAWTHORNE]]*Tabla3[[#This Row],[CANTIDAD SOLICTADA]]</f>
        <v>0</v>
      </c>
      <c r="Q599" s="41"/>
      <c r="R599" s="229"/>
      <c r="S599" s="229">
        <f>+Tabla3[[#This Row],[COSTO UNITARIO DOLARES CTP]]*Tabla3[[#This Row],[CANTIDAD SOLICTADA]]</f>
        <v>0</v>
      </c>
      <c r="T599" s="41"/>
      <c r="U599" s="14" t="s">
        <v>4</v>
      </c>
      <c r="V599" s="8" t="s">
        <v>874</v>
      </c>
      <c r="W599" s="9">
        <v>46198</v>
      </c>
      <c r="X599" s="10" t="s">
        <v>89</v>
      </c>
      <c r="Y599" s="10" t="s">
        <v>90</v>
      </c>
      <c r="Z599" s="16" t="s">
        <v>44</v>
      </c>
      <c r="AA599" s="25">
        <v>46198</v>
      </c>
      <c r="AB599" s="25">
        <v>46198</v>
      </c>
      <c r="AC599" s="16" t="s">
        <v>91</v>
      </c>
      <c r="AD599" s="16"/>
      <c r="AE599" s="16" t="s">
        <v>866</v>
      </c>
      <c r="AF599" s="27" t="s">
        <v>875</v>
      </c>
      <c r="AG599" s="21" t="s">
        <v>876</v>
      </c>
      <c r="XFD599" s="15" t="str">
        <f>+Tabla3[[#This Row],[ESTATUS DE NUM ECONOMICO]]</f>
        <v>ACTIVA</v>
      </c>
    </row>
    <row r="600" spans="1:33 16384:16384" ht="15.75" thickBot="1" x14ac:dyDescent="0.3">
      <c r="A600" s="8">
        <v>106</v>
      </c>
      <c r="B600" s="9">
        <v>46198</v>
      </c>
      <c r="C600" s="10" t="s">
        <v>87</v>
      </c>
      <c r="D600" s="10">
        <v>44</v>
      </c>
      <c r="E600" s="16">
        <v>81</v>
      </c>
      <c r="F600" s="9">
        <v>46198</v>
      </c>
      <c r="G600" s="212" t="str">
        <f>IFERROR(VLOOKUP(Tabla3[[#This Row],[NUM ECONOMICO]],MAQUINARIA!B:H,7,0), " MAQ")</f>
        <v>ACTIVA</v>
      </c>
      <c r="H600" s="214" t="s">
        <v>132</v>
      </c>
      <c r="I600" s="41" t="s">
        <v>864</v>
      </c>
      <c r="J600" s="10"/>
      <c r="K600" s="10">
        <v>7</v>
      </c>
      <c r="L600" s="12"/>
      <c r="M600" s="13">
        <f t="shared" si="9"/>
        <v>0</v>
      </c>
      <c r="N600" s="41"/>
      <c r="O600" s="10"/>
      <c r="P600" s="10">
        <f>Tabla3[[#This Row],[COSTO UNITARIO DOLARES EN HAWTHORNE]]*Tabla3[[#This Row],[CANTIDAD SOLICTADA]]</f>
        <v>0</v>
      </c>
      <c r="Q600" s="41"/>
      <c r="R600" s="229"/>
      <c r="S600" s="229">
        <f>+Tabla3[[#This Row],[COSTO UNITARIO DOLARES CTP]]*Tabla3[[#This Row],[CANTIDAD SOLICTADA]]</f>
        <v>0</v>
      </c>
      <c r="T600" s="41"/>
      <c r="U600" s="14" t="s">
        <v>4</v>
      </c>
      <c r="V600" s="8" t="s">
        <v>874</v>
      </c>
      <c r="W600" s="9">
        <v>46198</v>
      </c>
      <c r="X600" s="10" t="s">
        <v>89</v>
      </c>
      <c r="Y600" s="10">
        <v>0</v>
      </c>
      <c r="Z600" s="16" t="s">
        <v>44</v>
      </c>
      <c r="AA600" s="25">
        <v>46198</v>
      </c>
      <c r="AB600" s="25">
        <v>46198</v>
      </c>
      <c r="AC600" s="16" t="s">
        <v>91</v>
      </c>
      <c r="AD600" s="16"/>
      <c r="AE600" s="16" t="s">
        <v>866</v>
      </c>
      <c r="AF600" s="27" t="s">
        <v>875</v>
      </c>
      <c r="AG600" s="21" t="s">
        <v>876</v>
      </c>
      <c r="XFD600" s="15" t="str">
        <f>+Tabla3[[#This Row],[ESTATUS DE NUM ECONOMICO]]</f>
        <v>ACTIVA</v>
      </c>
    </row>
    <row r="601" spans="1:33 16384:16384" ht="15.75" thickBot="1" x14ac:dyDescent="0.3">
      <c r="A601" s="8">
        <v>107</v>
      </c>
      <c r="B601" s="9">
        <v>46198</v>
      </c>
      <c r="C601" s="10" t="s">
        <v>87</v>
      </c>
      <c r="D601" s="11"/>
      <c r="E601" s="16">
        <v>24</v>
      </c>
      <c r="F601" s="9">
        <v>46198</v>
      </c>
      <c r="G601" s="212" t="str">
        <f>IFERROR(VLOOKUP(Tabla3[[#This Row],[NUM ECONOMICO]],MAQUINARIA!B:H,7,0), " MAQ")</f>
        <v>ACTIVA</v>
      </c>
      <c r="H601" s="214" t="s">
        <v>94</v>
      </c>
      <c r="I601" s="41" t="s">
        <v>879</v>
      </c>
      <c r="J601" s="10"/>
      <c r="K601" s="10">
        <v>2</v>
      </c>
      <c r="L601" s="13">
        <v>436.14</v>
      </c>
      <c r="M601" s="13">
        <f t="shared" si="9"/>
        <v>872.28</v>
      </c>
      <c r="N601" s="41"/>
      <c r="O601" s="287"/>
      <c r="P601" s="287">
        <f>Tabla3[[#This Row],[COSTO UNITARIO DOLARES EN HAWTHORNE]]*Tabla3[[#This Row],[CANTIDAD SOLICTADA]]</f>
        <v>0</v>
      </c>
      <c r="Q601" s="41"/>
      <c r="R601" s="229">
        <v>2.2999999999999998</v>
      </c>
      <c r="S601" s="229">
        <f>+Tabla3[[#This Row],[COSTO UNITARIO DOLARES CTP]]*Tabla3[[#This Row],[CANTIDAD SOLICTADA]]</f>
        <v>4.5999999999999996</v>
      </c>
      <c r="T601" s="41"/>
      <c r="U601" s="18" t="s">
        <v>4</v>
      </c>
      <c r="V601" s="8" t="s">
        <v>880</v>
      </c>
      <c r="W601" s="9">
        <v>46209</v>
      </c>
      <c r="X601" s="10" t="s">
        <v>89</v>
      </c>
      <c r="Y601" s="10">
        <v>1</v>
      </c>
      <c r="Z601" s="16" t="s">
        <v>44</v>
      </c>
      <c r="AA601" s="25">
        <v>46209</v>
      </c>
      <c r="AB601" s="25">
        <v>46212</v>
      </c>
      <c r="AC601" s="16" t="s">
        <v>91</v>
      </c>
      <c r="AD601" s="16"/>
      <c r="AE601" s="16" t="s">
        <v>407</v>
      </c>
      <c r="AF601" s="16"/>
      <c r="AG601" s="21" t="s">
        <v>881</v>
      </c>
      <c r="XFD601" s="15" t="str">
        <f>+Tabla3[[#This Row],[ESTATUS DE NUM ECONOMICO]]</f>
        <v>ACTIVA</v>
      </c>
    </row>
    <row r="602" spans="1:33 16384:16384" ht="15.75" thickBot="1" x14ac:dyDescent="0.3">
      <c r="A602" s="8">
        <v>108</v>
      </c>
      <c r="B602" s="9">
        <v>46198</v>
      </c>
      <c r="C602" s="10" t="s">
        <v>87</v>
      </c>
      <c r="D602" s="10">
        <v>1560</v>
      </c>
      <c r="E602" s="16">
        <v>1611</v>
      </c>
      <c r="F602" s="9">
        <v>46198</v>
      </c>
      <c r="G602" s="212" t="str">
        <f>IFERROR(VLOOKUP(Tabla3[[#This Row],[NUM ECONOMICO]],MAQUINARIA!B:H,7,0), " MAQ")</f>
        <v>ACTIVA</v>
      </c>
      <c r="H602" s="214" t="s">
        <v>492</v>
      </c>
      <c r="I602" s="41" t="s">
        <v>882</v>
      </c>
      <c r="J602" s="10"/>
      <c r="K602" s="10">
        <v>16</v>
      </c>
      <c r="L602" s="12"/>
      <c r="M602" s="13">
        <f t="shared" si="9"/>
        <v>0</v>
      </c>
      <c r="N602" s="41"/>
      <c r="O602" s="10"/>
      <c r="P602" s="10">
        <f>Tabla3[[#This Row],[COSTO UNITARIO DOLARES EN HAWTHORNE]]*Tabla3[[#This Row],[CANTIDAD SOLICTADA]]</f>
        <v>0</v>
      </c>
      <c r="Q602" s="41"/>
      <c r="R602" s="229"/>
      <c r="S602" s="229">
        <f>+Tabla3[[#This Row],[COSTO UNITARIO DOLARES CTP]]*Tabla3[[#This Row],[CANTIDAD SOLICTADA]]</f>
        <v>0</v>
      </c>
      <c r="T602" s="41"/>
      <c r="U602" s="14" t="s">
        <v>4</v>
      </c>
      <c r="V602" s="8">
        <v>26733</v>
      </c>
      <c r="W602" s="9">
        <v>46198</v>
      </c>
      <c r="X602" s="10" t="s">
        <v>89</v>
      </c>
      <c r="Y602" s="10" t="s">
        <v>90</v>
      </c>
      <c r="Z602" s="16" t="s">
        <v>522</v>
      </c>
      <c r="AA602" s="25">
        <v>46198</v>
      </c>
      <c r="AB602" s="25">
        <v>46198</v>
      </c>
      <c r="AC602" s="16" t="s">
        <v>87</v>
      </c>
      <c r="AD602" s="16"/>
      <c r="AE602" s="16" t="s">
        <v>883</v>
      </c>
      <c r="AF602" s="16"/>
      <c r="AG602" s="21" t="s">
        <v>884</v>
      </c>
      <c r="XFD602" s="15" t="str">
        <f>+Tabla3[[#This Row],[ESTATUS DE NUM ECONOMICO]]</f>
        <v>ACTIVA</v>
      </c>
    </row>
    <row r="603" spans="1:33 16384:16384" ht="15.75" thickBot="1" x14ac:dyDescent="0.3">
      <c r="A603" s="8">
        <v>108</v>
      </c>
      <c r="B603" s="9">
        <v>46198</v>
      </c>
      <c r="C603" s="10" t="s">
        <v>87</v>
      </c>
      <c r="D603" s="10">
        <v>1560</v>
      </c>
      <c r="E603" s="16">
        <v>1611</v>
      </c>
      <c r="F603" s="9">
        <v>46198</v>
      </c>
      <c r="G603" s="212" t="str">
        <f>IFERROR(VLOOKUP(Tabla3[[#This Row],[NUM ECONOMICO]],MAQUINARIA!B:H,7,0), " MAQ")</f>
        <v>ACTIVA</v>
      </c>
      <c r="H603" s="214" t="s">
        <v>492</v>
      </c>
      <c r="I603" s="41" t="s">
        <v>885</v>
      </c>
      <c r="J603" s="10"/>
      <c r="K603" s="10">
        <v>8</v>
      </c>
      <c r="L603" s="12"/>
      <c r="M603" s="13">
        <f t="shared" si="9"/>
        <v>0</v>
      </c>
      <c r="N603" s="41"/>
      <c r="O603" s="10"/>
      <c r="P603" s="10">
        <f>Tabla3[[#This Row],[COSTO UNITARIO DOLARES EN HAWTHORNE]]*Tabla3[[#This Row],[CANTIDAD SOLICTADA]]</f>
        <v>0</v>
      </c>
      <c r="Q603" s="41"/>
      <c r="R603" s="229"/>
      <c r="S603" s="229">
        <f>+Tabla3[[#This Row],[COSTO UNITARIO DOLARES CTP]]*Tabla3[[#This Row],[CANTIDAD SOLICTADA]]</f>
        <v>0</v>
      </c>
      <c r="T603" s="41"/>
      <c r="U603" s="14" t="s">
        <v>4</v>
      </c>
      <c r="V603" s="8">
        <v>26733</v>
      </c>
      <c r="W603" s="9">
        <v>46198</v>
      </c>
      <c r="X603" s="10" t="s">
        <v>89</v>
      </c>
      <c r="Y603" s="10" t="s">
        <v>90</v>
      </c>
      <c r="Z603" s="16" t="s">
        <v>522</v>
      </c>
      <c r="AA603" s="25">
        <v>46198</v>
      </c>
      <c r="AB603" s="25">
        <v>46198</v>
      </c>
      <c r="AC603" s="16" t="s">
        <v>87</v>
      </c>
      <c r="AD603" s="16"/>
      <c r="AE603" s="16" t="s">
        <v>883</v>
      </c>
      <c r="AF603" s="16"/>
      <c r="AG603" s="21" t="s">
        <v>884</v>
      </c>
      <c r="XFD603" s="15" t="str">
        <f>+Tabla3[[#This Row],[ESTATUS DE NUM ECONOMICO]]</f>
        <v>ACTIVA</v>
      </c>
    </row>
    <row r="604" spans="1:33 16384:16384" ht="15.75" thickBot="1" x14ac:dyDescent="0.3">
      <c r="A604" s="8">
        <v>108</v>
      </c>
      <c r="B604" s="9">
        <v>46198</v>
      </c>
      <c r="C604" s="10" t="s">
        <v>87</v>
      </c>
      <c r="D604" s="10">
        <v>1560</v>
      </c>
      <c r="E604" s="16">
        <v>1611</v>
      </c>
      <c r="F604" s="9">
        <v>46198</v>
      </c>
      <c r="G604" s="212" t="str">
        <f>IFERROR(VLOOKUP(Tabla3[[#This Row],[NUM ECONOMICO]],MAQUINARIA!B:H,7,0), " MAQ")</f>
        <v>ACTIVA</v>
      </c>
      <c r="H604" s="214" t="s">
        <v>492</v>
      </c>
      <c r="I604" s="41" t="s">
        <v>886</v>
      </c>
      <c r="J604" s="10"/>
      <c r="K604" s="10">
        <v>4</v>
      </c>
      <c r="L604" s="12"/>
      <c r="M604" s="13">
        <f t="shared" si="9"/>
        <v>0</v>
      </c>
      <c r="N604" s="41"/>
      <c r="O604" s="10"/>
      <c r="P604" s="10">
        <f>Tabla3[[#This Row],[COSTO UNITARIO DOLARES EN HAWTHORNE]]*Tabla3[[#This Row],[CANTIDAD SOLICTADA]]</f>
        <v>0</v>
      </c>
      <c r="Q604" s="41"/>
      <c r="R604" s="229"/>
      <c r="S604" s="229">
        <f>+Tabla3[[#This Row],[COSTO UNITARIO DOLARES CTP]]*Tabla3[[#This Row],[CANTIDAD SOLICTADA]]</f>
        <v>0</v>
      </c>
      <c r="T604" s="41"/>
      <c r="U604" s="14" t="s">
        <v>4</v>
      </c>
      <c r="V604" s="8">
        <v>26733</v>
      </c>
      <c r="W604" s="9">
        <v>46198</v>
      </c>
      <c r="X604" s="10" t="s">
        <v>89</v>
      </c>
      <c r="Y604" s="10" t="s">
        <v>90</v>
      </c>
      <c r="Z604" s="16" t="s">
        <v>522</v>
      </c>
      <c r="AA604" s="25">
        <v>46198</v>
      </c>
      <c r="AB604" s="25">
        <v>46198</v>
      </c>
      <c r="AC604" s="16" t="s">
        <v>87</v>
      </c>
      <c r="AD604" s="16"/>
      <c r="AE604" s="16" t="s">
        <v>883</v>
      </c>
      <c r="AF604" s="16"/>
      <c r="AG604" s="21" t="s">
        <v>884</v>
      </c>
      <c r="XFD604" s="15" t="str">
        <f>+Tabla3[[#This Row],[ESTATUS DE NUM ECONOMICO]]</f>
        <v>ACTIVA</v>
      </c>
    </row>
    <row r="605" spans="1:33 16384:16384" ht="15.75" thickBot="1" x14ac:dyDescent="0.3">
      <c r="A605" s="8">
        <v>108</v>
      </c>
      <c r="B605" s="9">
        <v>46198</v>
      </c>
      <c r="C605" s="10" t="s">
        <v>87</v>
      </c>
      <c r="D605" s="10">
        <v>1560</v>
      </c>
      <c r="E605" s="16">
        <v>1611</v>
      </c>
      <c r="F605" s="9">
        <v>46198</v>
      </c>
      <c r="G605" s="212" t="str">
        <f>IFERROR(VLOOKUP(Tabla3[[#This Row],[NUM ECONOMICO]],MAQUINARIA!B:H,7,0), " MAQ")</f>
        <v>ACTIVA</v>
      </c>
      <c r="H605" s="214" t="s">
        <v>492</v>
      </c>
      <c r="I605" s="41" t="s">
        <v>887</v>
      </c>
      <c r="J605" s="10"/>
      <c r="K605" s="10">
        <v>4</v>
      </c>
      <c r="L605" s="12"/>
      <c r="M605" s="13">
        <f t="shared" si="9"/>
        <v>0</v>
      </c>
      <c r="N605" s="41"/>
      <c r="O605" s="10"/>
      <c r="P605" s="10">
        <f>Tabla3[[#This Row],[COSTO UNITARIO DOLARES EN HAWTHORNE]]*Tabla3[[#This Row],[CANTIDAD SOLICTADA]]</f>
        <v>0</v>
      </c>
      <c r="Q605" s="41"/>
      <c r="R605" s="229"/>
      <c r="S605" s="229">
        <f>+Tabla3[[#This Row],[COSTO UNITARIO DOLARES CTP]]*Tabla3[[#This Row],[CANTIDAD SOLICTADA]]</f>
        <v>0</v>
      </c>
      <c r="T605" s="41"/>
      <c r="U605" s="14" t="s">
        <v>4</v>
      </c>
      <c r="V605" s="8">
        <v>26733</v>
      </c>
      <c r="W605" s="9">
        <v>46198</v>
      </c>
      <c r="X605" s="10" t="s">
        <v>89</v>
      </c>
      <c r="Y605" s="10" t="s">
        <v>90</v>
      </c>
      <c r="Z605" s="16" t="s">
        <v>522</v>
      </c>
      <c r="AA605" s="25">
        <v>46198</v>
      </c>
      <c r="AB605" s="25">
        <v>46198</v>
      </c>
      <c r="AC605" s="16" t="s">
        <v>87</v>
      </c>
      <c r="AD605" s="16"/>
      <c r="AE605" s="16" t="s">
        <v>883</v>
      </c>
      <c r="AF605" s="16"/>
      <c r="AG605" s="21" t="s">
        <v>884</v>
      </c>
      <c r="XFD605" s="15" t="str">
        <f>+Tabla3[[#This Row],[ESTATUS DE NUM ECONOMICO]]</f>
        <v>ACTIVA</v>
      </c>
    </row>
    <row r="606" spans="1:33 16384:16384" ht="15.75" thickBot="1" x14ac:dyDescent="0.3">
      <c r="A606" s="8">
        <v>109</v>
      </c>
      <c r="B606" s="9">
        <v>46198</v>
      </c>
      <c r="C606" s="10" t="s">
        <v>87</v>
      </c>
      <c r="D606" s="10">
        <v>32</v>
      </c>
      <c r="E606" s="16">
        <v>33</v>
      </c>
      <c r="F606" s="9">
        <v>46198</v>
      </c>
      <c r="G606" s="212" t="str">
        <f>IFERROR(VLOOKUP(Tabla3[[#This Row],[NUM ECONOMICO]],MAQUINARIA!B:H,7,0), " MAQ")</f>
        <v>ACTIVA</v>
      </c>
      <c r="H606" s="214" t="s">
        <v>888</v>
      </c>
      <c r="I606" s="41" t="s">
        <v>889</v>
      </c>
      <c r="J606" s="10"/>
      <c r="K606" s="10">
        <v>1</v>
      </c>
      <c r="L606" s="12"/>
      <c r="M606" s="13">
        <f t="shared" si="9"/>
        <v>0</v>
      </c>
      <c r="N606" s="41"/>
      <c r="O606" s="10"/>
      <c r="P606" s="10">
        <f>Tabla3[[#This Row],[COSTO UNITARIO DOLARES EN HAWTHORNE]]*Tabla3[[#This Row],[CANTIDAD SOLICTADA]]</f>
        <v>0</v>
      </c>
      <c r="Q606" s="41"/>
      <c r="R606" s="229"/>
      <c r="S606" s="229">
        <f>+Tabla3[[#This Row],[COSTO UNITARIO DOLARES CTP]]*Tabla3[[#This Row],[CANTIDAD SOLICTADA]]</f>
        <v>0</v>
      </c>
      <c r="T606" s="41"/>
      <c r="U606" s="14" t="s">
        <v>4</v>
      </c>
      <c r="V606" s="8">
        <v>77662</v>
      </c>
      <c r="W606" s="9">
        <v>46198</v>
      </c>
      <c r="X606" s="10" t="s">
        <v>89</v>
      </c>
      <c r="Y606" s="10" t="s">
        <v>90</v>
      </c>
      <c r="Z606" s="16" t="s">
        <v>890</v>
      </c>
      <c r="AA606" s="25">
        <v>46198</v>
      </c>
      <c r="AB606" s="25">
        <v>46198</v>
      </c>
      <c r="AC606" s="16" t="s">
        <v>87</v>
      </c>
      <c r="AD606" s="16"/>
      <c r="AE606" s="16" t="s">
        <v>891</v>
      </c>
      <c r="AF606" s="16"/>
      <c r="AG606" s="21" t="s">
        <v>892</v>
      </c>
      <c r="XFD606" s="15" t="str">
        <f>+Tabla3[[#This Row],[ESTATUS DE NUM ECONOMICO]]</f>
        <v>ACTIVA</v>
      </c>
    </row>
    <row r="607" spans="1:33 16384:16384" ht="15.75" thickBot="1" x14ac:dyDescent="0.3">
      <c r="A607" s="8">
        <v>110</v>
      </c>
      <c r="B607" s="9">
        <v>46198</v>
      </c>
      <c r="C607" s="10" t="s">
        <v>87</v>
      </c>
      <c r="D607" s="11"/>
      <c r="E607" s="16">
        <v>39</v>
      </c>
      <c r="F607" s="9">
        <v>46198</v>
      </c>
      <c r="G607" s="212" t="str">
        <f>IFERROR(VLOOKUP(Tabla3[[#This Row],[NUM ECONOMICO]],MAQUINARIA!B:H,7,0), " MAQ")</f>
        <v>ACTIVA</v>
      </c>
      <c r="H607" s="214" t="s">
        <v>400</v>
      </c>
      <c r="I607" s="41">
        <v>4568467</v>
      </c>
      <c r="J607" s="10"/>
      <c r="K607" s="10">
        <v>455</v>
      </c>
      <c r="L607" s="12"/>
      <c r="M607" s="13">
        <f t="shared" si="9"/>
        <v>0</v>
      </c>
      <c r="N607" s="41"/>
      <c r="O607" s="10"/>
      <c r="P607" s="10">
        <f>Tabla3[[#This Row],[COSTO UNITARIO DOLARES EN HAWTHORNE]]*Tabla3[[#This Row],[CANTIDAD SOLICTADA]]</f>
        <v>0</v>
      </c>
      <c r="Q607" s="41"/>
      <c r="R607" s="229"/>
      <c r="S607" s="229">
        <f>+Tabla3[[#This Row],[COSTO UNITARIO DOLARES CTP]]*Tabla3[[#This Row],[CANTIDAD SOLICTADA]]</f>
        <v>0</v>
      </c>
      <c r="T607" s="41"/>
      <c r="U607" s="14" t="s">
        <v>4</v>
      </c>
      <c r="V607" s="8" t="s">
        <v>893</v>
      </c>
      <c r="W607" s="9">
        <v>46199</v>
      </c>
      <c r="X607" s="10" t="s">
        <v>89</v>
      </c>
      <c r="Y607" s="10" t="s">
        <v>90</v>
      </c>
      <c r="Z607" s="16" t="s">
        <v>44</v>
      </c>
      <c r="AA607" s="25">
        <v>46198</v>
      </c>
      <c r="AB607" s="25">
        <v>46199</v>
      </c>
      <c r="AC607" s="16" t="s">
        <v>226</v>
      </c>
      <c r="AD607" s="16"/>
      <c r="AE607" s="16" t="s">
        <v>894</v>
      </c>
      <c r="AF607" s="16"/>
      <c r="AG607" s="21" t="s">
        <v>892</v>
      </c>
      <c r="XFD607" s="15" t="str">
        <f>+Tabla3[[#This Row],[ESTATUS DE NUM ECONOMICO]]</f>
        <v>ACTIVA</v>
      </c>
    </row>
    <row r="608" spans="1:33 16384:16384" ht="15.75" thickBot="1" x14ac:dyDescent="0.3">
      <c r="A608" s="8">
        <v>110</v>
      </c>
      <c r="B608" s="9">
        <v>46198</v>
      </c>
      <c r="C608" s="10" t="s">
        <v>87</v>
      </c>
      <c r="D608" s="11"/>
      <c r="E608" s="16">
        <v>39</v>
      </c>
      <c r="F608" s="9">
        <v>46198</v>
      </c>
      <c r="G608" s="212" t="str">
        <f>IFERROR(VLOOKUP(Tabla3[[#This Row],[NUM ECONOMICO]],MAQUINARIA!B:H,7,0), " MAQ")</f>
        <v>ACTIVA</v>
      </c>
      <c r="H608" s="214" t="s">
        <v>400</v>
      </c>
      <c r="I608" s="41">
        <v>3289090</v>
      </c>
      <c r="J608" s="10"/>
      <c r="K608" s="10">
        <v>1</v>
      </c>
      <c r="L608" s="12"/>
      <c r="M608" s="13">
        <f t="shared" si="9"/>
        <v>0</v>
      </c>
      <c r="N608" s="41"/>
      <c r="O608" s="10"/>
      <c r="P608" s="10">
        <f>Tabla3[[#This Row],[COSTO UNITARIO DOLARES EN HAWTHORNE]]*Tabla3[[#This Row],[CANTIDAD SOLICTADA]]</f>
        <v>0</v>
      </c>
      <c r="Q608" s="41"/>
      <c r="R608" s="229"/>
      <c r="S608" s="229">
        <f>+Tabla3[[#This Row],[COSTO UNITARIO DOLARES CTP]]*Tabla3[[#This Row],[CANTIDAD SOLICTADA]]</f>
        <v>0</v>
      </c>
      <c r="T608" s="41"/>
      <c r="U608" s="14" t="s">
        <v>4</v>
      </c>
      <c r="V608" s="8" t="s">
        <v>893</v>
      </c>
      <c r="W608" s="9">
        <v>46199</v>
      </c>
      <c r="X608" s="10" t="s">
        <v>89</v>
      </c>
      <c r="Y608" s="10" t="s">
        <v>90</v>
      </c>
      <c r="Z608" s="16" t="s">
        <v>44</v>
      </c>
      <c r="AA608" s="25">
        <v>46198</v>
      </c>
      <c r="AB608" s="25">
        <v>46199</v>
      </c>
      <c r="AC608" s="16" t="s">
        <v>226</v>
      </c>
      <c r="AD608" s="16"/>
      <c r="AE608" s="16" t="s">
        <v>894</v>
      </c>
      <c r="AF608" s="16"/>
      <c r="AG608" s="21" t="s">
        <v>892</v>
      </c>
      <c r="XFD608" s="15" t="str">
        <f>+Tabla3[[#This Row],[ESTATUS DE NUM ECONOMICO]]</f>
        <v>ACTIVA</v>
      </c>
    </row>
    <row r="609" spans="1:33 16384:16384" ht="15.75" thickBot="1" x14ac:dyDescent="0.3">
      <c r="A609" s="8">
        <v>110</v>
      </c>
      <c r="B609" s="9">
        <v>46198</v>
      </c>
      <c r="C609" s="10" t="s">
        <v>87</v>
      </c>
      <c r="D609" s="11"/>
      <c r="E609" s="16">
        <v>39</v>
      </c>
      <c r="F609" s="9">
        <v>46198</v>
      </c>
      <c r="G609" s="212" t="str">
        <f>IFERROR(VLOOKUP(Tabla3[[#This Row],[NUM ECONOMICO]],MAQUINARIA!B:H,7,0), " MAQ")</f>
        <v>ACTIVA</v>
      </c>
      <c r="H609" s="214" t="s">
        <v>400</v>
      </c>
      <c r="I609" s="41">
        <v>3289094</v>
      </c>
      <c r="J609" s="10"/>
      <c r="K609" s="10">
        <v>1</v>
      </c>
      <c r="L609" s="12"/>
      <c r="M609" s="13">
        <f t="shared" si="9"/>
        <v>0</v>
      </c>
      <c r="N609" s="41"/>
      <c r="O609" s="10"/>
      <c r="P609" s="10">
        <f>Tabla3[[#This Row],[COSTO UNITARIO DOLARES EN HAWTHORNE]]*Tabla3[[#This Row],[CANTIDAD SOLICTADA]]</f>
        <v>0</v>
      </c>
      <c r="Q609" s="41"/>
      <c r="R609" s="229"/>
      <c r="S609" s="229">
        <f>+Tabla3[[#This Row],[COSTO UNITARIO DOLARES CTP]]*Tabla3[[#This Row],[CANTIDAD SOLICTADA]]</f>
        <v>0</v>
      </c>
      <c r="T609" s="41"/>
      <c r="U609" s="14" t="s">
        <v>4</v>
      </c>
      <c r="V609" s="8" t="s">
        <v>893</v>
      </c>
      <c r="W609" s="9">
        <v>46199</v>
      </c>
      <c r="X609" s="10" t="s">
        <v>89</v>
      </c>
      <c r="Y609" s="10" t="s">
        <v>90</v>
      </c>
      <c r="Z609" s="16" t="s">
        <v>44</v>
      </c>
      <c r="AA609" s="25">
        <v>46198</v>
      </c>
      <c r="AB609" s="25">
        <v>46199</v>
      </c>
      <c r="AC609" s="16" t="s">
        <v>226</v>
      </c>
      <c r="AD609" s="16"/>
      <c r="AE609" s="16" t="s">
        <v>894</v>
      </c>
      <c r="AF609" s="16"/>
      <c r="AG609" s="21" t="s">
        <v>892</v>
      </c>
      <c r="XFD609" s="15" t="str">
        <f>+Tabla3[[#This Row],[ESTATUS DE NUM ECONOMICO]]</f>
        <v>ACTIVA</v>
      </c>
    </row>
    <row r="610" spans="1:33 16384:16384" ht="15.75" thickBot="1" x14ac:dyDescent="0.3">
      <c r="A610" s="8">
        <v>110</v>
      </c>
      <c r="B610" s="9">
        <v>46198</v>
      </c>
      <c r="C610" s="10" t="s">
        <v>87</v>
      </c>
      <c r="D610" s="11"/>
      <c r="E610" s="16">
        <v>39</v>
      </c>
      <c r="F610" s="9">
        <v>46198</v>
      </c>
      <c r="G610" s="212" t="str">
        <f>IFERROR(VLOOKUP(Tabla3[[#This Row],[NUM ECONOMICO]],MAQUINARIA!B:H,7,0), " MAQ")</f>
        <v>ACTIVA</v>
      </c>
      <c r="H610" s="214" t="s">
        <v>400</v>
      </c>
      <c r="I610" s="41" t="s">
        <v>335</v>
      </c>
      <c r="J610" s="10"/>
      <c r="K610" s="10">
        <v>2</v>
      </c>
      <c r="L610" s="12"/>
      <c r="M610" s="13">
        <f t="shared" si="9"/>
        <v>0</v>
      </c>
      <c r="N610" s="41"/>
      <c r="O610" s="10"/>
      <c r="P610" s="10">
        <f>Tabla3[[#This Row],[COSTO UNITARIO DOLARES EN HAWTHORNE]]*Tabla3[[#This Row],[CANTIDAD SOLICTADA]]</f>
        <v>0</v>
      </c>
      <c r="Q610" s="41"/>
      <c r="R610" s="229"/>
      <c r="S610" s="229">
        <f>+Tabla3[[#This Row],[COSTO UNITARIO DOLARES CTP]]*Tabla3[[#This Row],[CANTIDAD SOLICTADA]]</f>
        <v>0</v>
      </c>
      <c r="T610" s="41"/>
      <c r="U610" s="14" t="s">
        <v>4</v>
      </c>
      <c r="V610" s="8" t="s">
        <v>893</v>
      </c>
      <c r="W610" s="9">
        <v>46199</v>
      </c>
      <c r="X610" s="10" t="s">
        <v>89</v>
      </c>
      <c r="Y610" s="10">
        <v>13</v>
      </c>
      <c r="Z610" s="16" t="s">
        <v>44</v>
      </c>
      <c r="AA610" s="25">
        <v>46198</v>
      </c>
      <c r="AB610" s="25">
        <v>46199</v>
      </c>
      <c r="AC610" s="16" t="s">
        <v>226</v>
      </c>
      <c r="AD610" s="16"/>
      <c r="AE610" s="16" t="s">
        <v>894</v>
      </c>
      <c r="AF610" s="16"/>
      <c r="AG610" s="21" t="s">
        <v>892</v>
      </c>
      <c r="XFD610" s="15" t="str">
        <f>+Tabla3[[#This Row],[ESTATUS DE NUM ECONOMICO]]</f>
        <v>ACTIVA</v>
      </c>
    </row>
    <row r="611" spans="1:33 16384:16384" ht="15.75" thickBot="1" x14ac:dyDescent="0.3">
      <c r="A611" s="8">
        <v>110</v>
      </c>
      <c r="B611" s="9">
        <v>46198</v>
      </c>
      <c r="C611" s="10" t="s">
        <v>87</v>
      </c>
      <c r="D611" s="11"/>
      <c r="E611" s="16">
        <v>39</v>
      </c>
      <c r="F611" s="9">
        <v>46198</v>
      </c>
      <c r="G611" s="212" t="str">
        <f>IFERROR(VLOOKUP(Tabla3[[#This Row],[NUM ECONOMICO]],MAQUINARIA!B:H,7,0), " MAQ")</f>
        <v>ACTIVA</v>
      </c>
      <c r="H611" s="214" t="s">
        <v>400</v>
      </c>
      <c r="I611" s="41">
        <v>4568467</v>
      </c>
      <c r="J611" s="10"/>
      <c r="K611" s="10">
        <v>186</v>
      </c>
      <c r="L611" s="12"/>
      <c r="M611" s="13">
        <f t="shared" si="9"/>
        <v>0</v>
      </c>
      <c r="N611" s="41"/>
      <c r="O611" s="10"/>
      <c r="P611" s="10">
        <f>Tabla3[[#This Row],[COSTO UNITARIO DOLARES EN HAWTHORNE]]*Tabla3[[#This Row],[CANTIDAD SOLICTADA]]</f>
        <v>0</v>
      </c>
      <c r="Q611" s="41"/>
      <c r="R611" s="229"/>
      <c r="S611" s="229">
        <f>+Tabla3[[#This Row],[COSTO UNITARIO DOLARES CTP]]*Tabla3[[#This Row],[CANTIDAD SOLICTADA]]</f>
        <v>0</v>
      </c>
      <c r="T611" s="41"/>
      <c r="U611" s="14" t="s">
        <v>4</v>
      </c>
      <c r="V611" s="8" t="s">
        <v>893</v>
      </c>
      <c r="W611" s="9">
        <v>46199</v>
      </c>
      <c r="X611" s="10" t="s">
        <v>89</v>
      </c>
      <c r="Y611" s="10" t="s">
        <v>90</v>
      </c>
      <c r="Z611" s="16" t="s">
        <v>44</v>
      </c>
      <c r="AA611" s="25">
        <v>46198</v>
      </c>
      <c r="AB611" s="25">
        <v>46199</v>
      </c>
      <c r="AC611" s="16" t="s">
        <v>226</v>
      </c>
      <c r="AD611" s="16"/>
      <c r="AE611" s="16" t="s">
        <v>894</v>
      </c>
      <c r="AF611" s="16"/>
      <c r="AG611" s="21" t="s">
        <v>892</v>
      </c>
      <c r="XFD611" s="15" t="str">
        <f>+Tabla3[[#This Row],[ESTATUS DE NUM ECONOMICO]]</f>
        <v>ACTIVA</v>
      </c>
    </row>
    <row r="612" spans="1:33 16384:16384" ht="15.75" thickBot="1" x14ac:dyDescent="0.3">
      <c r="A612" s="8">
        <v>110</v>
      </c>
      <c r="B612" s="9">
        <v>46198</v>
      </c>
      <c r="C612" s="10" t="s">
        <v>87</v>
      </c>
      <c r="D612" s="11"/>
      <c r="E612" s="16">
        <v>39</v>
      </c>
      <c r="F612" s="9">
        <v>46198</v>
      </c>
      <c r="G612" s="212" t="str">
        <f>IFERROR(VLOOKUP(Tabla3[[#This Row],[NUM ECONOMICO]],MAQUINARIA!B:H,7,0), " MAQ")</f>
        <v>ACTIVA</v>
      </c>
      <c r="H612" s="214" t="s">
        <v>400</v>
      </c>
      <c r="I612" s="41">
        <v>3289090</v>
      </c>
      <c r="J612" s="10"/>
      <c r="K612" s="10">
        <v>1</v>
      </c>
      <c r="L612" s="12"/>
      <c r="M612" s="13">
        <f t="shared" si="9"/>
        <v>0</v>
      </c>
      <c r="N612" s="41"/>
      <c r="O612" s="10"/>
      <c r="P612" s="10">
        <f>Tabla3[[#This Row],[COSTO UNITARIO DOLARES EN HAWTHORNE]]*Tabla3[[#This Row],[CANTIDAD SOLICTADA]]</f>
        <v>0</v>
      </c>
      <c r="Q612" s="41"/>
      <c r="R612" s="229"/>
      <c r="S612" s="229">
        <f>+Tabla3[[#This Row],[COSTO UNITARIO DOLARES CTP]]*Tabla3[[#This Row],[CANTIDAD SOLICTADA]]</f>
        <v>0</v>
      </c>
      <c r="T612" s="41"/>
      <c r="U612" s="14" t="s">
        <v>4</v>
      </c>
      <c r="V612" s="8" t="s">
        <v>893</v>
      </c>
      <c r="W612" s="9">
        <v>46199</v>
      </c>
      <c r="X612" s="10" t="s">
        <v>89</v>
      </c>
      <c r="Y612" s="10" t="s">
        <v>90</v>
      </c>
      <c r="Z612" s="16" t="s">
        <v>44</v>
      </c>
      <c r="AA612" s="25">
        <v>46198</v>
      </c>
      <c r="AB612" s="25">
        <v>46199</v>
      </c>
      <c r="AC612" s="16" t="s">
        <v>226</v>
      </c>
      <c r="AD612" s="16"/>
      <c r="AE612" s="16" t="s">
        <v>894</v>
      </c>
      <c r="AF612" s="16"/>
      <c r="AG612" s="21" t="s">
        <v>892</v>
      </c>
      <c r="XFD612" s="15" t="str">
        <f>+Tabla3[[#This Row],[ESTATUS DE NUM ECONOMICO]]</f>
        <v>ACTIVA</v>
      </c>
    </row>
    <row r="613" spans="1:33 16384:16384" ht="15.75" thickBot="1" x14ac:dyDescent="0.3">
      <c r="A613" s="8">
        <v>110</v>
      </c>
      <c r="B613" s="9">
        <v>46198</v>
      </c>
      <c r="C613" s="10" t="s">
        <v>87</v>
      </c>
      <c r="D613" s="11"/>
      <c r="E613" s="16">
        <v>39</v>
      </c>
      <c r="F613" s="9">
        <v>46198</v>
      </c>
      <c r="G613" s="212" t="str">
        <f>IFERROR(VLOOKUP(Tabla3[[#This Row],[NUM ECONOMICO]],MAQUINARIA!B:H,7,0), " MAQ")</f>
        <v>ACTIVA</v>
      </c>
      <c r="H613" s="214" t="s">
        <v>400</v>
      </c>
      <c r="I613" s="41">
        <v>3289093</v>
      </c>
      <c r="J613" s="10"/>
      <c r="K613" s="10">
        <v>1</v>
      </c>
      <c r="L613" s="12"/>
      <c r="M613" s="13">
        <f t="shared" si="9"/>
        <v>0</v>
      </c>
      <c r="N613" s="41"/>
      <c r="O613" s="10"/>
      <c r="P613" s="10">
        <f>Tabla3[[#This Row],[COSTO UNITARIO DOLARES EN HAWTHORNE]]*Tabla3[[#This Row],[CANTIDAD SOLICTADA]]</f>
        <v>0</v>
      </c>
      <c r="Q613" s="41"/>
      <c r="R613" s="229"/>
      <c r="S613" s="229">
        <f>+Tabla3[[#This Row],[COSTO UNITARIO DOLARES CTP]]*Tabla3[[#This Row],[CANTIDAD SOLICTADA]]</f>
        <v>0</v>
      </c>
      <c r="T613" s="41"/>
      <c r="U613" s="14" t="s">
        <v>4</v>
      </c>
      <c r="V613" s="8" t="s">
        <v>893</v>
      </c>
      <c r="W613" s="9">
        <v>46199</v>
      </c>
      <c r="X613" s="10" t="s">
        <v>89</v>
      </c>
      <c r="Y613" s="10" t="s">
        <v>90</v>
      </c>
      <c r="Z613" s="16" t="s">
        <v>44</v>
      </c>
      <c r="AA613" s="25">
        <v>46198</v>
      </c>
      <c r="AB613" s="25">
        <v>46199</v>
      </c>
      <c r="AC613" s="16" t="s">
        <v>226</v>
      </c>
      <c r="AD613" s="16"/>
      <c r="AE613" s="16" t="s">
        <v>894</v>
      </c>
      <c r="AF613" s="16"/>
      <c r="AG613" s="21" t="s">
        <v>892</v>
      </c>
      <c r="XFD613" s="15" t="str">
        <f>+Tabla3[[#This Row],[ESTATUS DE NUM ECONOMICO]]</f>
        <v>ACTIVA</v>
      </c>
    </row>
    <row r="614" spans="1:33 16384:16384" ht="15.75" thickBot="1" x14ac:dyDescent="0.3">
      <c r="A614" s="8">
        <v>110</v>
      </c>
      <c r="B614" s="9">
        <v>46198</v>
      </c>
      <c r="C614" s="10" t="s">
        <v>87</v>
      </c>
      <c r="D614" s="11"/>
      <c r="E614" s="16">
        <v>39</v>
      </c>
      <c r="F614" s="9">
        <v>46198</v>
      </c>
      <c r="G614" s="212" t="str">
        <f>IFERROR(VLOOKUP(Tabla3[[#This Row],[NUM ECONOMICO]],MAQUINARIA!B:H,7,0), " MAQ")</f>
        <v>ACTIVA</v>
      </c>
      <c r="H614" s="214" t="s">
        <v>400</v>
      </c>
      <c r="I614" s="41" t="s">
        <v>335</v>
      </c>
      <c r="J614" s="10"/>
      <c r="K614" s="10">
        <v>2</v>
      </c>
      <c r="L614" s="12"/>
      <c r="M614" s="13">
        <f t="shared" si="9"/>
        <v>0</v>
      </c>
      <c r="N614" s="41"/>
      <c r="O614" s="10"/>
      <c r="P614" s="10">
        <f>Tabla3[[#This Row],[COSTO UNITARIO DOLARES EN HAWTHORNE]]*Tabla3[[#This Row],[CANTIDAD SOLICTADA]]</f>
        <v>0</v>
      </c>
      <c r="Q614" s="41"/>
      <c r="R614" s="229"/>
      <c r="S614" s="229">
        <f>+Tabla3[[#This Row],[COSTO UNITARIO DOLARES CTP]]*Tabla3[[#This Row],[CANTIDAD SOLICTADA]]</f>
        <v>0</v>
      </c>
      <c r="T614" s="41"/>
      <c r="U614" s="14" t="s">
        <v>4</v>
      </c>
      <c r="V614" s="8" t="s">
        <v>893</v>
      </c>
      <c r="W614" s="9">
        <v>46199</v>
      </c>
      <c r="X614" s="10" t="s">
        <v>89</v>
      </c>
      <c r="Y614" s="10">
        <v>13</v>
      </c>
      <c r="Z614" s="16" t="s">
        <v>44</v>
      </c>
      <c r="AA614" s="25">
        <v>46198</v>
      </c>
      <c r="AB614" s="25">
        <v>46199</v>
      </c>
      <c r="AC614" s="16" t="s">
        <v>226</v>
      </c>
      <c r="AD614" s="16"/>
      <c r="AE614" s="16" t="s">
        <v>894</v>
      </c>
      <c r="AF614" s="16"/>
      <c r="AG614" s="21" t="s">
        <v>892</v>
      </c>
      <c r="XFD614" s="15" t="str">
        <f>+Tabla3[[#This Row],[ESTATUS DE NUM ECONOMICO]]</f>
        <v>ACTIVA</v>
      </c>
    </row>
    <row r="615" spans="1:33 16384:16384" ht="15.75" thickBot="1" x14ac:dyDescent="0.3">
      <c r="A615" s="8">
        <v>110</v>
      </c>
      <c r="B615" s="9">
        <v>46198</v>
      </c>
      <c r="C615" s="10" t="s">
        <v>87</v>
      </c>
      <c r="D615" s="11"/>
      <c r="E615" s="16">
        <v>39</v>
      </c>
      <c r="F615" s="9">
        <v>46198</v>
      </c>
      <c r="G615" s="212" t="str">
        <f>IFERROR(VLOOKUP(Tabla3[[#This Row],[NUM ECONOMICO]],MAQUINARIA!B:H,7,0), " MAQ")</f>
        <v>ACTIVA</v>
      </c>
      <c r="H615" s="214" t="s">
        <v>400</v>
      </c>
      <c r="I615" s="41">
        <v>4568467</v>
      </c>
      <c r="J615" s="10"/>
      <c r="K615" s="10">
        <v>175</v>
      </c>
      <c r="L615" s="12"/>
      <c r="M615" s="13">
        <f t="shared" si="9"/>
        <v>0</v>
      </c>
      <c r="N615" s="41"/>
      <c r="O615" s="10"/>
      <c r="P615" s="10">
        <f>Tabla3[[#This Row],[COSTO UNITARIO DOLARES EN HAWTHORNE]]*Tabla3[[#This Row],[CANTIDAD SOLICTADA]]</f>
        <v>0</v>
      </c>
      <c r="Q615" s="41"/>
      <c r="R615" s="229"/>
      <c r="S615" s="229">
        <f>+Tabla3[[#This Row],[COSTO UNITARIO DOLARES CTP]]*Tabla3[[#This Row],[CANTIDAD SOLICTADA]]</f>
        <v>0</v>
      </c>
      <c r="T615" s="41"/>
      <c r="U615" s="14" t="s">
        <v>4</v>
      </c>
      <c r="V615" s="8" t="s">
        <v>893</v>
      </c>
      <c r="W615" s="9">
        <v>46199</v>
      </c>
      <c r="X615" s="10" t="s">
        <v>89</v>
      </c>
      <c r="Y615" s="10" t="s">
        <v>90</v>
      </c>
      <c r="Z615" s="16" t="s">
        <v>44</v>
      </c>
      <c r="AA615" s="25">
        <v>46198</v>
      </c>
      <c r="AB615" s="25">
        <v>46199</v>
      </c>
      <c r="AC615" s="16" t="s">
        <v>226</v>
      </c>
      <c r="AD615" s="16"/>
      <c r="AE615" s="16" t="s">
        <v>894</v>
      </c>
      <c r="AF615" s="16"/>
      <c r="AG615" s="21" t="s">
        <v>892</v>
      </c>
      <c r="XFD615" s="15" t="str">
        <f>+Tabla3[[#This Row],[ESTATUS DE NUM ECONOMICO]]</f>
        <v>ACTIVA</v>
      </c>
    </row>
    <row r="616" spans="1:33 16384:16384" ht="15.75" thickBot="1" x14ac:dyDescent="0.3">
      <c r="A616" s="8">
        <v>110</v>
      </c>
      <c r="B616" s="9">
        <v>46198</v>
      </c>
      <c r="C616" s="10" t="s">
        <v>87</v>
      </c>
      <c r="D616" s="11"/>
      <c r="E616" s="16">
        <v>39</v>
      </c>
      <c r="F616" s="9">
        <v>46198</v>
      </c>
      <c r="G616" s="212" t="str">
        <f>IFERROR(VLOOKUP(Tabla3[[#This Row],[NUM ECONOMICO]],MAQUINARIA!B:H,7,0), " MAQ")</f>
        <v>ACTIVA</v>
      </c>
      <c r="H616" s="214" t="s">
        <v>400</v>
      </c>
      <c r="I616" s="41">
        <v>3289094</v>
      </c>
      <c r="J616" s="10"/>
      <c r="K616" s="10">
        <v>1</v>
      </c>
      <c r="L616" s="12"/>
      <c r="M616" s="13">
        <f t="shared" si="9"/>
        <v>0</v>
      </c>
      <c r="N616" s="41"/>
      <c r="O616" s="10"/>
      <c r="P616" s="10">
        <f>Tabla3[[#This Row],[COSTO UNITARIO DOLARES EN HAWTHORNE]]*Tabla3[[#This Row],[CANTIDAD SOLICTADA]]</f>
        <v>0</v>
      </c>
      <c r="Q616" s="41"/>
      <c r="R616" s="229"/>
      <c r="S616" s="229">
        <f>+Tabla3[[#This Row],[COSTO UNITARIO DOLARES CTP]]*Tabla3[[#This Row],[CANTIDAD SOLICTADA]]</f>
        <v>0</v>
      </c>
      <c r="T616" s="41"/>
      <c r="U616" s="14" t="s">
        <v>4</v>
      </c>
      <c r="V616" s="8" t="s">
        <v>893</v>
      </c>
      <c r="W616" s="9">
        <v>46199</v>
      </c>
      <c r="X616" s="10" t="s">
        <v>89</v>
      </c>
      <c r="Y616" s="10" t="s">
        <v>90</v>
      </c>
      <c r="Z616" s="16" t="s">
        <v>44</v>
      </c>
      <c r="AA616" s="25">
        <v>46198</v>
      </c>
      <c r="AB616" s="25">
        <v>46199</v>
      </c>
      <c r="AC616" s="16" t="s">
        <v>226</v>
      </c>
      <c r="AD616" s="16"/>
      <c r="AE616" s="16" t="s">
        <v>894</v>
      </c>
      <c r="AF616" s="16"/>
      <c r="AG616" s="21" t="s">
        <v>892</v>
      </c>
      <c r="XFD616" s="15" t="str">
        <f>+Tabla3[[#This Row],[ESTATUS DE NUM ECONOMICO]]</f>
        <v>ACTIVA</v>
      </c>
    </row>
    <row r="617" spans="1:33 16384:16384" ht="15.75" thickBot="1" x14ac:dyDescent="0.3">
      <c r="A617" s="8">
        <v>110</v>
      </c>
      <c r="B617" s="9">
        <v>46198</v>
      </c>
      <c r="C617" s="10" t="s">
        <v>87</v>
      </c>
      <c r="D617" s="11"/>
      <c r="E617" s="16">
        <v>39</v>
      </c>
      <c r="F617" s="9">
        <v>46198</v>
      </c>
      <c r="G617" s="212" t="str">
        <f>IFERROR(VLOOKUP(Tabla3[[#This Row],[NUM ECONOMICO]],MAQUINARIA!B:H,7,0), " MAQ")</f>
        <v>ACTIVA</v>
      </c>
      <c r="H617" s="214" t="s">
        <v>400</v>
      </c>
      <c r="I617" s="41">
        <v>3289100</v>
      </c>
      <c r="J617" s="10"/>
      <c r="K617" s="10">
        <v>1</v>
      </c>
      <c r="L617" s="12"/>
      <c r="M617" s="13">
        <f t="shared" si="9"/>
        <v>0</v>
      </c>
      <c r="N617" s="41"/>
      <c r="O617" s="10"/>
      <c r="P617" s="10">
        <f>Tabla3[[#This Row],[COSTO UNITARIO DOLARES EN HAWTHORNE]]*Tabla3[[#This Row],[CANTIDAD SOLICTADA]]</f>
        <v>0</v>
      </c>
      <c r="Q617" s="41"/>
      <c r="R617" s="229"/>
      <c r="S617" s="229">
        <f>+Tabla3[[#This Row],[COSTO UNITARIO DOLARES CTP]]*Tabla3[[#This Row],[CANTIDAD SOLICTADA]]</f>
        <v>0</v>
      </c>
      <c r="T617" s="41"/>
      <c r="U617" s="14" t="s">
        <v>4</v>
      </c>
      <c r="V617" s="8" t="s">
        <v>893</v>
      </c>
      <c r="W617" s="9">
        <v>46199</v>
      </c>
      <c r="X617" s="10" t="s">
        <v>89</v>
      </c>
      <c r="Y617" s="10" t="s">
        <v>90</v>
      </c>
      <c r="Z617" s="16" t="s">
        <v>44</v>
      </c>
      <c r="AA617" s="25">
        <v>46198</v>
      </c>
      <c r="AB617" s="25">
        <v>46199</v>
      </c>
      <c r="AC617" s="16" t="s">
        <v>226</v>
      </c>
      <c r="AD617" s="16"/>
      <c r="AE617" s="16" t="s">
        <v>894</v>
      </c>
      <c r="AF617" s="16"/>
      <c r="AG617" s="21" t="s">
        <v>892</v>
      </c>
      <c r="XFD617" s="15" t="str">
        <f>+Tabla3[[#This Row],[ESTATUS DE NUM ECONOMICO]]</f>
        <v>ACTIVA</v>
      </c>
    </row>
    <row r="618" spans="1:33 16384:16384" ht="15.75" thickBot="1" x14ac:dyDescent="0.3">
      <c r="A618" s="8">
        <v>110</v>
      </c>
      <c r="B618" s="9">
        <v>46198</v>
      </c>
      <c r="C618" s="10" t="s">
        <v>87</v>
      </c>
      <c r="D618" s="11"/>
      <c r="E618" s="16">
        <v>39</v>
      </c>
      <c r="F618" s="9">
        <v>46198</v>
      </c>
      <c r="G618" s="212" t="str">
        <f>IFERROR(VLOOKUP(Tabla3[[#This Row],[NUM ECONOMICO]],MAQUINARIA!B:H,7,0), " MAQ")</f>
        <v>ACTIVA</v>
      </c>
      <c r="H618" s="214" t="s">
        <v>400</v>
      </c>
      <c r="I618" s="41" t="s">
        <v>335</v>
      </c>
      <c r="J618" s="10" t="s">
        <v>895</v>
      </c>
      <c r="K618" s="10">
        <v>2</v>
      </c>
      <c r="L618" s="12"/>
      <c r="M618" s="13">
        <f t="shared" si="9"/>
        <v>0</v>
      </c>
      <c r="N618" s="41"/>
      <c r="O618" s="10"/>
      <c r="P618" s="10">
        <f>Tabla3[[#This Row],[COSTO UNITARIO DOLARES EN HAWTHORNE]]*Tabla3[[#This Row],[CANTIDAD SOLICTADA]]</f>
        <v>0</v>
      </c>
      <c r="Q618" s="41"/>
      <c r="R618" s="229"/>
      <c r="S618" s="229">
        <f>+Tabla3[[#This Row],[COSTO UNITARIO DOLARES CTP]]*Tabla3[[#This Row],[CANTIDAD SOLICTADA]]</f>
        <v>0</v>
      </c>
      <c r="T618" s="41"/>
      <c r="U618" s="14" t="s">
        <v>4</v>
      </c>
      <c r="V618" s="8" t="s">
        <v>893</v>
      </c>
      <c r="W618" s="9">
        <v>46199</v>
      </c>
      <c r="X618" s="10" t="s">
        <v>89</v>
      </c>
      <c r="Y618" s="10">
        <v>13</v>
      </c>
      <c r="Z618" s="16" t="s">
        <v>44</v>
      </c>
      <c r="AA618" s="25">
        <v>46198</v>
      </c>
      <c r="AB618" s="25">
        <v>46199</v>
      </c>
      <c r="AC618" s="16" t="s">
        <v>226</v>
      </c>
      <c r="AD618" s="16"/>
      <c r="AE618" s="16" t="s">
        <v>894</v>
      </c>
      <c r="AF618" s="16"/>
      <c r="AG618" s="21" t="s">
        <v>892</v>
      </c>
      <c r="XFD618" s="15" t="str">
        <f>+Tabla3[[#This Row],[ESTATUS DE NUM ECONOMICO]]</f>
        <v>ACTIVA</v>
      </c>
    </row>
    <row r="619" spans="1:33 16384:16384" ht="15.75" thickBot="1" x14ac:dyDescent="0.3">
      <c r="A619" s="8">
        <v>111</v>
      </c>
      <c r="B619" s="9">
        <v>46195</v>
      </c>
      <c r="C619" s="10" t="s">
        <v>87</v>
      </c>
      <c r="D619" s="11"/>
      <c r="E619" s="16">
        <v>17</v>
      </c>
      <c r="F619" s="9">
        <v>46195</v>
      </c>
      <c r="G619" s="212" t="str">
        <f>IFERROR(VLOOKUP(Tabla3[[#This Row],[NUM ECONOMICO]],MAQUINARIA!B:H,7,0), " MAQ")</f>
        <v>ACTIVA</v>
      </c>
      <c r="H619" s="214" t="s">
        <v>440</v>
      </c>
      <c r="I619" s="41" t="s">
        <v>441</v>
      </c>
      <c r="J619" s="10" t="s">
        <v>896</v>
      </c>
      <c r="K619" s="10">
        <v>2</v>
      </c>
      <c r="L619" s="12"/>
      <c r="M619" s="13">
        <f t="shared" si="9"/>
        <v>0</v>
      </c>
      <c r="N619" s="41"/>
      <c r="O619" s="10"/>
      <c r="P619" s="10">
        <f>Tabla3[[#This Row],[COSTO UNITARIO DOLARES EN HAWTHORNE]]*Tabla3[[#This Row],[CANTIDAD SOLICTADA]]</f>
        <v>0</v>
      </c>
      <c r="Q619" s="41"/>
      <c r="R619" s="229"/>
      <c r="S619" s="229">
        <f>+Tabla3[[#This Row],[COSTO UNITARIO DOLARES CTP]]*Tabla3[[#This Row],[CANTIDAD SOLICTADA]]</f>
        <v>0</v>
      </c>
      <c r="T619" s="41"/>
      <c r="U619" s="14" t="s">
        <v>4</v>
      </c>
      <c r="V619" s="17"/>
      <c r="W619" s="9">
        <v>46203</v>
      </c>
      <c r="X619" s="11"/>
      <c r="Y619" s="10" t="s">
        <v>90</v>
      </c>
      <c r="Z619" s="16"/>
      <c r="AA619" s="16"/>
      <c r="AB619" s="16"/>
      <c r="AC619" s="16" t="s">
        <v>537</v>
      </c>
      <c r="AD619" s="16"/>
      <c r="AE619" s="16" t="s">
        <v>897</v>
      </c>
      <c r="AF619" s="16"/>
      <c r="AG619" s="21" t="s">
        <v>898</v>
      </c>
      <c r="XFD619" s="15" t="str">
        <f>+Tabla3[[#This Row],[ESTATUS DE NUM ECONOMICO]]</f>
        <v>ACTIVA</v>
      </c>
    </row>
    <row r="620" spans="1:33 16384:16384" ht="15.75" thickBot="1" x14ac:dyDescent="0.3">
      <c r="A620" s="8">
        <v>111</v>
      </c>
      <c r="B620" s="9">
        <v>46195</v>
      </c>
      <c r="C620" s="10" t="s">
        <v>87</v>
      </c>
      <c r="D620" s="11"/>
      <c r="E620" s="16">
        <v>17</v>
      </c>
      <c r="F620" s="9">
        <v>46195</v>
      </c>
      <c r="G620" s="212" t="str">
        <f>IFERROR(VLOOKUP(Tabla3[[#This Row],[NUM ECONOMICO]],MAQUINARIA!B:H,7,0), " MAQ")</f>
        <v>ACTIVA</v>
      </c>
      <c r="H620" s="214" t="s">
        <v>440</v>
      </c>
      <c r="I620" s="41">
        <v>5134490</v>
      </c>
      <c r="J620" s="10" t="s">
        <v>899</v>
      </c>
      <c r="K620" s="10">
        <v>1</v>
      </c>
      <c r="L620" s="12"/>
      <c r="M620" s="13">
        <f t="shared" si="9"/>
        <v>0</v>
      </c>
      <c r="N620" s="41"/>
      <c r="O620" s="10"/>
      <c r="P620" s="10">
        <f>Tabla3[[#This Row],[COSTO UNITARIO DOLARES EN HAWTHORNE]]*Tabla3[[#This Row],[CANTIDAD SOLICTADA]]</f>
        <v>0</v>
      </c>
      <c r="Q620" s="41"/>
      <c r="R620" s="229"/>
      <c r="S620" s="229">
        <f>+Tabla3[[#This Row],[COSTO UNITARIO DOLARES CTP]]*Tabla3[[#This Row],[CANTIDAD SOLICTADA]]</f>
        <v>0</v>
      </c>
      <c r="T620" s="41"/>
      <c r="U620" s="14" t="s">
        <v>4</v>
      </c>
      <c r="V620" s="17"/>
      <c r="W620" s="9">
        <v>46203</v>
      </c>
      <c r="X620" s="11"/>
      <c r="Y620" s="10" t="s">
        <v>90</v>
      </c>
      <c r="Z620" s="16"/>
      <c r="AA620" s="16"/>
      <c r="AB620" s="16"/>
      <c r="AC620" s="16" t="s">
        <v>537</v>
      </c>
      <c r="AD620" s="16"/>
      <c r="AE620" s="16" t="s">
        <v>897</v>
      </c>
      <c r="AF620" s="16"/>
      <c r="AG620" s="21" t="s">
        <v>898</v>
      </c>
      <c r="XFD620" s="15" t="str">
        <f>+Tabla3[[#This Row],[ESTATUS DE NUM ECONOMICO]]</f>
        <v>ACTIVA</v>
      </c>
    </row>
    <row r="621" spans="1:33 16384:16384" ht="15.75" thickBot="1" x14ac:dyDescent="0.3">
      <c r="A621" s="8">
        <v>111</v>
      </c>
      <c r="B621" s="9">
        <v>46195</v>
      </c>
      <c r="C621" s="10" t="s">
        <v>87</v>
      </c>
      <c r="D621" s="11"/>
      <c r="E621" s="16">
        <v>17</v>
      </c>
      <c r="F621" s="9">
        <v>46195</v>
      </c>
      <c r="G621" s="212" t="str">
        <f>IFERROR(VLOOKUP(Tabla3[[#This Row],[NUM ECONOMICO]],MAQUINARIA!B:H,7,0), " MAQ")</f>
        <v>ACTIVA</v>
      </c>
      <c r="H621" s="214" t="s">
        <v>440</v>
      </c>
      <c r="I621" s="41" t="s">
        <v>444</v>
      </c>
      <c r="J621" s="10" t="s">
        <v>253</v>
      </c>
      <c r="K621" s="10">
        <v>1</v>
      </c>
      <c r="L621" s="12"/>
      <c r="M621" s="13">
        <f t="shared" si="9"/>
        <v>0</v>
      </c>
      <c r="N621" s="41"/>
      <c r="O621" s="10"/>
      <c r="P621" s="10">
        <f>Tabla3[[#This Row],[COSTO UNITARIO DOLARES EN HAWTHORNE]]*Tabla3[[#This Row],[CANTIDAD SOLICTADA]]</f>
        <v>0</v>
      </c>
      <c r="Q621" s="41"/>
      <c r="R621" s="229"/>
      <c r="S621" s="229">
        <f>+Tabla3[[#This Row],[COSTO UNITARIO DOLARES CTP]]*Tabla3[[#This Row],[CANTIDAD SOLICTADA]]</f>
        <v>0</v>
      </c>
      <c r="T621" s="41"/>
      <c r="U621" s="14" t="s">
        <v>4</v>
      </c>
      <c r="V621" s="17"/>
      <c r="W621" s="9">
        <v>46203</v>
      </c>
      <c r="X621" s="11"/>
      <c r="Y621" s="10" t="s">
        <v>90</v>
      </c>
      <c r="Z621" s="16"/>
      <c r="AA621" s="16"/>
      <c r="AB621" s="16"/>
      <c r="AC621" s="16" t="s">
        <v>537</v>
      </c>
      <c r="AD621" s="16"/>
      <c r="AE621" s="16" t="s">
        <v>897</v>
      </c>
      <c r="AF621" s="16"/>
      <c r="AG621" s="21" t="s">
        <v>898</v>
      </c>
      <c r="XFD621" s="15" t="str">
        <f>+Tabla3[[#This Row],[ESTATUS DE NUM ECONOMICO]]</f>
        <v>ACTIVA</v>
      </c>
    </row>
    <row r="622" spans="1:33 16384:16384" ht="15.75" thickBot="1" x14ac:dyDescent="0.3">
      <c r="A622" s="8">
        <v>111</v>
      </c>
      <c r="B622" s="9">
        <v>46195</v>
      </c>
      <c r="C622" s="10" t="s">
        <v>87</v>
      </c>
      <c r="D622" s="11"/>
      <c r="E622" s="16">
        <v>17</v>
      </c>
      <c r="F622" s="9">
        <v>46195</v>
      </c>
      <c r="G622" s="212" t="str">
        <f>IFERROR(VLOOKUP(Tabla3[[#This Row],[NUM ECONOMICO]],MAQUINARIA!B:H,7,0), " MAQ")</f>
        <v>ACTIVA</v>
      </c>
      <c r="H622" s="214" t="s">
        <v>440</v>
      </c>
      <c r="I622" s="41" t="s">
        <v>445</v>
      </c>
      <c r="J622" s="10"/>
      <c r="K622" s="10">
        <v>1</v>
      </c>
      <c r="L622" s="12"/>
      <c r="M622" s="13">
        <f t="shared" si="9"/>
        <v>0</v>
      </c>
      <c r="N622" s="41"/>
      <c r="O622" s="10"/>
      <c r="P622" s="10">
        <f>Tabla3[[#This Row],[COSTO UNITARIO DOLARES EN HAWTHORNE]]*Tabla3[[#This Row],[CANTIDAD SOLICTADA]]</f>
        <v>0</v>
      </c>
      <c r="Q622" s="41"/>
      <c r="R622" s="229"/>
      <c r="S622" s="229">
        <f>+Tabla3[[#This Row],[COSTO UNITARIO DOLARES CTP]]*Tabla3[[#This Row],[CANTIDAD SOLICTADA]]</f>
        <v>0</v>
      </c>
      <c r="T622" s="41"/>
      <c r="U622" s="14" t="s">
        <v>4</v>
      </c>
      <c r="V622" s="17"/>
      <c r="W622" s="9">
        <v>46203</v>
      </c>
      <c r="X622" s="11"/>
      <c r="Y622" s="10" t="s">
        <v>90</v>
      </c>
      <c r="Z622" s="16"/>
      <c r="AA622" s="16"/>
      <c r="AB622" s="16"/>
      <c r="AC622" s="16" t="s">
        <v>537</v>
      </c>
      <c r="AD622" s="16"/>
      <c r="AE622" s="16" t="s">
        <v>897</v>
      </c>
      <c r="AF622" s="16"/>
      <c r="AG622" s="21" t="s">
        <v>898</v>
      </c>
      <c r="XFD622" s="15" t="str">
        <f>+Tabla3[[#This Row],[ESTATUS DE NUM ECONOMICO]]</f>
        <v>ACTIVA</v>
      </c>
    </row>
    <row r="623" spans="1:33 16384:16384" ht="15.75" thickBot="1" x14ac:dyDescent="0.3">
      <c r="A623" s="8">
        <v>111</v>
      </c>
      <c r="B623" s="9">
        <v>46195</v>
      </c>
      <c r="C623" s="10" t="s">
        <v>87</v>
      </c>
      <c r="D623" s="11"/>
      <c r="E623" s="16">
        <v>17</v>
      </c>
      <c r="F623" s="9">
        <v>46195</v>
      </c>
      <c r="G623" s="212" t="str">
        <f>IFERROR(VLOOKUP(Tabla3[[#This Row],[NUM ECONOMICO]],MAQUINARIA!B:H,7,0), " MAQ")</f>
        <v>ACTIVA</v>
      </c>
      <c r="H623" s="214" t="s">
        <v>440</v>
      </c>
      <c r="I623" s="41" t="s">
        <v>446</v>
      </c>
      <c r="J623" s="10"/>
      <c r="K623" s="10">
        <v>1</v>
      </c>
      <c r="L623" s="12"/>
      <c r="M623" s="13">
        <f t="shared" si="9"/>
        <v>0</v>
      </c>
      <c r="N623" s="41"/>
      <c r="O623" s="10"/>
      <c r="P623" s="10">
        <f>Tabla3[[#This Row],[COSTO UNITARIO DOLARES EN HAWTHORNE]]*Tabla3[[#This Row],[CANTIDAD SOLICTADA]]</f>
        <v>0</v>
      </c>
      <c r="Q623" s="41"/>
      <c r="R623" s="229"/>
      <c r="S623" s="229">
        <f>+Tabla3[[#This Row],[COSTO UNITARIO DOLARES CTP]]*Tabla3[[#This Row],[CANTIDAD SOLICTADA]]</f>
        <v>0</v>
      </c>
      <c r="T623" s="41"/>
      <c r="U623" s="14" t="s">
        <v>4</v>
      </c>
      <c r="V623" s="17"/>
      <c r="W623" s="9">
        <v>46203</v>
      </c>
      <c r="X623" s="11"/>
      <c r="Y623" s="10">
        <v>2</v>
      </c>
      <c r="Z623" s="16"/>
      <c r="AA623" s="16"/>
      <c r="AB623" s="16"/>
      <c r="AC623" s="16" t="s">
        <v>537</v>
      </c>
      <c r="AD623" s="16"/>
      <c r="AE623" s="16" t="s">
        <v>897</v>
      </c>
      <c r="AF623" s="16"/>
      <c r="AG623" s="21" t="s">
        <v>898</v>
      </c>
      <c r="XFD623" s="15" t="str">
        <f>+Tabla3[[#This Row],[ESTATUS DE NUM ECONOMICO]]</f>
        <v>ACTIVA</v>
      </c>
    </row>
    <row r="624" spans="1:33 16384:16384" ht="15.75" thickBot="1" x14ac:dyDescent="0.3">
      <c r="A624" s="8">
        <v>111</v>
      </c>
      <c r="B624" s="9">
        <v>46195</v>
      </c>
      <c r="C624" s="10" t="s">
        <v>87</v>
      </c>
      <c r="D624" s="11"/>
      <c r="E624" s="16">
        <v>17</v>
      </c>
      <c r="F624" s="9">
        <v>46195</v>
      </c>
      <c r="G624" s="212" t="str">
        <f>IFERROR(VLOOKUP(Tabla3[[#This Row],[NUM ECONOMICO]],MAQUINARIA!B:H,7,0), " MAQ")</f>
        <v>ACTIVA</v>
      </c>
      <c r="H624" s="214" t="s">
        <v>440</v>
      </c>
      <c r="I624" s="41">
        <v>1261814</v>
      </c>
      <c r="J624" s="10"/>
      <c r="K624" s="10">
        <v>2</v>
      </c>
      <c r="L624" s="12"/>
      <c r="M624" s="13">
        <f t="shared" si="9"/>
        <v>0</v>
      </c>
      <c r="N624" s="41"/>
      <c r="O624" s="10"/>
      <c r="P624" s="10">
        <f>Tabla3[[#This Row],[COSTO UNITARIO DOLARES EN HAWTHORNE]]*Tabla3[[#This Row],[CANTIDAD SOLICTADA]]</f>
        <v>0</v>
      </c>
      <c r="Q624" s="41"/>
      <c r="R624" s="229"/>
      <c r="S624" s="229">
        <f>+Tabla3[[#This Row],[COSTO UNITARIO DOLARES CTP]]*Tabla3[[#This Row],[CANTIDAD SOLICTADA]]</f>
        <v>0</v>
      </c>
      <c r="T624" s="41"/>
      <c r="U624" s="14" t="s">
        <v>4</v>
      </c>
      <c r="V624" s="17"/>
      <c r="W624" s="9">
        <v>46203</v>
      </c>
      <c r="X624" s="11"/>
      <c r="Y624" s="10" t="s">
        <v>90</v>
      </c>
      <c r="Z624" s="16"/>
      <c r="AA624" s="16"/>
      <c r="AB624" s="16"/>
      <c r="AC624" s="16" t="s">
        <v>537</v>
      </c>
      <c r="AD624" s="16"/>
      <c r="AE624" s="16" t="s">
        <v>897</v>
      </c>
      <c r="AF624" s="16"/>
      <c r="AG624" s="21" t="s">
        <v>898</v>
      </c>
      <c r="XFD624" s="15" t="str">
        <f>+Tabla3[[#This Row],[ESTATUS DE NUM ECONOMICO]]</f>
        <v>ACTIVA</v>
      </c>
    </row>
    <row r="625" spans="1:33 16384:16384" ht="15.75" thickBot="1" x14ac:dyDescent="0.3">
      <c r="A625" s="8">
        <v>111</v>
      </c>
      <c r="B625" s="9">
        <v>46195</v>
      </c>
      <c r="C625" s="10" t="s">
        <v>87</v>
      </c>
      <c r="D625" s="11"/>
      <c r="E625" s="16">
        <v>17</v>
      </c>
      <c r="F625" s="9">
        <v>46195</v>
      </c>
      <c r="G625" s="212" t="str">
        <f>IFERROR(VLOOKUP(Tabla3[[#This Row],[NUM ECONOMICO]],MAQUINARIA!B:H,7,0), " MAQ")</f>
        <v>ACTIVA</v>
      </c>
      <c r="H625" s="214" t="s">
        <v>440</v>
      </c>
      <c r="I625" s="41">
        <v>612507</v>
      </c>
      <c r="J625" s="10"/>
      <c r="K625" s="10">
        <v>1</v>
      </c>
      <c r="L625" s="12"/>
      <c r="M625" s="13">
        <f t="shared" si="9"/>
        <v>0</v>
      </c>
      <c r="N625" s="41"/>
      <c r="O625" s="10"/>
      <c r="P625" s="10">
        <f>Tabla3[[#This Row],[COSTO UNITARIO DOLARES EN HAWTHORNE]]*Tabla3[[#This Row],[CANTIDAD SOLICTADA]]</f>
        <v>0</v>
      </c>
      <c r="Q625" s="41"/>
      <c r="R625" s="229"/>
      <c r="S625" s="229">
        <f>+Tabla3[[#This Row],[COSTO UNITARIO DOLARES CTP]]*Tabla3[[#This Row],[CANTIDAD SOLICTADA]]</f>
        <v>0</v>
      </c>
      <c r="T625" s="41"/>
      <c r="U625" s="14" t="s">
        <v>4</v>
      </c>
      <c r="V625" s="17"/>
      <c r="W625" s="9">
        <v>46203</v>
      </c>
      <c r="X625" s="11"/>
      <c r="Y625" s="10" t="s">
        <v>90</v>
      </c>
      <c r="Z625" s="16"/>
      <c r="AA625" s="16"/>
      <c r="AB625" s="16"/>
      <c r="AC625" s="16" t="s">
        <v>537</v>
      </c>
      <c r="AD625" s="16"/>
      <c r="AE625" s="16" t="s">
        <v>897</v>
      </c>
      <c r="AF625" s="16"/>
      <c r="AG625" s="21" t="s">
        <v>898</v>
      </c>
      <c r="XFD625" s="15" t="str">
        <f>+Tabla3[[#This Row],[ESTATUS DE NUM ECONOMICO]]</f>
        <v>ACTIVA</v>
      </c>
    </row>
    <row r="626" spans="1:33 16384:16384" ht="15.75" thickBot="1" x14ac:dyDescent="0.3">
      <c r="A626" s="8">
        <v>112</v>
      </c>
      <c r="B626" s="9">
        <v>46195</v>
      </c>
      <c r="C626" s="10" t="s">
        <v>87</v>
      </c>
      <c r="D626" s="11"/>
      <c r="E626" s="16">
        <v>18</v>
      </c>
      <c r="F626" s="9">
        <v>46195</v>
      </c>
      <c r="G626" s="212" t="str">
        <f>IFERROR(VLOOKUP(Tabla3[[#This Row],[NUM ECONOMICO]],MAQUINARIA!B:H,7,0), " MAQ")</f>
        <v>ACTIVA</v>
      </c>
      <c r="H626" s="214" t="s">
        <v>52</v>
      </c>
      <c r="I626" s="41" t="s">
        <v>900</v>
      </c>
      <c r="J626" s="10"/>
      <c r="K626" s="10">
        <v>1</v>
      </c>
      <c r="L626" s="12">
        <v>391.99</v>
      </c>
      <c r="M626" s="13">
        <f t="shared" si="9"/>
        <v>391.99</v>
      </c>
      <c r="N626" s="41" t="s">
        <v>217</v>
      </c>
      <c r="O626" s="287"/>
      <c r="P626" s="287">
        <f>Tabla3[[#This Row],[COSTO UNITARIO DOLARES EN HAWTHORNE]]*Tabla3[[#This Row],[CANTIDAD SOLICTADA]]</f>
        <v>0</v>
      </c>
      <c r="Q626" s="41"/>
      <c r="R626" s="229">
        <v>8.23</v>
      </c>
      <c r="S626" s="229">
        <f>+Tabla3[[#This Row],[COSTO UNITARIO DOLARES CTP]]*Tabla3[[#This Row],[CANTIDAD SOLICTADA]]</f>
        <v>8.23</v>
      </c>
      <c r="T626" s="41"/>
      <c r="U626" s="14" t="s">
        <v>4</v>
      </c>
      <c r="V626" s="211" t="s">
        <v>1817</v>
      </c>
      <c r="W626" s="25">
        <v>46209</v>
      </c>
      <c r="X626" s="16">
        <v>0</v>
      </c>
      <c r="Y626" s="10" t="s">
        <v>90</v>
      </c>
      <c r="Z626" s="16" t="s">
        <v>44</v>
      </c>
      <c r="AA626" s="25">
        <v>46209</v>
      </c>
      <c r="AB626" s="25">
        <v>46209</v>
      </c>
      <c r="AC626" s="16" t="s">
        <v>91</v>
      </c>
      <c r="AD626" s="16"/>
      <c r="AE626" s="16" t="s">
        <v>407</v>
      </c>
      <c r="AF626" s="16" t="s">
        <v>407</v>
      </c>
      <c r="AG626" s="21" t="s">
        <v>898</v>
      </c>
      <c r="XFD626" s="15" t="str">
        <f>+Tabla3[[#This Row],[ESTATUS DE NUM ECONOMICO]]</f>
        <v>ACTIVA</v>
      </c>
    </row>
    <row r="627" spans="1:33 16384:16384" ht="15.75" thickBot="1" x14ac:dyDescent="0.3">
      <c r="A627" s="8">
        <v>112</v>
      </c>
      <c r="B627" s="9">
        <v>46195</v>
      </c>
      <c r="C627" s="10" t="s">
        <v>87</v>
      </c>
      <c r="D627" s="11"/>
      <c r="E627" s="16">
        <v>18</v>
      </c>
      <c r="F627" s="9">
        <v>46195</v>
      </c>
      <c r="G627" s="212" t="str">
        <f>IFERROR(VLOOKUP(Tabla3[[#This Row],[NUM ECONOMICO]],MAQUINARIA!B:H,7,0), " MAQ")</f>
        <v>ACTIVA</v>
      </c>
      <c r="H627" s="214" t="s">
        <v>52</v>
      </c>
      <c r="I627" s="41" t="s">
        <v>901</v>
      </c>
      <c r="J627" s="10"/>
      <c r="K627" s="10">
        <v>1</v>
      </c>
      <c r="L627" s="12">
        <v>284.79000000000002</v>
      </c>
      <c r="M627" s="13">
        <f t="shared" si="9"/>
        <v>284.79000000000002</v>
      </c>
      <c r="N627" s="41" t="s">
        <v>217</v>
      </c>
      <c r="O627" s="287"/>
      <c r="P627" s="287">
        <f>Tabla3[[#This Row],[COSTO UNITARIO DOLARES EN HAWTHORNE]]*Tabla3[[#This Row],[CANTIDAD SOLICTADA]]</f>
        <v>0</v>
      </c>
      <c r="Q627" s="41"/>
      <c r="R627" s="229">
        <v>6.46</v>
      </c>
      <c r="S627" s="229">
        <f>+Tabla3[[#This Row],[COSTO UNITARIO DOLARES CTP]]*Tabla3[[#This Row],[CANTIDAD SOLICTADA]]</f>
        <v>6.46</v>
      </c>
      <c r="T627" s="41"/>
      <c r="U627" s="14" t="s">
        <v>4</v>
      </c>
      <c r="V627" s="211" t="s">
        <v>1817</v>
      </c>
      <c r="W627" s="25">
        <v>46209</v>
      </c>
      <c r="X627" s="16">
        <v>0</v>
      </c>
      <c r="Y627" s="10" t="s">
        <v>90</v>
      </c>
      <c r="Z627" s="16" t="s">
        <v>44</v>
      </c>
      <c r="AA627" s="25">
        <v>46209</v>
      </c>
      <c r="AB627" s="25">
        <v>46209</v>
      </c>
      <c r="AC627" s="16" t="s">
        <v>91</v>
      </c>
      <c r="AD627" s="16"/>
      <c r="AE627" s="16" t="s">
        <v>407</v>
      </c>
      <c r="AF627" s="16" t="s">
        <v>407</v>
      </c>
      <c r="AG627" s="21" t="s">
        <v>898</v>
      </c>
      <c r="XFD627" s="15" t="str">
        <f>+Tabla3[[#This Row],[ESTATUS DE NUM ECONOMICO]]</f>
        <v>ACTIVA</v>
      </c>
    </row>
    <row r="628" spans="1:33 16384:16384" ht="15.75" thickBot="1" x14ac:dyDescent="0.3">
      <c r="A628" s="8">
        <v>112</v>
      </c>
      <c r="B628" s="9">
        <v>46195</v>
      </c>
      <c r="C628" s="10" t="s">
        <v>87</v>
      </c>
      <c r="D628" s="11"/>
      <c r="E628" s="16">
        <v>18</v>
      </c>
      <c r="F628" s="9">
        <v>46195</v>
      </c>
      <c r="G628" s="212" t="str">
        <f>IFERROR(VLOOKUP(Tabla3[[#This Row],[NUM ECONOMICO]],MAQUINARIA!B:H,7,0), " MAQ")</f>
        <v>ACTIVA</v>
      </c>
      <c r="H628" s="214" t="s">
        <v>52</v>
      </c>
      <c r="I628" s="41">
        <v>4178134</v>
      </c>
      <c r="J628" s="10"/>
      <c r="K628" s="10">
        <v>1</v>
      </c>
      <c r="L628" s="12">
        <v>942.01</v>
      </c>
      <c r="M628" s="13">
        <f t="shared" si="9"/>
        <v>942.01</v>
      </c>
      <c r="N628" s="41" t="s">
        <v>217</v>
      </c>
      <c r="O628" s="287"/>
      <c r="P628" s="287">
        <f>Tabla3[[#This Row],[COSTO UNITARIO DOLARES EN HAWTHORNE]]*Tabla3[[#This Row],[CANTIDAD SOLICTADA]]</f>
        <v>0</v>
      </c>
      <c r="Q628" s="41"/>
      <c r="R628" s="229">
        <v>20.56</v>
      </c>
      <c r="S628" s="229">
        <f>+Tabla3[[#This Row],[COSTO UNITARIO DOLARES CTP]]*Tabla3[[#This Row],[CANTIDAD SOLICTADA]]</f>
        <v>20.56</v>
      </c>
      <c r="T628" s="41"/>
      <c r="U628" s="14" t="s">
        <v>4</v>
      </c>
      <c r="V628" s="211" t="s">
        <v>1817</v>
      </c>
      <c r="W628" s="25">
        <v>46209</v>
      </c>
      <c r="X628" s="16">
        <v>0</v>
      </c>
      <c r="Y628" s="10" t="s">
        <v>90</v>
      </c>
      <c r="Z628" s="16" t="s">
        <v>44</v>
      </c>
      <c r="AA628" s="25">
        <v>46209</v>
      </c>
      <c r="AB628" s="25">
        <v>46209</v>
      </c>
      <c r="AC628" s="16" t="s">
        <v>91</v>
      </c>
      <c r="AD628" s="16"/>
      <c r="AE628" s="16" t="s">
        <v>407</v>
      </c>
      <c r="AF628" s="16" t="s">
        <v>407</v>
      </c>
      <c r="AG628" s="21" t="s">
        <v>898</v>
      </c>
      <c r="XFD628" s="15" t="str">
        <f>+Tabla3[[#This Row],[ESTATUS DE NUM ECONOMICO]]</f>
        <v>ACTIVA</v>
      </c>
    </row>
    <row r="629" spans="1:33 16384:16384" ht="15.75" thickBot="1" x14ac:dyDescent="0.3">
      <c r="A629" s="8">
        <v>112</v>
      </c>
      <c r="B629" s="9">
        <v>46195</v>
      </c>
      <c r="C629" s="10" t="s">
        <v>87</v>
      </c>
      <c r="D629" s="11"/>
      <c r="E629" s="16">
        <v>18</v>
      </c>
      <c r="F629" s="9">
        <v>46195</v>
      </c>
      <c r="G629" s="212" t="str">
        <f>IFERROR(VLOOKUP(Tabla3[[#This Row],[NUM ECONOMICO]],MAQUINARIA!B:H,7,0), " MAQ")</f>
        <v>ACTIVA</v>
      </c>
      <c r="H629" s="214" t="s">
        <v>52</v>
      </c>
      <c r="I629" s="41">
        <v>2112680</v>
      </c>
      <c r="J629" s="10"/>
      <c r="K629" s="10">
        <v>1</v>
      </c>
      <c r="L629" s="12">
        <v>714.51</v>
      </c>
      <c r="M629" s="13">
        <f t="shared" si="9"/>
        <v>714.51</v>
      </c>
      <c r="N629" s="41" t="s">
        <v>217</v>
      </c>
      <c r="O629" s="287"/>
      <c r="P629" s="287">
        <f>Tabla3[[#This Row],[COSTO UNITARIO DOLARES EN HAWTHORNE]]*Tabla3[[#This Row],[CANTIDAD SOLICTADA]]</f>
        <v>0</v>
      </c>
      <c r="Q629" s="41"/>
      <c r="R629" s="229">
        <v>0</v>
      </c>
      <c r="S629" s="229">
        <f>+Tabla3[[#This Row],[COSTO UNITARIO DOLARES CTP]]*Tabla3[[#This Row],[CANTIDAD SOLICTADA]]</f>
        <v>0</v>
      </c>
      <c r="T629" s="41"/>
      <c r="U629" s="14" t="s">
        <v>4</v>
      </c>
      <c r="V629" s="211" t="s">
        <v>1817</v>
      </c>
      <c r="W629" s="25">
        <v>46209</v>
      </c>
      <c r="X629" s="16">
        <v>0</v>
      </c>
      <c r="Y629" s="10" t="s">
        <v>90</v>
      </c>
      <c r="Z629" s="16" t="s">
        <v>44</v>
      </c>
      <c r="AA629" s="25">
        <v>46209</v>
      </c>
      <c r="AB629" s="25">
        <v>46209</v>
      </c>
      <c r="AC629" s="16" t="s">
        <v>91</v>
      </c>
      <c r="AD629" s="16"/>
      <c r="AE629" s="16" t="s">
        <v>407</v>
      </c>
      <c r="AF629" s="16" t="s">
        <v>407</v>
      </c>
      <c r="AG629" s="21" t="s">
        <v>898</v>
      </c>
      <c r="XFD629" s="15" t="str">
        <f>+Tabla3[[#This Row],[ESTATUS DE NUM ECONOMICO]]</f>
        <v>ACTIVA</v>
      </c>
    </row>
    <row r="630" spans="1:33 16384:16384" ht="15.75" thickBot="1" x14ac:dyDescent="0.3">
      <c r="A630" s="8">
        <v>113</v>
      </c>
      <c r="B630" s="9">
        <v>46195</v>
      </c>
      <c r="C630" s="10" t="s">
        <v>87</v>
      </c>
      <c r="D630" s="11"/>
      <c r="E630" s="16">
        <v>21</v>
      </c>
      <c r="F630" s="9">
        <v>46195</v>
      </c>
      <c r="G630" s="212" t="str">
        <f>IFERROR(VLOOKUP(Tabla3[[#This Row],[NUM ECONOMICO]],MAQUINARIA!B:H,7,0), " MAQ")</f>
        <v>ACTIVA</v>
      </c>
      <c r="H630" s="214" t="s">
        <v>113</v>
      </c>
      <c r="I630" s="41" t="s">
        <v>441</v>
      </c>
      <c r="J630" s="10"/>
      <c r="K630" s="10">
        <v>3</v>
      </c>
      <c r="L630" s="12"/>
      <c r="M630" s="13">
        <f t="shared" si="9"/>
        <v>0</v>
      </c>
      <c r="N630" s="41"/>
      <c r="O630" s="10"/>
      <c r="P630" s="10">
        <f>Tabla3[[#This Row],[COSTO UNITARIO DOLARES EN HAWTHORNE]]*Tabla3[[#This Row],[CANTIDAD SOLICTADA]]</f>
        <v>0</v>
      </c>
      <c r="Q630" s="41"/>
      <c r="R630" s="229"/>
      <c r="S630" s="229">
        <f>+Tabla3[[#This Row],[COSTO UNITARIO DOLARES CTP]]*Tabla3[[#This Row],[CANTIDAD SOLICTADA]]</f>
        <v>0</v>
      </c>
      <c r="T630" s="41"/>
      <c r="U630" s="14" t="s">
        <v>4</v>
      </c>
      <c r="V630" s="17"/>
      <c r="W630" s="10"/>
      <c r="X630" s="11"/>
      <c r="Y630" s="10" t="s">
        <v>90</v>
      </c>
      <c r="Z630" s="16" t="s">
        <v>44</v>
      </c>
      <c r="AA630" s="25">
        <v>46202</v>
      </c>
      <c r="AB630" s="25">
        <v>46202</v>
      </c>
      <c r="AC630" s="16" t="s">
        <v>537</v>
      </c>
      <c r="AD630" s="16"/>
      <c r="AE630" s="16" t="s">
        <v>902</v>
      </c>
      <c r="AF630" s="16"/>
      <c r="AG630" s="21" t="s">
        <v>898</v>
      </c>
      <c r="XFD630" s="15" t="str">
        <f>+Tabla3[[#This Row],[ESTATUS DE NUM ECONOMICO]]</f>
        <v>ACTIVA</v>
      </c>
    </row>
    <row r="631" spans="1:33 16384:16384" ht="15.75" thickBot="1" x14ac:dyDescent="0.3">
      <c r="A631" s="8">
        <v>113</v>
      </c>
      <c r="B631" s="9">
        <v>46195</v>
      </c>
      <c r="C631" s="10" t="s">
        <v>87</v>
      </c>
      <c r="D631" s="11"/>
      <c r="E631" s="16">
        <v>21</v>
      </c>
      <c r="F631" s="9">
        <v>46195</v>
      </c>
      <c r="G631" s="212" t="str">
        <f>IFERROR(VLOOKUP(Tabla3[[#This Row],[NUM ECONOMICO]],MAQUINARIA!B:H,7,0), " MAQ")</f>
        <v>ACTIVA</v>
      </c>
      <c r="H631" s="214" t="s">
        <v>113</v>
      </c>
      <c r="I631" s="41" t="s">
        <v>444</v>
      </c>
      <c r="J631" s="10"/>
      <c r="K631" s="10">
        <v>1</v>
      </c>
      <c r="L631" s="12"/>
      <c r="M631" s="13">
        <f t="shared" si="9"/>
        <v>0</v>
      </c>
      <c r="N631" s="41"/>
      <c r="O631" s="10"/>
      <c r="P631" s="10">
        <f>Tabla3[[#This Row],[COSTO UNITARIO DOLARES EN HAWTHORNE]]*Tabla3[[#This Row],[CANTIDAD SOLICTADA]]</f>
        <v>0</v>
      </c>
      <c r="Q631" s="41"/>
      <c r="R631" s="229"/>
      <c r="S631" s="229">
        <f>+Tabla3[[#This Row],[COSTO UNITARIO DOLARES CTP]]*Tabla3[[#This Row],[CANTIDAD SOLICTADA]]</f>
        <v>0</v>
      </c>
      <c r="T631" s="41"/>
      <c r="U631" s="14" t="s">
        <v>4</v>
      </c>
      <c r="V631" s="17"/>
      <c r="W631" s="10"/>
      <c r="X631" s="11"/>
      <c r="Y631" s="10" t="s">
        <v>90</v>
      </c>
      <c r="Z631" s="16" t="s">
        <v>44</v>
      </c>
      <c r="AA631" s="25">
        <v>46202</v>
      </c>
      <c r="AB631" s="25">
        <v>46202</v>
      </c>
      <c r="AC631" s="16" t="s">
        <v>537</v>
      </c>
      <c r="AD631" s="16"/>
      <c r="AE631" s="16" t="s">
        <v>902</v>
      </c>
      <c r="AF631" s="16"/>
      <c r="AG631" s="21" t="s">
        <v>898</v>
      </c>
      <c r="XFD631" s="15" t="str">
        <f>+Tabla3[[#This Row],[ESTATUS DE NUM ECONOMICO]]</f>
        <v>ACTIVA</v>
      </c>
    </row>
    <row r="632" spans="1:33 16384:16384" ht="15.75" thickBot="1" x14ac:dyDescent="0.3">
      <c r="A632" s="8">
        <v>113</v>
      </c>
      <c r="B632" s="9">
        <v>46195</v>
      </c>
      <c r="C632" s="10" t="s">
        <v>87</v>
      </c>
      <c r="D632" s="11"/>
      <c r="E632" s="16">
        <v>21</v>
      </c>
      <c r="F632" s="9">
        <v>46195</v>
      </c>
      <c r="G632" s="212" t="str">
        <f>IFERROR(VLOOKUP(Tabla3[[#This Row],[NUM ECONOMICO]],MAQUINARIA!B:H,7,0), " MAQ")</f>
        <v>ACTIVA</v>
      </c>
      <c r="H632" s="214" t="s">
        <v>113</v>
      </c>
      <c r="I632" s="41" t="s">
        <v>456</v>
      </c>
      <c r="J632" s="10"/>
      <c r="K632" s="10">
        <v>1</v>
      </c>
      <c r="L632" s="12"/>
      <c r="M632" s="13">
        <f t="shared" si="9"/>
        <v>0</v>
      </c>
      <c r="N632" s="41"/>
      <c r="O632" s="10"/>
      <c r="P632" s="10">
        <f>Tabla3[[#This Row],[COSTO UNITARIO DOLARES EN HAWTHORNE]]*Tabla3[[#This Row],[CANTIDAD SOLICTADA]]</f>
        <v>0</v>
      </c>
      <c r="Q632" s="41"/>
      <c r="R632" s="229"/>
      <c r="S632" s="229">
        <f>+Tabla3[[#This Row],[COSTO UNITARIO DOLARES CTP]]*Tabla3[[#This Row],[CANTIDAD SOLICTADA]]</f>
        <v>0</v>
      </c>
      <c r="T632" s="41"/>
      <c r="U632" s="14" t="s">
        <v>4</v>
      </c>
      <c r="V632" s="17"/>
      <c r="W632" s="10"/>
      <c r="X632" s="11"/>
      <c r="Y632" s="10" t="s">
        <v>90</v>
      </c>
      <c r="Z632" s="16" t="s">
        <v>44</v>
      </c>
      <c r="AA632" s="25">
        <v>46202</v>
      </c>
      <c r="AB632" s="25">
        <v>46202</v>
      </c>
      <c r="AC632" s="16" t="s">
        <v>537</v>
      </c>
      <c r="AD632" s="16"/>
      <c r="AE632" s="16" t="s">
        <v>902</v>
      </c>
      <c r="AF632" s="16"/>
      <c r="AG632" s="21" t="s">
        <v>898</v>
      </c>
      <c r="XFD632" s="15" t="str">
        <f>+Tabla3[[#This Row],[ESTATUS DE NUM ECONOMICO]]</f>
        <v>ACTIVA</v>
      </c>
    </row>
    <row r="633" spans="1:33 16384:16384" ht="15.75" thickBot="1" x14ac:dyDescent="0.3">
      <c r="A633" s="8">
        <v>113</v>
      </c>
      <c r="B633" s="9">
        <v>46195</v>
      </c>
      <c r="C633" s="10" t="s">
        <v>87</v>
      </c>
      <c r="D633" s="11"/>
      <c r="E633" s="16">
        <v>21</v>
      </c>
      <c r="F633" s="9">
        <v>46195</v>
      </c>
      <c r="G633" s="212" t="str">
        <f>IFERROR(VLOOKUP(Tabla3[[#This Row],[NUM ECONOMICO]],MAQUINARIA!B:H,7,0), " MAQ")</f>
        <v>ACTIVA</v>
      </c>
      <c r="H633" s="214" t="s">
        <v>113</v>
      </c>
      <c r="I633" s="41" t="s">
        <v>447</v>
      </c>
      <c r="J633" s="10"/>
      <c r="K633" s="10">
        <v>1</v>
      </c>
      <c r="L633" s="12"/>
      <c r="M633" s="13">
        <f t="shared" si="9"/>
        <v>0</v>
      </c>
      <c r="N633" s="41"/>
      <c r="O633" s="10"/>
      <c r="P633" s="10">
        <f>Tabla3[[#This Row],[COSTO UNITARIO DOLARES EN HAWTHORNE]]*Tabla3[[#This Row],[CANTIDAD SOLICTADA]]</f>
        <v>0</v>
      </c>
      <c r="Q633" s="41"/>
      <c r="R633" s="229"/>
      <c r="S633" s="229">
        <f>+Tabla3[[#This Row],[COSTO UNITARIO DOLARES CTP]]*Tabla3[[#This Row],[CANTIDAD SOLICTADA]]</f>
        <v>0</v>
      </c>
      <c r="T633" s="41"/>
      <c r="U633" s="14" t="s">
        <v>4</v>
      </c>
      <c r="V633" s="17"/>
      <c r="W633" s="10"/>
      <c r="X633" s="11"/>
      <c r="Y633" s="10" t="s">
        <v>90</v>
      </c>
      <c r="Z633" s="16" t="s">
        <v>44</v>
      </c>
      <c r="AA633" s="25">
        <v>46202</v>
      </c>
      <c r="AB633" s="25">
        <v>46202</v>
      </c>
      <c r="AC633" s="16" t="s">
        <v>537</v>
      </c>
      <c r="AD633" s="16"/>
      <c r="AE633" s="16" t="s">
        <v>902</v>
      </c>
      <c r="AF633" s="16"/>
      <c r="AG633" s="21" t="s">
        <v>898</v>
      </c>
      <c r="XFD633" s="15" t="str">
        <f>+Tabla3[[#This Row],[ESTATUS DE NUM ECONOMICO]]</f>
        <v>ACTIVA</v>
      </c>
    </row>
    <row r="634" spans="1:33 16384:16384" ht="15.75" thickBot="1" x14ac:dyDescent="0.3">
      <c r="A634" s="8">
        <v>113</v>
      </c>
      <c r="B634" s="9">
        <v>46195</v>
      </c>
      <c r="C634" s="10" t="s">
        <v>87</v>
      </c>
      <c r="D634" s="11"/>
      <c r="E634" s="16">
        <v>21</v>
      </c>
      <c r="F634" s="9">
        <v>46195</v>
      </c>
      <c r="G634" s="212" t="str">
        <f>IFERROR(VLOOKUP(Tabla3[[#This Row],[NUM ECONOMICO]],MAQUINARIA!B:H,7,0), " MAQ")</f>
        <v>ACTIVA</v>
      </c>
      <c r="H634" s="214" t="s">
        <v>113</v>
      </c>
      <c r="I634" s="41" t="s">
        <v>446</v>
      </c>
      <c r="J634" s="10"/>
      <c r="K634" s="10">
        <v>1</v>
      </c>
      <c r="L634" s="12"/>
      <c r="M634" s="13">
        <f t="shared" si="9"/>
        <v>0</v>
      </c>
      <c r="N634" s="41"/>
      <c r="O634" s="10"/>
      <c r="P634" s="10">
        <f>Tabla3[[#This Row],[COSTO UNITARIO DOLARES EN HAWTHORNE]]*Tabla3[[#This Row],[CANTIDAD SOLICTADA]]</f>
        <v>0</v>
      </c>
      <c r="Q634" s="41"/>
      <c r="R634" s="229"/>
      <c r="S634" s="229">
        <f>+Tabla3[[#This Row],[COSTO UNITARIO DOLARES CTP]]*Tabla3[[#This Row],[CANTIDAD SOLICTADA]]</f>
        <v>0</v>
      </c>
      <c r="T634" s="41"/>
      <c r="U634" s="14" t="s">
        <v>4</v>
      </c>
      <c r="V634" s="17"/>
      <c r="W634" s="10"/>
      <c r="X634" s="11"/>
      <c r="Y634" s="10">
        <v>2</v>
      </c>
      <c r="Z634" s="16" t="s">
        <v>44</v>
      </c>
      <c r="AA634" s="25">
        <v>46202</v>
      </c>
      <c r="AB634" s="25">
        <v>46202</v>
      </c>
      <c r="AC634" s="16" t="s">
        <v>537</v>
      </c>
      <c r="AD634" s="16"/>
      <c r="AE634" s="16" t="s">
        <v>902</v>
      </c>
      <c r="AF634" s="16"/>
      <c r="AG634" s="21" t="s">
        <v>898</v>
      </c>
      <c r="XFD634" s="15" t="str">
        <f>+Tabla3[[#This Row],[ESTATUS DE NUM ECONOMICO]]</f>
        <v>ACTIVA</v>
      </c>
    </row>
    <row r="635" spans="1:33 16384:16384" ht="15.75" thickBot="1" x14ac:dyDescent="0.3">
      <c r="A635" s="8">
        <v>114</v>
      </c>
      <c r="B635" s="9">
        <v>46195</v>
      </c>
      <c r="C635" s="10" t="s">
        <v>87</v>
      </c>
      <c r="D635" s="11"/>
      <c r="E635" s="16">
        <v>23</v>
      </c>
      <c r="F635" s="9">
        <v>46195</v>
      </c>
      <c r="G635" s="212" t="str">
        <f>IFERROR(VLOOKUP(Tabla3[[#This Row],[NUM ECONOMICO]],MAQUINARIA!B:H,7,0), " MAQ")</f>
        <v>ACTIVA</v>
      </c>
      <c r="H635" s="214" t="s">
        <v>903</v>
      </c>
      <c r="I635" s="41" t="s">
        <v>441</v>
      </c>
      <c r="J635" s="10"/>
      <c r="K635" s="10">
        <v>3</v>
      </c>
      <c r="L635" s="12"/>
      <c r="M635" s="13">
        <f t="shared" si="9"/>
        <v>0</v>
      </c>
      <c r="N635" s="41"/>
      <c r="O635" s="10"/>
      <c r="P635" s="10">
        <f>Tabla3[[#This Row],[COSTO UNITARIO DOLARES EN HAWTHORNE]]*Tabla3[[#This Row],[CANTIDAD SOLICTADA]]</f>
        <v>0</v>
      </c>
      <c r="Q635" s="41"/>
      <c r="R635" s="229"/>
      <c r="S635" s="229">
        <f>+Tabla3[[#This Row],[COSTO UNITARIO DOLARES CTP]]*Tabla3[[#This Row],[CANTIDAD SOLICTADA]]</f>
        <v>0</v>
      </c>
      <c r="T635" s="41"/>
      <c r="U635" s="14" t="s">
        <v>4</v>
      </c>
      <c r="V635" s="17"/>
      <c r="W635" s="9">
        <v>46203</v>
      </c>
      <c r="X635" s="11"/>
      <c r="Y635" s="10" t="s">
        <v>90</v>
      </c>
      <c r="Z635" s="16"/>
      <c r="AA635" s="16"/>
      <c r="AB635" s="16"/>
      <c r="AC635" s="16" t="s">
        <v>537</v>
      </c>
      <c r="AD635" s="16"/>
      <c r="AE635" s="16" t="s">
        <v>897</v>
      </c>
      <c r="AF635" s="16"/>
      <c r="AG635" s="21" t="s">
        <v>898</v>
      </c>
      <c r="XFD635" s="15" t="str">
        <f>+Tabla3[[#This Row],[ESTATUS DE NUM ECONOMICO]]</f>
        <v>ACTIVA</v>
      </c>
    </row>
    <row r="636" spans="1:33 16384:16384" ht="15.75" thickBot="1" x14ac:dyDescent="0.3">
      <c r="A636" s="8">
        <v>114</v>
      </c>
      <c r="B636" s="9">
        <v>46195</v>
      </c>
      <c r="C636" s="10" t="s">
        <v>87</v>
      </c>
      <c r="D636" s="11"/>
      <c r="E636" s="16">
        <v>23</v>
      </c>
      <c r="F636" s="9">
        <v>46195</v>
      </c>
      <c r="G636" s="212" t="str">
        <f>IFERROR(VLOOKUP(Tabla3[[#This Row],[NUM ECONOMICO]],MAQUINARIA!B:H,7,0), " MAQ")</f>
        <v>ACTIVA</v>
      </c>
      <c r="H636" s="214" t="s">
        <v>903</v>
      </c>
      <c r="I636" s="41" t="s">
        <v>444</v>
      </c>
      <c r="J636" s="10"/>
      <c r="K636" s="10">
        <v>1</v>
      </c>
      <c r="L636" s="12"/>
      <c r="M636" s="13">
        <f t="shared" si="9"/>
        <v>0</v>
      </c>
      <c r="N636" s="41"/>
      <c r="O636" s="10"/>
      <c r="P636" s="10">
        <f>Tabla3[[#This Row],[COSTO UNITARIO DOLARES EN HAWTHORNE]]*Tabla3[[#This Row],[CANTIDAD SOLICTADA]]</f>
        <v>0</v>
      </c>
      <c r="Q636" s="41"/>
      <c r="R636" s="229"/>
      <c r="S636" s="229">
        <f>+Tabla3[[#This Row],[COSTO UNITARIO DOLARES CTP]]*Tabla3[[#This Row],[CANTIDAD SOLICTADA]]</f>
        <v>0</v>
      </c>
      <c r="T636" s="41"/>
      <c r="U636" s="14" t="s">
        <v>4</v>
      </c>
      <c r="V636" s="17"/>
      <c r="W636" s="9">
        <v>46203</v>
      </c>
      <c r="X636" s="11"/>
      <c r="Y636" s="10" t="s">
        <v>90</v>
      </c>
      <c r="Z636" s="16"/>
      <c r="AA636" s="16"/>
      <c r="AB636" s="16"/>
      <c r="AC636" s="16" t="s">
        <v>537</v>
      </c>
      <c r="AD636" s="16"/>
      <c r="AE636" s="16" t="s">
        <v>897</v>
      </c>
      <c r="AF636" s="16"/>
      <c r="AG636" s="21" t="s">
        <v>898</v>
      </c>
      <c r="XFD636" s="15" t="str">
        <f>+Tabla3[[#This Row],[ESTATUS DE NUM ECONOMICO]]</f>
        <v>ACTIVA</v>
      </c>
    </row>
    <row r="637" spans="1:33 16384:16384" ht="15.75" thickBot="1" x14ac:dyDescent="0.3">
      <c r="A637" s="8">
        <v>114</v>
      </c>
      <c r="B637" s="9">
        <v>46195</v>
      </c>
      <c r="C637" s="10" t="s">
        <v>87</v>
      </c>
      <c r="D637" s="11"/>
      <c r="E637" s="16">
        <v>23</v>
      </c>
      <c r="F637" s="9">
        <v>46195</v>
      </c>
      <c r="G637" s="212" t="str">
        <f>IFERROR(VLOOKUP(Tabla3[[#This Row],[NUM ECONOMICO]],MAQUINARIA!B:H,7,0), " MAQ")</f>
        <v>ACTIVA</v>
      </c>
      <c r="H637" s="214" t="s">
        <v>903</v>
      </c>
      <c r="I637" s="41" t="s">
        <v>456</v>
      </c>
      <c r="J637" s="10"/>
      <c r="K637" s="10">
        <v>1</v>
      </c>
      <c r="L637" s="12"/>
      <c r="M637" s="13">
        <f t="shared" si="9"/>
        <v>0</v>
      </c>
      <c r="N637" s="41"/>
      <c r="O637" s="10"/>
      <c r="P637" s="10">
        <f>Tabla3[[#This Row],[COSTO UNITARIO DOLARES EN HAWTHORNE]]*Tabla3[[#This Row],[CANTIDAD SOLICTADA]]</f>
        <v>0</v>
      </c>
      <c r="Q637" s="41"/>
      <c r="R637" s="229"/>
      <c r="S637" s="229">
        <f>+Tabla3[[#This Row],[COSTO UNITARIO DOLARES CTP]]*Tabla3[[#This Row],[CANTIDAD SOLICTADA]]</f>
        <v>0</v>
      </c>
      <c r="T637" s="41"/>
      <c r="U637" s="14" t="s">
        <v>4</v>
      </c>
      <c r="V637" s="17"/>
      <c r="W637" s="9">
        <v>46203</v>
      </c>
      <c r="X637" s="11"/>
      <c r="Y637" s="10" t="s">
        <v>90</v>
      </c>
      <c r="Z637" s="16"/>
      <c r="AA637" s="16"/>
      <c r="AB637" s="16"/>
      <c r="AC637" s="16" t="s">
        <v>537</v>
      </c>
      <c r="AD637" s="16"/>
      <c r="AE637" s="16" t="s">
        <v>897</v>
      </c>
      <c r="AF637" s="16"/>
      <c r="AG637" s="21" t="s">
        <v>898</v>
      </c>
      <c r="XFD637" s="15" t="str">
        <f>+Tabla3[[#This Row],[ESTATUS DE NUM ECONOMICO]]</f>
        <v>ACTIVA</v>
      </c>
    </row>
    <row r="638" spans="1:33 16384:16384" ht="15.75" thickBot="1" x14ac:dyDescent="0.3">
      <c r="A638" s="8">
        <v>114</v>
      </c>
      <c r="B638" s="9">
        <v>46195</v>
      </c>
      <c r="C638" s="10" t="s">
        <v>87</v>
      </c>
      <c r="D638" s="11"/>
      <c r="E638" s="16">
        <v>23</v>
      </c>
      <c r="F638" s="9">
        <v>46195</v>
      </c>
      <c r="G638" s="212" t="str">
        <f>IFERROR(VLOOKUP(Tabla3[[#This Row],[NUM ECONOMICO]],MAQUINARIA!B:H,7,0), " MAQ")</f>
        <v>ACTIVA</v>
      </c>
      <c r="H638" s="214" t="s">
        <v>903</v>
      </c>
      <c r="I638" s="41" t="s">
        <v>447</v>
      </c>
      <c r="J638" s="10"/>
      <c r="K638" s="10">
        <v>1</v>
      </c>
      <c r="L638" s="12"/>
      <c r="M638" s="13">
        <f t="shared" si="9"/>
        <v>0</v>
      </c>
      <c r="N638" s="41"/>
      <c r="O638" s="10"/>
      <c r="P638" s="10">
        <f>Tabla3[[#This Row],[COSTO UNITARIO DOLARES EN HAWTHORNE]]*Tabla3[[#This Row],[CANTIDAD SOLICTADA]]</f>
        <v>0</v>
      </c>
      <c r="Q638" s="41"/>
      <c r="R638" s="229"/>
      <c r="S638" s="229">
        <f>+Tabla3[[#This Row],[COSTO UNITARIO DOLARES CTP]]*Tabla3[[#This Row],[CANTIDAD SOLICTADA]]</f>
        <v>0</v>
      </c>
      <c r="T638" s="41"/>
      <c r="U638" s="14" t="s">
        <v>4</v>
      </c>
      <c r="V638" s="17"/>
      <c r="W638" s="9">
        <v>46203</v>
      </c>
      <c r="X638" s="11"/>
      <c r="Y638" s="10" t="s">
        <v>90</v>
      </c>
      <c r="Z638" s="16"/>
      <c r="AA638" s="16"/>
      <c r="AB638" s="16"/>
      <c r="AC638" s="16" t="s">
        <v>537</v>
      </c>
      <c r="AD638" s="16"/>
      <c r="AE638" s="16" t="s">
        <v>897</v>
      </c>
      <c r="AF638" s="16"/>
      <c r="AG638" s="21" t="s">
        <v>898</v>
      </c>
      <c r="XFD638" s="15" t="str">
        <f>+Tabla3[[#This Row],[ESTATUS DE NUM ECONOMICO]]</f>
        <v>ACTIVA</v>
      </c>
    </row>
    <row r="639" spans="1:33 16384:16384" ht="15.75" thickBot="1" x14ac:dyDescent="0.3">
      <c r="A639" s="8">
        <v>114</v>
      </c>
      <c r="B639" s="9">
        <v>46195</v>
      </c>
      <c r="C639" s="10" t="s">
        <v>87</v>
      </c>
      <c r="D639" s="11"/>
      <c r="E639" s="16">
        <v>23</v>
      </c>
      <c r="F639" s="9">
        <v>46195</v>
      </c>
      <c r="G639" s="212" t="str">
        <f>IFERROR(VLOOKUP(Tabla3[[#This Row],[NUM ECONOMICO]],MAQUINARIA!B:H,7,0), " MAQ")</f>
        <v>ACTIVA</v>
      </c>
      <c r="H639" s="214" t="s">
        <v>903</v>
      </c>
      <c r="I639" s="41" t="s">
        <v>446</v>
      </c>
      <c r="J639" s="10"/>
      <c r="K639" s="10">
        <v>1</v>
      </c>
      <c r="L639" s="12"/>
      <c r="M639" s="13">
        <f t="shared" si="9"/>
        <v>0</v>
      </c>
      <c r="N639" s="41"/>
      <c r="O639" s="10"/>
      <c r="P639" s="10">
        <f>Tabla3[[#This Row],[COSTO UNITARIO DOLARES EN HAWTHORNE]]*Tabla3[[#This Row],[CANTIDAD SOLICTADA]]</f>
        <v>0</v>
      </c>
      <c r="Q639" s="41"/>
      <c r="R639" s="229"/>
      <c r="S639" s="229">
        <f>+Tabla3[[#This Row],[COSTO UNITARIO DOLARES CTP]]*Tabla3[[#This Row],[CANTIDAD SOLICTADA]]</f>
        <v>0</v>
      </c>
      <c r="T639" s="41"/>
      <c r="U639" s="14" t="s">
        <v>4</v>
      </c>
      <c r="V639" s="17"/>
      <c r="W639" s="9">
        <v>46203</v>
      </c>
      <c r="X639" s="11"/>
      <c r="Y639" s="10">
        <v>2</v>
      </c>
      <c r="Z639" s="16"/>
      <c r="AA639" s="16"/>
      <c r="AB639" s="16"/>
      <c r="AC639" s="16" t="s">
        <v>537</v>
      </c>
      <c r="AD639" s="16"/>
      <c r="AE639" s="16" t="s">
        <v>897</v>
      </c>
      <c r="AF639" s="16"/>
      <c r="AG639" s="21" t="s">
        <v>898</v>
      </c>
      <c r="XFD639" s="15" t="str">
        <f>+Tabla3[[#This Row],[ESTATUS DE NUM ECONOMICO]]</f>
        <v>ACTIVA</v>
      </c>
    </row>
    <row r="640" spans="1:33 16384:16384" ht="15.75" thickBot="1" x14ac:dyDescent="0.3">
      <c r="A640" s="8">
        <v>115</v>
      </c>
      <c r="B640" s="9">
        <v>46195</v>
      </c>
      <c r="C640" s="10" t="s">
        <v>87</v>
      </c>
      <c r="D640" s="11"/>
      <c r="E640" s="16">
        <v>24</v>
      </c>
      <c r="F640" s="9">
        <v>46195</v>
      </c>
      <c r="G640" s="212" t="str">
        <f>IFERROR(VLOOKUP(Tabla3[[#This Row],[NUM ECONOMICO]],MAQUINARIA!B:H,7,0), " MAQ")</f>
        <v>INACTIVA</v>
      </c>
      <c r="H640" s="214" t="s">
        <v>141</v>
      </c>
      <c r="I640" s="41" t="s">
        <v>445</v>
      </c>
      <c r="J640" s="10"/>
      <c r="K640" s="10">
        <v>1</v>
      </c>
      <c r="L640" s="12"/>
      <c r="M640" s="13">
        <f t="shared" si="9"/>
        <v>0</v>
      </c>
      <c r="N640" s="41"/>
      <c r="O640" s="10"/>
      <c r="P640" s="10">
        <f>Tabla3[[#This Row],[COSTO UNITARIO DOLARES EN HAWTHORNE]]*Tabla3[[#This Row],[CANTIDAD SOLICTADA]]</f>
        <v>0</v>
      </c>
      <c r="Q640" s="41"/>
      <c r="R640" s="229"/>
      <c r="S640" s="229">
        <f>+Tabla3[[#This Row],[COSTO UNITARIO DOLARES CTP]]*Tabla3[[#This Row],[CANTIDAD SOLICTADA]]</f>
        <v>0</v>
      </c>
      <c r="T640" s="41"/>
      <c r="U640" s="14" t="s">
        <v>4</v>
      </c>
      <c r="V640" s="17"/>
      <c r="W640" s="9">
        <v>46203</v>
      </c>
      <c r="X640" s="11"/>
      <c r="Y640" s="10" t="s">
        <v>90</v>
      </c>
      <c r="Z640" s="16"/>
      <c r="AA640" s="16"/>
      <c r="AB640" s="16"/>
      <c r="AC640" s="16" t="s">
        <v>537</v>
      </c>
      <c r="AD640" s="16"/>
      <c r="AE640" s="16" t="s">
        <v>897</v>
      </c>
      <c r="AF640" s="16"/>
      <c r="AG640" s="21" t="s">
        <v>898</v>
      </c>
      <c r="XFD640" s="15" t="str">
        <f>+Tabla3[[#This Row],[ESTATUS DE NUM ECONOMICO]]</f>
        <v>INACTIVA</v>
      </c>
    </row>
    <row r="641" spans="1:33 16384:16384" ht="15.75" thickBot="1" x14ac:dyDescent="0.3">
      <c r="A641" s="8">
        <v>115</v>
      </c>
      <c r="B641" s="9">
        <v>46195</v>
      </c>
      <c r="C641" s="10" t="s">
        <v>87</v>
      </c>
      <c r="D641" s="11"/>
      <c r="E641" s="16">
        <v>24</v>
      </c>
      <c r="F641" s="9">
        <v>46195</v>
      </c>
      <c r="G641" s="212" t="str">
        <f>IFERROR(VLOOKUP(Tabla3[[#This Row],[NUM ECONOMICO]],MAQUINARIA!B:H,7,0), " MAQ")</f>
        <v>INACTIVA</v>
      </c>
      <c r="H641" s="214" t="s">
        <v>141</v>
      </c>
      <c r="I641" s="41">
        <v>5134490</v>
      </c>
      <c r="J641" s="10"/>
      <c r="K641" s="10">
        <v>1</v>
      </c>
      <c r="L641" s="12"/>
      <c r="M641" s="13">
        <f t="shared" ref="M641:M705" si="10">+L641*K641</f>
        <v>0</v>
      </c>
      <c r="N641" s="41"/>
      <c r="O641" s="10"/>
      <c r="P641" s="10">
        <f>Tabla3[[#This Row],[COSTO UNITARIO DOLARES EN HAWTHORNE]]*Tabla3[[#This Row],[CANTIDAD SOLICTADA]]</f>
        <v>0</v>
      </c>
      <c r="Q641" s="41"/>
      <c r="R641" s="229"/>
      <c r="S641" s="229">
        <f>+Tabla3[[#This Row],[COSTO UNITARIO DOLARES CTP]]*Tabla3[[#This Row],[CANTIDAD SOLICTADA]]</f>
        <v>0</v>
      </c>
      <c r="T641" s="41"/>
      <c r="U641" s="14" t="s">
        <v>4</v>
      </c>
      <c r="V641" s="17"/>
      <c r="W641" s="9">
        <v>46203</v>
      </c>
      <c r="X641" s="11"/>
      <c r="Y641" s="10" t="s">
        <v>90</v>
      </c>
      <c r="Z641" s="16"/>
      <c r="AA641" s="16"/>
      <c r="AB641" s="16"/>
      <c r="AC641" s="16" t="s">
        <v>537</v>
      </c>
      <c r="AD641" s="16"/>
      <c r="AE641" s="16" t="s">
        <v>897</v>
      </c>
      <c r="AF641" s="16"/>
      <c r="AG641" s="21" t="s">
        <v>898</v>
      </c>
      <c r="XFD641" s="15" t="str">
        <f>+Tabla3[[#This Row],[ESTATUS DE NUM ECONOMICO]]</f>
        <v>INACTIVA</v>
      </c>
    </row>
    <row r="642" spans="1:33 16384:16384" ht="15.75" thickBot="1" x14ac:dyDescent="0.3">
      <c r="A642" s="8">
        <v>115</v>
      </c>
      <c r="B642" s="9">
        <v>46195</v>
      </c>
      <c r="C642" s="10" t="s">
        <v>87</v>
      </c>
      <c r="D642" s="11"/>
      <c r="E642" s="16">
        <v>24</v>
      </c>
      <c r="F642" s="9">
        <v>46195</v>
      </c>
      <c r="G642" s="212" t="str">
        <f>IFERROR(VLOOKUP(Tabla3[[#This Row],[NUM ECONOMICO]],MAQUINARIA!B:H,7,0), " MAQ")</f>
        <v>INACTIVA</v>
      </c>
      <c r="H642" s="214" t="s">
        <v>141</v>
      </c>
      <c r="I642" s="41" t="s">
        <v>447</v>
      </c>
      <c r="J642" s="10"/>
      <c r="K642" s="10">
        <v>1</v>
      </c>
      <c r="L642" s="12"/>
      <c r="M642" s="13">
        <f t="shared" si="10"/>
        <v>0</v>
      </c>
      <c r="N642" s="41"/>
      <c r="O642" s="10"/>
      <c r="P642" s="10">
        <f>Tabla3[[#This Row],[COSTO UNITARIO DOLARES EN HAWTHORNE]]*Tabla3[[#This Row],[CANTIDAD SOLICTADA]]</f>
        <v>0</v>
      </c>
      <c r="Q642" s="41"/>
      <c r="R642" s="229"/>
      <c r="S642" s="229">
        <f>+Tabla3[[#This Row],[COSTO UNITARIO DOLARES CTP]]*Tabla3[[#This Row],[CANTIDAD SOLICTADA]]</f>
        <v>0</v>
      </c>
      <c r="T642" s="41"/>
      <c r="U642" s="14" t="s">
        <v>4</v>
      </c>
      <c r="V642" s="17"/>
      <c r="W642" s="9">
        <v>46203</v>
      </c>
      <c r="X642" s="11"/>
      <c r="Y642" s="10" t="s">
        <v>90</v>
      </c>
      <c r="Z642" s="16"/>
      <c r="AA642" s="16"/>
      <c r="AB642" s="16"/>
      <c r="AC642" s="16" t="s">
        <v>537</v>
      </c>
      <c r="AD642" s="16"/>
      <c r="AE642" s="16" t="s">
        <v>897</v>
      </c>
      <c r="AF642" s="16"/>
      <c r="AG642" s="21" t="s">
        <v>898</v>
      </c>
      <c r="XFD642" s="15" t="str">
        <f>+Tabla3[[#This Row],[ESTATUS DE NUM ECONOMICO]]</f>
        <v>INACTIVA</v>
      </c>
    </row>
    <row r="643" spans="1:33 16384:16384" ht="15.75" thickBot="1" x14ac:dyDescent="0.3">
      <c r="A643" s="8">
        <v>115</v>
      </c>
      <c r="B643" s="9">
        <v>46195</v>
      </c>
      <c r="C643" s="10" t="s">
        <v>87</v>
      </c>
      <c r="D643" s="11"/>
      <c r="E643" s="16">
        <v>24</v>
      </c>
      <c r="F643" s="9">
        <v>46195</v>
      </c>
      <c r="G643" s="212" t="str">
        <f>IFERROR(VLOOKUP(Tabla3[[#This Row],[NUM ECONOMICO]],MAQUINARIA!B:H,7,0), " MAQ")</f>
        <v>INACTIVA</v>
      </c>
      <c r="H643" s="214" t="s">
        <v>141</v>
      </c>
      <c r="I643" s="41" t="s">
        <v>446</v>
      </c>
      <c r="J643" s="10"/>
      <c r="K643" s="10">
        <v>1</v>
      </c>
      <c r="L643" s="12"/>
      <c r="M643" s="13">
        <f t="shared" si="10"/>
        <v>0</v>
      </c>
      <c r="N643" s="41"/>
      <c r="O643" s="10"/>
      <c r="P643" s="10">
        <f>Tabla3[[#This Row],[COSTO UNITARIO DOLARES EN HAWTHORNE]]*Tabla3[[#This Row],[CANTIDAD SOLICTADA]]</f>
        <v>0</v>
      </c>
      <c r="Q643" s="41"/>
      <c r="R643" s="229"/>
      <c r="S643" s="229">
        <f>+Tabla3[[#This Row],[COSTO UNITARIO DOLARES CTP]]*Tabla3[[#This Row],[CANTIDAD SOLICTADA]]</f>
        <v>0</v>
      </c>
      <c r="T643" s="41"/>
      <c r="U643" s="14" t="s">
        <v>4</v>
      </c>
      <c r="V643" s="17"/>
      <c r="W643" s="9">
        <v>46203</v>
      </c>
      <c r="X643" s="11"/>
      <c r="Y643" s="10">
        <v>2</v>
      </c>
      <c r="Z643" s="16"/>
      <c r="AA643" s="16"/>
      <c r="AB643" s="16"/>
      <c r="AC643" s="16" t="s">
        <v>537</v>
      </c>
      <c r="AD643" s="16"/>
      <c r="AE643" s="16" t="s">
        <v>897</v>
      </c>
      <c r="AF643" s="16"/>
      <c r="AG643" s="21" t="s">
        <v>898</v>
      </c>
      <c r="XFD643" s="15" t="str">
        <f>+Tabla3[[#This Row],[ESTATUS DE NUM ECONOMICO]]</f>
        <v>INACTIVA</v>
      </c>
    </row>
    <row r="644" spans="1:33 16384:16384" ht="15.75" thickBot="1" x14ac:dyDescent="0.3">
      <c r="A644" s="8">
        <v>115</v>
      </c>
      <c r="B644" s="9">
        <v>46195</v>
      </c>
      <c r="C644" s="10" t="s">
        <v>87</v>
      </c>
      <c r="D644" s="11"/>
      <c r="E644" s="16">
        <v>24</v>
      </c>
      <c r="F644" s="9">
        <v>46195</v>
      </c>
      <c r="G644" s="212" t="str">
        <f>IFERROR(VLOOKUP(Tabla3[[#This Row],[NUM ECONOMICO]],MAQUINARIA!B:H,7,0), " MAQ")</f>
        <v>INACTIVA</v>
      </c>
      <c r="H644" s="214" t="s">
        <v>141</v>
      </c>
      <c r="I644" s="41">
        <v>1261814</v>
      </c>
      <c r="J644" s="10"/>
      <c r="K644" s="10">
        <v>1</v>
      </c>
      <c r="L644" s="12"/>
      <c r="M644" s="13">
        <f t="shared" si="10"/>
        <v>0</v>
      </c>
      <c r="N644" s="41"/>
      <c r="O644" s="10"/>
      <c r="P644" s="10">
        <f>Tabla3[[#This Row],[COSTO UNITARIO DOLARES EN HAWTHORNE]]*Tabla3[[#This Row],[CANTIDAD SOLICTADA]]</f>
        <v>0</v>
      </c>
      <c r="Q644" s="41"/>
      <c r="R644" s="229"/>
      <c r="S644" s="229">
        <f>+Tabla3[[#This Row],[COSTO UNITARIO DOLARES CTP]]*Tabla3[[#This Row],[CANTIDAD SOLICTADA]]</f>
        <v>0</v>
      </c>
      <c r="T644" s="41"/>
      <c r="U644" s="14" t="s">
        <v>4</v>
      </c>
      <c r="V644" s="17"/>
      <c r="W644" s="9">
        <v>46203</v>
      </c>
      <c r="X644" s="11"/>
      <c r="Y644" s="10" t="s">
        <v>90</v>
      </c>
      <c r="Z644" s="16"/>
      <c r="AA644" s="16"/>
      <c r="AB644" s="16"/>
      <c r="AC644" s="16" t="s">
        <v>537</v>
      </c>
      <c r="AD644" s="16"/>
      <c r="AE644" s="16" t="s">
        <v>897</v>
      </c>
      <c r="AF644" s="16"/>
      <c r="AG644" s="21" t="s">
        <v>898</v>
      </c>
      <c r="XFD644" s="15" t="str">
        <f>+Tabla3[[#This Row],[ESTATUS DE NUM ECONOMICO]]</f>
        <v>INACTIVA</v>
      </c>
    </row>
    <row r="645" spans="1:33 16384:16384" ht="15.75" thickBot="1" x14ac:dyDescent="0.3">
      <c r="A645" s="8">
        <v>115</v>
      </c>
      <c r="B645" s="9">
        <v>46195</v>
      </c>
      <c r="C645" s="10" t="s">
        <v>87</v>
      </c>
      <c r="D645" s="11"/>
      <c r="E645" s="16">
        <v>24</v>
      </c>
      <c r="F645" s="9">
        <v>46195</v>
      </c>
      <c r="G645" s="212" t="str">
        <f>IFERROR(VLOOKUP(Tabla3[[#This Row],[NUM ECONOMICO]],MAQUINARIA!B:H,7,0), " MAQ")</f>
        <v>INACTIVA</v>
      </c>
      <c r="H645" s="214" t="s">
        <v>141</v>
      </c>
      <c r="I645" s="41" t="s">
        <v>451</v>
      </c>
      <c r="J645" s="10"/>
      <c r="K645" s="10">
        <v>1</v>
      </c>
      <c r="L645" s="12"/>
      <c r="M645" s="13">
        <f t="shared" si="10"/>
        <v>0</v>
      </c>
      <c r="N645" s="41"/>
      <c r="O645" s="10"/>
      <c r="P645" s="10">
        <f>Tabla3[[#This Row],[COSTO UNITARIO DOLARES EN HAWTHORNE]]*Tabla3[[#This Row],[CANTIDAD SOLICTADA]]</f>
        <v>0</v>
      </c>
      <c r="Q645" s="43"/>
      <c r="R645" s="230"/>
      <c r="S645" s="230">
        <f>+Tabla3[[#This Row],[COSTO UNITARIO DOLARES CTP]]*Tabla3[[#This Row],[CANTIDAD SOLICTADA]]</f>
        <v>0</v>
      </c>
      <c r="T645" s="43"/>
      <c r="U645" s="26" t="s">
        <v>4</v>
      </c>
      <c r="V645" s="17"/>
      <c r="W645" s="9">
        <v>46203</v>
      </c>
      <c r="X645" s="11"/>
      <c r="Y645" s="10" t="s">
        <v>90</v>
      </c>
      <c r="Z645" s="16"/>
      <c r="AA645" s="16"/>
      <c r="AB645" s="16"/>
      <c r="AC645" s="16" t="s">
        <v>537</v>
      </c>
      <c r="AD645" s="16"/>
      <c r="AE645" s="16" t="s">
        <v>897</v>
      </c>
      <c r="AF645" s="16"/>
      <c r="AG645" s="21" t="s">
        <v>898</v>
      </c>
      <c r="XFD645" s="15" t="str">
        <f>+Tabla3[[#This Row],[ESTATUS DE NUM ECONOMICO]]</f>
        <v>INACTIVA</v>
      </c>
    </row>
    <row r="646" spans="1:33 16384:16384" ht="15.75" thickBot="1" x14ac:dyDescent="0.3">
      <c r="A646" s="8">
        <v>116</v>
      </c>
      <c r="B646" s="9">
        <v>46195</v>
      </c>
      <c r="C646" s="10" t="s">
        <v>87</v>
      </c>
      <c r="D646" s="11"/>
      <c r="E646" s="16">
        <v>28</v>
      </c>
      <c r="F646" s="9">
        <v>46195</v>
      </c>
      <c r="G646" s="212" t="str">
        <f>IFERROR(VLOOKUP(Tabla3[[#This Row],[NUM ECONOMICO]],MAQUINARIA!B:H,7,0), " MAQ")</f>
        <v>INACTIVA</v>
      </c>
      <c r="H646" s="214" t="s">
        <v>752</v>
      </c>
      <c r="I646" s="41">
        <v>3261644</v>
      </c>
      <c r="J646" s="10"/>
      <c r="K646" s="10">
        <v>1</v>
      </c>
      <c r="L646" s="13">
        <v>954.54</v>
      </c>
      <c r="M646" s="13">
        <f t="shared" si="10"/>
        <v>954.54</v>
      </c>
      <c r="N646" s="41"/>
      <c r="O646" s="10"/>
      <c r="P646" s="10">
        <f>Tabla3[[#This Row],[COSTO UNITARIO DOLARES EN HAWTHORNE]]*Tabla3[[#This Row],[CANTIDAD SOLICTADA]]</f>
        <v>0</v>
      </c>
      <c r="Q646" s="208"/>
      <c r="R646" s="231"/>
      <c r="S646" s="231">
        <f>+Tabla3[[#This Row],[COSTO UNITARIO DOLARES CTP]]*Tabla3[[#This Row],[CANTIDAD SOLICTADA]]</f>
        <v>0</v>
      </c>
      <c r="T646" s="208"/>
      <c r="U646" s="24" t="s">
        <v>4</v>
      </c>
      <c r="V646" s="8" t="s">
        <v>904</v>
      </c>
      <c r="W646" s="29">
        <v>46205</v>
      </c>
      <c r="X646" s="16" t="s">
        <v>96</v>
      </c>
      <c r="Y646" s="10" t="s">
        <v>90</v>
      </c>
      <c r="Z646" s="16" t="s">
        <v>44</v>
      </c>
      <c r="AA646" s="30"/>
      <c r="AB646" s="30"/>
      <c r="AC646" s="16" t="s">
        <v>91</v>
      </c>
      <c r="AD646" s="16"/>
      <c r="AE646" s="16" t="s">
        <v>407</v>
      </c>
      <c r="AF646" s="16" t="s">
        <v>905</v>
      </c>
      <c r="AG646" s="21" t="s">
        <v>898</v>
      </c>
      <c r="XFD646" s="15" t="str">
        <f>+Tabla3[[#This Row],[ESTATUS DE NUM ECONOMICO]]</f>
        <v>INACTIVA</v>
      </c>
    </row>
    <row r="647" spans="1:33 16384:16384" ht="15.75" thickBot="1" x14ac:dyDescent="0.3">
      <c r="A647" s="8">
        <v>116</v>
      </c>
      <c r="B647" s="9">
        <v>46195</v>
      </c>
      <c r="C647" s="10" t="s">
        <v>87</v>
      </c>
      <c r="D647" s="11"/>
      <c r="E647" s="16">
        <v>28</v>
      </c>
      <c r="F647" s="9">
        <v>46195</v>
      </c>
      <c r="G647" s="212" t="str">
        <f>IFERROR(VLOOKUP(Tabla3[[#This Row],[NUM ECONOMICO]],MAQUINARIA!B:H,7,0), " MAQ")</f>
        <v>INACTIVA</v>
      </c>
      <c r="H647" s="214" t="s">
        <v>752</v>
      </c>
      <c r="I647" s="41" t="s">
        <v>906</v>
      </c>
      <c r="J647" s="10"/>
      <c r="K647" s="10">
        <v>1</v>
      </c>
      <c r="L647" s="13">
        <v>1313.1</v>
      </c>
      <c r="M647" s="13">
        <f t="shared" si="10"/>
        <v>1313.1</v>
      </c>
      <c r="N647" s="41"/>
      <c r="O647" s="10"/>
      <c r="P647" s="10">
        <f>Tabla3[[#This Row],[COSTO UNITARIO DOLARES EN HAWTHORNE]]*Tabla3[[#This Row],[CANTIDAD SOLICTADA]]</f>
        <v>0</v>
      </c>
      <c r="Q647" s="208"/>
      <c r="R647" s="231"/>
      <c r="S647" s="231">
        <f>+Tabla3[[#This Row],[COSTO UNITARIO DOLARES CTP]]*Tabla3[[#This Row],[CANTIDAD SOLICTADA]]</f>
        <v>0</v>
      </c>
      <c r="T647" s="208"/>
      <c r="U647" s="24" t="s">
        <v>8</v>
      </c>
      <c r="V647" s="8" t="s">
        <v>904</v>
      </c>
      <c r="W647" s="29"/>
      <c r="X647" s="16"/>
      <c r="Y647" s="10" t="s">
        <v>90</v>
      </c>
      <c r="Z647" s="16"/>
      <c r="AA647" s="30"/>
      <c r="AB647" s="30"/>
      <c r="AC647" s="16"/>
      <c r="AD647" s="16"/>
      <c r="AE647" s="16" t="s">
        <v>897</v>
      </c>
      <c r="AF647" s="16" t="s">
        <v>905</v>
      </c>
      <c r="AG647" s="21" t="s">
        <v>898</v>
      </c>
      <c r="XFD647" s="15" t="str">
        <f>+Tabla3[[#This Row],[ESTATUS DE NUM ECONOMICO]]</f>
        <v>INACTIVA</v>
      </c>
    </row>
    <row r="648" spans="1:33 16384:16384" ht="15.75" thickBot="1" x14ac:dyDescent="0.3">
      <c r="A648" s="8">
        <v>116</v>
      </c>
      <c r="B648" s="9">
        <v>46195</v>
      </c>
      <c r="C648" s="10" t="s">
        <v>87</v>
      </c>
      <c r="D648" s="11"/>
      <c r="E648" s="16">
        <v>28</v>
      </c>
      <c r="F648" s="9">
        <v>46195</v>
      </c>
      <c r="G648" s="212" t="str">
        <f>IFERROR(VLOOKUP(Tabla3[[#This Row],[NUM ECONOMICO]],MAQUINARIA!B:H,7,0), " MAQ")</f>
        <v>INACTIVA</v>
      </c>
      <c r="H648" s="214" t="s">
        <v>752</v>
      </c>
      <c r="I648" s="41" t="s">
        <v>907</v>
      </c>
      <c r="J648" s="10"/>
      <c r="K648" s="10">
        <v>1</v>
      </c>
      <c r="L648" s="13">
        <v>1712.02</v>
      </c>
      <c r="M648" s="13">
        <f t="shared" si="10"/>
        <v>1712.02</v>
      </c>
      <c r="N648" s="41"/>
      <c r="O648" s="10"/>
      <c r="P648" s="10">
        <f>Tabla3[[#This Row],[COSTO UNITARIO DOLARES EN HAWTHORNE]]*Tabla3[[#This Row],[CANTIDAD SOLICTADA]]</f>
        <v>0</v>
      </c>
      <c r="Q648" s="208"/>
      <c r="R648" s="231"/>
      <c r="S648" s="231">
        <f>+Tabla3[[#This Row],[COSTO UNITARIO DOLARES CTP]]*Tabla3[[#This Row],[CANTIDAD SOLICTADA]]</f>
        <v>0</v>
      </c>
      <c r="T648" s="208"/>
      <c r="U648" s="24" t="s">
        <v>8</v>
      </c>
      <c r="V648" s="8" t="s">
        <v>904</v>
      </c>
      <c r="W648" s="29"/>
      <c r="X648" s="16"/>
      <c r="Y648" s="10" t="s">
        <v>90</v>
      </c>
      <c r="Z648" s="16"/>
      <c r="AA648" s="30"/>
      <c r="AB648" s="30"/>
      <c r="AC648" s="16"/>
      <c r="AD648" s="16"/>
      <c r="AE648" s="16" t="s">
        <v>897</v>
      </c>
      <c r="AF648" s="16" t="s">
        <v>905</v>
      </c>
      <c r="AG648" s="21" t="s">
        <v>898</v>
      </c>
      <c r="XFD648" s="15" t="str">
        <f>+Tabla3[[#This Row],[ESTATUS DE NUM ECONOMICO]]</f>
        <v>INACTIVA</v>
      </c>
    </row>
    <row r="649" spans="1:33 16384:16384" ht="15.75" thickBot="1" x14ac:dyDescent="0.3">
      <c r="A649" s="8">
        <v>116</v>
      </c>
      <c r="B649" s="9">
        <v>46195</v>
      </c>
      <c r="C649" s="10" t="s">
        <v>87</v>
      </c>
      <c r="D649" s="11"/>
      <c r="E649" s="16">
        <v>28</v>
      </c>
      <c r="F649" s="9">
        <v>46195</v>
      </c>
      <c r="G649" s="212" t="str">
        <f>IFERROR(VLOOKUP(Tabla3[[#This Row],[NUM ECONOMICO]],MAQUINARIA!B:H,7,0), " MAQ")</f>
        <v>INACTIVA</v>
      </c>
      <c r="H649" s="214" t="s">
        <v>752</v>
      </c>
      <c r="I649" s="41" t="s">
        <v>908</v>
      </c>
      <c r="J649" s="10"/>
      <c r="K649" s="10">
        <v>1</v>
      </c>
      <c r="L649" s="13">
        <v>696.6</v>
      </c>
      <c r="M649" s="13">
        <f t="shared" si="10"/>
        <v>696.6</v>
      </c>
      <c r="N649" s="41"/>
      <c r="O649" s="10"/>
      <c r="P649" s="10">
        <f>Tabla3[[#This Row],[COSTO UNITARIO DOLARES EN HAWTHORNE]]*Tabla3[[#This Row],[CANTIDAD SOLICTADA]]</f>
        <v>0</v>
      </c>
      <c r="Q649" s="208"/>
      <c r="R649" s="231"/>
      <c r="S649" s="231">
        <f>+Tabla3[[#This Row],[COSTO UNITARIO DOLARES CTP]]*Tabla3[[#This Row],[CANTIDAD SOLICTADA]]</f>
        <v>0</v>
      </c>
      <c r="T649" s="208"/>
      <c r="U649" s="24" t="s">
        <v>4</v>
      </c>
      <c r="V649" s="8" t="s">
        <v>904</v>
      </c>
      <c r="W649" s="29">
        <v>46205</v>
      </c>
      <c r="X649" s="16" t="s">
        <v>96</v>
      </c>
      <c r="Y649" s="10" t="s">
        <v>90</v>
      </c>
      <c r="Z649" s="16" t="s">
        <v>44</v>
      </c>
      <c r="AA649" s="30">
        <v>46204</v>
      </c>
      <c r="AB649" s="30">
        <v>46205</v>
      </c>
      <c r="AC649" s="16" t="s">
        <v>91</v>
      </c>
      <c r="AD649" s="16"/>
      <c r="AE649" s="16" t="s">
        <v>407</v>
      </c>
      <c r="AF649" s="16" t="s">
        <v>905</v>
      </c>
      <c r="AG649" s="21" t="s">
        <v>898</v>
      </c>
      <c r="XFD649" s="15" t="str">
        <f>+Tabla3[[#This Row],[ESTATUS DE NUM ECONOMICO]]</f>
        <v>INACTIVA</v>
      </c>
    </row>
    <row r="650" spans="1:33 16384:16384" ht="15.75" thickBot="1" x14ac:dyDescent="0.3">
      <c r="A650" s="8">
        <v>117</v>
      </c>
      <c r="B650" s="9">
        <v>46195</v>
      </c>
      <c r="C650" s="10" t="s">
        <v>87</v>
      </c>
      <c r="D650" s="10">
        <v>1164</v>
      </c>
      <c r="E650" s="16">
        <v>28</v>
      </c>
      <c r="F650" s="9">
        <v>46195</v>
      </c>
      <c r="G650" s="212" t="str">
        <f>IFERROR(VLOOKUP(Tabla3[[#This Row],[NUM ECONOMICO]],MAQUINARIA!B:H,7,0), " MAQ")</f>
        <v>ACTIVA</v>
      </c>
      <c r="H650" s="214" t="s">
        <v>196</v>
      </c>
      <c r="I650" s="41" t="s">
        <v>445</v>
      </c>
      <c r="J650" s="10"/>
      <c r="K650" s="10">
        <v>1</v>
      </c>
      <c r="L650" s="12"/>
      <c r="M650" s="13">
        <f t="shared" si="10"/>
        <v>0</v>
      </c>
      <c r="N650" s="41"/>
      <c r="O650" s="10"/>
      <c r="P650" s="10">
        <f>Tabla3[[#This Row],[COSTO UNITARIO DOLARES EN HAWTHORNE]]*Tabla3[[#This Row],[CANTIDAD SOLICTADA]]</f>
        <v>0</v>
      </c>
      <c r="Q650" s="41"/>
      <c r="R650" s="229"/>
      <c r="S650" s="229">
        <f>+Tabla3[[#This Row],[COSTO UNITARIO DOLARES CTP]]*Tabla3[[#This Row],[CANTIDAD SOLICTADA]]</f>
        <v>0</v>
      </c>
      <c r="T650" s="41"/>
      <c r="U650" s="14" t="s">
        <v>4</v>
      </c>
      <c r="V650" s="17"/>
      <c r="W650" s="25">
        <v>46203</v>
      </c>
      <c r="X650" s="11"/>
      <c r="Y650" s="10" t="s">
        <v>90</v>
      </c>
      <c r="Z650" s="16" t="s">
        <v>44</v>
      </c>
      <c r="AA650" s="205">
        <v>46202</v>
      </c>
      <c r="AB650" s="205">
        <v>46202</v>
      </c>
      <c r="AC650" s="16" t="s">
        <v>537</v>
      </c>
      <c r="AD650" s="16"/>
      <c r="AE650" s="16" t="s">
        <v>861</v>
      </c>
      <c r="AF650" s="16"/>
      <c r="AG650" s="21" t="s">
        <v>898</v>
      </c>
      <c r="XFD650" s="15" t="str">
        <f>+Tabla3[[#This Row],[ESTATUS DE NUM ECONOMICO]]</f>
        <v>ACTIVA</v>
      </c>
    </row>
    <row r="651" spans="1:33 16384:16384" ht="15.75" thickBot="1" x14ac:dyDescent="0.3">
      <c r="A651" s="8">
        <v>117</v>
      </c>
      <c r="B651" s="9">
        <v>46195</v>
      </c>
      <c r="C651" s="10" t="s">
        <v>87</v>
      </c>
      <c r="D651" s="10">
        <v>1164</v>
      </c>
      <c r="E651" s="16">
        <v>28</v>
      </c>
      <c r="F651" s="9">
        <v>46195</v>
      </c>
      <c r="G651" s="212" t="str">
        <f>IFERROR(VLOOKUP(Tabla3[[#This Row],[NUM ECONOMICO]],MAQUINARIA!B:H,7,0), " MAQ")</f>
        <v>ACTIVA</v>
      </c>
      <c r="H651" s="214" t="s">
        <v>196</v>
      </c>
      <c r="I651" s="41">
        <v>3261644</v>
      </c>
      <c r="J651" s="10"/>
      <c r="K651" s="10">
        <v>1</v>
      </c>
      <c r="L651" s="12"/>
      <c r="M651" s="13">
        <f t="shared" si="10"/>
        <v>0</v>
      </c>
      <c r="N651" s="41"/>
      <c r="O651" s="10"/>
      <c r="P651" s="10">
        <f>Tabla3[[#This Row],[COSTO UNITARIO DOLARES EN HAWTHORNE]]*Tabla3[[#This Row],[CANTIDAD SOLICTADA]]</f>
        <v>0</v>
      </c>
      <c r="Q651" s="41"/>
      <c r="R651" s="229"/>
      <c r="S651" s="229">
        <f>+Tabla3[[#This Row],[COSTO UNITARIO DOLARES CTP]]*Tabla3[[#This Row],[CANTIDAD SOLICTADA]]</f>
        <v>0</v>
      </c>
      <c r="T651" s="41"/>
      <c r="U651" s="14" t="s">
        <v>4</v>
      </c>
      <c r="V651" s="17"/>
      <c r="W651" s="25">
        <v>46203</v>
      </c>
      <c r="X651" s="11"/>
      <c r="Y651" s="10" t="s">
        <v>90</v>
      </c>
      <c r="Z651" s="16" t="s">
        <v>44</v>
      </c>
      <c r="AA651" s="205">
        <v>46202</v>
      </c>
      <c r="AB651" s="205">
        <v>46202</v>
      </c>
      <c r="AC651" s="16" t="s">
        <v>537</v>
      </c>
      <c r="AD651" s="16"/>
      <c r="AE651" s="16" t="s">
        <v>861</v>
      </c>
      <c r="AF651" s="16"/>
      <c r="AG651" s="21" t="s">
        <v>898</v>
      </c>
      <c r="XFD651" s="15" t="str">
        <f>+Tabla3[[#This Row],[ESTATUS DE NUM ECONOMICO]]</f>
        <v>ACTIVA</v>
      </c>
    </row>
    <row r="652" spans="1:33 16384:16384" ht="15.75" thickBot="1" x14ac:dyDescent="0.3">
      <c r="A652" s="8">
        <v>117</v>
      </c>
      <c r="B652" s="9">
        <v>46195</v>
      </c>
      <c r="C652" s="10" t="s">
        <v>87</v>
      </c>
      <c r="D652" s="10">
        <v>1164</v>
      </c>
      <c r="E652" s="16">
        <v>28</v>
      </c>
      <c r="F652" s="9">
        <v>46195</v>
      </c>
      <c r="G652" s="212" t="str">
        <f>IFERROR(VLOOKUP(Tabla3[[#This Row],[NUM ECONOMICO]],MAQUINARIA!B:H,7,0), " MAQ")</f>
        <v>ACTIVA</v>
      </c>
      <c r="H652" s="214" t="s">
        <v>196</v>
      </c>
      <c r="I652" s="41" t="s">
        <v>909</v>
      </c>
      <c r="J652" s="10"/>
      <c r="K652" s="10">
        <v>1</v>
      </c>
      <c r="L652" s="12"/>
      <c r="M652" s="13">
        <f t="shared" si="10"/>
        <v>0</v>
      </c>
      <c r="N652" s="41"/>
      <c r="O652" s="10"/>
      <c r="P652" s="10">
        <f>Tabla3[[#This Row],[COSTO UNITARIO DOLARES EN HAWTHORNE]]*Tabla3[[#This Row],[CANTIDAD SOLICTADA]]</f>
        <v>0</v>
      </c>
      <c r="Q652" s="41"/>
      <c r="R652" s="229"/>
      <c r="S652" s="229">
        <f>+Tabla3[[#This Row],[COSTO UNITARIO DOLARES CTP]]*Tabla3[[#This Row],[CANTIDAD SOLICTADA]]</f>
        <v>0</v>
      </c>
      <c r="T652" s="41"/>
      <c r="U652" s="14" t="s">
        <v>4</v>
      </c>
      <c r="V652" s="17"/>
      <c r="W652" s="25">
        <v>46203</v>
      </c>
      <c r="X652" s="11"/>
      <c r="Y652" s="10" t="s">
        <v>90</v>
      </c>
      <c r="Z652" s="16" t="s">
        <v>44</v>
      </c>
      <c r="AA652" s="205">
        <v>46202</v>
      </c>
      <c r="AB652" s="205">
        <v>46202</v>
      </c>
      <c r="AC652" s="16" t="s">
        <v>537</v>
      </c>
      <c r="AD652" s="16"/>
      <c r="AE652" s="16" t="s">
        <v>861</v>
      </c>
      <c r="AF652" s="16"/>
      <c r="AG652" s="21" t="s">
        <v>898</v>
      </c>
      <c r="XFD652" s="15" t="str">
        <f>+Tabla3[[#This Row],[ESTATUS DE NUM ECONOMICO]]</f>
        <v>ACTIVA</v>
      </c>
    </row>
    <row r="653" spans="1:33 16384:16384" ht="15.75" thickBot="1" x14ac:dyDescent="0.3">
      <c r="A653" s="8">
        <v>117</v>
      </c>
      <c r="B653" s="9">
        <v>46195</v>
      </c>
      <c r="C653" s="10" t="s">
        <v>87</v>
      </c>
      <c r="D653" s="10">
        <v>1164</v>
      </c>
      <c r="E653" s="16">
        <v>28</v>
      </c>
      <c r="F653" s="9">
        <v>46195</v>
      </c>
      <c r="G653" s="212" t="str">
        <f>IFERROR(VLOOKUP(Tabla3[[#This Row],[NUM ECONOMICO]],MAQUINARIA!B:H,7,0), " MAQ")</f>
        <v>ACTIVA</v>
      </c>
      <c r="H653" s="214" t="s">
        <v>196</v>
      </c>
      <c r="I653" s="41" t="s">
        <v>910</v>
      </c>
      <c r="J653" s="10"/>
      <c r="K653" s="10">
        <v>1</v>
      </c>
      <c r="L653" s="12"/>
      <c r="M653" s="13">
        <f t="shared" si="10"/>
        <v>0</v>
      </c>
      <c r="N653" s="41"/>
      <c r="O653" s="10"/>
      <c r="P653" s="10">
        <f>Tabla3[[#This Row],[COSTO UNITARIO DOLARES EN HAWTHORNE]]*Tabla3[[#This Row],[CANTIDAD SOLICTADA]]</f>
        <v>0</v>
      </c>
      <c r="Q653" s="41"/>
      <c r="R653" s="229"/>
      <c r="S653" s="229">
        <f>+Tabla3[[#This Row],[COSTO UNITARIO DOLARES CTP]]*Tabla3[[#This Row],[CANTIDAD SOLICTADA]]</f>
        <v>0</v>
      </c>
      <c r="T653" s="41"/>
      <c r="U653" s="14" t="s">
        <v>4</v>
      </c>
      <c r="V653" s="17"/>
      <c r="W653" s="25">
        <v>46203</v>
      </c>
      <c r="X653" s="11"/>
      <c r="Y653" s="10" t="s">
        <v>90</v>
      </c>
      <c r="Z653" s="16" t="s">
        <v>44</v>
      </c>
      <c r="AA653" s="205">
        <v>46202</v>
      </c>
      <c r="AB653" s="205">
        <v>46202</v>
      </c>
      <c r="AC653" s="16" t="s">
        <v>537</v>
      </c>
      <c r="AD653" s="16"/>
      <c r="AE653" s="16" t="s">
        <v>861</v>
      </c>
      <c r="AF653" s="16"/>
      <c r="AG653" s="21" t="s">
        <v>898</v>
      </c>
      <c r="XFD653" s="15" t="str">
        <f>+Tabla3[[#This Row],[ESTATUS DE NUM ECONOMICO]]</f>
        <v>ACTIVA</v>
      </c>
    </row>
    <row r="654" spans="1:33 16384:16384" ht="15.75" thickBot="1" x14ac:dyDescent="0.3">
      <c r="A654" s="8">
        <v>117</v>
      </c>
      <c r="B654" s="9">
        <v>46195</v>
      </c>
      <c r="C654" s="10" t="s">
        <v>87</v>
      </c>
      <c r="D654" s="10">
        <v>1164</v>
      </c>
      <c r="E654" s="16">
        <v>28</v>
      </c>
      <c r="F654" s="9">
        <v>46195</v>
      </c>
      <c r="G654" s="212" t="str">
        <f>IFERROR(VLOOKUP(Tabla3[[#This Row],[NUM ECONOMICO]],MAQUINARIA!B:H,7,0), " MAQ")</f>
        <v>ACTIVA</v>
      </c>
      <c r="H654" s="214" t="s">
        <v>196</v>
      </c>
      <c r="I654" s="41" t="s">
        <v>911</v>
      </c>
      <c r="J654" s="10"/>
      <c r="K654" s="10">
        <v>1</v>
      </c>
      <c r="L654" s="12"/>
      <c r="M654" s="13">
        <f t="shared" si="10"/>
        <v>0</v>
      </c>
      <c r="N654" s="41"/>
      <c r="O654" s="10"/>
      <c r="P654" s="10">
        <f>Tabla3[[#This Row],[COSTO UNITARIO DOLARES EN HAWTHORNE]]*Tabla3[[#This Row],[CANTIDAD SOLICTADA]]</f>
        <v>0</v>
      </c>
      <c r="Q654" s="41"/>
      <c r="R654" s="229"/>
      <c r="S654" s="229">
        <f>+Tabla3[[#This Row],[COSTO UNITARIO DOLARES CTP]]*Tabla3[[#This Row],[CANTIDAD SOLICTADA]]</f>
        <v>0</v>
      </c>
      <c r="T654" s="41"/>
      <c r="U654" s="14" t="s">
        <v>4</v>
      </c>
      <c r="V654" s="17"/>
      <c r="W654" s="25">
        <v>46203</v>
      </c>
      <c r="X654" s="11"/>
      <c r="Y654" s="10" t="s">
        <v>90</v>
      </c>
      <c r="Z654" s="16" t="s">
        <v>44</v>
      </c>
      <c r="AA654" s="205">
        <v>46202</v>
      </c>
      <c r="AB654" s="205">
        <v>46202</v>
      </c>
      <c r="AC654" s="16" t="s">
        <v>537</v>
      </c>
      <c r="AD654" s="16"/>
      <c r="AE654" s="16" t="s">
        <v>861</v>
      </c>
      <c r="AF654" s="16"/>
      <c r="AG654" s="21" t="s">
        <v>898</v>
      </c>
      <c r="XFD654" s="15" t="str">
        <f>+Tabla3[[#This Row],[ESTATUS DE NUM ECONOMICO]]</f>
        <v>ACTIVA</v>
      </c>
    </row>
    <row r="655" spans="1:33 16384:16384" ht="15.75" thickBot="1" x14ac:dyDescent="0.3">
      <c r="A655" s="8">
        <v>117</v>
      </c>
      <c r="B655" s="9">
        <v>46195</v>
      </c>
      <c r="C655" s="10" t="s">
        <v>87</v>
      </c>
      <c r="D655" s="10">
        <v>1164</v>
      </c>
      <c r="E655" s="16">
        <v>28</v>
      </c>
      <c r="F655" s="9">
        <v>46195</v>
      </c>
      <c r="G655" s="212" t="str">
        <f>IFERROR(VLOOKUP(Tabla3[[#This Row],[NUM ECONOMICO]],MAQUINARIA!B:H,7,0), " MAQ")</f>
        <v>ACTIVA</v>
      </c>
      <c r="H655" s="214" t="s">
        <v>196</v>
      </c>
      <c r="I655" s="41" t="s">
        <v>912</v>
      </c>
      <c r="J655" s="10"/>
      <c r="K655" s="10">
        <v>1</v>
      </c>
      <c r="L655" s="12"/>
      <c r="M655" s="13">
        <f t="shared" si="10"/>
        <v>0</v>
      </c>
      <c r="N655" s="41"/>
      <c r="O655" s="10"/>
      <c r="P655" s="10">
        <f>Tabla3[[#This Row],[COSTO UNITARIO DOLARES EN HAWTHORNE]]*Tabla3[[#This Row],[CANTIDAD SOLICTADA]]</f>
        <v>0</v>
      </c>
      <c r="Q655" s="41"/>
      <c r="R655" s="229"/>
      <c r="S655" s="229">
        <f>+Tabla3[[#This Row],[COSTO UNITARIO DOLARES CTP]]*Tabla3[[#This Row],[CANTIDAD SOLICTADA]]</f>
        <v>0</v>
      </c>
      <c r="T655" s="41"/>
      <c r="U655" s="14" t="s">
        <v>4</v>
      </c>
      <c r="V655" s="17"/>
      <c r="W655" s="25">
        <v>46203</v>
      </c>
      <c r="X655" s="11"/>
      <c r="Y655" s="10" t="s">
        <v>90</v>
      </c>
      <c r="Z655" s="16" t="s">
        <v>44</v>
      </c>
      <c r="AA655" s="205">
        <v>46202</v>
      </c>
      <c r="AB655" s="205">
        <v>46202</v>
      </c>
      <c r="AC655" s="16" t="s">
        <v>537</v>
      </c>
      <c r="AD655" s="16"/>
      <c r="AE655" s="16" t="s">
        <v>861</v>
      </c>
      <c r="AF655" s="16"/>
      <c r="AG655" s="21" t="s">
        <v>898</v>
      </c>
      <c r="XFD655" s="15" t="str">
        <f>+Tabla3[[#This Row],[ESTATUS DE NUM ECONOMICO]]</f>
        <v>ACTIVA</v>
      </c>
    </row>
    <row r="656" spans="1:33 16384:16384" ht="15.75" thickBot="1" x14ac:dyDescent="0.3">
      <c r="A656" s="8">
        <v>117</v>
      </c>
      <c r="B656" s="9">
        <v>46195</v>
      </c>
      <c r="C656" s="10" t="s">
        <v>87</v>
      </c>
      <c r="D656" s="10">
        <v>1164</v>
      </c>
      <c r="E656" s="16">
        <v>28</v>
      </c>
      <c r="F656" s="9">
        <v>46195</v>
      </c>
      <c r="G656" s="212" t="str">
        <f>IFERROR(VLOOKUP(Tabla3[[#This Row],[NUM ECONOMICO]],MAQUINARIA!B:H,7,0), " MAQ")</f>
        <v>ACTIVA</v>
      </c>
      <c r="H656" s="214" t="s">
        <v>196</v>
      </c>
      <c r="I656" s="41" t="s">
        <v>913</v>
      </c>
      <c r="J656" s="10" t="s">
        <v>914</v>
      </c>
      <c r="K656" s="10">
        <v>1</v>
      </c>
      <c r="L656" s="12"/>
      <c r="M656" s="13">
        <f t="shared" si="10"/>
        <v>0</v>
      </c>
      <c r="N656" s="41"/>
      <c r="O656" s="10"/>
      <c r="P656" s="10">
        <f>Tabla3[[#This Row],[COSTO UNITARIO DOLARES EN HAWTHORNE]]*Tabla3[[#This Row],[CANTIDAD SOLICTADA]]</f>
        <v>0</v>
      </c>
      <c r="Q656" s="41"/>
      <c r="R656" s="229"/>
      <c r="S656" s="229">
        <f>+Tabla3[[#This Row],[COSTO UNITARIO DOLARES CTP]]*Tabla3[[#This Row],[CANTIDAD SOLICTADA]]</f>
        <v>0</v>
      </c>
      <c r="T656" s="41"/>
      <c r="U656" s="14" t="s">
        <v>4</v>
      </c>
      <c r="V656" s="17"/>
      <c r="W656" s="25">
        <v>46203</v>
      </c>
      <c r="X656" s="11"/>
      <c r="Y656" s="10" t="s">
        <v>90</v>
      </c>
      <c r="Z656" s="16" t="s">
        <v>44</v>
      </c>
      <c r="AA656" s="205">
        <v>46202</v>
      </c>
      <c r="AB656" s="205">
        <v>46202</v>
      </c>
      <c r="AC656" s="16" t="s">
        <v>537</v>
      </c>
      <c r="AD656" s="16"/>
      <c r="AE656" s="16" t="s">
        <v>861</v>
      </c>
      <c r="AF656" s="16"/>
      <c r="AG656" s="21" t="s">
        <v>898</v>
      </c>
      <c r="XFD656" s="15" t="str">
        <f>+Tabla3[[#This Row],[ESTATUS DE NUM ECONOMICO]]</f>
        <v>ACTIVA</v>
      </c>
    </row>
    <row r="657" spans="1:33 16384:16384" ht="15.75" thickBot="1" x14ac:dyDescent="0.3">
      <c r="A657" s="8">
        <v>117</v>
      </c>
      <c r="B657" s="9">
        <v>46195</v>
      </c>
      <c r="C657" s="10" t="s">
        <v>87</v>
      </c>
      <c r="D657" s="10">
        <v>1164</v>
      </c>
      <c r="E657" s="16">
        <v>28</v>
      </c>
      <c r="F657" s="9">
        <v>46195</v>
      </c>
      <c r="G657" s="212" t="str">
        <f>IFERROR(VLOOKUP(Tabla3[[#This Row],[NUM ECONOMICO]],MAQUINARIA!B:H,7,0), " MAQ")</f>
        <v>ACTIVA</v>
      </c>
      <c r="H657" s="214" t="s">
        <v>196</v>
      </c>
      <c r="I657" s="41" t="s">
        <v>451</v>
      </c>
      <c r="J657" s="10" t="s">
        <v>915</v>
      </c>
      <c r="K657" s="10">
        <v>2</v>
      </c>
      <c r="L657" s="12"/>
      <c r="M657" s="13">
        <f t="shared" si="10"/>
        <v>0</v>
      </c>
      <c r="N657" s="41"/>
      <c r="O657" s="10"/>
      <c r="P657" s="10">
        <f>Tabla3[[#This Row],[COSTO UNITARIO DOLARES EN HAWTHORNE]]*Tabla3[[#This Row],[CANTIDAD SOLICTADA]]</f>
        <v>0</v>
      </c>
      <c r="Q657" s="41"/>
      <c r="R657" s="229"/>
      <c r="S657" s="229">
        <f>+Tabla3[[#This Row],[COSTO UNITARIO DOLARES CTP]]*Tabla3[[#This Row],[CANTIDAD SOLICTADA]]</f>
        <v>0</v>
      </c>
      <c r="T657" s="41"/>
      <c r="U657" s="14" t="s">
        <v>4</v>
      </c>
      <c r="V657" s="17"/>
      <c r="W657" s="25">
        <v>46203</v>
      </c>
      <c r="X657" s="11"/>
      <c r="Y657" s="10" t="s">
        <v>90</v>
      </c>
      <c r="Z657" s="16" t="s">
        <v>44</v>
      </c>
      <c r="AA657" s="205">
        <v>46202</v>
      </c>
      <c r="AB657" s="205">
        <v>46202</v>
      </c>
      <c r="AC657" s="16" t="s">
        <v>537</v>
      </c>
      <c r="AD657" s="16"/>
      <c r="AE657" s="16" t="s">
        <v>861</v>
      </c>
      <c r="AF657" s="16"/>
      <c r="AG657" s="21" t="s">
        <v>898</v>
      </c>
      <c r="XFD657" s="15" t="str">
        <f>+Tabla3[[#This Row],[ESTATUS DE NUM ECONOMICO]]</f>
        <v>ACTIVA</v>
      </c>
    </row>
    <row r="658" spans="1:33 16384:16384" ht="15.75" thickBot="1" x14ac:dyDescent="0.3">
      <c r="A658" s="8">
        <v>118</v>
      </c>
      <c r="B658" s="9">
        <v>46195</v>
      </c>
      <c r="C658" s="10" t="s">
        <v>87</v>
      </c>
      <c r="D658" s="11"/>
      <c r="E658" s="16">
        <v>1589</v>
      </c>
      <c r="F658" s="9">
        <v>46195</v>
      </c>
      <c r="G658" s="212" t="str">
        <f>IFERROR(VLOOKUP(Tabla3[[#This Row],[NUM ECONOMICO]],MAQUINARIA!B:H,7,0), " MAQ")</f>
        <v>ACTIVA</v>
      </c>
      <c r="H658" s="214" t="s">
        <v>102</v>
      </c>
      <c r="I658" s="41" t="s">
        <v>456</v>
      </c>
      <c r="J658" s="10" t="s">
        <v>916</v>
      </c>
      <c r="K658" s="10">
        <v>1</v>
      </c>
      <c r="L658" s="13">
        <v>419.04</v>
      </c>
      <c r="M658" s="13">
        <f t="shared" si="10"/>
        <v>419.04</v>
      </c>
      <c r="N658" s="41"/>
      <c r="O658" s="10"/>
      <c r="P658" s="10">
        <f>Tabla3[[#This Row],[COSTO UNITARIO DOLARES EN HAWTHORNE]]*Tabla3[[#This Row],[CANTIDAD SOLICTADA]]</f>
        <v>0</v>
      </c>
      <c r="Q658" s="41"/>
      <c r="R658" s="229"/>
      <c r="S658" s="229">
        <f>+Tabla3[[#This Row],[COSTO UNITARIO DOLARES CTP]]*Tabla3[[#This Row],[CANTIDAD SOLICTADA]]</f>
        <v>0</v>
      </c>
      <c r="T658" s="41"/>
      <c r="U658" s="18" t="s">
        <v>4</v>
      </c>
      <c r="V658" s="211" t="s">
        <v>917</v>
      </c>
      <c r="W658" s="16"/>
      <c r="X658" s="16" t="s">
        <v>89</v>
      </c>
      <c r="Y658" s="16" t="s">
        <v>90</v>
      </c>
      <c r="Z658" s="16" t="s">
        <v>918</v>
      </c>
      <c r="AA658" s="16"/>
      <c r="AB658" s="16"/>
      <c r="AC658" s="16"/>
      <c r="AD658" s="16"/>
      <c r="AE658" s="16" t="s">
        <v>919</v>
      </c>
      <c r="AF658" s="16" t="s">
        <v>920</v>
      </c>
      <c r="AG658" s="21" t="s">
        <v>898</v>
      </c>
      <c r="XFD658" s="15" t="str">
        <f>+Tabla3[[#This Row],[ESTATUS DE NUM ECONOMICO]]</f>
        <v>ACTIVA</v>
      </c>
    </row>
    <row r="659" spans="1:33 16384:16384" ht="15.75" thickBot="1" x14ac:dyDescent="0.3">
      <c r="A659" s="8">
        <v>118</v>
      </c>
      <c r="B659" s="9">
        <v>46195</v>
      </c>
      <c r="C659" s="10" t="s">
        <v>87</v>
      </c>
      <c r="D659" s="11"/>
      <c r="E659" s="16">
        <v>1589</v>
      </c>
      <c r="F659" s="9">
        <v>46195</v>
      </c>
      <c r="G659" s="212" t="str">
        <f>IFERROR(VLOOKUP(Tabla3[[#This Row],[NUM ECONOMICO]],MAQUINARIA!B:H,7,0), " MAQ")</f>
        <v>ACTIVA</v>
      </c>
      <c r="H659" s="214" t="s">
        <v>102</v>
      </c>
      <c r="I659" s="41" t="s">
        <v>445</v>
      </c>
      <c r="J659" s="10" t="s">
        <v>921</v>
      </c>
      <c r="K659" s="10">
        <v>1</v>
      </c>
      <c r="L659" s="13">
        <v>563.22</v>
      </c>
      <c r="M659" s="13">
        <f t="shared" si="10"/>
        <v>563.22</v>
      </c>
      <c r="N659" s="41"/>
      <c r="O659" s="10"/>
      <c r="P659" s="10">
        <f>Tabla3[[#This Row],[COSTO UNITARIO DOLARES EN HAWTHORNE]]*Tabla3[[#This Row],[CANTIDAD SOLICTADA]]</f>
        <v>0</v>
      </c>
      <c r="Q659" s="41"/>
      <c r="R659" s="229"/>
      <c r="S659" s="229">
        <f>+Tabla3[[#This Row],[COSTO UNITARIO DOLARES CTP]]*Tabla3[[#This Row],[CANTIDAD SOLICTADA]]</f>
        <v>0</v>
      </c>
      <c r="T659" s="41"/>
      <c r="U659" s="18" t="s">
        <v>4</v>
      </c>
      <c r="V659" s="211" t="s">
        <v>917</v>
      </c>
      <c r="W659" s="16"/>
      <c r="X659" s="16" t="s">
        <v>89</v>
      </c>
      <c r="Y659" s="16" t="s">
        <v>90</v>
      </c>
      <c r="Z659" s="16" t="s">
        <v>918</v>
      </c>
      <c r="AA659" s="16"/>
      <c r="AB659" s="16"/>
      <c r="AC659" s="16"/>
      <c r="AD659" s="16"/>
      <c r="AE659" s="16" t="s">
        <v>922</v>
      </c>
      <c r="AF659" s="16" t="s">
        <v>920</v>
      </c>
      <c r="AG659" s="21" t="s">
        <v>898</v>
      </c>
      <c r="XFD659" s="15" t="str">
        <f>+Tabla3[[#This Row],[ESTATUS DE NUM ECONOMICO]]</f>
        <v>ACTIVA</v>
      </c>
    </row>
    <row r="660" spans="1:33 16384:16384" ht="15.75" thickBot="1" x14ac:dyDescent="0.3">
      <c r="A660" s="8">
        <v>118</v>
      </c>
      <c r="B660" s="9">
        <v>46195</v>
      </c>
      <c r="C660" s="10" t="s">
        <v>87</v>
      </c>
      <c r="D660" s="11"/>
      <c r="E660" s="16">
        <v>1589</v>
      </c>
      <c r="F660" s="9">
        <v>46195</v>
      </c>
      <c r="G660" s="212" t="str">
        <f>IFERROR(VLOOKUP(Tabla3[[#This Row],[NUM ECONOMICO]],MAQUINARIA!B:H,7,0), " MAQ")</f>
        <v>ACTIVA</v>
      </c>
      <c r="H660" s="214" t="s">
        <v>102</v>
      </c>
      <c r="I660" s="41" t="s">
        <v>923</v>
      </c>
      <c r="J660" s="10" t="s">
        <v>924</v>
      </c>
      <c r="K660" s="10">
        <v>1</v>
      </c>
      <c r="L660" s="13">
        <v>310.72000000000003</v>
      </c>
      <c r="M660" s="13">
        <f>+L660*K660</f>
        <v>310.72000000000003</v>
      </c>
      <c r="N660" s="41"/>
      <c r="O660" s="10"/>
      <c r="P660" s="10">
        <f>Tabla3[[#This Row],[COSTO UNITARIO DOLARES EN HAWTHORNE]]*Tabla3[[#This Row],[CANTIDAD SOLICTADA]]</f>
        <v>0</v>
      </c>
      <c r="Q660" s="41"/>
      <c r="R660" s="229"/>
      <c r="S660" s="229">
        <f>+Tabla3[[#This Row],[COSTO UNITARIO DOLARES CTP]]*Tabla3[[#This Row],[CANTIDAD SOLICTADA]]</f>
        <v>0</v>
      </c>
      <c r="T660" s="41"/>
      <c r="U660" s="18" t="s">
        <v>4</v>
      </c>
      <c r="V660" s="16" t="s">
        <v>925</v>
      </c>
      <c r="W660" s="25">
        <v>46206</v>
      </c>
      <c r="X660" s="16" t="s">
        <v>89</v>
      </c>
      <c r="Y660" s="16" t="s">
        <v>90</v>
      </c>
      <c r="Z660" s="16" t="s">
        <v>44</v>
      </c>
      <c r="AA660" s="25">
        <v>46088</v>
      </c>
      <c r="AB660" s="25">
        <v>46088</v>
      </c>
      <c r="AC660" s="16"/>
      <c r="AD660" s="16"/>
      <c r="AE660" s="16" t="s">
        <v>407</v>
      </c>
      <c r="AF660" s="16"/>
      <c r="AG660" s="21"/>
      <c r="XFD660" s="15" t="str">
        <f>+Tabla3[[#This Row],[ESTATUS DE NUM ECONOMICO]]</f>
        <v>ACTIVA</v>
      </c>
    </row>
    <row r="661" spans="1:33 16384:16384" ht="15.75" thickBot="1" x14ac:dyDescent="0.3">
      <c r="A661" s="8">
        <v>118</v>
      </c>
      <c r="B661" s="9">
        <v>46195</v>
      </c>
      <c r="C661" s="10" t="s">
        <v>87</v>
      </c>
      <c r="D661" s="11"/>
      <c r="E661" s="16">
        <v>1589</v>
      </c>
      <c r="F661" s="9">
        <v>46195</v>
      </c>
      <c r="G661" s="212" t="str">
        <f>IFERROR(VLOOKUP(Tabla3[[#This Row],[NUM ECONOMICO]],MAQUINARIA!B:H,7,0), " MAQ")</f>
        <v>ACTIVA</v>
      </c>
      <c r="H661" s="214" t="s">
        <v>102</v>
      </c>
      <c r="I661" s="41" t="s">
        <v>926</v>
      </c>
      <c r="J661" s="10" t="s">
        <v>693</v>
      </c>
      <c r="K661" s="10">
        <v>1</v>
      </c>
      <c r="L661" s="12"/>
      <c r="M661" s="13">
        <f t="shared" si="10"/>
        <v>0</v>
      </c>
      <c r="N661" s="41"/>
      <c r="O661" s="10"/>
      <c r="P661" s="10">
        <f>Tabla3[[#This Row],[COSTO UNITARIO DOLARES EN HAWTHORNE]]*Tabla3[[#This Row],[CANTIDAD SOLICTADA]]</f>
        <v>0</v>
      </c>
      <c r="Q661" s="41"/>
      <c r="R661" s="229"/>
      <c r="S661" s="229">
        <f>+Tabla3[[#This Row],[COSTO UNITARIO DOLARES CTP]]*Tabla3[[#This Row],[CANTIDAD SOLICTADA]]</f>
        <v>0</v>
      </c>
      <c r="T661" s="41"/>
      <c r="U661" s="18" t="s">
        <v>4</v>
      </c>
      <c r="V661" s="211"/>
      <c r="W661" s="16"/>
      <c r="X661" s="16" t="s">
        <v>89</v>
      </c>
      <c r="Y661" s="16" t="s">
        <v>90</v>
      </c>
      <c r="Z661" s="16" t="s">
        <v>918</v>
      </c>
      <c r="AA661" s="16"/>
      <c r="AB661" s="16"/>
      <c r="AC661" s="16"/>
      <c r="AD661" s="16"/>
      <c r="AE661" s="16" t="s">
        <v>922</v>
      </c>
      <c r="AF661" s="16" t="s">
        <v>920</v>
      </c>
      <c r="AG661" s="21" t="s">
        <v>898</v>
      </c>
      <c r="XFD661" s="15" t="str">
        <f>+Tabla3[[#This Row],[ESTATUS DE NUM ECONOMICO]]</f>
        <v>ACTIVA</v>
      </c>
    </row>
    <row r="662" spans="1:33 16384:16384" ht="15.75" thickBot="1" x14ac:dyDescent="0.3">
      <c r="A662" s="8">
        <v>118</v>
      </c>
      <c r="B662" s="9">
        <v>46195</v>
      </c>
      <c r="C662" s="10" t="s">
        <v>87</v>
      </c>
      <c r="D662" s="11"/>
      <c r="E662" s="16">
        <v>1589</v>
      </c>
      <c r="F662" s="9">
        <v>46195</v>
      </c>
      <c r="G662" s="212" t="str">
        <f>IFERROR(VLOOKUP(Tabla3[[#This Row],[NUM ECONOMICO]],MAQUINARIA!B:H,7,0), " MAQ")</f>
        <v>ACTIVA</v>
      </c>
      <c r="H662" s="214" t="s">
        <v>102</v>
      </c>
      <c r="I662" s="41" t="s">
        <v>927</v>
      </c>
      <c r="J662" s="10" t="s">
        <v>928</v>
      </c>
      <c r="K662" s="10">
        <v>1</v>
      </c>
      <c r="L662" s="13">
        <v>1257.48</v>
      </c>
      <c r="M662" s="13">
        <f t="shared" si="10"/>
        <v>1257.48</v>
      </c>
      <c r="N662" s="41"/>
      <c r="O662" s="10"/>
      <c r="P662" s="10">
        <f>Tabla3[[#This Row],[COSTO UNITARIO DOLARES EN HAWTHORNE]]*Tabla3[[#This Row],[CANTIDAD SOLICTADA]]</f>
        <v>0</v>
      </c>
      <c r="Q662" s="41"/>
      <c r="R662" s="229"/>
      <c r="S662" s="229">
        <f>+Tabla3[[#This Row],[COSTO UNITARIO DOLARES CTP]]*Tabla3[[#This Row],[CANTIDAD SOLICTADA]]</f>
        <v>0</v>
      </c>
      <c r="T662" s="41"/>
      <c r="U662" s="18" t="s">
        <v>4</v>
      </c>
      <c r="V662" s="211" t="s">
        <v>917</v>
      </c>
      <c r="W662" s="16"/>
      <c r="X662" s="16" t="s">
        <v>89</v>
      </c>
      <c r="Y662" s="16" t="s">
        <v>90</v>
      </c>
      <c r="Z662" s="16" t="s">
        <v>918</v>
      </c>
      <c r="AA662" s="16"/>
      <c r="AB662" s="16"/>
      <c r="AC662" s="16"/>
      <c r="AD662" s="16"/>
      <c r="AE662" s="16" t="s">
        <v>922</v>
      </c>
      <c r="AF662" s="16" t="s">
        <v>920</v>
      </c>
      <c r="AG662" s="21" t="s">
        <v>898</v>
      </c>
      <c r="XFD662" s="15" t="str">
        <f>+Tabla3[[#This Row],[ESTATUS DE NUM ECONOMICO]]</f>
        <v>ACTIVA</v>
      </c>
    </row>
    <row r="663" spans="1:33 16384:16384" ht="15.75" thickBot="1" x14ac:dyDescent="0.3">
      <c r="A663" s="8">
        <v>118</v>
      </c>
      <c r="B663" s="9">
        <v>46195</v>
      </c>
      <c r="C663" s="10" t="s">
        <v>87</v>
      </c>
      <c r="D663" s="11"/>
      <c r="E663" s="16">
        <v>1589</v>
      </c>
      <c r="F663" s="9">
        <v>46195</v>
      </c>
      <c r="G663" s="212" t="str">
        <f>IFERROR(VLOOKUP(Tabla3[[#This Row],[NUM ECONOMICO]],MAQUINARIA!B:H,7,0), " MAQ")</f>
        <v>ACTIVA</v>
      </c>
      <c r="H663" s="214" t="s">
        <v>102</v>
      </c>
      <c r="I663" s="41" t="s">
        <v>929</v>
      </c>
      <c r="J663" s="10" t="s">
        <v>930</v>
      </c>
      <c r="K663" s="10">
        <v>1</v>
      </c>
      <c r="L663" s="13">
        <v>1414.98</v>
      </c>
      <c r="M663" s="13">
        <f t="shared" si="10"/>
        <v>1414.98</v>
      </c>
      <c r="N663" s="41"/>
      <c r="O663" s="10"/>
      <c r="P663" s="10">
        <f>Tabla3[[#This Row],[COSTO UNITARIO DOLARES EN HAWTHORNE]]*Tabla3[[#This Row],[CANTIDAD SOLICTADA]]</f>
        <v>0</v>
      </c>
      <c r="Q663" s="41"/>
      <c r="R663" s="229"/>
      <c r="S663" s="229">
        <f>+Tabla3[[#This Row],[COSTO UNITARIO DOLARES CTP]]*Tabla3[[#This Row],[CANTIDAD SOLICTADA]]</f>
        <v>0</v>
      </c>
      <c r="T663" s="41"/>
      <c r="U663" s="18" t="s">
        <v>4</v>
      </c>
      <c r="V663" s="211" t="s">
        <v>917</v>
      </c>
      <c r="W663" s="16"/>
      <c r="X663" s="16" t="s">
        <v>89</v>
      </c>
      <c r="Y663" s="16" t="s">
        <v>90</v>
      </c>
      <c r="Z663" s="16" t="s">
        <v>918</v>
      </c>
      <c r="AA663" s="16"/>
      <c r="AB663" s="16"/>
      <c r="AC663" s="16"/>
      <c r="AD663" s="16"/>
      <c r="AE663" s="16" t="s">
        <v>922</v>
      </c>
      <c r="AF663" s="16" t="s">
        <v>920</v>
      </c>
      <c r="AG663" s="21" t="s">
        <v>898</v>
      </c>
      <c r="XFD663" s="15" t="str">
        <f>+Tabla3[[#This Row],[ESTATUS DE NUM ECONOMICO]]</f>
        <v>ACTIVA</v>
      </c>
    </row>
    <row r="664" spans="1:33 16384:16384" ht="15.75" thickBot="1" x14ac:dyDescent="0.3">
      <c r="A664" s="8">
        <v>119</v>
      </c>
      <c r="B664" s="9">
        <v>46195</v>
      </c>
      <c r="C664" s="10" t="s">
        <v>87</v>
      </c>
      <c r="D664" s="11"/>
      <c r="E664" s="16">
        <v>1592</v>
      </c>
      <c r="F664" s="9">
        <v>46195</v>
      </c>
      <c r="G664" s="212" t="str">
        <f>IFERROR(VLOOKUP(Tabla3[[#This Row],[NUM ECONOMICO]],MAQUINARIA!B:H,7,0), " MAQ")</f>
        <v>ACTIVA</v>
      </c>
      <c r="H664" s="214" t="s">
        <v>53</v>
      </c>
      <c r="I664" s="41" t="s">
        <v>931</v>
      </c>
      <c r="J664" s="10" t="s">
        <v>1852</v>
      </c>
      <c r="K664" s="10">
        <v>1</v>
      </c>
      <c r="L664" s="13">
        <v>224.55</v>
      </c>
      <c r="M664" s="13">
        <f t="shared" si="10"/>
        <v>224.55</v>
      </c>
      <c r="N664" s="41"/>
      <c r="O664" s="287">
        <v>0</v>
      </c>
      <c r="P664" s="287">
        <f>Tabla3[[#This Row],[COSTO UNITARIO DOLARES EN HAWTHORNE]]*Tabla3[[#This Row],[CANTIDAD SOLICTADA]]</f>
        <v>0</v>
      </c>
      <c r="Q664" s="41"/>
      <c r="R664" s="229">
        <v>0</v>
      </c>
      <c r="S664" s="229">
        <f>+Tabla3[[#This Row],[COSTO UNITARIO DOLARES CTP]]*Tabla3[[#This Row],[CANTIDAD SOLICTADA]]</f>
        <v>0</v>
      </c>
      <c r="T664" s="41"/>
      <c r="U664" s="18" t="s">
        <v>5</v>
      </c>
      <c r="V664" s="211"/>
      <c r="W664" s="10"/>
      <c r="X664" s="11"/>
      <c r="Y664" s="10" t="s">
        <v>90</v>
      </c>
      <c r="Z664" s="16"/>
      <c r="AA664" s="16"/>
      <c r="AB664" s="16"/>
      <c r="AC664" s="16"/>
      <c r="AD664" s="16"/>
      <c r="AE664" s="16" t="s">
        <v>932</v>
      </c>
      <c r="AF664" s="16"/>
      <c r="AG664" s="21" t="s">
        <v>898</v>
      </c>
      <c r="XFD664" s="15" t="str">
        <f>+Tabla3[[#This Row],[ESTATUS DE NUM ECONOMICO]]</f>
        <v>ACTIVA</v>
      </c>
    </row>
    <row r="665" spans="1:33 16384:16384" ht="15.75" thickBot="1" x14ac:dyDescent="0.3">
      <c r="A665" s="8">
        <v>119</v>
      </c>
      <c r="B665" s="9">
        <v>46195</v>
      </c>
      <c r="C665" s="10" t="s">
        <v>87</v>
      </c>
      <c r="D665" s="11"/>
      <c r="E665" s="16">
        <v>1592</v>
      </c>
      <c r="F665" s="9">
        <v>46195</v>
      </c>
      <c r="G665" s="212" t="str">
        <f>IFERROR(VLOOKUP(Tabla3[[#This Row],[NUM ECONOMICO]],MAQUINARIA!B:H,7,0), " MAQ")</f>
        <v>ACTIVA</v>
      </c>
      <c r="H665" s="214" t="s">
        <v>53</v>
      </c>
      <c r="I665" s="41" t="s">
        <v>933</v>
      </c>
      <c r="J665" s="10" t="s">
        <v>928</v>
      </c>
      <c r="K665" s="10">
        <v>1</v>
      </c>
      <c r="L665" s="13">
        <v>360</v>
      </c>
      <c r="M665" s="13">
        <f t="shared" si="10"/>
        <v>360</v>
      </c>
      <c r="N665" s="41"/>
      <c r="O665" s="287">
        <v>0</v>
      </c>
      <c r="P665" s="287">
        <f>Tabla3[[#This Row],[COSTO UNITARIO DOLARES EN HAWTHORNE]]*Tabla3[[#This Row],[CANTIDAD SOLICTADA]]</f>
        <v>0</v>
      </c>
      <c r="Q665" s="41"/>
      <c r="R665" s="229">
        <v>0</v>
      </c>
      <c r="S665" s="229">
        <f>+Tabla3[[#This Row],[COSTO UNITARIO DOLARES CTP]]*Tabla3[[#This Row],[CANTIDAD SOLICTADA]]</f>
        <v>0</v>
      </c>
      <c r="T665" s="41"/>
      <c r="U665" s="18" t="s">
        <v>5</v>
      </c>
      <c r="V665" s="211"/>
      <c r="W665" s="10"/>
      <c r="X665" s="11"/>
      <c r="Y665" s="10" t="s">
        <v>90</v>
      </c>
      <c r="Z665" s="16"/>
      <c r="AA665" s="16"/>
      <c r="AB665" s="16"/>
      <c r="AC665" s="16"/>
      <c r="AD665" s="16"/>
      <c r="AE665" s="16" t="s">
        <v>932</v>
      </c>
      <c r="AF665" s="16"/>
      <c r="AG665" s="21" t="s">
        <v>898</v>
      </c>
      <c r="XFD665" s="15" t="str">
        <f>+Tabla3[[#This Row],[ESTATUS DE NUM ECONOMICO]]</f>
        <v>ACTIVA</v>
      </c>
    </row>
    <row r="666" spans="1:33 16384:16384" ht="15.75" thickBot="1" x14ac:dyDescent="0.3">
      <c r="A666" s="8">
        <v>119</v>
      </c>
      <c r="B666" s="9">
        <v>46195</v>
      </c>
      <c r="C666" s="10" t="s">
        <v>87</v>
      </c>
      <c r="D666" s="11"/>
      <c r="E666" s="16">
        <v>1592</v>
      </c>
      <c r="F666" s="9">
        <v>46195</v>
      </c>
      <c r="G666" s="212" t="str">
        <f>IFERROR(VLOOKUP(Tabla3[[#This Row],[NUM ECONOMICO]],MAQUINARIA!B:H,7,0), " MAQ")</f>
        <v>ACTIVA</v>
      </c>
      <c r="H666" s="214" t="s">
        <v>53</v>
      </c>
      <c r="I666" s="41">
        <v>33697</v>
      </c>
      <c r="J666" s="10" t="s">
        <v>928</v>
      </c>
      <c r="K666" s="10">
        <v>1</v>
      </c>
      <c r="L666" s="12"/>
      <c r="M666" s="13">
        <f t="shared" si="10"/>
        <v>0</v>
      </c>
      <c r="N666" s="41"/>
      <c r="O666" s="287">
        <v>0</v>
      </c>
      <c r="P666" s="287">
        <f>Tabla3[[#This Row],[COSTO UNITARIO DOLARES EN HAWTHORNE]]*Tabla3[[#This Row],[CANTIDAD SOLICTADA]]</f>
        <v>0</v>
      </c>
      <c r="Q666" s="41"/>
      <c r="R666" s="229">
        <v>0</v>
      </c>
      <c r="S666" s="229">
        <f>+Tabla3[[#This Row],[COSTO UNITARIO DOLARES CTP]]*Tabla3[[#This Row],[CANTIDAD SOLICTADA]]</f>
        <v>0</v>
      </c>
      <c r="T666" s="41"/>
      <c r="U666" s="18" t="s">
        <v>5</v>
      </c>
      <c r="V666" s="211"/>
      <c r="W666" s="10"/>
      <c r="X666" s="11"/>
      <c r="Y666" s="10" t="s">
        <v>90</v>
      </c>
      <c r="Z666" s="16"/>
      <c r="AA666" s="16"/>
      <c r="AB666" s="16"/>
      <c r="AC666" s="16"/>
      <c r="AD666" s="16"/>
      <c r="AE666" s="16" t="s">
        <v>932</v>
      </c>
      <c r="AF666" s="16"/>
      <c r="AG666" s="21" t="s">
        <v>898</v>
      </c>
      <c r="XFD666" s="15" t="str">
        <f>+Tabla3[[#This Row],[ESTATUS DE NUM ECONOMICO]]</f>
        <v>ACTIVA</v>
      </c>
    </row>
    <row r="667" spans="1:33 16384:16384" ht="15.75" thickBot="1" x14ac:dyDescent="0.3">
      <c r="A667" s="8">
        <v>119</v>
      </c>
      <c r="B667" s="9">
        <v>46195</v>
      </c>
      <c r="C667" s="10" t="s">
        <v>87</v>
      </c>
      <c r="D667" s="11"/>
      <c r="E667" s="16">
        <v>1592</v>
      </c>
      <c r="F667" s="9">
        <v>46195</v>
      </c>
      <c r="G667" s="212" t="str">
        <f>IFERROR(VLOOKUP(Tabla3[[#This Row],[NUM ECONOMICO]],MAQUINARIA!B:H,7,0), " MAQ")</f>
        <v>ACTIVA</v>
      </c>
      <c r="H667" s="214" t="s">
        <v>53</v>
      </c>
      <c r="I667" s="41" t="s">
        <v>934</v>
      </c>
      <c r="J667" s="10" t="s">
        <v>1853</v>
      </c>
      <c r="K667" s="10">
        <v>1</v>
      </c>
      <c r="L667" s="13">
        <v>456</v>
      </c>
      <c r="M667" s="13">
        <f t="shared" si="10"/>
        <v>456</v>
      </c>
      <c r="N667" s="41"/>
      <c r="O667" s="287">
        <v>0</v>
      </c>
      <c r="P667" s="287">
        <f>Tabla3[[#This Row],[COSTO UNITARIO DOLARES EN HAWTHORNE]]*Tabla3[[#This Row],[CANTIDAD SOLICTADA]]</f>
        <v>0</v>
      </c>
      <c r="Q667" s="41"/>
      <c r="R667" s="229">
        <v>0</v>
      </c>
      <c r="S667" s="229">
        <f>+Tabla3[[#This Row],[COSTO UNITARIO DOLARES CTP]]*Tabla3[[#This Row],[CANTIDAD SOLICTADA]]</f>
        <v>0</v>
      </c>
      <c r="T667" s="41"/>
      <c r="U667" s="18" t="s">
        <v>5</v>
      </c>
      <c r="V667" s="211"/>
      <c r="W667" s="10"/>
      <c r="X667" s="11"/>
      <c r="Y667" s="10" t="s">
        <v>90</v>
      </c>
      <c r="Z667" s="16"/>
      <c r="AA667" s="16"/>
      <c r="AB667" s="16"/>
      <c r="AC667" s="16"/>
      <c r="AD667" s="16"/>
      <c r="AE667" s="16" t="s">
        <v>932</v>
      </c>
      <c r="AF667" s="16"/>
      <c r="AG667" s="21" t="s">
        <v>898</v>
      </c>
      <c r="XFD667" s="15" t="str">
        <f>+Tabla3[[#This Row],[ESTATUS DE NUM ECONOMICO]]</f>
        <v>ACTIVA</v>
      </c>
    </row>
    <row r="668" spans="1:33 16384:16384" ht="15.75" thickBot="1" x14ac:dyDescent="0.3">
      <c r="A668" s="8">
        <v>119</v>
      </c>
      <c r="B668" s="9">
        <v>46195</v>
      </c>
      <c r="C668" s="10" t="s">
        <v>87</v>
      </c>
      <c r="D668" s="11"/>
      <c r="E668" s="16">
        <v>1592</v>
      </c>
      <c r="F668" s="9">
        <v>46195</v>
      </c>
      <c r="G668" s="212" t="str">
        <f>IFERROR(VLOOKUP(Tabla3[[#This Row],[NUM ECONOMICO]],MAQUINARIA!B:H,7,0), " MAQ")</f>
        <v>ACTIVA</v>
      </c>
      <c r="H668" s="214" t="s">
        <v>53</v>
      </c>
      <c r="I668" s="41">
        <v>33604</v>
      </c>
      <c r="J668" s="10" t="s">
        <v>928</v>
      </c>
      <c r="K668" s="10">
        <v>1</v>
      </c>
      <c r="L668" s="13">
        <v>380</v>
      </c>
      <c r="M668" s="13">
        <f t="shared" si="10"/>
        <v>380</v>
      </c>
      <c r="N668" s="41"/>
      <c r="O668" s="287">
        <v>0</v>
      </c>
      <c r="P668" s="287">
        <f>Tabla3[[#This Row],[COSTO UNITARIO DOLARES EN HAWTHORNE]]*Tabla3[[#This Row],[CANTIDAD SOLICTADA]]</f>
        <v>0</v>
      </c>
      <c r="Q668" s="41"/>
      <c r="R668" s="229">
        <v>0</v>
      </c>
      <c r="S668" s="229">
        <f>+Tabla3[[#This Row],[COSTO UNITARIO DOLARES CTP]]*Tabla3[[#This Row],[CANTIDAD SOLICTADA]]</f>
        <v>0</v>
      </c>
      <c r="T668" s="41"/>
      <c r="U668" s="18" t="s">
        <v>5</v>
      </c>
      <c r="V668" s="211"/>
      <c r="W668" s="10"/>
      <c r="X668" s="11"/>
      <c r="Y668" s="10" t="s">
        <v>90</v>
      </c>
      <c r="Z668" s="16"/>
      <c r="AA668" s="16"/>
      <c r="AB668" s="16"/>
      <c r="AC668" s="16"/>
      <c r="AD668" s="16"/>
      <c r="AE668" s="16" t="s">
        <v>932</v>
      </c>
      <c r="AF668" s="16"/>
      <c r="AG668" s="21" t="s">
        <v>898</v>
      </c>
      <c r="XFD668" s="15" t="str">
        <f>+Tabla3[[#This Row],[ESTATUS DE NUM ECONOMICO]]</f>
        <v>ACTIVA</v>
      </c>
    </row>
    <row r="669" spans="1:33 16384:16384" ht="15.75" thickBot="1" x14ac:dyDescent="0.3">
      <c r="A669" s="8">
        <v>120</v>
      </c>
      <c r="B669" s="9">
        <v>46199</v>
      </c>
      <c r="C669" s="10" t="s">
        <v>87</v>
      </c>
      <c r="D669" s="11"/>
      <c r="E669" s="16">
        <v>50</v>
      </c>
      <c r="F669" s="9">
        <v>46203</v>
      </c>
      <c r="G669" s="212" t="str">
        <f>IFERROR(VLOOKUP(Tabla3[[#This Row],[NUM ECONOMICO]],MAQUINARIA!B:H,7,0), " MAQ")</f>
        <v>INACTIVA</v>
      </c>
      <c r="H669" s="214" t="s">
        <v>935</v>
      </c>
      <c r="I669" s="41" t="s">
        <v>936</v>
      </c>
      <c r="J669" s="10" t="s">
        <v>176</v>
      </c>
      <c r="K669" s="10">
        <v>1</v>
      </c>
      <c r="L669" s="13">
        <v>12161.88</v>
      </c>
      <c r="M669" s="13">
        <f t="shared" si="10"/>
        <v>12161.88</v>
      </c>
      <c r="N669" s="41" t="s">
        <v>674</v>
      </c>
      <c r="O669" s="287">
        <v>532.16</v>
      </c>
      <c r="P669" s="287">
        <f>Tabla3[[#This Row],[COSTO UNITARIO DOLARES EN HAWTHORNE]]*Tabla3[[#This Row],[CANTIDAD SOLICTADA]]</f>
        <v>532.16</v>
      </c>
      <c r="Q669" s="41" t="s">
        <v>1811</v>
      </c>
      <c r="R669" s="229">
        <v>197.3</v>
      </c>
      <c r="S669" s="229">
        <f>+Tabla3[[#This Row],[COSTO UNITARIO DOLARES CTP]]*Tabla3[[#This Row],[CANTIDAD SOLICTADA]]</f>
        <v>197.3</v>
      </c>
      <c r="T669" s="41" t="s">
        <v>1815</v>
      </c>
      <c r="U669" s="18" t="s">
        <v>8</v>
      </c>
      <c r="V669" s="8" t="s">
        <v>937</v>
      </c>
      <c r="W669" s="10"/>
      <c r="X669" s="10" t="s">
        <v>89</v>
      </c>
      <c r="Y669" s="10" t="s">
        <v>90</v>
      </c>
      <c r="Z669" s="16" t="s">
        <v>46</v>
      </c>
      <c r="AA669" s="25">
        <v>46209</v>
      </c>
      <c r="AB669" s="16"/>
      <c r="AC669" s="16"/>
      <c r="AD669" s="16"/>
      <c r="AE669" s="16" t="s">
        <v>1816</v>
      </c>
      <c r="AF669" s="16"/>
      <c r="AG669" s="21" t="s">
        <v>938</v>
      </c>
      <c r="XFD669" s="15" t="str">
        <f>+Tabla3[[#This Row],[ESTATUS DE NUM ECONOMICO]]</f>
        <v>INACTIVA</v>
      </c>
    </row>
    <row r="670" spans="1:33 16384:16384" ht="15.75" thickBot="1" x14ac:dyDescent="0.3">
      <c r="A670" s="8">
        <v>120</v>
      </c>
      <c r="B670" s="9">
        <v>46199</v>
      </c>
      <c r="C670" s="10" t="s">
        <v>87</v>
      </c>
      <c r="D670" s="11"/>
      <c r="E670" s="16">
        <v>50</v>
      </c>
      <c r="F670" s="9">
        <v>46203</v>
      </c>
      <c r="G670" s="212" t="str">
        <f>IFERROR(VLOOKUP(Tabla3[[#This Row],[NUM ECONOMICO]],MAQUINARIA!B:H,7,0), " MAQ")</f>
        <v>INACTIVA</v>
      </c>
      <c r="H670" s="214" t="s">
        <v>935</v>
      </c>
      <c r="I670" s="41" t="s">
        <v>1813</v>
      </c>
      <c r="J670" s="10" t="s">
        <v>180</v>
      </c>
      <c r="K670" s="10">
        <v>2</v>
      </c>
      <c r="L670" s="13">
        <v>2408.94</v>
      </c>
      <c r="M670" s="13">
        <f t="shared" si="10"/>
        <v>4817.88</v>
      </c>
      <c r="N670" s="41" t="s">
        <v>674</v>
      </c>
      <c r="O670" s="287">
        <v>105.4</v>
      </c>
      <c r="P670" s="287">
        <f>Tabla3[[#This Row],[COSTO UNITARIO DOLARES EN HAWTHORNE]]*Tabla3[[#This Row],[CANTIDAD SOLICTADA]]</f>
        <v>210.8</v>
      </c>
      <c r="Q670" s="41" t="s">
        <v>1812</v>
      </c>
      <c r="R670" s="229">
        <v>25.68</v>
      </c>
      <c r="S670" s="229">
        <f>+Tabla3[[#This Row],[COSTO UNITARIO DOLARES CTP]]*Tabla3[[#This Row],[CANTIDAD SOLICTADA]]</f>
        <v>51.36</v>
      </c>
      <c r="T670" s="41" t="s">
        <v>674</v>
      </c>
      <c r="U670" s="18" t="s">
        <v>8</v>
      </c>
      <c r="V670" s="8" t="s">
        <v>937</v>
      </c>
      <c r="W670" s="10"/>
      <c r="X670" s="10" t="s">
        <v>89</v>
      </c>
      <c r="Y670" s="10" t="s">
        <v>90</v>
      </c>
      <c r="Z670" s="16" t="s">
        <v>46</v>
      </c>
      <c r="AA670" s="25">
        <v>46209</v>
      </c>
      <c r="AB670" s="16"/>
      <c r="AC670" s="16"/>
      <c r="AD670" s="16"/>
      <c r="AE670" s="16" t="s">
        <v>1816</v>
      </c>
      <c r="AF670" s="16"/>
      <c r="AG670" s="21" t="s">
        <v>938</v>
      </c>
      <c r="XFD670" s="15" t="str">
        <f>+Tabla3[[#This Row],[ESTATUS DE NUM ECONOMICO]]</f>
        <v>INACTIVA</v>
      </c>
    </row>
    <row r="671" spans="1:33 16384:16384" ht="15.75" thickBot="1" x14ac:dyDescent="0.3">
      <c r="A671" s="8">
        <v>120</v>
      </c>
      <c r="B671" s="9">
        <v>46199</v>
      </c>
      <c r="C671" s="10" t="s">
        <v>87</v>
      </c>
      <c r="D671" s="11"/>
      <c r="E671" s="16">
        <v>50</v>
      </c>
      <c r="F671" s="9">
        <v>46203</v>
      </c>
      <c r="G671" s="212" t="str">
        <f>IFERROR(VLOOKUP(Tabla3[[#This Row],[NUM ECONOMICO]],MAQUINARIA!B:H,7,0), " MAQ")</f>
        <v>INACTIVA</v>
      </c>
      <c r="H671" s="214" t="s">
        <v>935</v>
      </c>
      <c r="I671" s="41" t="s">
        <v>1814</v>
      </c>
      <c r="J671" s="10" t="s">
        <v>176</v>
      </c>
      <c r="K671" s="10">
        <v>1</v>
      </c>
      <c r="L671" s="13">
        <v>7830.36</v>
      </c>
      <c r="M671" s="13">
        <f t="shared" si="10"/>
        <v>7830.36</v>
      </c>
      <c r="N671" s="41" t="s">
        <v>674</v>
      </c>
      <c r="O671" s="287">
        <v>432.63</v>
      </c>
      <c r="P671" s="287">
        <f>Tabla3[[#This Row],[COSTO UNITARIO DOLARES EN HAWTHORNE]]*Tabla3[[#This Row],[CANTIDAD SOLICTADA]]</f>
        <v>432.63</v>
      </c>
      <c r="Q671" s="41" t="s">
        <v>1812</v>
      </c>
      <c r="R671" s="229">
        <v>49.99</v>
      </c>
      <c r="S671" s="229">
        <f>+Tabla3[[#This Row],[COSTO UNITARIO DOLARES CTP]]*Tabla3[[#This Row],[CANTIDAD SOLICTADA]]</f>
        <v>49.99</v>
      </c>
      <c r="T671" s="41" t="s">
        <v>674</v>
      </c>
      <c r="U671" s="18" t="s">
        <v>8</v>
      </c>
      <c r="V671" s="8" t="s">
        <v>937</v>
      </c>
      <c r="W671" s="10"/>
      <c r="X671" s="10" t="s">
        <v>89</v>
      </c>
      <c r="Y671" s="10" t="s">
        <v>90</v>
      </c>
      <c r="Z671" s="16" t="s">
        <v>46</v>
      </c>
      <c r="AA671" s="25">
        <v>46209</v>
      </c>
      <c r="AB671" s="16"/>
      <c r="AC671" s="16"/>
      <c r="AD671" s="16"/>
      <c r="AE671" s="16" t="s">
        <v>1816</v>
      </c>
      <c r="AF671" s="16"/>
      <c r="AG671" s="21" t="s">
        <v>938</v>
      </c>
      <c r="XFD671" s="15" t="str">
        <f>+Tabla3[[#This Row],[ESTATUS DE NUM ECONOMICO]]</f>
        <v>INACTIVA</v>
      </c>
    </row>
    <row r="672" spans="1:33 16384:16384" ht="15.75" thickBot="1" x14ac:dyDescent="0.3">
      <c r="A672" s="8">
        <v>120</v>
      </c>
      <c r="B672" s="9">
        <v>46199</v>
      </c>
      <c r="C672" s="10" t="s">
        <v>87</v>
      </c>
      <c r="D672" s="11"/>
      <c r="E672" s="16">
        <v>50</v>
      </c>
      <c r="F672" s="9">
        <v>46203</v>
      </c>
      <c r="G672" s="212" t="str">
        <f>IFERROR(VLOOKUP(Tabla3[[#This Row],[NUM ECONOMICO]],MAQUINARIA!B:H,7,0), " MAQ")</f>
        <v>INACTIVA</v>
      </c>
      <c r="H672" s="214" t="s">
        <v>935</v>
      </c>
      <c r="I672" s="41" t="s">
        <v>939</v>
      </c>
      <c r="J672" s="10" t="s">
        <v>1808</v>
      </c>
      <c r="K672" s="10">
        <v>1</v>
      </c>
      <c r="L672" s="13">
        <v>3677.94</v>
      </c>
      <c r="M672" s="13">
        <f t="shared" si="10"/>
        <v>3677.94</v>
      </c>
      <c r="N672" s="41" t="s">
        <v>674</v>
      </c>
      <c r="O672" s="287">
        <v>168.17</v>
      </c>
      <c r="P672" s="287">
        <f>Tabla3[[#This Row],[COSTO UNITARIO DOLARES EN HAWTHORNE]]*Tabla3[[#This Row],[CANTIDAD SOLICTADA]]</f>
        <v>168.17</v>
      </c>
      <c r="Q672" s="41" t="s">
        <v>1812</v>
      </c>
      <c r="R672" s="229">
        <v>22.92</v>
      </c>
      <c r="S672" s="229">
        <f>+Tabla3[[#This Row],[COSTO UNITARIO DOLARES CTP]]*Tabla3[[#This Row],[CANTIDAD SOLICTADA]]</f>
        <v>22.92</v>
      </c>
      <c r="T672" s="41" t="s">
        <v>674</v>
      </c>
      <c r="U672" s="18" t="s">
        <v>4</v>
      </c>
      <c r="V672" s="8" t="s">
        <v>937</v>
      </c>
      <c r="W672" s="9">
        <v>46210</v>
      </c>
      <c r="X672" s="10" t="s">
        <v>89</v>
      </c>
      <c r="Y672" s="10" t="s">
        <v>90</v>
      </c>
      <c r="Z672" s="16" t="s">
        <v>46</v>
      </c>
      <c r="AA672" s="25">
        <v>46209</v>
      </c>
      <c r="AB672" s="16"/>
      <c r="AC672" s="16" t="s">
        <v>91</v>
      </c>
      <c r="AD672" s="16"/>
      <c r="AE672" s="16" t="s">
        <v>1816</v>
      </c>
      <c r="AF672" s="16" t="s">
        <v>407</v>
      </c>
      <c r="AG672" s="21" t="s">
        <v>938</v>
      </c>
      <c r="XFD672" s="15" t="str">
        <f>+Tabla3[[#This Row],[ESTATUS DE NUM ECONOMICO]]</f>
        <v>INACTIVA</v>
      </c>
    </row>
    <row r="673" spans="1:33 16384:16384" ht="15.75" thickBot="1" x14ac:dyDescent="0.3">
      <c r="A673" s="8">
        <v>120</v>
      </c>
      <c r="B673" s="9">
        <v>46199</v>
      </c>
      <c r="C673" s="10" t="s">
        <v>87</v>
      </c>
      <c r="D673" s="11"/>
      <c r="E673" s="16">
        <v>50</v>
      </c>
      <c r="F673" s="9">
        <v>46203</v>
      </c>
      <c r="G673" s="212" t="str">
        <f>IFERROR(VLOOKUP(Tabla3[[#This Row],[NUM ECONOMICO]],MAQUINARIA!B:H,7,0), " MAQ")</f>
        <v>INACTIVA</v>
      </c>
      <c r="H673" s="214" t="s">
        <v>935</v>
      </c>
      <c r="I673" s="41" t="s">
        <v>298</v>
      </c>
      <c r="J673" s="10" t="s">
        <v>1809</v>
      </c>
      <c r="K673" s="10">
        <v>1</v>
      </c>
      <c r="L673" s="13">
        <v>726.84</v>
      </c>
      <c r="M673" s="13">
        <f t="shared" si="10"/>
        <v>726.84</v>
      </c>
      <c r="N673" s="41" t="s">
        <v>674</v>
      </c>
      <c r="O673" s="287">
        <v>37.07</v>
      </c>
      <c r="P673" s="287">
        <f>Tabla3[[#This Row],[COSTO UNITARIO DOLARES EN HAWTHORNE]]*Tabla3[[#This Row],[CANTIDAD SOLICTADA]]</f>
        <v>37.07</v>
      </c>
      <c r="Q673" s="41" t="s">
        <v>1812</v>
      </c>
      <c r="R673" s="229">
        <v>20.13</v>
      </c>
      <c r="S673" s="229">
        <f>+Tabla3[[#This Row],[COSTO UNITARIO DOLARES CTP]]*Tabla3[[#This Row],[CANTIDAD SOLICTADA]]</f>
        <v>20.13</v>
      </c>
      <c r="T673" s="41" t="s">
        <v>674</v>
      </c>
      <c r="U673" s="18" t="s">
        <v>4</v>
      </c>
      <c r="V673" s="8" t="s">
        <v>937</v>
      </c>
      <c r="W673" s="9">
        <v>46210</v>
      </c>
      <c r="X673" s="10" t="s">
        <v>89</v>
      </c>
      <c r="Y673" s="10" t="s">
        <v>90</v>
      </c>
      <c r="Z673" s="16" t="s">
        <v>46</v>
      </c>
      <c r="AA673" s="25">
        <v>46209</v>
      </c>
      <c r="AB673" s="16"/>
      <c r="AC673" s="16" t="s">
        <v>91</v>
      </c>
      <c r="AD673" s="16"/>
      <c r="AE673" s="16" t="s">
        <v>1816</v>
      </c>
      <c r="AF673" s="16" t="s">
        <v>407</v>
      </c>
      <c r="AG673" s="21" t="s">
        <v>938</v>
      </c>
      <c r="XFD673" s="15" t="str">
        <f>+Tabla3[[#This Row],[ESTATUS DE NUM ECONOMICO]]</f>
        <v>INACTIVA</v>
      </c>
    </row>
    <row r="674" spans="1:33 16384:16384" ht="15.75" thickBot="1" x14ac:dyDescent="0.3">
      <c r="A674" s="8">
        <v>120</v>
      </c>
      <c r="B674" s="9">
        <v>46199</v>
      </c>
      <c r="C674" s="10" t="s">
        <v>87</v>
      </c>
      <c r="D674" s="11"/>
      <c r="E674" s="16">
        <v>50</v>
      </c>
      <c r="F674" s="9">
        <v>46203</v>
      </c>
      <c r="G674" s="212" t="str">
        <f>IFERROR(VLOOKUP(Tabla3[[#This Row],[NUM ECONOMICO]],MAQUINARIA!B:H,7,0), " MAQ")</f>
        <v>INACTIVA</v>
      </c>
      <c r="H674" s="214" t="s">
        <v>935</v>
      </c>
      <c r="I674" s="41" t="s">
        <v>278</v>
      </c>
      <c r="J674" s="10" t="s">
        <v>1810</v>
      </c>
      <c r="K674" s="10">
        <v>3</v>
      </c>
      <c r="L674" s="13">
        <v>3504.24</v>
      </c>
      <c r="M674" s="13">
        <f t="shared" si="10"/>
        <v>10512.72</v>
      </c>
      <c r="N674" s="41" t="s">
        <v>674</v>
      </c>
      <c r="O674" s="287">
        <v>153.34</v>
      </c>
      <c r="P674" s="287">
        <f>Tabla3[[#This Row],[COSTO UNITARIO DOLARES EN HAWTHORNE]]*Tabla3[[#This Row],[CANTIDAD SOLICTADA]]</f>
        <v>460.02</v>
      </c>
      <c r="Q674" s="41" t="s">
        <v>1812</v>
      </c>
      <c r="R674" s="229">
        <v>87.22</v>
      </c>
      <c r="S674" s="229">
        <f>+Tabla3[[#This Row],[COSTO UNITARIO DOLARES CTP]]*Tabla3[[#This Row],[CANTIDAD SOLICTADA]]</f>
        <v>261.65999999999997</v>
      </c>
      <c r="T674" s="41" t="s">
        <v>674</v>
      </c>
      <c r="U674" s="18" t="s">
        <v>8</v>
      </c>
      <c r="V674" s="8" t="s">
        <v>937</v>
      </c>
      <c r="W674" s="10"/>
      <c r="X674" s="10" t="s">
        <v>89</v>
      </c>
      <c r="Y674" s="10" t="s">
        <v>90</v>
      </c>
      <c r="Z674" s="16" t="s">
        <v>46</v>
      </c>
      <c r="AA674" s="25">
        <v>46209</v>
      </c>
      <c r="AB674" s="16"/>
      <c r="AC674" s="16"/>
      <c r="AD674" s="16"/>
      <c r="AE674" s="16" t="s">
        <v>1816</v>
      </c>
      <c r="AF674" s="16"/>
      <c r="AG674" s="21" t="s">
        <v>938</v>
      </c>
      <c r="XFD674" s="15" t="str">
        <f>+Tabla3[[#This Row],[ESTATUS DE NUM ECONOMICO]]</f>
        <v>INACTIVA</v>
      </c>
    </row>
    <row r="675" spans="1:33 16384:16384" ht="15.75" thickBot="1" x14ac:dyDescent="0.3">
      <c r="A675" s="8">
        <v>121</v>
      </c>
      <c r="B675" s="9">
        <v>46199</v>
      </c>
      <c r="C675" s="10" t="s">
        <v>87</v>
      </c>
      <c r="D675" s="11"/>
      <c r="E675" s="16">
        <v>50</v>
      </c>
      <c r="F675" s="9">
        <v>46203</v>
      </c>
      <c r="G675" s="212" t="str">
        <f>IFERROR(VLOOKUP(Tabla3[[#This Row],[NUM ECONOMICO]],MAQUINARIA!B:H,7,0), " MAQ")</f>
        <v>INACTIVA</v>
      </c>
      <c r="H675" s="214" t="s">
        <v>210</v>
      </c>
      <c r="I675" s="41" t="s">
        <v>797</v>
      </c>
      <c r="J675" s="10"/>
      <c r="K675" s="10">
        <v>1</v>
      </c>
      <c r="L675" s="12"/>
      <c r="M675" s="13">
        <f t="shared" si="10"/>
        <v>0</v>
      </c>
      <c r="N675" s="41"/>
      <c r="O675" s="10"/>
      <c r="P675" s="10">
        <f>Tabla3[[#This Row],[COSTO UNITARIO DOLARES EN HAWTHORNE]]*Tabla3[[#This Row],[CANTIDAD SOLICTADA]]</f>
        <v>0</v>
      </c>
      <c r="Q675" s="41"/>
      <c r="R675" s="229">
        <v>113.23</v>
      </c>
      <c r="S675" s="229">
        <f>+Tabla3[[#This Row],[COSTO UNITARIO DOLARES CTP]]*Tabla3[[#This Row],[CANTIDAD SOLICTADA]]</f>
        <v>113.23</v>
      </c>
      <c r="T675" s="41"/>
      <c r="U675" s="14" t="s">
        <v>4</v>
      </c>
      <c r="V675" s="17"/>
      <c r="W675" s="10"/>
      <c r="X675" s="10" t="s">
        <v>96</v>
      </c>
      <c r="Y675" s="10">
        <v>1</v>
      </c>
      <c r="Z675" s="16" t="s">
        <v>232</v>
      </c>
      <c r="AA675" s="16"/>
      <c r="AB675" s="16"/>
      <c r="AC675" s="16"/>
      <c r="AD675" s="16"/>
      <c r="AE675" s="16" t="s">
        <v>940</v>
      </c>
      <c r="AF675" s="16"/>
      <c r="AG675" s="21" t="s">
        <v>941</v>
      </c>
      <c r="XFD675" s="15" t="str">
        <f>+Tabla3[[#This Row],[ESTATUS DE NUM ECONOMICO]]</f>
        <v>INACTIVA</v>
      </c>
    </row>
    <row r="676" spans="1:33 16384:16384" ht="15.75" thickBot="1" x14ac:dyDescent="0.3">
      <c r="A676" s="8">
        <v>122</v>
      </c>
      <c r="B676" s="9">
        <v>46200</v>
      </c>
      <c r="C676" s="10" t="s">
        <v>87</v>
      </c>
      <c r="D676" s="11"/>
      <c r="E676" s="16">
        <v>24</v>
      </c>
      <c r="F676" s="9">
        <v>46203</v>
      </c>
      <c r="G676" s="212" t="str">
        <f>IFERROR(VLOOKUP(Tabla3[[#This Row],[NUM ECONOMICO]],MAQUINARIA!B:H,7,0), " MAQ")</f>
        <v>ACTIVA</v>
      </c>
      <c r="H676" s="214" t="s">
        <v>903</v>
      </c>
      <c r="I676" s="41" t="s">
        <v>174</v>
      </c>
      <c r="J676" s="10"/>
      <c r="K676" s="10">
        <v>2</v>
      </c>
      <c r="L676" s="13">
        <v>416.51</v>
      </c>
      <c r="M676" s="13">
        <f t="shared" si="10"/>
        <v>833.02</v>
      </c>
      <c r="N676" s="41"/>
      <c r="O676" s="10"/>
      <c r="P676" s="10">
        <f>Tabla3[[#This Row],[COSTO UNITARIO DOLARES EN HAWTHORNE]]*Tabla3[[#This Row],[CANTIDAD SOLICTADA]]</f>
        <v>0</v>
      </c>
      <c r="Q676" s="41"/>
      <c r="R676" s="229"/>
      <c r="S676" s="229">
        <f>+Tabla3[[#This Row],[COSTO UNITARIO DOLARES CTP]]*Tabla3[[#This Row],[CANTIDAD SOLICTADA]]</f>
        <v>0</v>
      </c>
      <c r="T676" s="41"/>
      <c r="U676" s="20" t="s">
        <v>4</v>
      </c>
      <c r="V676" s="8" t="s">
        <v>942</v>
      </c>
      <c r="W676" s="10"/>
      <c r="X676" s="10" t="s">
        <v>89</v>
      </c>
      <c r="Y676" s="10">
        <v>2</v>
      </c>
      <c r="Z676" s="16" t="s">
        <v>48</v>
      </c>
      <c r="AA676" s="16"/>
      <c r="AB676" s="16"/>
      <c r="AC676" s="16" t="s">
        <v>91</v>
      </c>
      <c r="AD676" s="16"/>
      <c r="AE676" s="16" t="s">
        <v>407</v>
      </c>
      <c r="AF676" s="16"/>
      <c r="AG676" s="21" t="s">
        <v>943</v>
      </c>
      <c r="XFD676" s="15" t="str">
        <f>+Tabla3[[#This Row],[ESTATUS DE NUM ECONOMICO]]</f>
        <v>ACTIVA</v>
      </c>
    </row>
    <row r="677" spans="1:33 16384:16384" ht="15.75" thickBot="1" x14ac:dyDescent="0.3">
      <c r="A677" s="8">
        <v>122</v>
      </c>
      <c r="B677" s="9">
        <v>46200</v>
      </c>
      <c r="C677" s="10" t="s">
        <v>87</v>
      </c>
      <c r="D677" s="11"/>
      <c r="E677" s="16">
        <v>24</v>
      </c>
      <c r="F677" s="9">
        <v>46203</v>
      </c>
      <c r="G677" s="212" t="str">
        <f>IFERROR(VLOOKUP(Tabla3[[#This Row],[NUM ECONOMICO]],MAQUINARIA!B:H,7,0), " MAQ")</f>
        <v>ACTIVA</v>
      </c>
      <c r="H677" s="214" t="s">
        <v>903</v>
      </c>
      <c r="I677" s="41" t="s">
        <v>175</v>
      </c>
      <c r="J677" s="10"/>
      <c r="K677" s="10">
        <v>2</v>
      </c>
      <c r="L677" s="13">
        <v>1302.6600000000001</v>
      </c>
      <c r="M677" s="13">
        <f t="shared" si="10"/>
        <v>2605.3200000000002</v>
      </c>
      <c r="N677" s="41"/>
      <c r="O677" s="10"/>
      <c r="P677" s="10">
        <f>Tabla3[[#This Row],[COSTO UNITARIO DOLARES EN HAWTHORNE]]*Tabla3[[#This Row],[CANTIDAD SOLICTADA]]</f>
        <v>0</v>
      </c>
      <c r="Q677" s="41"/>
      <c r="R677" s="229">
        <v>12.08</v>
      </c>
      <c r="S677" s="229">
        <f>+Tabla3[[#This Row],[COSTO UNITARIO DOLARES CTP]]*Tabla3[[#This Row],[CANTIDAD SOLICTADA]]</f>
        <v>24.16</v>
      </c>
      <c r="T677" s="41"/>
      <c r="U677" s="20" t="s">
        <v>4</v>
      </c>
      <c r="V677" s="8" t="s">
        <v>942</v>
      </c>
      <c r="W677" s="10"/>
      <c r="X677" s="10" t="s">
        <v>89</v>
      </c>
      <c r="Y677" s="10">
        <v>1</v>
      </c>
      <c r="Z677" s="16" t="s">
        <v>48</v>
      </c>
      <c r="AA677" s="16"/>
      <c r="AB677" s="16"/>
      <c r="AC677" s="16" t="s">
        <v>91</v>
      </c>
      <c r="AD677" s="16"/>
      <c r="AE677" s="16" t="s">
        <v>407</v>
      </c>
      <c r="AF677" s="16"/>
      <c r="AG677" s="21" t="s">
        <v>943</v>
      </c>
      <c r="XFD677" s="15" t="str">
        <f>+Tabla3[[#This Row],[ESTATUS DE NUM ECONOMICO]]</f>
        <v>ACTIVA</v>
      </c>
    </row>
    <row r="678" spans="1:33 16384:16384" ht="15.75" thickBot="1" x14ac:dyDescent="0.3">
      <c r="A678" s="8">
        <v>122</v>
      </c>
      <c r="B678" s="9">
        <v>46200</v>
      </c>
      <c r="C678" s="10" t="s">
        <v>87</v>
      </c>
      <c r="D678" s="11"/>
      <c r="E678" s="16">
        <v>24</v>
      </c>
      <c r="F678" s="9">
        <v>46203</v>
      </c>
      <c r="G678" s="212" t="str">
        <f>IFERROR(VLOOKUP(Tabla3[[#This Row],[NUM ECONOMICO]],MAQUINARIA!B:H,7,0), " MAQ")</f>
        <v>ACTIVA</v>
      </c>
      <c r="H678" s="214" t="s">
        <v>903</v>
      </c>
      <c r="I678" s="41" t="s">
        <v>179</v>
      </c>
      <c r="J678" s="10"/>
      <c r="K678" s="10">
        <v>2</v>
      </c>
      <c r="L678" s="13">
        <v>944.1</v>
      </c>
      <c r="M678" s="13">
        <f t="shared" si="10"/>
        <v>1888.2</v>
      </c>
      <c r="N678" s="41"/>
      <c r="O678" s="10"/>
      <c r="P678" s="10">
        <f>Tabla3[[#This Row],[COSTO UNITARIO DOLARES EN HAWTHORNE]]*Tabla3[[#This Row],[CANTIDAD SOLICTADA]]</f>
        <v>0</v>
      </c>
      <c r="Q678" s="41"/>
      <c r="R678" s="229">
        <v>6.2</v>
      </c>
      <c r="S678" s="229">
        <f>+Tabla3[[#This Row],[COSTO UNITARIO DOLARES CTP]]*Tabla3[[#This Row],[CANTIDAD SOLICTADA]]</f>
        <v>12.4</v>
      </c>
      <c r="T678" s="41"/>
      <c r="U678" s="20" t="s">
        <v>4</v>
      </c>
      <c r="V678" s="8" t="s">
        <v>942</v>
      </c>
      <c r="W678" s="10"/>
      <c r="X678" s="10" t="s">
        <v>89</v>
      </c>
      <c r="Y678" s="10" t="s">
        <v>90</v>
      </c>
      <c r="Z678" s="16" t="s">
        <v>48</v>
      </c>
      <c r="AA678" s="16"/>
      <c r="AB678" s="16"/>
      <c r="AC678" s="16" t="s">
        <v>91</v>
      </c>
      <c r="AD678" s="16"/>
      <c r="AE678" s="16" t="s">
        <v>407</v>
      </c>
      <c r="AF678" s="16"/>
      <c r="AG678" s="21" t="s">
        <v>943</v>
      </c>
      <c r="XFD678" s="15" t="str">
        <f>+Tabla3[[#This Row],[ESTATUS DE NUM ECONOMICO]]</f>
        <v>ACTIVA</v>
      </c>
    </row>
    <row r="679" spans="1:33 16384:16384" ht="15.75" thickBot="1" x14ac:dyDescent="0.3">
      <c r="A679" s="8">
        <v>122</v>
      </c>
      <c r="B679" s="9">
        <v>46200</v>
      </c>
      <c r="C679" s="10" t="s">
        <v>87</v>
      </c>
      <c r="D679" s="11"/>
      <c r="E679" s="16">
        <v>24</v>
      </c>
      <c r="F679" s="9">
        <v>46203</v>
      </c>
      <c r="G679" s="212" t="str">
        <f>IFERROR(VLOOKUP(Tabla3[[#This Row],[NUM ECONOMICO]],MAQUINARIA!B:H,7,0), " MAQ")</f>
        <v>ACTIVA</v>
      </c>
      <c r="H679" s="214" t="s">
        <v>903</v>
      </c>
      <c r="I679" s="41">
        <v>1447295</v>
      </c>
      <c r="J679" s="10"/>
      <c r="K679" s="10">
        <v>2</v>
      </c>
      <c r="L679" s="13">
        <v>94.14</v>
      </c>
      <c r="M679" s="13">
        <f t="shared" si="10"/>
        <v>188.28</v>
      </c>
      <c r="N679" s="41"/>
      <c r="O679" s="10"/>
      <c r="P679" s="10">
        <f>Tabla3[[#This Row],[COSTO UNITARIO DOLARES EN HAWTHORNE]]*Tabla3[[#This Row],[CANTIDAD SOLICTADA]]</f>
        <v>0</v>
      </c>
      <c r="Q679" s="41"/>
      <c r="R679" s="229">
        <v>0</v>
      </c>
      <c r="S679" s="229">
        <f>+Tabla3[[#This Row],[COSTO UNITARIO DOLARES CTP]]*Tabla3[[#This Row],[CANTIDAD SOLICTADA]]</f>
        <v>0</v>
      </c>
      <c r="T679" s="41"/>
      <c r="U679" s="20" t="s">
        <v>4</v>
      </c>
      <c r="V679" s="8" t="s">
        <v>942</v>
      </c>
      <c r="W679" s="10"/>
      <c r="X679" s="10" t="s">
        <v>89</v>
      </c>
      <c r="Y679" s="10" t="s">
        <v>90</v>
      </c>
      <c r="Z679" s="16" t="s">
        <v>46</v>
      </c>
      <c r="AA679" s="16"/>
      <c r="AB679" s="16"/>
      <c r="AC679" s="16" t="s">
        <v>91</v>
      </c>
      <c r="AD679" s="16"/>
      <c r="AE679" s="16" t="s">
        <v>407</v>
      </c>
      <c r="AF679" s="16"/>
      <c r="AG679" s="21" t="s">
        <v>943</v>
      </c>
      <c r="XFD679" s="15" t="str">
        <f>+Tabla3[[#This Row],[ESTATUS DE NUM ECONOMICO]]</f>
        <v>ACTIVA</v>
      </c>
    </row>
    <row r="680" spans="1:33 16384:16384" ht="15.75" thickBot="1" x14ac:dyDescent="0.3">
      <c r="A680" s="8">
        <v>122</v>
      </c>
      <c r="B680" s="9">
        <v>46200</v>
      </c>
      <c r="C680" s="10" t="s">
        <v>87</v>
      </c>
      <c r="D680" s="11"/>
      <c r="E680" s="16">
        <v>24</v>
      </c>
      <c r="F680" s="9">
        <v>46203</v>
      </c>
      <c r="G680" s="212" t="str">
        <f>IFERROR(VLOOKUP(Tabla3[[#This Row],[NUM ECONOMICO]],MAQUINARIA!B:H,7,0), " MAQ")</f>
        <v>ACTIVA</v>
      </c>
      <c r="H680" s="214" t="s">
        <v>903</v>
      </c>
      <c r="I680" s="41">
        <v>312523</v>
      </c>
      <c r="J680" s="10"/>
      <c r="K680" s="10">
        <v>6</v>
      </c>
      <c r="L680" s="13">
        <v>25.14</v>
      </c>
      <c r="M680" s="13">
        <f t="shared" si="10"/>
        <v>150.84</v>
      </c>
      <c r="N680" s="41"/>
      <c r="O680" s="10"/>
      <c r="P680" s="10">
        <f>Tabla3[[#This Row],[COSTO UNITARIO DOLARES EN HAWTHORNE]]*Tabla3[[#This Row],[CANTIDAD SOLICTADA]]</f>
        <v>0</v>
      </c>
      <c r="Q680" s="41"/>
      <c r="R680" s="229">
        <v>0</v>
      </c>
      <c r="S680" s="229">
        <f>+Tabla3[[#This Row],[COSTO UNITARIO DOLARES CTP]]*Tabla3[[#This Row],[CANTIDAD SOLICTADA]]</f>
        <v>0</v>
      </c>
      <c r="T680" s="41"/>
      <c r="U680" s="20" t="s">
        <v>4</v>
      </c>
      <c r="V680" s="8" t="s">
        <v>942</v>
      </c>
      <c r="W680" s="10"/>
      <c r="X680" s="10" t="s">
        <v>89</v>
      </c>
      <c r="Y680" s="10" t="s">
        <v>90</v>
      </c>
      <c r="Z680" s="16" t="s">
        <v>48</v>
      </c>
      <c r="AA680" s="16"/>
      <c r="AB680" s="16"/>
      <c r="AC680" s="16" t="s">
        <v>91</v>
      </c>
      <c r="AD680" s="16"/>
      <c r="AE680" s="16" t="s">
        <v>407</v>
      </c>
      <c r="AF680" s="16"/>
      <c r="AG680" s="21" t="s">
        <v>943</v>
      </c>
      <c r="XFD680" s="15" t="str">
        <f>+Tabla3[[#This Row],[ESTATUS DE NUM ECONOMICO]]</f>
        <v>ACTIVA</v>
      </c>
    </row>
    <row r="681" spans="1:33 16384:16384" ht="15.75" thickBot="1" x14ac:dyDescent="0.3">
      <c r="A681" s="8">
        <v>122</v>
      </c>
      <c r="B681" s="9">
        <v>46200</v>
      </c>
      <c r="C681" s="10" t="s">
        <v>87</v>
      </c>
      <c r="D681" s="11"/>
      <c r="E681" s="16">
        <v>24</v>
      </c>
      <c r="F681" s="9">
        <v>46203</v>
      </c>
      <c r="G681" s="212" t="str">
        <f>IFERROR(VLOOKUP(Tabla3[[#This Row],[NUM ECONOMICO]],MAQUINARIA!B:H,7,0), " MAQ")</f>
        <v>ACTIVA</v>
      </c>
      <c r="H681" s="214" t="s">
        <v>903</v>
      </c>
      <c r="I681" s="41" t="s">
        <v>173</v>
      </c>
      <c r="J681" s="10" t="s">
        <v>152</v>
      </c>
      <c r="K681" s="10">
        <v>16</v>
      </c>
      <c r="L681" s="13">
        <v>11.23</v>
      </c>
      <c r="M681" s="13">
        <f t="shared" si="10"/>
        <v>179.68</v>
      </c>
      <c r="N681" s="41"/>
      <c r="O681" s="10"/>
      <c r="P681" s="10">
        <f>Tabla3[[#This Row],[COSTO UNITARIO DOLARES EN HAWTHORNE]]*Tabla3[[#This Row],[CANTIDAD SOLICTADA]]</f>
        <v>0</v>
      </c>
      <c r="Q681" s="41"/>
      <c r="R681" s="229"/>
      <c r="S681" s="229">
        <f>+Tabla3[[#This Row],[COSTO UNITARIO DOLARES CTP]]*Tabla3[[#This Row],[CANTIDAD SOLICTADA]]</f>
        <v>0</v>
      </c>
      <c r="T681" s="41"/>
      <c r="U681" s="20" t="s">
        <v>4</v>
      </c>
      <c r="V681" s="8" t="s">
        <v>942</v>
      </c>
      <c r="W681" s="10"/>
      <c r="X681" s="10" t="s">
        <v>89</v>
      </c>
      <c r="Y681" s="10">
        <v>1</v>
      </c>
      <c r="Z681" s="16" t="s">
        <v>48</v>
      </c>
      <c r="AA681" s="16"/>
      <c r="AB681" s="16"/>
      <c r="AC681" s="16" t="s">
        <v>91</v>
      </c>
      <c r="AD681" s="16"/>
      <c r="AE681" s="16" t="s">
        <v>407</v>
      </c>
      <c r="AF681" s="16"/>
      <c r="AG681" s="21" t="s">
        <v>943</v>
      </c>
      <c r="XFD681" s="15" t="str">
        <f>+Tabla3[[#This Row],[ESTATUS DE NUM ECONOMICO]]</f>
        <v>ACTIVA</v>
      </c>
    </row>
    <row r="682" spans="1:33 16384:16384" ht="15.75" thickBot="1" x14ac:dyDescent="0.3">
      <c r="A682" s="8">
        <v>122</v>
      </c>
      <c r="B682" s="9">
        <v>46200</v>
      </c>
      <c r="C682" s="10" t="s">
        <v>87</v>
      </c>
      <c r="D682" s="11"/>
      <c r="E682" s="16">
        <v>24</v>
      </c>
      <c r="F682" s="9">
        <v>46203</v>
      </c>
      <c r="G682" s="212" t="str">
        <f>IFERROR(VLOOKUP(Tabla3[[#This Row],[NUM ECONOMICO]],MAQUINARIA!B:H,7,0), " MAQ")</f>
        <v>ACTIVA</v>
      </c>
      <c r="H682" s="214" t="s">
        <v>903</v>
      </c>
      <c r="I682" s="41" t="s">
        <v>944</v>
      </c>
      <c r="J682" s="10"/>
      <c r="K682" s="10">
        <v>2</v>
      </c>
      <c r="L682" s="13">
        <v>270.12</v>
      </c>
      <c r="M682" s="13">
        <f t="shared" si="10"/>
        <v>540.24</v>
      </c>
      <c r="N682" s="41"/>
      <c r="O682" s="10"/>
      <c r="P682" s="10">
        <f>Tabla3[[#This Row],[COSTO UNITARIO DOLARES EN HAWTHORNE]]*Tabla3[[#This Row],[CANTIDAD SOLICTADA]]</f>
        <v>0</v>
      </c>
      <c r="Q682" s="41"/>
      <c r="R682" s="229"/>
      <c r="S682" s="229">
        <f>+Tabla3[[#This Row],[COSTO UNITARIO DOLARES CTP]]*Tabla3[[#This Row],[CANTIDAD SOLICTADA]]</f>
        <v>0</v>
      </c>
      <c r="T682" s="41"/>
      <c r="U682" s="20" t="s">
        <v>4</v>
      </c>
      <c r="V682" s="8" t="s">
        <v>942</v>
      </c>
      <c r="W682" s="10"/>
      <c r="X682" s="10" t="s">
        <v>89</v>
      </c>
      <c r="Y682" s="10" t="s">
        <v>90</v>
      </c>
      <c r="Z682" s="16" t="s">
        <v>48</v>
      </c>
      <c r="AA682" s="16"/>
      <c r="AB682" s="16"/>
      <c r="AC682" s="16" t="s">
        <v>91</v>
      </c>
      <c r="AD682" s="16"/>
      <c r="AE682" s="16" t="s">
        <v>407</v>
      </c>
      <c r="AF682" s="16"/>
      <c r="AG682" s="21" t="s">
        <v>943</v>
      </c>
      <c r="XFD682" s="15" t="str">
        <f>+Tabla3[[#This Row],[ESTATUS DE NUM ECONOMICO]]</f>
        <v>ACTIVA</v>
      </c>
    </row>
    <row r="683" spans="1:33 16384:16384" ht="15.75" thickBot="1" x14ac:dyDescent="0.3">
      <c r="A683" s="8">
        <v>122</v>
      </c>
      <c r="B683" s="9">
        <v>46200</v>
      </c>
      <c r="C683" s="10" t="s">
        <v>87</v>
      </c>
      <c r="D683" s="11"/>
      <c r="E683" s="16">
        <v>24</v>
      </c>
      <c r="F683" s="9">
        <v>46203</v>
      </c>
      <c r="G683" s="212" t="str">
        <f>IFERROR(VLOOKUP(Tabla3[[#This Row],[NUM ECONOMICO]],MAQUINARIA!B:H,7,0), " MAQ")</f>
        <v>ACTIVA</v>
      </c>
      <c r="H683" s="214" t="s">
        <v>903</v>
      </c>
      <c r="I683" s="41" t="s">
        <v>945</v>
      </c>
      <c r="J683" s="10" t="s">
        <v>154</v>
      </c>
      <c r="K683" s="10">
        <v>2</v>
      </c>
      <c r="L683" s="13">
        <v>1094.05</v>
      </c>
      <c r="M683" s="13">
        <f t="shared" si="10"/>
        <v>2188.1</v>
      </c>
      <c r="N683" s="41"/>
      <c r="O683" s="10"/>
      <c r="P683" s="10">
        <f>Tabla3[[#This Row],[COSTO UNITARIO DOLARES EN HAWTHORNE]]*Tabla3[[#This Row],[CANTIDAD SOLICTADA]]</f>
        <v>0</v>
      </c>
      <c r="Q683" s="41"/>
      <c r="R683" s="229"/>
      <c r="S683" s="229">
        <f>+Tabla3[[#This Row],[COSTO UNITARIO DOLARES CTP]]*Tabla3[[#This Row],[CANTIDAD SOLICTADA]]</f>
        <v>0</v>
      </c>
      <c r="T683" s="41"/>
      <c r="U683" s="20" t="s">
        <v>4</v>
      </c>
      <c r="V683" s="8" t="s">
        <v>942</v>
      </c>
      <c r="W683" s="10"/>
      <c r="X683" s="10" t="s">
        <v>89</v>
      </c>
      <c r="Y683" s="10" t="s">
        <v>90</v>
      </c>
      <c r="Z683" s="16" t="s">
        <v>48</v>
      </c>
      <c r="AA683" s="16"/>
      <c r="AB683" s="16"/>
      <c r="AC683" s="16" t="s">
        <v>91</v>
      </c>
      <c r="AD683" s="16"/>
      <c r="AE683" s="16" t="s">
        <v>407</v>
      </c>
      <c r="AF683" s="16"/>
      <c r="AG683" s="21" t="s">
        <v>943</v>
      </c>
      <c r="XFD683" s="15" t="str">
        <f>+Tabla3[[#This Row],[ESTATUS DE NUM ECONOMICO]]</f>
        <v>ACTIVA</v>
      </c>
    </row>
    <row r="684" spans="1:33 16384:16384" ht="15.75" thickBot="1" x14ac:dyDescent="0.3">
      <c r="A684" s="8">
        <v>122</v>
      </c>
      <c r="B684" s="9">
        <v>46200</v>
      </c>
      <c r="C684" s="10" t="s">
        <v>87</v>
      </c>
      <c r="D684" s="11"/>
      <c r="E684" s="16">
        <v>24</v>
      </c>
      <c r="F684" s="9">
        <v>46203</v>
      </c>
      <c r="G684" s="212" t="str">
        <f>IFERROR(VLOOKUP(Tabla3[[#This Row],[NUM ECONOMICO]],MAQUINARIA!B:H,7,0), " MAQ")</f>
        <v>ACTIVA</v>
      </c>
      <c r="H684" s="214" t="s">
        <v>903</v>
      </c>
      <c r="I684" s="41" t="s">
        <v>946</v>
      </c>
      <c r="J684" s="10" t="s">
        <v>947</v>
      </c>
      <c r="K684" s="10">
        <v>2</v>
      </c>
      <c r="L684" s="13">
        <v>897.2</v>
      </c>
      <c r="M684" s="13">
        <f t="shared" si="10"/>
        <v>1794.4</v>
      </c>
      <c r="N684" s="41"/>
      <c r="O684" s="10"/>
      <c r="P684" s="10">
        <f>Tabla3[[#This Row],[COSTO UNITARIO DOLARES EN HAWTHORNE]]*Tabla3[[#This Row],[CANTIDAD SOLICTADA]]</f>
        <v>0</v>
      </c>
      <c r="Q684" s="41"/>
      <c r="R684" s="229"/>
      <c r="S684" s="229">
        <f>+Tabla3[[#This Row],[COSTO UNITARIO DOLARES CTP]]*Tabla3[[#This Row],[CANTIDAD SOLICTADA]]</f>
        <v>0</v>
      </c>
      <c r="T684" s="41"/>
      <c r="U684" s="20" t="s">
        <v>4</v>
      </c>
      <c r="V684" s="8" t="s">
        <v>942</v>
      </c>
      <c r="W684" s="10"/>
      <c r="X684" s="10" t="s">
        <v>89</v>
      </c>
      <c r="Y684" s="10" t="s">
        <v>90</v>
      </c>
      <c r="Z684" s="16" t="s">
        <v>48</v>
      </c>
      <c r="AA684" s="16"/>
      <c r="AB684" s="16"/>
      <c r="AC684" s="16" t="s">
        <v>91</v>
      </c>
      <c r="AD684" s="16"/>
      <c r="AE684" s="16" t="s">
        <v>407</v>
      </c>
      <c r="AF684" s="16"/>
      <c r="AG684" s="21" t="s">
        <v>943</v>
      </c>
      <c r="XFD684" s="15" t="str">
        <f>+Tabla3[[#This Row],[ESTATUS DE NUM ECONOMICO]]</f>
        <v>ACTIVA</v>
      </c>
    </row>
    <row r="685" spans="1:33 16384:16384" ht="15.75" thickBot="1" x14ac:dyDescent="0.3">
      <c r="A685" s="8">
        <v>122</v>
      </c>
      <c r="B685" s="9">
        <v>46200</v>
      </c>
      <c r="C685" s="10" t="s">
        <v>87</v>
      </c>
      <c r="D685" s="11"/>
      <c r="E685" s="16">
        <v>24</v>
      </c>
      <c r="F685" s="9">
        <v>46203</v>
      </c>
      <c r="G685" s="212" t="str">
        <f>IFERROR(VLOOKUP(Tabla3[[#This Row],[NUM ECONOMICO]],MAQUINARIA!B:H,7,0), " MAQ")</f>
        <v>ACTIVA</v>
      </c>
      <c r="H685" s="214" t="s">
        <v>903</v>
      </c>
      <c r="I685" s="41">
        <v>1447291</v>
      </c>
      <c r="J685" s="10" t="s">
        <v>948</v>
      </c>
      <c r="K685" s="10">
        <v>2</v>
      </c>
      <c r="L685" s="13">
        <v>87.01</v>
      </c>
      <c r="M685" s="13">
        <f t="shared" si="10"/>
        <v>174.02</v>
      </c>
      <c r="N685" s="41"/>
      <c r="O685" s="10"/>
      <c r="P685" s="10">
        <f>Tabla3[[#This Row],[COSTO UNITARIO DOLARES EN HAWTHORNE]]*Tabla3[[#This Row],[CANTIDAD SOLICTADA]]</f>
        <v>0</v>
      </c>
      <c r="Q685" s="41"/>
      <c r="R685" s="229"/>
      <c r="S685" s="229">
        <f>+Tabla3[[#This Row],[COSTO UNITARIO DOLARES CTP]]*Tabla3[[#This Row],[CANTIDAD SOLICTADA]]</f>
        <v>0</v>
      </c>
      <c r="T685" s="41"/>
      <c r="U685" s="20" t="s">
        <v>4</v>
      </c>
      <c r="V685" s="8" t="s">
        <v>942</v>
      </c>
      <c r="W685" s="10"/>
      <c r="X685" s="10" t="s">
        <v>89</v>
      </c>
      <c r="Y685" s="10" t="s">
        <v>90</v>
      </c>
      <c r="Z685" s="16" t="s">
        <v>48</v>
      </c>
      <c r="AA685" s="16"/>
      <c r="AB685" s="16"/>
      <c r="AC685" s="16" t="s">
        <v>91</v>
      </c>
      <c r="AD685" s="16"/>
      <c r="AE685" s="16" t="s">
        <v>407</v>
      </c>
      <c r="AF685" s="16"/>
      <c r="AG685" s="21" t="s">
        <v>943</v>
      </c>
      <c r="XFD685" s="15" t="str">
        <f>+Tabla3[[#This Row],[ESTATUS DE NUM ECONOMICO]]</f>
        <v>ACTIVA</v>
      </c>
    </row>
    <row r="686" spans="1:33 16384:16384" ht="15.75" thickBot="1" x14ac:dyDescent="0.3">
      <c r="A686" s="8">
        <v>122</v>
      </c>
      <c r="B686" s="9">
        <v>46200</v>
      </c>
      <c r="C686" s="10" t="s">
        <v>87</v>
      </c>
      <c r="D686" s="11"/>
      <c r="E686" s="16">
        <v>24</v>
      </c>
      <c r="F686" s="9">
        <v>46203</v>
      </c>
      <c r="G686" s="212" t="str">
        <f>IFERROR(VLOOKUP(Tabla3[[#This Row],[NUM ECONOMICO]],MAQUINARIA!B:H,7,0), " MAQ")</f>
        <v>ACTIVA</v>
      </c>
      <c r="H686" s="214" t="s">
        <v>903</v>
      </c>
      <c r="I686" s="41" t="s">
        <v>949</v>
      </c>
      <c r="J686" s="10" t="s">
        <v>222</v>
      </c>
      <c r="K686" s="10">
        <v>8</v>
      </c>
      <c r="L686" s="13">
        <v>14.8</v>
      </c>
      <c r="M686" s="13">
        <f t="shared" si="10"/>
        <v>118.4</v>
      </c>
      <c r="N686" s="41"/>
      <c r="O686" s="10"/>
      <c r="P686" s="10">
        <f>Tabla3[[#This Row],[COSTO UNITARIO DOLARES EN HAWTHORNE]]*Tabla3[[#This Row],[CANTIDAD SOLICTADA]]</f>
        <v>0</v>
      </c>
      <c r="Q686" s="41"/>
      <c r="R686" s="229"/>
      <c r="S686" s="229">
        <f>+Tabla3[[#This Row],[COSTO UNITARIO DOLARES CTP]]*Tabla3[[#This Row],[CANTIDAD SOLICTADA]]</f>
        <v>0</v>
      </c>
      <c r="T686" s="41"/>
      <c r="U686" s="20" t="s">
        <v>4</v>
      </c>
      <c r="V686" s="8" t="s">
        <v>942</v>
      </c>
      <c r="W686" s="10"/>
      <c r="X686" s="10" t="s">
        <v>89</v>
      </c>
      <c r="Y686" s="10">
        <v>8</v>
      </c>
      <c r="Z686" s="16" t="s">
        <v>48</v>
      </c>
      <c r="AA686" s="16"/>
      <c r="AB686" s="16"/>
      <c r="AC686" s="16" t="s">
        <v>91</v>
      </c>
      <c r="AD686" s="16"/>
      <c r="AE686" s="16" t="s">
        <v>407</v>
      </c>
      <c r="AF686" s="16"/>
      <c r="AG686" s="21" t="s">
        <v>943</v>
      </c>
      <c r="XFD686" s="15" t="str">
        <f>+Tabla3[[#This Row],[ESTATUS DE NUM ECONOMICO]]</f>
        <v>ACTIVA</v>
      </c>
    </row>
    <row r="687" spans="1:33 16384:16384" ht="15.75" thickBot="1" x14ac:dyDescent="0.3">
      <c r="A687" s="8">
        <v>122</v>
      </c>
      <c r="B687" s="9">
        <v>46200</v>
      </c>
      <c r="C687" s="10" t="s">
        <v>87</v>
      </c>
      <c r="D687" s="11"/>
      <c r="E687" s="16">
        <v>24</v>
      </c>
      <c r="F687" s="9">
        <v>46203</v>
      </c>
      <c r="G687" s="212" t="str">
        <f>IFERROR(VLOOKUP(Tabla3[[#This Row],[NUM ECONOMICO]],MAQUINARIA!B:H,7,0), " MAQ")</f>
        <v>ACTIVA</v>
      </c>
      <c r="H687" s="214" t="s">
        <v>903</v>
      </c>
      <c r="I687" s="41" t="s">
        <v>950</v>
      </c>
      <c r="J687" s="10" t="s">
        <v>176</v>
      </c>
      <c r="K687" s="10">
        <v>1</v>
      </c>
      <c r="L687" s="13">
        <v>8664.67</v>
      </c>
      <c r="M687" s="13">
        <f t="shared" si="10"/>
        <v>8664.67</v>
      </c>
      <c r="N687" s="41"/>
      <c r="O687" s="10"/>
      <c r="P687" s="10">
        <f>Tabla3[[#This Row],[COSTO UNITARIO DOLARES EN HAWTHORNE]]*Tabla3[[#This Row],[CANTIDAD SOLICTADA]]</f>
        <v>0</v>
      </c>
      <c r="Q687" s="41"/>
      <c r="R687" s="229"/>
      <c r="S687" s="229">
        <f>+Tabla3[[#This Row],[COSTO UNITARIO DOLARES CTP]]*Tabla3[[#This Row],[CANTIDAD SOLICTADA]]</f>
        <v>0</v>
      </c>
      <c r="T687" s="41"/>
      <c r="U687" s="20" t="s">
        <v>4</v>
      </c>
      <c r="V687" s="8" t="s">
        <v>942</v>
      </c>
      <c r="W687" s="10"/>
      <c r="X687" s="10" t="s">
        <v>89</v>
      </c>
      <c r="Y687" s="10" t="s">
        <v>90</v>
      </c>
      <c r="Z687" s="16" t="s">
        <v>48</v>
      </c>
      <c r="AA687" s="16"/>
      <c r="AB687" s="16"/>
      <c r="AC687" s="16" t="s">
        <v>91</v>
      </c>
      <c r="AD687" s="16"/>
      <c r="AE687" s="16" t="s">
        <v>407</v>
      </c>
      <c r="AF687" s="16"/>
      <c r="AG687" s="21" t="s">
        <v>943</v>
      </c>
      <c r="XFD687" s="15" t="str">
        <f>+Tabla3[[#This Row],[ESTATUS DE NUM ECONOMICO]]</f>
        <v>ACTIVA</v>
      </c>
    </row>
    <row r="688" spans="1:33 16384:16384" ht="15.75" thickBot="1" x14ac:dyDescent="0.3">
      <c r="A688" s="8">
        <v>123</v>
      </c>
      <c r="B688" s="9">
        <v>46200</v>
      </c>
      <c r="C688" s="10" t="s">
        <v>87</v>
      </c>
      <c r="D688" s="11"/>
      <c r="E688" s="16">
        <v>24</v>
      </c>
      <c r="F688" s="9">
        <v>46052</v>
      </c>
      <c r="G688" s="212" t="str">
        <f>IFERROR(VLOOKUP(Tabla3[[#This Row],[NUM ECONOMICO]],MAQUINARIA!B:H,7,0), " MAQ")</f>
        <v>INACTIVA</v>
      </c>
      <c r="H688" s="214" t="s">
        <v>344</v>
      </c>
      <c r="I688" s="41" t="s">
        <v>149</v>
      </c>
      <c r="J688" s="10" t="s">
        <v>951</v>
      </c>
      <c r="K688" s="10">
        <v>4</v>
      </c>
      <c r="L688" s="13">
        <v>308.52</v>
      </c>
      <c r="M688" s="13">
        <f t="shared" si="10"/>
        <v>1234.08</v>
      </c>
      <c r="N688" s="41"/>
      <c r="O688" s="10"/>
      <c r="P688" s="10">
        <f>Tabla3[[#This Row],[COSTO UNITARIO DOLARES EN HAWTHORNE]]*Tabla3[[#This Row],[CANTIDAD SOLICTADA]]</f>
        <v>0</v>
      </c>
      <c r="Q688" s="41"/>
      <c r="R688" s="229"/>
      <c r="S688" s="229">
        <f>+Tabla3[[#This Row],[COSTO UNITARIO DOLARES CTP]]*Tabla3[[#This Row],[CANTIDAD SOLICTADA]]</f>
        <v>0</v>
      </c>
      <c r="T688" s="41"/>
      <c r="U688" s="20" t="s">
        <v>161</v>
      </c>
      <c r="V688" s="8" t="s">
        <v>952</v>
      </c>
      <c r="W688" s="10"/>
      <c r="X688" s="10" t="s">
        <v>96</v>
      </c>
      <c r="Y688" s="10">
        <v>32</v>
      </c>
      <c r="Z688" s="16"/>
      <c r="AA688" s="16"/>
      <c r="AB688" s="16"/>
      <c r="AC688" s="16"/>
      <c r="AD688" s="16"/>
      <c r="AE688" s="16" t="s">
        <v>953</v>
      </c>
      <c r="AF688" s="27" t="s">
        <v>954</v>
      </c>
      <c r="AG688" s="21"/>
      <c r="XFD688" s="15" t="str">
        <f>+Tabla3[[#This Row],[ESTATUS DE NUM ECONOMICO]]</f>
        <v>INACTIVA</v>
      </c>
    </row>
    <row r="689" spans="1:33 16384:16384" ht="15.75" thickBot="1" x14ac:dyDescent="0.3">
      <c r="A689" s="8">
        <v>123</v>
      </c>
      <c r="B689" s="9">
        <v>46200</v>
      </c>
      <c r="C689" s="10" t="s">
        <v>87</v>
      </c>
      <c r="D689" s="11"/>
      <c r="E689" s="16">
        <v>24</v>
      </c>
      <c r="F689" s="9">
        <v>46052</v>
      </c>
      <c r="G689" s="212" t="str">
        <f>IFERROR(VLOOKUP(Tabla3[[#This Row],[NUM ECONOMICO]],MAQUINARIA!B:H,7,0), " MAQ")</f>
        <v>INACTIVA</v>
      </c>
      <c r="H689" s="214" t="s">
        <v>344</v>
      </c>
      <c r="I689" s="41" t="s">
        <v>151</v>
      </c>
      <c r="J689" s="10" t="s">
        <v>292</v>
      </c>
      <c r="K689" s="10">
        <v>4</v>
      </c>
      <c r="L689" s="13">
        <v>174.42</v>
      </c>
      <c r="M689" s="13">
        <f t="shared" si="10"/>
        <v>697.68</v>
      </c>
      <c r="N689" s="41"/>
      <c r="O689" s="10"/>
      <c r="P689" s="10">
        <f>Tabla3[[#This Row],[COSTO UNITARIO DOLARES EN HAWTHORNE]]*Tabla3[[#This Row],[CANTIDAD SOLICTADA]]</f>
        <v>0</v>
      </c>
      <c r="Q689" s="41"/>
      <c r="R689" s="229">
        <v>0.82</v>
      </c>
      <c r="S689" s="229">
        <f>+Tabla3[[#This Row],[COSTO UNITARIO DOLARES CTP]]*Tabla3[[#This Row],[CANTIDAD SOLICTADA]]</f>
        <v>3.28</v>
      </c>
      <c r="T689" s="41"/>
      <c r="U689" s="20" t="s">
        <v>161</v>
      </c>
      <c r="V689" s="8" t="s">
        <v>952</v>
      </c>
      <c r="W689" s="10"/>
      <c r="X689" s="10" t="s">
        <v>96</v>
      </c>
      <c r="Y689" s="10">
        <v>6</v>
      </c>
      <c r="Z689" s="16"/>
      <c r="AA689" s="16"/>
      <c r="AB689" s="16"/>
      <c r="AC689" s="16"/>
      <c r="AD689" s="16"/>
      <c r="AE689" s="16" t="s">
        <v>953</v>
      </c>
      <c r="AF689" s="27" t="s">
        <v>954</v>
      </c>
      <c r="AG689" s="21"/>
      <c r="XFD689" s="15" t="str">
        <f>+Tabla3[[#This Row],[ESTATUS DE NUM ECONOMICO]]</f>
        <v>INACTIVA</v>
      </c>
    </row>
    <row r="690" spans="1:33 16384:16384" ht="15.75" thickBot="1" x14ac:dyDescent="0.3">
      <c r="A690" s="8">
        <v>123</v>
      </c>
      <c r="B690" s="9">
        <v>46200</v>
      </c>
      <c r="C690" s="10" t="s">
        <v>87</v>
      </c>
      <c r="D690" s="11"/>
      <c r="E690" s="16">
        <v>24</v>
      </c>
      <c r="F690" s="9">
        <v>46052</v>
      </c>
      <c r="G690" s="212" t="str">
        <f>IFERROR(VLOOKUP(Tabla3[[#This Row],[NUM ECONOMICO]],MAQUINARIA!B:H,7,0), " MAQ")</f>
        <v>INACTIVA</v>
      </c>
      <c r="H690" s="214" t="s">
        <v>344</v>
      </c>
      <c r="I690" s="41" t="s">
        <v>955</v>
      </c>
      <c r="J690" s="10" t="s">
        <v>830</v>
      </c>
      <c r="K690" s="10">
        <v>1</v>
      </c>
      <c r="L690" s="12"/>
      <c r="M690" s="13">
        <f t="shared" si="10"/>
        <v>0</v>
      </c>
      <c r="N690" s="41"/>
      <c r="O690" s="10"/>
      <c r="P690" s="10">
        <f>Tabla3[[#This Row],[COSTO UNITARIO DOLARES EN HAWTHORNE]]*Tabla3[[#This Row],[CANTIDAD SOLICTADA]]</f>
        <v>0</v>
      </c>
      <c r="Q690" s="41"/>
      <c r="R690" s="229"/>
      <c r="S690" s="229">
        <f>+Tabla3[[#This Row],[COSTO UNITARIO DOLARES CTP]]*Tabla3[[#This Row],[CANTIDAD SOLICTADA]]</f>
        <v>0</v>
      </c>
      <c r="T690" s="41"/>
      <c r="U690" s="19" t="s">
        <v>7</v>
      </c>
      <c r="V690" s="8" t="s">
        <v>952</v>
      </c>
      <c r="W690" s="10"/>
      <c r="X690" s="10" t="s">
        <v>89</v>
      </c>
      <c r="Y690" s="10" t="s">
        <v>90</v>
      </c>
      <c r="Z690" s="16"/>
      <c r="AA690" s="16"/>
      <c r="AB690" s="16"/>
      <c r="AC690" s="16"/>
      <c r="AD690" s="16"/>
      <c r="AE690" s="16" t="s">
        <v>956</v>
      </c>
      <c r="AF690" s="27" t="s">
        <v>954</v>
      </c>
      <c r="AG690" s="21"/>
      <c r="XFD690" s="15" t="str">
        <f>+Tabla3[[#This Row],[ESTATUS DE NUM ECONOMICO]]</f>
        <v>INACTIVA</v>
      </c>
    </row>
    <row r="691" spans="1:33 16384:16384" ht="15.75" thickBot="1" x14ac:dyDescent="0.3">
      <c r="A691" s="8">
        <v>123</v>
      </c>
      <c r="B691" s="9">
        <v>46200</v>
      </c>
      <c r="C691" s="10" t="s">
        <v>87</v>
      </c>
      <c r="D691" s="11"/>
      <c r="E691" s="16">
        <v>24</v>
      </c>
      <c r="F691" s="9">
        <v>46052</v>
      </c>
      <c r="G691" s="212" t="str">
        <f>IFERROR(VLOOKUP(Tabla3[[#This Row],[NUM ECONOMICO]],MAQUINARIA!B:H,7,0), " MAQ")</f>
        <v>INACTIVA</v>
      </c>
      <c r="H691" s="214" t="s">
        <v>344</v>
      </c>
      <c r="I691" s="41" t="s">
        <v>153</v>
      </c>
      <c r="J691" s="10" t="s">
        <v>693</v>
      </c>
      <c r="K691" s="10">
        <v>1</v>
      </c>
      <c r="L691" s="13">
        <v>218.52</v>
      </c>
      <c r="M691" s="13">
        <f t="shared" si="10"/>
        <v>218.52</v>
      </c>
      <c r="N691" s="41"/>
      <c r="O691" s="10"/>
      <c r="P691" s="10">
        <f>Tabla3[[#This Row],[COSTO UNITARIO DOLARES EN HAWTHORNE]]*Tabla3[[#This Row],[CANTIDAD SOLICTADA]]</f>
        <v>0</v>
      </c>
      <c r="Q691" s="41"/>
      <c r="R691" s="229">
        <v>3.98</v>
      </c>
      <c r="S691" s="229">
        <f>+Tabla3[[#This Row],[COSTO UNITARIO DOLARES CTP]]*Tabla3[[#This Row],[CANTIDAD SOLICTADA]]</f>
        <v>3.98</v>
      </c>
      <c r="T691" s="41"/>
      <c r="U691" s="20" t="s">
        <v>161</v>
      </c>
      <c r="V691" s="8" t="s">
        <v>952</v>
      </c>
      <c r="W691" s="10"/>
      <c r="X691" s="10" t="s">
        <v>89</v>
      </c>
      <c r="Y691" s="10">
        <v>22</v>
      </c>
      <c r="Z691" s="16"/>
      <c r="AA691" s="16"/>
      <c r="AB691" s="16"/>
      <c r="AC691" s="16"/>
      <c r="AD691" s="16"/>
      <c r="AE691" s="16" t="s">
        <v>953</v>
      </c>
      <c r="AF691" s="27" t="s">
        <v>954</v>
      </c>
      <c r="AG691" s="21"/>
      <c r="XFD691" s="15" t="str">
        <f>+Tabla3[[#This Row],[ESTATUS DE NUM ECONOMICO]]</f>
        <v>INACTIVA</v>
      </c>
    </row>
    <row r="692" spans="1:33 16384:16384" ht="15.75" thickBot="1" x14ac:dyDescent="0.3">
      <c r="A692" s="8">
        <v>124</v>
      </c>
      <c r="B692" s="9">
        <v>46200</v>
      </c>
      <c r="C692" s="10" t="s">
        <v>87</v>
      </c>
      <c r="D692" s="11"/>
      <c r="E692" s="16">
        <v>83</v>
      </c>
      <c r="F692" s="9">
        <v>46203</v>
      </c>
      <c r="G692" s="212" t="str">
        <f>IFERROR(VLOOKUP(Tabla3[[#This Row],[NUM ECONOMICO]],MAQUINARIA!B:H,7,0), " MAQ")</f>
        <v>INACTIVA</v>
      </c>
      <c r="H692" s="214" t="s">
        <v>247</v>
      </c>
      <c r="I692" s="41">
        <v>6586459</v>
      </c>
      <c r="J692" s="10" t="s">
        <v>957</v>
      </c>
      <c r="K692" s="10">
        <v>2</v>
      </c>
      <c r="L692" s="13">
        <v>404023.38</v>
      </c>
      <c r="M692" s="13">
        <f t="shared" si="10"/>
        <v>808046.76</v>
      </c>
      <c r="N692" s="41"/>
      <c r="O692" s="287">
        <v>17936.87</v>
      </c>
      <c r="P692" s="287">
        <f>Tabla3[[#This Row],[COSTO UNITARIO DOLARES EN HAWTHORNE]]*Tabla3[[#This Row],[CANTIDAD SOLICTADA]]</f>
        <v>35873.74</v>
      </c>
      <c r="Q692" s="41" t="s">
        <v>958</v>
      </c>
      <c r="R692" s="229">
        <v>0</v>
      </c>
      <c r="S692" s="229">
        <f>+Tabla3[[#This Row],[COSTO UNITARIO DOLARES CTP]]*Tabla3[[#This Row],[CANTIDAD SOLICTADA]]</f>
        <v>0</v>
      </c>
      <c r="T692" s="41"/>
      <c r="U692" s="18" t="s">
        <v>5</v>
      </c>
      <c r="V692" s="211" t="s">
        <v>959</v>
      </c>
      <c r="W692" s="10"/>
      <c r="X692" s="10" t="s">
        <v>89</v>
      </c>
      <c r="Y692" s="10" t="s">
        <v>90</v>
      </c>
      <c r="Z692" s="16"/>
      <c r="AA692" s="16"/>
      <c r="AB692" s="16"/>
      <c r="AC692" s="16"/>
      <c r="AD692" s="16"/>
      <c r="AE692" s="16"/>
      <c r="AF692" s="16"/>
      <c r="AG692" s="21" t="s">
        <v>960</v>
      </c>
      <c r="XFD692" s="15" t="str">
        <f>+Tabla3[[#This Row],[ESTATUS DE NUM ECONOMICO]]</f>
        <v>INACTIVA</v>
      </c>
    </row>
    <row r="693" spans="1:33 16384:16384" ht="15.75" thickBot="1" x14ac:dyDescent="0.3">
      <c r="A693" s="8">
        <v>124</v>
      </c>
      <c r="B693" s="9">
        <v>46200</v>
      </c>
      <c r="C693" s="10" t="s">
        <v>87</v>
      </c>
      <c r="D693" s="11"/>
      <c r="E693" s="16">
        <v>83</v>
      </c>
      <c r="F693" s="9">
        <v>46203</v>
      </c>
      <c r="G693" s="212" t="str">
        <f>IFERROR(VLOOKUP(Tabla3[[#This Row],[NUM ECONOMICO]],MAQUINARIA!B:H,7,0), " MAQ")</f>
        <v>INACTIVA</v>
      </c>
      <c r="H693" s="214" t="s">
        <v>247</v>
      </c>
      <c r="I693" s="41">
        <v>4587791</v>
      </c>
      <c r="J693" s="10" t="s">
        <v>961</v>
      </c>
      <c r="K693" s="10">
        <v>10</v>
      </c>
      <c r="L693" s="13">
        <v>16675.93</v>
      </c>
      <c r="M693" s="13">
        <f t="shared" si="10"/>
        <v>166759.29999999999</v>
      </c>
      <c r="N693" s="41"/>
      <c r="O693" s="287">
        <v>780.11</v>
      </c>
      <c r="P693" s="287">
        <f>Tabla3[[#This Row],[COSTO UNITARIO DOLARES EN HAWTHORNE]]*Tabla3[[#This Row],[CANTIDAD SOLICTADA]]</f>
        <v>7801.1</v>
      </c>
      <c r="Q693" s="41" t="s">
        <v>674</v>
      </c>
      <c r="R693" s="229">
        <v>0</v>
      </c>
      <c r="S693" s="229">
        <f>+Tabla3[[#This Row],[COSTO UNITARIO DOLARES CTP]]*Tabla3[[#This Row],[CANTIDAD SOLICTADA]]</f>
        <v>0</v>
      </c>
      <c r="T693" s="41"/>
      <c r="U693" s="18" t="s">
        <v>5</v>
      </c>
      <c r="V693" s="211" t="s">
        <v>959</v>
      </c>
      <c r="W693" s="10"/>
      <c r="X693" s="10" t="s">
        <v>89</v>
      </c>
      <c r="Y693" s="10" t="s">
        <v>90</v>
      </c>
      <c r="Z693" s="16"/>
      <c r="AA693" s="16"/>
      <c r="AB693" s="16"/>
      <c r="AC693" s="16"/>
      <c r="AD693" s="16"/>
      <c r="AE693" s="16"/>
      <c r="AF693" s="16"/>
      <c r="AG693" s="21" t="s">
        <v>960</v>
      </c>
      <c r="XFD693" s="15" t="str">
        <f>+Tabla3[[#This Row],[ESTATUS DE NUM ECONOMICO]]</f>
        <v>INACTIVA</v>
      </c>
    </row>
    <row r="694" spans="1:33 16384:16384" ht="15.75" thickBot="1" x14ac:dyDescent="0.3">
      <c r="A694" s="8">
        <v>124</v>
      </c>
      <c r="B694" s="9">
        <v>46200</v>
      </c>
      <c r="C694" s="10" t="s">
        <v>87</v>
      </c>
      <c r="D694" s="11"/>
      <c r="E694" s="16">
        <v>83</v>
      </c>
      <c r="F694" s="9">
        <v>46203</v>
      </c>
      <c r="G694" s="212" t="str">
        <f>IFERROR(VLOOKUP(Tabla3[[#This Row],[NUM ECONOMICO]],MAQUINARIA!B:H,7,0), " MAQ")</f>
        <v>INACTIVA</v>
      </c>
      <c r="H694" s="214" t="s">
        <v>247</v>
      </c>
      <c r="I694" s="41">
        <v>1969954</v>
      </c>
      <c r="J694" s="10" t="s">
        <v>961</v>
      </c>
      <c r="K694" s="10">
        <v>8</v>
      </c>
      <c r="L694" s="13">
        <v>24450.13</v>
      </c>
      <c r="M694" s="13">
        <f t="shared" si="10"/>
        <v>195601.04</v>
      </c>
      <c r="N694" s="41"/>
      <c r="O694" s="287">
        <v>1143.58</v>
      </c>
      <c r="P694" s="287">
        <f>Tabla3[[#This Row],[COSTO UNITARIO DOLARES EN HAWTHORNE]]*Tabla3[[#This Row],[CANTIDAD SOLICTADA]]</f>
        <v>9148.64</v>
      </c>
      <c r="Q694" s="41" t="s">
        <v>674</v>
      </c>
      <c r="R694" s="229">
        <v>677.6</v>
      </c>
      <c r="S694" s="229">
        <f>+Tabla3[[#This Row],[COSTO UNITARIO DOLARES CTP]]*Tabla3[[#This Row],[CANTIDAD SOLICTADA]]</f>
        <v>5420.8</v>
      </c>
      <c r="T694" s="41" t="s">
        <v>674</v>
      </c>
      <c r="U694" s="18" t="s">
        <v>5</v>
      </c>
      <c r="V694" s="211" t="s">
        <v>959</v>
      </c>
      <c r="W694" s="10"/>
      <c r="X694" s="10" t="s">
        <v>89</v>
      </c>
      <c r="Y694" s="10" t="s">
        <v>90</v>
      </c>
      <c r="Z694" s="16"/>
      <c r="AA694" s="16"/>
      <c r="AB694" s="16"/>
      <c r="AC694" s="16"/>
      <c r="AD694" s="16"/>
      <c r="AE694" s="16"/>
      <c r="AF694" s="16"/>
      <c r="AG694" s="21" t="s">
        <v>960</v>
      </c>
      <c r="XFD694" s="15" t="str">
        <f>+Tabla3[[#This Row],[ESTATUS DE NUM ECONOMICO]]</f>
        <v>INACTIVA</v>
      </c>
    </row>
    <row r="695" spans="1:33 16384:16384" ht="15.75" thickBot="1" x14ac:dyDescent="0.3">
      <c r="A695" s="8">
        <v>124</v>
      </c>
      <c r="B695" s="9">
        <v>46200</v>
      </c>
      <c r="C695" s="10" t="s">
        <v>87</v>
      </c>
      <c r="D695" s="11"/>
      <c r="E695" s="16">
        <v>83</v>
      </c>
      <c r="F695" s="9">
        <v>46203</v>
      </c>
      <c r="G695" s="212" t="str">
        <f>IFERROR(VLOOKUP(Tabla3[[#This Row],[NUM ECONOMICO]],MAQUINARIA!B:H,7,0), " MAQ")</f>
        <v>INACTIVA</v>
      </c>
      <c r="H695" s="214" t="s">
        <v>247</v>
      </c>
      <c r="I695" s="41" t="s">
        <v>962</v>
      </c>
      <c r="J695" s="10" t="s">
        <v>963</v>
      </c>
      <c r="K695" s="10">
        <v>32</v>
      </c>
      <c r="L695" s="13">
        <v>111.83</v>
      </c>
      <c r="M695" s="13">
        <f t="shared" si="10"/>
        <v>3578.56</v>
      </c>
      <c r="N695" s="41"/>
      <c r="O695" s="287">
        <v>5.16</v>
      </c>
      <c r="P695" s="287">
        <f>Tabla3[[#This Row],[COSTO UNITARIO DOLARES EN HAWTHORNE]]*Tabla3[[#This Row],[CANTIDAD SOLICTADA]]</f>
        <v>165.12</v>
      </c>
      <c r="Q695" s="41" t="s">
        <v>674</v>
      </c>
      <c r="R695" s="229">
        <v>2.5499999999999998</v>
      </c>
      <c r="S695" s="229">
        <f>+Tabla3[[#This Row],[COSTO UNITARIO DOLARES CTP]]*Tabla3[[#This Row],[CANTIDAD SOLICTADA]]</f>
        <v>81.599999999999994</v>
      </c>
      <c r="T695" s="41" t="s">
        <v>674</v>
      </c>
      <c r="U695" s="18" t="s">
        <v>5</v>
      </c>
      <c r="V695" s="211" t="s">
        <v>959</v>
      </c>
      <c r="W695" s="10"/>
      <c r="X695" s="10" t="s">
        <v>89</v>
      </c>
      <c r="Y695" s="10" t="s">
        <v>90</v>
      </c>
      <c r="Z695" s="16"/>
      <c r="AA695" s="16"/>
      <c r="AB695" s="16"/>
      <c r="AC695" s="16"/>
      <c r="AD695" s="16"/>
      <c r="AE695" s="16"/>
      <c r="AF695" s="16"/>
      <c r="AG695" s="21" t="s">
        <v>960</v>
      </c>
      <c r="XFD695" s="15" t="str">
        <f>+Tabla3[[#This Row],[ESTATUS DE NUM ECONOMICO]]</f>
        <v>INACTIVA</v>
      </c>
    </row>
    <row r="696" spans="1:33 16384:16384" ht="15.75" thickBot="1" x14ac:dyDescent="0.3">
      <c r="A696" s="8">
        <v>124</v>
      </c>
      <c r="B696" s="9">
        <v>46200</v>
      </c>
      <c r="C696" s="10" t="s">
        <v>87</v>
      </c>
      <c r="D696" s="11"/>
      <c r="E696" s="16"/>
      <c r="F696" s="10"/>
      <c r="G696" s="212" t="str">
        <f>IFERROR(VLOOKUP(Tabla3[[#This Row],[NUM ECONOMICO]],MAQUINARIA!B:H,7,0), " MAQ")</f>
        <v>INACTIVA</v>
      </c>
      <c r="H696" s="214" t="s">
        <v>247</v>
      </c>
      <c r="I696" s="41" t="s">
        <v>964</v>
      </c>
      <c r="J696" s="10" t="s">
        <v>965</v>
      </c>
      <c r="K696" s="10">
        <v>32</v>
      </c>
      <c r="L696" s="13">
        <v>48.65</v>
      </c>
      <c r="M696" s="13">
        <f t="shared" si="10"/>
        <v>1556.8</v>
      </c>
      <c r="N696" s="41"/>
      <c r="O696" s="287">
        <v>2.71</v>
      </c>
      <c r="P696" s="287">
        <f>Tabla3[[#This Row],[COSTO UNITARIO DOLARES EN HAWTHORNE]]*Tabla3[[#This Row],[CANTIDAD SOLICTADA]]</f>
        <v>86.72</v>
      </c>
      <c r="Q696" s="41" t="s">
        <v>674</v>
      </c>
      <c r="R696" s="229">
        <v>0.23</v>
      </c>
      <c r="S696" s="229">
        <f>+Tabla3[[#This Row],[COSTO UNITARIO DOLARES CTP]]*Tabla3[[#This Row],[CANTIDAD SOLICTADA]]</f>
        <v>7.36</v>
      </c>
      <c r="T696" s="41" t="s">
        <v>674</v>
      </c>
      <c r="U696" s="18" t="s">
        <v>161</v>
      </c>
      <c r="V696" s="8" t="s">
        <v>959</v>
      </c>
      <c r="W696" s="10"/>
      <c r="X696" s="10" t="s">
        <v>89</v>
      </c>
      <c r="Y696" s="10">
        <v>5</v>
      </c>
      <c r="Z696" s="16"/>
      <c r="AA696" s="16"/>
      <c r="AB696" s="16"/>
      <c r="AC696" s="16"/>
      <c r="AD696" s="16"/>
      <c r="AE696" s="16"/>
      <c r="AF696" s="16"/>
      <c r="AG696" s="21" t="s">
        <v>960</v>
      </c>
      <c r="XFD696" s="15" t="str">
        <f>+Tabla3[[#This Row],[ESTATUS DE NUM ECONOMICO]]</f>
        <v>INACTIVA</v>
      </c>
    </row>
    <row r="697" spans="1:33 16384:16384" ht="15.75" thickBot="1" x14ac:dyDescent="0.3">
      <c r="A697" s="8">
        <v>124</v>
      </c>
      <c r="B697" s="9">
        <v>46200</v>
      </c>
      <c r="C697" s="10" t="s">
        <v>87</v>
      </c>
      <c r="D697" s="11"/>
      <c r="E697" s="16">
        <v>83</v>
      </c>
      <c r="F697" s="9">
        <v>46203</v>
      </c>
      <c r="G697" s="212" t="str">
        <f>IFERROR(VLOOKUP(Tabla3[[#This Row],[NUM ECONOMICO]],MAQUINARIA!B:H,7,0), " MAQ")</f>
        <v>INACTIVA</v>
      </c>
      <c r="H697" s="214" t="s">
        <v>247</v>
      </c>
      <c r="I697" s="41">
        <v>3111298</v>
      </c>
      <c r="J697" s="10" t="s">
        <v>966</v>
      </c>
      <c r="K697" s="10">
        <v>32</v>
      </c>
      <c r="L697" s="13">
        <v>11063.85</v>
      </c>
      <c r="M697" s="13">
        <f t="shared" si="10"/>
        <v>354043.2</v>
      </c>
      <c r="N697" s="41"/>
      <c r="O697" s="287">
        <v>509.3</v>
      </c>
      <c r="P697" s="287">
        <f>Tabla3[[#This Row],[COSTO UNITARIO DOLARES EN HAWTHORNE]]*Tabla3[[#This Row],[CANTIDAD SOLICTADA]]</f>
        <v>16297.6</v>
      </c>
      <c r="Q697" s="41" t="s">
        <v>674</v>
      </c>
      <c r="R697" s="229">
        <v>0</v>
      </c>
      <c r="S697" s="229">
        <f>+Tabla3[[#This Row],[COSTO UNITARIO DOLARES CTP]]*Tabla3[[#This Row],[CANTIDAD SOLICTADA]]</f>
        <v>0</v>
      </c>
      <c r="T697" s="41"/>
      <c r="U697" s="18" t="s">
        <v>5</v>
      </c>
      <c r="V697" s="211" t="s">
        <v>959</v>
      </c>
      <c r="W697" s="10"/>
      <c r="X697" s="10" t="s">
        <v>89</v>
      </c>
      <c r="Y697" s="10" t="s">
        <v>90</v>
      </c>
      <c r="Z697" s="16"/>
      <c r="AA697" s="16"/>
      <c r="AB697" s="16"/>
      <c r="AC697" s="16"/>
      <c r="AD697" s="16"/>
      <c r="AE697" s="16"/>
      <c r="AF697" s="16"/>
      <c r="AG697" s="21" t="s">
        <v>960</v>
      </c>
      <c r="XFD697" s="15" t="str">
        <f>+Tabla3[[#This Row],[ESTATUS DE NUM ECONOMICO]]</f>
        <v>INACTIVA</v>
      </c>
    </row>
    <row r="698" spans="1:33 16384:16384" ht="15.75" thickBot="1" x14ac:dyDescent="0.3">
      <c r="A698" s="8">
        <v>124</v>
      </c>
      <c r="B698" s="9">
        <v>46200</v>
      </c>
      <c r="C698" s="10" t="s">
        <v>87</v>
      </c>
      <c r="D698" s="11"/>
      <c r="E698" s="16"/>
      <c r="F698" s="10"/>
      <c r="G698" s="212" t="str">
        <f>IFERROR(VLOOKUP(Tabla3[[#This Row],[NUM ECONOMICO]],MAQUINARIA!B:H,7,0), " MAQ")</f>
        <v>INACTIVA</v>
      </c>
      <c r="H698" s="214" t="s">
        <v>247</v>
      </c>
      <c r="I698" s="41">
        <v>673161</v>
      </c>
      <c r="J698" s="10" t="s">
        <v>967</v>
      </c>
      <c r="K698" s="10">
        <v>16</v>
      </c>
      <c r="L698" s="13">
        <v>309.39999999999998</v>
      </c>
      <c r="M698" s="13">
        <f t="shared" si="10"/>
        <v>4950.3999999999996</v>
      </c>
      <c r="N698" s="41"/>
      <c r="O698" s="287">
        <v>16.829999999999998</v>
      </c>
      <c r="P698" s="287">
        <f>Tabla3[[#This Row],[COSTO UNITARIO DOLARES EN HAWTHORNE]]*Tabla3[[#This Row],[CANTIDAD SOLICTADA]]</f>
        <v>269.27999999999997</v>
      </c>
      <c r="Q698" s="41" t="s">
        <v>674</v>
      </c>
      <c r="R698" s="229">
        <v>2.7</v>
      </c>
      <c r="S698" s="229">
        <f>+Tabla3[[#This Row],[COSTO UNITARIO DOLARES CTP]]*Tabla3[[#This Row],[CANTIDAD SOLICTADA]]</f>
        <v>43.2</v>
      </c>
      <c r="T698" s="41" t="s">
        <v>674</v>
      </c>
      <c r="U698" s="18" t="s">
        <v>161</v>
      </c>
      <c r="V698" s="8" t="s">
        <v>959</v>
      </c>
      <c r="W698" s="10"/>
      <c r="X698" s="10" t="s">
        <v>89</v>
      </c>
      <c r="Y698" s="10">
        <v>10</v>
      </c>
      <c r="Z698" s="16"/>
      <c r="AA698" s="16"/>
      <c r="AB698" s="16"/>
      <c r="AC698" s="16"/>
      <c r="AD698" s="16"/>
      <c r="AE698" s="16"/>
      <c r="AF698" s="16"/>
      <c r="AG698" s="21" t="s">
        <v>960</v>
      </c>
      <c r="XFD698" s="15" t="str">
        <f>+Tabla3[[#This Row],[ESTATUS DE NUM ECONOMICO]]</f>
        <v>INACTIVA</v>
      </c>
    </row>
    <row r="699" spans="1:33 16384:16384" ht="15.75" thickBot="1" x14ac:dyDescent="0.3">
      <c r="A699" s="8">
        <v>124</v>
      </c>
      <c r="B699" s="9">
        <v>46200</v>
      </c>
      <c r="C699" s="10" t="s">
        <v>87</v>
      </c>
      <c r="D699" s="11"/>
      <c r="E699" s="16">
        <v>83</v>
      </c>
      <c r="F699" s="9">
        <v>46203</v>
      </c>
      <c r="G699" s="212" t="str">
        <f>IFERROR(VLOOKUP(Tabla3[[#This Row],[NUM ECONOMICO]],MAQUINARIA!B:H,7,0), " MAQ")</f>
        <v>INACTIVA</v>
      </c>
      <c r="H699" s="214" t="s">
        <v>247</v>
      </c>
      <c r="I699" s="41">
        <v>1844395</v>
      </c>
      <c r="J699" s="10" t="s">
        <v>968</v>
      </c>
      <c r="K699" s="10">
        <v>16</v>
      </c>
      <c r="L699" s="13">
        <v>2831.15</v>
      </c>
      <c r="M699" s="13">
        <f t="shared" si="10"/>
        <v>45298.400000000001</v>
      </c>
      <c r="N699" s="41"/>
      <c r="O699" s="287">
        <v>130.33000000000001</v>
      </c>
      <c r="P699" s="287">
        <f>Tabla3[[#This Row],[COSTO UNITARIO DOLARES EN HAWTHORNE]]*Tabla3[[#This Row],[CANTIDAD SOLICTADA]]</f>
        <v>2085.2800000000002</v>
      </c>
      <c r="Q699" s="41" t="s">
        <v>674</v>
      </c>
      <c r="R699" s="229">
        <v>33.880000000000003</v>
      </c>
      <c r="S699" s="229">
        <f>+Tabla3[[#This Row],[COSTO UNITARIO DOLARES CTP]]*Tabla3[[#This Row],[CANTIDAD SOLICTADA]]</f>
        <v>542.08000000000004</v>
      </c>
      <c r="T699" s="41" t="s">
        <v>674</v>
      </c>
      <c r="U699" s="18" t="s">
        <v>5</v>
      </c>
      <c r="V699" s="211" t="s">
        <v>959</v>
      </c>
      <c r="W699" s="10"/>
      <c r="X699" s="10" t="s">
        <v>89</v>
      </c>
      <c r="Y699" s="10">
        <v>0</v>
      </c>
      <c r="Z699" s="16"/>
      <c r="AA699" s="16"/>
      <c r="AB699" s="16"/>
      <c r="AC699" s="16"/>
      <c r="AD699" s="16"/>
      <c r="AE699" s="16"/>
      <c r="AF699" s="16"/>
      <c r="AG699" s="21" t="s">
        <v>960</v>
      </c>
      <c r="XFD699" s="15" t="str">
        <f>+Tabla3[[#This Row],[ESTATUS DE NUM ECONOMICO]]</f>
        <v>INACTIVA</v>
      </c>
    </row>
    <row r="700" spans="1:33 16384:16384" ht="15.75" thickBot="1" x14ac:dyDescent="0.3">
      <c r="A700" s="8">
        <v>124</v>
      </c>
      <c r="B700" s="9">
        <v>46200</v>
      </c>
      <c r="C700" s="10" t="s">
        <v>87</v>
      </c>
      <c r="D700" s="11"/>
      <c r="E700" s="16">
        <v>83</v>
      </c>
      <c r="F700" s="9">
        <v>46203</v>
      </c>
      <c r="G700" s="212" t="str">
        <f>IFERROR(VLOOKUP(Tabla3[[#This Row],[NUM ECONOMICO]],MAQUINARIA!B:H,7,0), " MAQ")</f>
        <v>INACTIVA</v>
      </c>
      <c r="H700" s="214" t="s">
        <v>247</v>
      </c>
      <c r="I700" s="41" t="s">
        <v>969</v>
      </c>
      <c r="J700" s="10" t="s">
        <v>970</v>
      </c>
      <c r="K700" s="10">
        <v>32</v>
      </c>
      <c r="L700" s="13">
        <v>128.97999999999999</v>
      </c>
      <c r="M700" s="13">
        <f t="shared" si="10"/>
        <v>4127.3599999999997</v>
      </c>
      <c r="N700" s="41"/>
      <c r="O700" s="287">
        <v>7.23</v>
      </c>
      <c r="P700" s="287">
        <f>Tabla3[[#This Row],[COSTO UNITARIO DOLARES EN HAWTHORNE]]*Tabla3[[#This Row],[CANTIDAD SOLICTADA]]</f>
        <v>231.36</v>
      </c>
      <c r="Q700" s="41" t="s">
        <v>674</v>
      </c>
      <c r="R700" s="229">
        <v>1.33</v>
      </c>
      <c r="S700" s="229">
        <f>+Tabla3[[#This Row],[COSTO UNITARIO DOLARES CTP]]*Tabla3[[#This Row],[CANTIDAD SOLICTADA]]</f>
        <v>42.56</v>
      </c>
      <c r="T700" s="41" t="s">
        <v>674</v>
      </c>
      <c r="U700" s="18" t="s">
        <v>5</v>
      </c>
      <c r="V700" s="211" t="s">
        <v>959</v>
      </c>
      <c r="W700" s="10"/>
      <c r="X700" s="10" t="s">
        <v>89</v>
      </c>
      <c r="Y700" s="10" t="s">
        <v>90</v>
      </c>
      <c r="Z700" s="16"/>
      <c r="AA700" s="16"/>
      <c r="AB700" s="16"/>
      <c r="AC700" s="16"/>
      <c r="AD700" s="16"/>
      <c r="AE700" s="16"/>
      <c r="AF700" s="16"/>
      <c r="AG700" s="21" t="s">
        <v>960</v>
      </c>
      <c r="XFD700" s="15" t="str">
        <f>+Tabla3[[#This Row],[ESTATUS DE NUM ECONOMICO]]</f>
        <v>INACTIVA</v>
      </c>
    </row>
    <row r="701" spans="1:33 16384:16384" ht="15.75" thickBot="1" x14ac:dyDescent="0.3">
      <c r="A701" s="8">
        <v>124</v>
      </c>
      <c r="B701" s="9">
        <v>46200</v>
      </c>
      <c r="C701" s="10" t="s">
        <v>87</v>
      </c>
      <c r="D701" s="11"/>
      <c r="E701" s="16">
        <v>83</v>
      </c>
      <c r="F701" s="9">
        <v>46203</v>
      </c>
      <c r="G701" s="212" t="str">
        <f>IFERROR(VLOOKUP(Tabla3[[#This Row],[NUM ECONOMICO]],MAQUINARIA!B:H,7,0), " MAQ")</f>
        <v>INACTIVA</v>
      </c>
      <c r="H701" s="214" t="s">
        <v>247</v>
      </c>
      <c r="I701" s="41" t="s">
        <v>971</v>
      </c>
      <c r="J701" s="10" t="s">
        <v>972</v>
      </c>
      <c r="K701" s="10">
        <v>64</v>
      </c>
      <c r="L701" s="13">
        <v>36.58</v>
      </c>
      <c r="M701" s="13">
        <f t="shared" si="10"/>
        <v>2341.12</v>
      </c>
      <c r="N701" s="41"/>
      <c r="O701" s="287">
        <v>2.0499999999999998</v>
      </c>
      <c r="P701" s="287">
        <f>Tabla3[[#This Row],[COSTO UNITARIO DOLARES EN HAWTHORNE]]*Tabla3[[#This Row],[CANTIDAD SOLICTADA]]</f>
        <v>131.19999999999999</v>
      </c>
      <c r="Q701" s="41" t="s">
        <v>674</v>
      </c>
      <c r="R701" s="229">
        <v>0.28999999999999998</v>
      </c>
      <c r="S701" s="229">
        <f>+Tabla3[[#This Row],[COSTO UNITARIO DOLARES CTP]]*Tabla3[[#This Row],[CANTIDAD SOLICTADA]]</f>
        <v>18.559999999999999</v>
      </c>
      <c r="T701" s="41" t="s">
        <v>674</v>
      </c>
      <c r="U701" s="18" t="s">
        <v>5</v>
      </c>
      <c r="V701" s="211" t="s">
        <v>959</v>
      </c>
      <c r="W701" s="10"/>
      <c r="X701" s="10" t="s">
        <v>89</v>
      </c>
      <c r="Y701" s="10">
        <v>32</v>
      </c>
      <c r="Z701" s="16"/>
      <c r="AA701" s="16"/>
      <c r="AB701" s="16"/>
      <c r="AC701" s="16"/>
      <c r="AD701" s="16"/>
      <c r="AE701" s="16"/>
      <c r="AF701" s="16"/>
      <c r="AG701" s="21" t="s">
        <v>960</v>
      </c>
      <c r="XFD701" s="15" t="str">
        <f>+Tabla3[[#This Row],[ESTATUS DE NUM ECONOMICO]]</f>
        <v>INACTIVA</v>
      </c>
    </row>
    <row r="702" spans="1:33 16384:16384" ht="15.75" thickBot="1" x14ac:dyDescent="0.3">
      <c r="A702" s="8">
        <v>124</v>
      </c>
      <c r="B702" s="9">
        <v>46200</v>
      </c>
      <c r="C702" s="10" t="s">
        <v>87</v>
      </c>
      <c r="D702" s="11"/>
      <c r="E702" s="16">
        <v>83</v>
      </c>
      <c r="F702" s="9">
        <v>46203</v>
      </c>
      <c r="G702" s="212" t="str">
        <f>IFERROR(VLOOKUP(Tabla3[[#This Row],[NUM ECONOMICO]],MAQUINARIA!B:H,7,0), " MAQ")</f>
        <v>INACTIVA</v>
      </c>
      <c r="H702" s="214" t="s">
        <v>247</v>
      </c>
      <c r="I702" s="41" t="s">
        <v>973</v>
      </c>
      <c r="J702" s="10" t="s">
        <v>974</v>
      </c>
      <c r="K702" s="10">
        <v>16</v>
      </c>
      <c r="L702" s="13">
        <v>118.83</v>
      </c>
      <c r="M702" s="13">
        <f t="shared" si="10"/>
        <v>1901.28</v>
      </c>
      <c r="N702" s="41"/>
      <c r="O702" s="287">
        <v>6.65</v>
      </c>
      <c r="P702" s="287">
        <f>Tabla3[[#This Row],[COSTO UNITARIO DOLARES EN HAWTHORNE]]*Tabla3[[#This Row],[CANTIDAD SOLICTADA]]</f>
        <v>106.4</v>
      </c>
      <c r="Q702" s="41" t="s">
        <v>674</v>
      </c>
      <c r="R702" s="229">
        <v>1.7</v>
      </c>
      <c r="S702" s="229">
        <f>+Tabla3[[#This Row],[COSTO UNITARIO DOLARES CTP]]*Tabla3[[#This Row],[CANTIDAD SOLICTADA]]</f>
        <v>27.2</v>
      </c>
      <c r="T702" s="41" t="s">
        <v>674</v>
      </c>
      <c r="U702" s="18" t="s">
        <v>5</v>
      </c>
      <c r="V702" s="211" t="s">
        <v>959</v>
      </c>
      <c r="W702" s="10"/>
      <c r="X702" s="10" t="s">
        <v>89</v>
      </c>
      <c r="Y702" s="10" t="s">
        <v>90</v>
      </c>
      <c r="Z702" s="16"/>
      <c r="AA702" s="16"/>
      <c r="AB702" s="16"/>
      <c r="AC702" s="16"/>
      <c r="AD702" s="16"/>
      <c r="AE702" s="16"/>
      <c r="AF702" s="16"/>
      <c r="AG702" s="21" t="s">
        <v>960</v>
      </c>
      <c r="XFD702" s="15" t="str">
        <f>+Tabla3[[#This Row],[ESTATUS DE NUM ECONOMICO]]</f>
        <v>INACTIVA</v>
      </c>
    </row>
    <row r="703" spans="1:33 16384:16384" ht="15.75" thickBot="1" x14ac:dyDescent="0.3">
      <c r="A703" s="8">
        <v>124</v>
      </c>
      <c r="B703" s="9">
        <v>46200</v>
      </c>
      <c r="C703" s="10" t="s">
        <v>87</v>
      </c>
      <c r="D703" s="11"/>
      <c r="E703" s="16">
        <v>83</v>
      </c>
      <c r="F703" s="9">
        <v>46203</v>
      </c>
      <c r="G703" s="212" t="str">
        <f>IFERROR(VLOOKUP(Tabla3[[#This Row],[NUM ECONOMICO]],MAQUINARIA!B:H,7,0), " MAQ")</f>
        <v>INACTIVA</v>
      </c>
      <c r="H703" s="214" t="s">
        <v>247</v>
      </c>
      <c r="I703" s="41" t="s">
        <v>975</v>
      </c>
      <c r="J703" s="10" t="s">
        <v>976</v>
      </c>
      <c r="K703" s="10">
        <v>8</v>
      </c>
      <c r="L703" s="13">
        <v>2896.43</v>
      </c>
      <c r="M703" s="13">
        <f t="shared" si="10"/>
        <v>23171.439999999999</v>
      </c>
      <c r="N703" s="41"/>
      <c r="O703" s="287">
        <v>133.33000000000001</v>
      </c>
      <c r="P703" s="287">
        <f>Tabla3[[#This Row],[COSTO UNITARIO DOLARES EN HAWTHORNE]]*Tabla3[[#This Row],[CANTIDAD SOLICTADA]]</f>
        <v>1066.6400000000001</v>
      </c>
      <c r="Q703" s="41" t="s">
        <v>674</v>
      </c>
      <c r="R703" s="229">
        <v>30.25</v>
      </c>
      <c r="S703" s="229">
        <f>+Tabla3[[#This Row],[COSTO UNITARIO DOLARES CTP]]*Tabla3[[#This Row],[CANTIDAD SOLICTADA]]</f>
        <v>242</v>
      </c>
      <c r="T703" s="41" t="s">
        <v>674</v>
      </c>
      <c r="U703" s="18" t="s">
        <v>161</v>
      </c>
      <c r="V703" s="8" t="s">
        <v>959</v>
      </c>
      <c r="W703" s="10"/>
      <c r="X703" s="10" t="s">
        <v>89</v>
      </c>
      <c r="Y703" s="10" t="s">
        <v>90</v>
      </c>
      <c r="Z703" s="16"/>
      <c r="AA703" s="16"/>
      <c r="AB703" s="16"/>
      <c r="AC703" s="16"/>
      <c r="AD703" s="16"/>
      <c r="AE703" s="16"/>
      <c r="AF703" s="16"/>
      <c r="AG703" s="21" t="s">
        <v>960</v>
      </c>
      <c r="XFD703" s="15" t="str">
        <f>+Tabla3[[#This Row],[ESTATUS DE NUM ECONOMICO]]</f>
        <v>INACTIVA</v>
      </c>
    </row>
    <row r="704" spans="1:33 16384:16384" ht="15.75" thickBot="1" x14ac:dyDescent="0.3">
      <c r="A704" s="8">
        <v>124</v>
      </c>
      <c r="B704" s="9">
        <v>46200</v>
      </c>
      <c r="C704" s="10" t="s">
        <v>87</v>
      </c>
      <c r="D704" s="11"/>
      <c r="E704" s="16">
        <v>83</v>
      </c>
      <c r="F704" s="9">
        <v>46203</v>
      </c>
      <c r="G704" s="212" t="str">
        <f>IFERROR(VLOOKUP(Tabla3[[#This Row],[NUM ECONOMICO]],MAQUINARIA!B:H,7,0), " MAQ")</f>
        <v>INACTIVA</v>
      </c>
      <c r="H704" s="214" t="s">
        <v>247</v>
      </c>
      <c r="I704" s="41">
        <v>6287557</v>
      </c>
      <c r="J704" s="10" t="s">
        <v>977</v>
      </c>
      <c r="K704" s="10">
        <v>4</v>
      </c>
      <c r="L704" s="13">
        <v>77007.179999999993</v>
      </c>
      <c r="M704" s="13">
        <f t="shared" si="10"/>
        <v>308028.71999999997</v>
      </c>
      <c r="N704" s="41"/>
      <c r="O704" s="287">
        <v>3602.44</v>
      </c>
      <c r="P704" s="287">
        <f>Tabla3[[#This Row],[COSTO UNITARIO DOLARES EN HAWTHORNE]]*Tabla3[[#This Row],[CANTIDAD SOLICTADA]]</f>
        <v>14409.76</v>
      </c>
      <c r="Q704" s="41" t="s">
        <v>674</v>
      </c>
      <c r="R704" s="229">
        <v>0</v>
      </c>
      <c r="S704" s="229">
        <f>+Tabla3[[#This Row],[COSTO UNITARIO DOLARES CTP]]*Tabla3[[#This Row],[CANTIDAD SOLICTADA]]</f>
        <v>0</v>
      </c>
      <c r="T704" s="41"/>
      <c r="U704" s="18" t="s">
        <v>5</v>
      </c>
      <c r="V704" s="211" t="s">
        <v>959</v>
      </c>
      <c r="W704" s="10"/>
      <c r="X704" s="10" t="s">
        <v>89</v>
      </c>
      <c r="Y704" s="10" t="s">
        <v>90</v>
      </c>
      <c r="Z704" s="16"/>
      <c r="AA704" s="16"/>
      <c r="AB704" s="16"/>
      <c r="AC704" s="16"/>
      <c r="AD704" s="16"/>
      <c r="AE704" s="16"/>
      <c r="AF704" s="16"/>
      <c r="AG704" s="21" t="s">
        <v>960</v>
      </c>
      <c r="XFD704" s="15" t="str">
        <f>+Tabla3[[#This Row],[ESTATUS DE NUM ECONOMICO]]</f>
        <v>INACTIVA</v>
      </c>
    </row>
    <row r="705" spans="1:33 16384:16384" ht="15.75" thickBot="1" x14ac:dyDescent="0.3">
      <c r="A705" s="8">
        <v>124</v>
      </c>
      <c r="B705" s="9">
        <v>46200</v>
      </c>
      <c r="C705" s="10" t="s">
        <v>87</v>
      </c>
      <c r="D705" s="11"/>
      <c r="E705" s="16"/>
      <c r="F705" s="10"/>
      <c r="G705" s="212" t="str">
        <f>IFERROR(VLOOKUP(Tabla3[[#This Row],[NUM ECONOMICO]],MAQUINARIA!B:H,7,0), " MAQ")</f>
        <v>INACTIVA</v>
      </c>
      <c r="H705" s="214" t="s">
        <v>247</v>
      </c>
      <c r="I705" s="41" t="s">
        <v>978</v>
      </c>
      <c r="J705" s="10" t="s">
        <v>979</v>
      </c>
      <c r="K705" s="10">
        <v>4</v>
      </c>
      <c r="L705" s="13">
        <v>5067.6499999999996</v>
      </c>
      <c r="M705" s="13">
        <f t="shared" si="10"/>
        <v>20270.599999999999</v>
      </c>
      <c r="N705" s="41"/>
      <c r="O705" s="287">
        <v>238.24</v>
      </c>
      <c r="P705" s="287">
        <f>Tabla3[[#This Row],[COSTO UNITARIO DOLARES EN HAWTHORNE]]*Tabla3[[#This Row],[CANTIDAD SOLICTADA]]</f>
        <v>952.96</v>
      </c>
      <c r="Q705" s="41" t="s">
        <v>674</v>
      </c>
      <c r="R705" s="229">
        <v>11.98</v>
      </c>
      <c r="S705" s="229">
        <f>+Tabla3[[#This Row],[COSTO UNITARIO DOLARES CTP]]*Tabla3[[#This Row],[CANTIDAD SOLICTADA]]</f>
        <v>47.92</v>
      </c>
      <c r="T705" s="41" t="s">
        <v>674</v>
      </c>
      <c r="U705" s="18" t="s">
        <v>161</v>
      </c>
      <c r="V705" s="8" t="s">
        <v>959</v>
      </c>
      <c r="W705" s="10"/>
      <c r="X705" s="10" t="s">
        <v>89</v>
      </c>
      <c r="Y705" s="10">
        <v>6</v>
      </c>
      <c r="Z705" s="16"/>
      <c r="AA705" s="16"/>
      <c r="AB705" s="16"/>
      <c r="AC705" s="16"/>
      <c r="AD705" s="16"/>
      <c r="AE705" s="16"/>
      <c r="AF705" s="16"/>
      <c r="AG705" s="21" t="s">
        <v>960</v>
      </c>
      <c r="XFD705" s="15" t="str">
        <f>+Tabla3[[#This Row],[ESTATUS DE NUM ECONOMICO]]</f>
        <v>INACTIVA</v>
      </c>
    </row>
    <row r="706" spans="1:33 16384:16384" ht="15.75" thickBot="1" x14ac:dyDescent="0.3">
      <c r="A706" s="8">
        <v>124</v>
      </c>
      <c r="B706" s="9">
        <v>46200</v>
      </c>
      <c r="C706" s="10" t="s">
        <v>87</v>
      </c>
      <c r="D706" s="11"/>
      <c r="E706" s="16"/>
      <c r="F706" s="10"/>
      <c r="G706" s="212" t="str">
        <f>IFERROR(VLOOKUP(Tabla3[[#This Row],[NUM ECONOMICO]],MAQUINARIA!B:H,7,0), " MAQ")</f>
        <v>INACTIVA</v>
      </c>
      <c r="H706" s="214" t="s">
        <v>247</v>
      </c>
      <c r="I706" s="41">
        <v>3807673</v>
      </c>
      <c r="J706" s="10" t="s">
        <v>980</v>
      </c>
      <c r="K706" s="10">
        <v>2</v>
      </c>
      <c r="L706" s="13">
        <v>6498.1</v>
      </c>
      <c r="M706" s="13">
        <f t="shared" ref="M706:M769" si="11">+L706*K706</f>
        <v>12996.2</v>
      </c>
      <c r="N706" s="41"/>
      <c r="O706" s="287">
        <v>292.45</v>
      </c>
      <c r="P706" s="287">
        <f>Tabla3[[#This Row],[COSTO UNITARIO DOLARES EN HAWTHORNE]]*Tabla3[[#This Row],[CANTIDAD SOLICTADA]]</f>
        <v>584.9</v>
      </c>
      <c r="Q706" s="41" t="s">
        <v>674</v>
      </c>
      <c r="R706" s="229">
        <v>53.39</v>
      </c>
      <c r="S706" s="229">
        <f>+Tabla3[[#This Row],[COSTO UNITARIO DOLARES CTP]]*Tabla3[[#This Row],[CANTIDAD SOLICTADA]]</f>
        <v>106.78</v>
      </c>
      <c r="T706" s="41" t="s">
        <v>674</v>
      </c>
      <c r="U706" s="18" t="s">
        <v>161</v>
      </c>
      <c r="V706" s="8" t="s">
        <v>959</v>
      </c>
      <c r="W706" s="10"/>
      <c r="X706" s="10" t="s">
        <v>89</v>
      </c>
      <c r="Y706" s="10">
        <v>2</v>
      </c>
      <c r="Z706" s="16"/>
      <c r="AA706" s="16"/>
      <c r="AB706" s="16"/>
      <c r="AC706" s="16"/>
      <c r="AD706" s="16"/>
      <c r="AE706" s="16"/>
      <c r="AF706" s="16"/>
      <c r="AG706" s="21" t="s">
        <v>960</v>
      </c>
      <c r="XFD706" s="15" t="str">
        <f>+Tabla3[[#This Row],[ESTATUS DE NUM ECONOMICO]]</f>
        <v>INACTIVA</v>
      </c>
    </row>
    <row r="707" spans="1:33 16384:16384" ht="15.75" thickBot="1" x14ac:dyDescent="0.3">
      <c r="A707" s="8">
        <v>124</v>
      </c>
      <c r="B707" s="9">
        <v>46200</v>
      </c>
      <c r="C707" s="10" t="s">
        <v>87</v>
      </c>
      <c r="D707" s="11"/>
      <c r="E707" s="16"/>
      <c r="F707" s="10"/>
      <c r="G707" s="212" t="str">
        <f>IFERROR(VLOOKUP(Tabla3[[#This Row],[NUM ECONOMICO]],MAQUINARIA!B:H,7,0), " MAQ")</f>
        <v>INACTIVA</v>
      </c>
      <c r="H707" s="214" t="s">
        <v>247</v>
      </c>
      <c r="I707" s="41" t="s">
        <v>981</v>
      </c>
      <c r="J707" s="10" t="s">
        <v>982</v>
      </c>
      <c r="K707" s="10">
        <v>4</v>
      </c>
      <c r="L707" s="13">
        <v>611.79999999999995</v>
      </c>
      <c r="M707" s="13">
        <f t="shared" si="11"/>
        <v>2447.1999999999998</v>
      </c>
      <c r="N707" s="41"/>
      <c r="O707" s="287">
        <v>31.88</v>
      </c>
      <c r="P707" s="287">
        <f>Tabla3[[#This Row],[COSTO UNITARIO DOLARES EN HAWTHORNE]]*Tabla3[[#This Row],[CANTIDAD SOLICTADA]]</f>
        <v>127.52</v>
      </c>
      <c r="Q707" s="41" t="s">
        <v>674</v>
      </c>
      <c r="R707" s="229">
        <v>2.7</v>
      </c>
      <c r="S707" s="229">
        <f>+Tabla3[[#This Row],[COSTO UNITARIO DOLARES CTP]]*Tabla3[[#This Row],[CANTIDAD SOLICTADA]]</f>
        <v>10.8</v>
      </c>
      <c r="T707" s="41" t="s">
        <v>674</v>
      </c>
      <c r="U707" s="18" t="s">
        <v>161</v>
      </c>
      <c r="V707" s="8" t="s">
        <v>959</v>
      </c>
      <c r="W707" s="10"/>
      <c r="X707" s="10" t="s">
        <v>89</v>
      </c>
      <c r="Y707" s="10">
        <v>15</v>
      </c>
      <c r="Z707" s="16"/>
      <c r="AA707" s="16"/>
      <c r="AB707" s="16"/>
      <c r="AC707" s="16"/>
      <c r="AD707" s="16"/>
      <c r="AE707" s="16"/>
      <c r="AF707" s="16"/>
      <c r="AG707" s="21" t="s">
        <v>960</v>
      </c>
      <c r="XFD707" s="15" t="str">
        <f>+Tabla3[[#This Row],[ESTATUS DE NUM ECONOMICO]]</f>
        <v>INACTIVA</v>
      </c>
    </row>
    <row r="708" spans="1:33 16384:16384" ht="15.75" thickBot="1" x14ac:dyDescent="0.3">
      <c r="A708" s="8">
        <v>124</v>
      </c>
      <c r="B708" s="9">
        <v>46200</v>
      </c>
      <c r="C708" s="10" t="s">
        <v>87</v>
      </c>
      <c r="D708" s="11"/>
      <c r="E708" s="16"/>
      <c r="F708" s="10"/>
      <c r="G708" s="212" t="str">
        <f>IFERROR(VLOOKUP(Tabla3[[#This Row],[NUM ECONOMICO]],MAQUINARIA!B:H,7,0), " MAQ")</f>
        <v>INACTIVA</v>
      </c>
      <c r="H708" s="214" t="s">
        <v>247</v>
      </c>
      <c r="I708" s="41" t="s">
        <v>793</v>
      </c>
      <c r="J708" s="10" t="s">
        <v>983</v>
      </c>
      <c r="K708" s="10">
        <v>2</v>
      </c>
      <c r="L708" s="13">
        <v>343.18</v>
      </c>
      <c r="M708" s="13">
        <f t="shared" si="11"/>
        <v>686.36</v>
      </c>
      <c r="N708" s="41"/>
      <c r="O708" s="287">
        <v>19.2</v>
      </c>
      <c r="P708" s="287">
        <f>Tabla3[[#This Row],[COSTO UNITARIO DOLARES EN HAWTHORNE]]*Tabla3[[#This Row],[CANTIDAD SOLICTADA]]</f>
        <v>38.4</v>
      </c>
      <c r="Q708" s="41" t="s">
        <v>674</v>
      </c>
      <c r="R708" s="229">
        <v>2.75</v>
      </c>
      <c r="S708" s="229">
        <f>+Tabla3[[#This Row],[COSTO UNITARIO DOLARES CTP]]*Tabla3[[#This Row],[CANTIDAD SOLICTADA]]</f>
        <v>5.5</v>
      </c>
      <c r="T708" s="41" t="s">
        <v>674</v>
      </c>
      <c r="U708" s="18" t="s">
        <v>161</v>
      </c>
      <c r="V708" s="8" t="s">
        <v>959</v>
      </c>
      <c r="W708" s="10"/>
      <c r="X708" s="10" t="s">
        <v>89</v>
      </c>
      <c r="Y708" s="10">
        <v>0</v>
      </c>
      <c r="Z708" s="16"/>
      <c r="AA708" s="16"/>
      <c r="AB708" s="16"/>
      <c r="AC708" s="16"/>
      <c r="AD708" s="16"/>
      <c r="AE708" s="16"/>
      <c r="AF708" s="16"/>
      <c r="AG708" s="21" t="s">
        <v>960</v>
      </c>
      <c r="XFD708" s="15" t="str">
        <f>+Tabla3[[#This Row],[ESTATUS DE NUM ECONOMICO]]</f>
        <v>INACTIVA</v>
      </c>
    </row>
    <row r="709" spans="1:33 16384:16384" ht="15.75" thickBot="1" x14ac:dyDescent="0.3">
      <c r="A709" s="8">
        <v>124</v>
      </c>
      <c r="B709" s="9">
        <v>46200</v>
      </c>
      <c r="C709" s="10" t="s">
        <v>87</v>
      </c>
      <c r="D709" s="11"/>
      <c r="E709" s="16"/>
      <c r="F709" s="10"/>
      <c r="G709" s="212" t="str">
        <f>IFERROR(VLOOKUP(Tabla3[[#This Row],[NUM ECONOMICO]],MAQUINARIA!B:H,7,0), " MAQ")</f>
        <v>INACTIVA</v>
      </c>
      <c r="H709" s="214" t="s">
        <v>247</v>
      </c>
      <c r="I709" s="41" t="s">
        <v>984</v>
      </c>
      <c r="J709" s="10" t="s">
        <v>985</v>
      </c>
      <c r="K709" s="10">
        <v>2</v>
      </c>
      <c r="L709" s="13">
        <v>5527.55</v>
      </c>
      <c r="M709" s="13">
        <f t="shared" si="11"/>
        <v>11055.1</v>
      </c>
      <c r="N709" s="41"/>
      <c r="O709" s="287">
        <v>259.26</v>
      </c>
      <c r="P709" s="287">
        <f>Tabla3[[#This Row],[COSTO UNITARIO DOLARES EN HAWTHORNE]]*Tabla3[[#This Row],[CANTIDAD SOLICTADA]]</f>
        <v>518.52</v>
      </c>
      <c r="Q709" s="41" t="s">
        <v>674</v>
      </c>
      <c r="R709" s="229">
        <v>35.44</v>
      </c>
      <c r="S709" s="229">
        <f>+Tabla3[[#This Row],[COSTO UNITARIO DOLARES CTP]]*Tabla3[[#This Row],[CANTIDAD SOLICTADA]]</f>
        <v>70.88</v>
      </c>
      <c r="T709" s="41" t="s">
        <v>674</v>
      </c>
      <c r="U709" s="18" t="s">
        <v>161</v>
      </c>
      <c r="V709" s="8" t="s">
        <v>959</v>
      </c>
      <c r="W709" s="10"/>
      <c r="X709" s="10" t="s">
        <v>89</v>
      </c>
      <c r="Y709" s="10">
        <v>0</v>
      </c>
      <c r="Z709" s="16"/>
      <c r="AA709" s="16"/>
      <c r="AB709" s="16"/>
      <c r="AC709" s="16"/>
      <c r="AD709" s="16"/>
      <c r="AE709" s="16"/>
      <c r="AF709" s="16"/>
      <c r="AG709" s="21" t="s">
        <v>960</v>
      </c>
      <c r="XFD709" s="15" t="str">
        <f>+Tabla3[[#This Row],[ESTATUS DE NUM ECONOMICO]]</f>
        <v>INACTIVA</v>
      </c>
    </row>
    <row r="710" spans="1:33 16384:16384" ht="15.75" thickBot="1" x14ac:dyDescent="0.3">
      <c r="A710" s="8">
        <v>124</v>
      </c>
      <c r="B710" s="9">
        <v>46200</v>
      </c>
      <c r="C710" s="10" t="s">
        <v>87</v>
      </c>
      <c r="D710" s="11"/>
      <c r="E710" s="16">
        <v>83</v>
      </c>
      <c r="F710" s="9">
        <v>46203</v>
      </c>
      <c r="G710" s="212" t="str">
        <f>IFERROR(VLOOKUP(Tabla3[[#This Row],[NUM ECONOMICO]],MAQUINARIA!B:H,7,0), " MAQ")</f>
        <v>INACTIVA</v>
      </c>
      <c r="H710" s="214" t="s">
        <v>247</v>
      </c>
      <c r="I710" s="41" t="s">
        <v>797</v>
      </c>
      <c r="J710" s="10" t="s">
        <v>702</v>
      </c>
      <c r="K710" s="10">
        <v>2</v>
      </c>
      <c r="L710" s="13">
        <v>10426.15</v>
      </c>
      <c r="M710" s="13">
        <f t="shared" si="11"/>
        <v>20852.3</v>
      </c>
      <c r="N710" s="41"/>
      <c r="O710" s="287">
        <v>490.33</v>
      </c>
      <c r="P710" s="287">
        <f>Tabla3[[#This Row],[COSTO UNITARIO DOLARES EN HAWTHORNE]]*Tabla3[[#This Row],[CANTIDAD SOLICTADA]]</f>
        <v>980.66</v>
      </c>
      <c r="Q710" s="41" t="s">
        <v>674</v>
      </c>
      <c r="R710" s="229">
        <v>113.23</v>
      </c>
      <c r="S710" s="229">
        <f>+Tabla3[[#This Row],[COSTO UNITARIO DOLARES CTP]]*Tabla3[[#This Row],[CANTIDAD SOLICTADA]]</f>
        <v>226.46</v>
      </c>
      <c r="T710" s="41" t="s">
        <v>674</v>
      </c>
      <c r="U710" s="18" t="s">
        <v>5</v>
      </c>
      <c r="V710" s="211" t="s">
        <v>959</v>
      </c>
      <c r="W710" s="10"/>
      <c r="X710" s="10" t="s">
        <v>89</v>
      </c>
      <c r="Y710" s="10">
        <v>1</v>
      </c>
      <c r="Z710" s="16"/>
      <c r="AA710" s="16"/>
      <c r="AB710" s="16"/>
      <c r="AC710" s="16"/>
      <c r="AD710" s="16"/>
      <c r="AE710" s="16"/>
      <c r="AF710" s="16"/>
      <c r="AG710" s="21" t="s">
        <v>960</v>
      </c>
      <c r="XFD710" s="15" t="str">
        <f>+Tabla3[[#This Row],[ESTATUS DE NUM ECONOMICO]]</f>
        <v>INACTIVA</v>
      </c>
    </row>
    <row r="711" spans="1:33 16384:16384" ht="15.75" thickBot="1" x14ac:dyDescent="0.3">
      <c r="A711" s="8">
        <v>124</v>
      </c>
      <c r="B711" s="9">
        <v>46200</v>
      </c>
      <c r="C711" s="10" t="s">
        <v>87</v>
      </c>
      <c r="D711" s="11"/>
      <c r="E711" s="16"/>
      <c r="F711" s="10"/>
      <c r="G711" s="212" t="str">
        <f>IFERROR(VLOOKUP(Tabla3[[#This Row],[NUM ECONOMICO]],MAQUINARIA!B:H,7,0), " MAQ")</f>
        <v>INACTIVA</v>
      </c>
      <c r="H711" s="214" t="s">
        <v>247</v>
      </c>
      <c r="I711" s="41" t="s">
        <v>794</v>
      </c>
      <c r="J711" s="10" t="s">
        <v>986</v>
      </c>
      <c r="K711" s="10">
        <v>2</v>
      </c>
      <c r="L711" s="13">
        <v>12688.9</v>
      </c>
      <c r="M711" s="13">
        <f t="shared" si="11"/>
        <v>25377.8</v>
      </c>
      <c r="N711" s="41"/>
      <c r="O711" s="287">
        <v>596.75</v>
      </c>
      <c r="P711" s="287">
        <f>Tabla3[[#This Row],[COSTO UNITARIO DOLARES EN HAWTHORNE]]*Tabla3[[#This Row],[CANTIDAD SOLICTADA]]</f>
        <v>1193.5</v>
      </c>
      <c r="Q711" s="41" t="s">
        <v>674</v>
      </c>
      <c r="R711" s="229">
        <v>43.56</v>
      </c>
      <c r="S711" s="229">
        <f>+Tabla3[[#This Row],[COSTO UNITARIO DOLARES CTP]]*Tabla3[[#This Row],[CANTIDAD SOLICTADA]]</f>
        <v>87.12</v>
      </c>
      <c r="T711" s="41" t="s">
        <v>674</v>
      </c>
      <c r="U711" s="18" t="s">
        <v>161</v>
      </c>
      <c r="V711" s="8" t="s">
        <v>959</v>
      </c>
      <c r="W711" s="10"/>
      <c r="X711" s="10" t="s">
        <v>89</v>
      </c>
      <c r="Y711" s="10">
        <v>1</v>
      </c>
      <c r="Z711" s="16"/>
      <c r="AA711" s="16"/>
      <c r="AB711" s="16"/>
      <c r="AC711" s="16"/>
      <c r="AD711" s="16"/>
      <c r="AE711" s="16"/>
      <c r="AF711" s="16"/>
      <c r="AG711" s="21" t="s">
        <v>960</v>
      </c>
      <c r="XFD711" s="15" t="str">
        <f>+Tabla3[[#This Row],[ESTATUS DE NUM ECONOMICO]]</f>
        <v>INACTIVA</v>
      </c>
    </row>
    <row r="712" spans="1:33 16384:16384" ht="15.75" thickBot="1" x14ac:dyDescent="0.3">
      <c r="A712" s="8">
        <v>124</v>
      </c>
      <c r="B712" s="9">
        <v>46200</v>
      </c>
      <c r="C712" s="10" t="s">
        <v>87</v>
      </c>
      <c r="D712" s="11"/>
      <c r="E712" s="16">
        <v>83</v>
      </c>
      <c r="F712" s="9">
        <v>46203</v>
      </c>
      <c r="G712" s="212" t="str">
        <f>IFERROR(VLOOKUP(Tabla3[[#This Row],[NUM ECONOMICO]],MAQUINARIA!B:H,7,0), " MAQ")</f>
        <v>INACTIVA</v>
      </c>
      <c r="H712" s="214" t="s">
        <v>247</v>
      </c>
      <c r="I712" s="41" t="s">
        <v>790</v>
      </c>
      <c r="J712" s="10" t="s">
        <v>987</v>
      </c>
      <c r="K712" s="10">
        <v>2</v>
      </c>
      <c r="L712" s="13">
        <v>4793.43</v>
      </c>
      <c r="M712" s="13">
        <f t="shared" si="11"/>
        <v>9586.86</v>
      </c>
      <c r="N712" s="41"/>
      <c r="O712" s="287">
        <v>225.44</v>
      </c>
      <c r="P712" s="287">
        <f>Tabla3[[#This Row],[COSTO UNITARIO DOLARES EN HAWTHORNE]]*Tabla3[[#This Row],[CANTIDAD SOLICTADA]]</f>
        <v>450.88</v>
      </c>
      <c r="Q712" s="41" t="s">
        <v>674</v>
      </c>
      <c r="R712" s="229">
        <v>90.85</v>
      </c>
      <c r="S712" s="229">
        <f>+Tabla3[[#This Row],[COSTO UNITARIO DOLARES CTP]]*Tabla3[[#This Row],[CANTIDAD SOLICTADA]]</f>
        <v>181.7</v>
      </c>
      <c r="T712" s="41" t="s">
        <v>674</v>
      </c>
      <c r="U712" s="18" t="s">
        <v>5</v>
      </c>
      <c r="V712" s="211" t="s">
        <v>959</v>
      </c>
      <c r="W712" s="10"/>
      <c r="X712" s="10" t="s">
        <v>89</v>
      </c>
      <c r="Y712" s="10" t="s">
        <v>90</v>
      </c>
      <c r="Z712" s="16"/>
      <c r="AA712" s="16"/>
      <c r="AB712" s="16"/>
      <c r="AC712" s="16"/>
      <c r="AD712" s="16"/>
      <c r="AE712" s="16"/>
      <c r="AF712" s="16"/>
      <c r="AG712" s="21" t="s">
        <v>960</v>
      </c>
      <c r="XFD712" s="15" t="str">
        <f>+Tabla3[[#This Row],[ESTATUS DE NUM ECONOMICO]]</f>
        <v>INACTIVA</v>
      </c>
    </row>
    <row r="713" spans="1:33 16384:16384" ht="15.75" thickBot="1" x14ac:dyDescent="0.3">
      <c r="A713" s="8">
        <v>124</v>
      </c>
      <c r="B713" s="9">
        <v>46200</v>
      </c>
      <c r="C713" s="10" t="s">
        <v>87</v>
      </c>
      <c r="D713" s="11"/>
      <c r="E713" s="16"/>
      <c r="F713" s="10"/>
      <c r="G713" s="212" t="str">
        <f>IFERROR(VLOOKUP(Tabla3[[#This Row],[NUM ECONOMICO]],MAQUINARIA!B:H,7,0), " MAQ")</f>
        <v>INACTIVA</v>
      </c>
      <c r="H713" s="214" t="s">
        <v>247</v>
      </c>
      <c r="I713" s="41" t="s">
        <v>792</v>
      </c>
      <c r="J713" s="10" t="s">
        <v>988</v>
      </c>
      <c r="K713" s="10">
        <v>2</v>
      </c>
      <c r="L713" s="13">
        <v>3963.93</v>
      </c>
      <c r="M713" s="13">
        <f t="shared" si="11"/>
        <v>7927.86</v>
      </c>
      <c r="N713" s="41"/>
      <c r="O713" s="287">
        <v>186.41</v>
      </c>
      <c r="P713" s="287">
        <f>Tabla3[[#This Row],[COSTO UNITARIO DOLARES EN HAWTHORNE]]*Tabla3[[#This Row],[CANTIDAD SOLICTADA]]</f>
        <v>372.82</v>
      </c>
      <c r="Q713" s="41" t="s">
        <v>674</v>
      </c>
      <c r="R713" s="229">
        <v>0</v>
      </c>
      <c r="S713" s="229">
        <f>+Tabla3[[#This Row],[COSTO UNITARIO DOLARES CTP]]*Tabla3[[#This Row],[CANTIDAD SOLICTADA]]</f>
        <v>0</v>
      </c>
      <c r="T713" s="41"/>
      <c r="U713" s="18" t="s">
        <v>161</v>
      </c>
      <c r="V713" s="8" t="s">
        <v>959</v>
      </c>
      <c r="W713" s="10"/>
      <c r="X713" s="10" t="s">
        <v>89</v>
      </c>
      <c r="Y713" s="10" t="s">
        <v>90</v>
      </c>
      <c r="Z713" s="16"/>
      <c r="AA713" s="16"/>
      <c r="AB713" s="16"/>
      <c r="AC713" s="16"/>
      <c r="AD713" s="16"/>
      <c r="AE713" s="16"/>
      <c r="AF713" s="16"/>
      <c r="AG713" s="21" t="s">
        <v>960</v>
      </c>
      <c r="XFD713" s="15" t="str">
        <f>+Tabla3[[#This Row],[ESTATUS DE NUM ECONOMICO]]</f>
        <v>INACTIVA</v>
      </c>
    </row>
    <row r="714" spans="1:33 16384:16384" ht="15.75" thickBot="1" x14ac:dyDescent="0.3">
      <c r="A714" s="8">
        <v>124</v>
      </c>
      <c r="B714" s="9">
        <v>46200</v>
      </c>
      <c r="C714" s="10" t="s">
        <v>87</v>
      </c>
      <c r="D714" s="11"/>
      <c r="E714" s="16">
        <v>83</v>
      </c>
      <c r="F714" s="9">
        <v>46203</v>
      </c>
      <c r="G714" s="212" t="str">
        <f>IFERROR(VLOOKUP(Tabla3[[#This Row],[NUM ECONOMICO]],MAQUINARIA!B:H,7,0), " MAQ")</f>
        <v>INACTIVA</v>
      </c>
      <c r="H714" s="214" t="s">
        <v>247</v>
      </c>
      <c r="I714" s="41" t="s">
        <v>791</v>
      </c>
      <c r="J714" s="10" t="s">
        <v>989</v>
      </c>
      <c r="K714" s="10">
        <v>2</v>
      </c>
      <c r="L714" s="13">
        <v>134.4</v>
      </c>
      <c r="M714" s="13">
        <f t="shared" si="11"/>
        <v>268.8</v>
      </c>
      <c r="N714" s="41"/>
      <c r="O714" s="287">
        <v>7.53</v>
      </c>
      <c r="P714" s="287">
        <f>Tabla3[[#This Row],[COSTO UNITARIO DOLARES EN HAWTHORNE]]*Tabla3[[#This Row],[CANTIDAD SOLICTADA]]</f>
        <v>15.06</v>
      </c>
      <c r="Q714" s="41" t="s">
        <v>674</v>
      </c>
      <c r="R714" s="229">
        <v>0.38</v>
      </c>
      <c r="S714" s="229">
        <f>+Tabla3[[#This Row],[COSTO UNITARIO DOLARES CTP]]*Tabla3[[#This Row],[CANTIDAD SOLICTADA]]</f>
        <v>0.76</v>
      </c>
      <c r="T714" s="41" t="s">
        <v>674</v>
      </c>
      <c r="U714" s="18" t="s">
        <v>5</v>
      </c>
      <c r="V714" s="211" t="s">
        <v>959</v>
      </c>
      <c r="W714" s="10"/>
      <c r="X714" s="10" t="s">
        <v>89</v>
      </c>
      <c r="Y714" s="10">
        <v>2</v>
      </c>
      <c r="Z714" s="16"/>
      <c r="AA714" s="16"/>
      <c r="AB714" s="16"/>
      <c r="AC714" s="16"/>
      <c r="AD714" s="16"/>
      <c r="AE714" s="16"/>
      <c r="AF714" s="16"/>
      <c r="AG714" s="21" t="s">
        <v>960</v>
      </c>
      <c r="XFD714" s="15" t="str">
        <f>+Tabla3[[#This Row],[ESTATUS DE NUM ECONOMICO]]</f>
        <v>INACTIVA</v>
      </c>
    </row>
    <row r="715" spans="1:33 16384:16384" ht="15.75" thickBot="1" x14ac:dyDescent="0.3">
      <c r="A715" s="8">
        <v>124</v>
      </c>
      <c r="B715" s="9">
        <v>46200</v>
      </c>
      <c r="C715" s="10" t="s">
        <v>87</v>
      </c>
      <c r="D715" s="11"/>
      <c r="E715" s="16">
        <v>83</v>
      </c>
      <c r="F715" s="9">
        <v>46203</v>
      </c>
      <c r="G715" s="212" t="str">
        <f>IFERROR(VLOOKUP(Tabla3[[#This Row],[NUM ECONOMICO]],MAQUINARIA!B:H,7,0), " MAQ")</f>
        <v>INACTIVA</v>
      </c>
      <c r="H715" s="214" t="s">
        <v>247</v>
      </c>
      <c r="I715" s="41" t="s">
        <v>311</v>
      </c>
      <c r="J715" s="10" t="s">
        <v>989</v>
      </c>
      <c r="K715" s="10">
        <v>2</v>
      </c>
      <c r="L715" s="13">
        <v>217.18</v>
      </c>
      <c r="M715" s="13">
        <f t="shared" si="11"/>
        <v>434.36</v>
      </c>
      <c r="N715" s="41"/>
      <c r="O715" s="287">
        <v>12.15</v>
      </c>
      <c r="P715" s="287">
        <f>Tabla3[[#This Row],[COSTO UNITARIO DOLARES EN HAWTHORNE]]*Tabla3[[#This Row],[CANTIDAD SOLICTADA]]</f>
        <v>24.3</v>
      </c>
      <c r="Q715" s="41" t="s">
        <v>674</v>
      </c>
      <c r="R715" s="229">
        <v>1.0900000000000001</v>
      </c>
      <c r="S715" s="229">
        <f>+Tabla3[[#This Row],[COSTO UNITARIO DOLARES CTP]]*Tabla3[[#This Row],[CANTIDAD SOLICTADA]]</f>
        <v>2.1800000000000002</v>
      </c>
      <c r="T715" s="41" t="s">
        <v>674</v>
      </c>
      <c r="U715" s="18" t="s">
        <v>5</v>
      </c>
      <c r="V715" s="211" t="s">
        <v>959</v>
      </c>
      <c r="W715" s="10"/>
      <c r="X715" s="10" t="s">
        <v>89</v>
      </c>
      <c r="Y715" s="10">
        <v>0</v>
      </c>
      <c r="Z715" s="16"/>
      <c r="AA715" s="16"/>
      <c r="AB715" s="16"/>
      <c r="AC715" s="16"/>
      <c r="AD715" s="16"/>
      <c r="AE715" s="16"/>
      <c r="AF715" s="16"/>
      <c r="AG715" s="21" t="s">
        <v>960</v>
      </c>
      <c r="XFD715" s="15" t="str">
        <f>+Tabla3[[#This Row],[ESTATUS DE NUM ECONOMICO]]</f>
        <v>INACTIVA</v>
      </c>
    </row>
    <row r="716" spans="1:33 16384:16384" ht="15.75" thickBot="1" x14ac:dyDescent="0.3">
      <c r="A716" s="8">
        <v>124</v>
      </c>
      <c r="B716" s="9">
        <v>46200</v>
      </c>
      <c r="C716" s="10" t="s">
        <v>87</v>
      </c>
      <c r="D716" s="11"/>
      <c r="E716" s="16">
        <v>83</v>
      </c>
      <c r="F716" s="9">
        <v>46203</v>
      </c>
      <c r="G716" s="212" t="str">
        <f>IFERROR(VLOOKUP(Tabla3[[#This Row],[NUM ECONOMICO]],MAQUINARIA!B:H,7,0), " MAQ")</f>
        <v>INACTIVA</v>
      </c>
      <c r="H716" s="214" t="s">
        <v>247</v>
      </c>
      <c r="I716" s="41" t="s">
        <v>990</v>
      </c>
      <c r="J716" s="10" t="s">
        <v>991</v>
      </c>
      <c r="K716" s="10">
        <v>2</v>
      </c>
      <c r="L716" s="13">
        <v>992.25</v>
      </c>
      <c r="M716" s="13">
        <f t="shared" si="11"/>
        <v>1984.5</v>
      </c>
      <c r="N716" s="41"/>
      <c r="O716" s="287">
        <v>51.71</v>
      </c>
      <c r="P716" s="287">
        <f>Tabla3[[#This Row],[COSTO UNITARIO DOLARES EN HAWTHORNE]]*Tabla3[[#This Row],[CANTIDAD SOLICTADA]]</f>
        <v>103.42</v>
      </c>
      <c r="Q716" s="41" t="s">
        <v>674</v>
      </c>
      <c r="R716" s="229">
        <v>8.35</v>
      </c>
      <c r="S716" s="229">
        <f>+Tabla3[[#This Row],[COSTO UNITARIO DOLARES CTP]]*Tabla3[[#This Row],[CANTIDAD SOLICTADA]]</f>
        <v>16.7</v>
      </c>
      <c r="T716" s="41" t="s">
        <v>674</v>
      </c>
      <c r="U716" s="18" t="s">
        <v>5</v>
      </c>
      <c r="V716" s="211" t="s">
        <v>959</v>
      </c>
      <c r="W716" s="10"/>
      <c r="X716" s="10" t="s">
        <v>89</v>
      </c>
      <c r="Y716" s="10" t="s">
        <v>90</v>
      </c>
      <c r="Z716" s="16"/>
      <c r="AA716" s="16"/>
      <c r="AB716" s="16"/>
      <c r="AC716" s="16"/>
      <c r="AD716" s="16"/>
      <c r="AE716" s="16"/>
      <c r="AF716" s="16"/>
      <c r="AG716" s="21" t="s">
        <v>960</v>
      </c>
      <c r="XFD716" s="15" t="str">
        <f>+Tabla3[[#This Row],[ESTATUS DE NUM ECONOMICO]]</f>
        <v>INACTIVA</v>
      </c>
    </row>
    <row r="717" spans="1:33 16384:16384" ht="15.75" thickBot="1" x14ac:dyDescent="0.3">
      <c r="A717" s="8">
        <v>124</v>
      </c>
      <c r="B717" s="9">
        <v>46200</v>
      </c>
      <c r="C717" s="10" t="s">
        <v>87</v>
      </c>
      <c r="D717" s="11"/>
      <c r="E717" s="16">
        <v>83</v>
      </c>
      <c r="F717" s="9">
        <v>46203</v>
      </c>
      <c r="G717" s="212" t="str">
        <f>IFERROR(VLOOKUP(Tabla3[[#This Row],[NUM ECONOMICO]],MAQUINARIA!B:H,7,0), " MAQ")</f>
        <v>INACTIVA</v>
      </c>
      <c r="H717" s="214" t="s">
        <v>247</v>
      </c>
      <c r="I717" s="41" t="s">
        <v>992</v>
      </c>
      <c r="J717" s="10" t="s">
        <v>989</v>
      </c>
      <c r="K717" s="10">
        <v>4</v>
      </c>
      <c r="L717" s="13">
        <v>157.33000000000001</v>
      </c>
      <c r="M717" s="13">
        <f t="shared" si="11"/>
        <v>629.32000000000005</v>
      </c>
      <c r="N717" s="41"/>
      <c r="O717" s="287">
        <v>8.8000000000000007</v>
      </c>
      <c r="P717" s="287">
        <f>Tabla3[[#This Row],[COSTO UNITARIO DOLARES EN HAWTHORNE]]*Tabla3[[#This Row],[CANTIDAD SOLICTADA]]</f>
        <v>35.200000000000003</v>
      </c>
      <c r="Q717" s="41" t="s">
        <v>674</v>
      </c>
      <c r="R717" s="229">
        <v>0.3</v>
      </c>
      <c r="S717" s="229">
        <f>+Tabla3[[#This Row],[COSTO UNITARIO DOLARES CTP]]*Tabla3[[#This Row],[CANTIDAD SOLICTADA]]</f>
        <v>1.2</v>
      </c>
      <c r="T717" s="41" t="s">
        <v>674</v>
      </c>
      <c r="U717" s="18" t="s">
        <v>5</v>
      </c>
      <c r="V717" s="211" t="s">
        <v>959</v>
      </c>
      <c r="W717" s="10"/>
      <c r="X717" s="10" t="s">
        <v>89</v>
      </c>
      <c r="Y717" s="10">
        <v>0</v>
      </c>
      <c r="Z717" s="16"/>
      <c r="AA717" s="16"/>
      <c r="AB717" s="16"/>
      <c r="AC717" s="16"/>
      <c r="AD717" s="16"/>
      <c r="AE717" s="16"/>
      <c r="AF717" s="16"/>
      <c r="AG717" s="21" t="s">
        <v>960</v>
      </c>
      <c r="XFD717" s="15" t="str">
        <f>+Tabla3[[#This Row],[ESTATUS DE NUM ECONOMICO]]</f>
        <v>INACTIVA</v>
      </c>
    </row>
    <row r="718" spans="1:33 16384:16384" ht="15.75" thickBot="1" x14ac:dyDescent="0.3">
      <c r="A718" s="8">
        <v>124</v>
      </c>
      <c r="B718" s="9">
        <v>46200</v>
      </c>
      <c r="C718" s="10" t="s">
        <v>87</v>
      </c>
      <c r="D718" s="11"/>
      <c r="E718" s="16">
        <v>83</v>
      </c>
      <c r="F718" s="9">
        <v>46203</v>
      </c>
      <c r="G718" s="212" t="str">
        <f>IFERROR(VLOOKUP(Tabla3[[#This Row],[NUM ECONOMICO]],MAQUINARIA!B:H,7,0), " MAQ")</f>
        <v>INACTIVA</v>
      </c>
      <c r="H718" s="214" t="s">
        <v>247</v>
      </c>
      <c r="I718" s="41" t="s">
        <v>796</v>
      </c>
      <c r="J718" s="10" t="s">
        <v>989</v>
      </c>
      <c r="K718" s="10">
        <v>2</v>
      </c>
      <c r="L718" s="13">
        <v>174.83</v>
      </c>
      <c r="M718" s="13">
        <f t="shared" si="11"/>
        <v>349.66</v>
      </c>
      <c r="N718" s="41"/>
      <c r="O718" s="287">
        <v>9.7899999999999991</v>
      </c>
      <c r="P718" s="287">
        <f>Tabla3[[#This Row],[COSTO UNITARIO DOLARES EN HAWTHORNE]]*Tabla3[[#This Row],[CANTIDAD SOLICTADA]]</f>
        <v>19.579999999999998</v>
      </c>
      <c r="Q718" s="41" t="s">
        <v>674</v>
      </c>
      <c r="R718" s="229">
        <v>0.88</v>
      </c>
      <c r="S718" s="229">
        <f>+Tabla3[[#This Row],[COSTO UNITARIO DOLARES CTP]]*Tabla3[[#This Row],[CANTIDAD SOLICTADA]]</f>
        <v>1.76</v>
      </c>
      <c r="T718" s="41" t="s">
        <v>674</v>
      </c>
      <c r="U718" s="18" t="s">
        <v>5</v>
      </c>
      <c r="V718" s="211" t="s">
        <v>959</v>
      </c>
      <c r="W718" s="10"/>
      <c r="X718" s="10" t="s">
        <v>89</v>
      </c>
      <c r="Y718" s="10">
        <v>0</v>
      </c>
      <c r="Z718" s="16"/>
      <c r="AA718" s="16"/>
      <c r="AB718" s="16"/>
      <c r="AC718" s="16"/>
      <c r="AD718" s="16"/>
      <c r="AE718" s="16"/>
      <c r="AF718" s="16"/>
      <c r="AG718" s="21" t="s">
        <v>960</v>
      </c>
      <c r="XFD718" s="15" t="str">
        <f>+Tabla3[[#This Row],[ESTATUS DE NUM ECONOMICO]]</f>
        <v>INACTIVA</v>
      </c>
    </row>
    <row r="719" spans="1:33 16384:16384" ht="15.75" thickBot="1" x14ac:dyDescent="0.3">
      <c r="A719" s="8">
        <v>124</v>
      </c>
      <c r="B719" s="9">
        <v>46200</v>
      </c>
      <c r="C719" s="10" t="s">
        <v>87</v>
      </c>
      <c r="D719" s="11"/>
      <c r="E719" s="16">
        <v>83</v>
      </c>
      <c r="F719" s="9">
        <v>46203</v>
      </c>
      <c r="G719" s="212" t="str">
        <f>IFERROR(VLOOKUP(Tabla3[[#This Row],[NUM ECONOMICO]],MAQUINARIA!B:H,7,0), " MAQ")</f>
        <v>INACTIVA</v>
      </c>
      <c r="H719" s="214" t="s">
        <v>247</v>
      </c>
      <c r="I719" s="41" t="s">
        <v>993</v>
      </c>
      <c r="J719" s="10" t="s">
        <v>994</v>
      </c>
      <c r="K719" s="10">
        <v>16</v>
      </c>
      <c r="L719" s="13">
        <v>59.5</v>
      </c>
      <c r="M719" s="13">
        <f t="shared" si="11"/>
        <v>952</v>
      </c>
      <c r="N719" s="41"/>
      <c r="O719" s="287">
        <v>3.34</v>
      </c>
      <c r="P719" s="287">
        <f>Tabla3[[#This Row],[COSTO UNITARIO DOLARES EN HAWTHORNE]]*Tabla3[[#This Row],[CANTIDAD SOLICTADA]]</f>
        <v>53.44</v>
      </c>
      <c r="Q719" s="41" t="s">
        <v>674</v>
      </c>
      <c r="R719" s="229">
        <v>0.76</v>
      </c>
      <c r="S719" s="229">
        <f>+Tabla3[[#This Row],[COSTO UNITARIO DOLARES CTP]]*Tabla3[[#This Row],[CANTIDAD SOLICTADA]]</f>
        <v>12.16</v>
      </c>
      <c r="T719" s="41" t="s">
        <v>674</v>
      </c>
      <c r="U719" s="18" t="s">
        <v>5</v>
      </c>
      <c r="V719" s="211" t="s">
        <v>959</v>
      </c>
      <c r="W719" s="10"/>
      <c r="X719" s="10" t="s">
        <v>89</v>
      </c>
      <c r="Y719" s="10">
        <v>12</v>
      </c>
      <c r="Z719" s="16"/>
      <c r="AA719" s="16"/>
      <c r="AB719" s="16"/>
      <c r="AC719" s="16"/>
      <c r="AD719" s="16"/>
      <c r="AE719" s="16"/>
      <c r="AF719" s="16"/>
      <c r="AG719" s="21" t="s">
        <v>960</v>
      </c>
      <c r="XFD719" s="15" t="str">
        <f>+Tabla3[[#This Row],[ESTATUS DE NUM ECONOMICO]]</f>
        <v>INACTIVA</v>
      </c>
    </row>
    <row r="720" spans="1:33 16384:16384" ht="15.75" thickBot="1" x14ac:dyDescent="0.3">
      <c r="A720" s="8">
        <v>124</v>
      </c>
      <c r="B720" s="9">
        <v>46200</v>
      </c>
      <c r="C720" s="10" t="s">
        <v>87</v>
      </c>
      <c r="D720" s="11"/>
      <c r="E720" s="16"/>
      <c r="F720" s="10"/>
      <c r="G720" s="212" t="str">
        <f>IFERROR(VLOOKUP(Tabla3[[#This Row],[NUM ECONOMICO]],MAQUINARIA!B:H,7,0), " MAQ")</f>
        <v>INACTIVA</v>
      </c>
      <c r="H720" s="214" t="s">
        <v>247</v>
      </c>
      <c r="I720" s="41" t="s">
        <v>995</v>
      </c>
      <c r="J720" s="10" t="s">
        <v>994</v>
      </c>
      <c r="K720" s="10">
        <v>16</v>
      </c>
      <c r="L720" s="13">
        <v>21.88</v>
      </c>
      <c r="M720" s="13">
        <f t="shared" si="11"/>
        <v>350.08</v>
      </c>
      <c r="N720" s="41"/>
      <c r="O720" s="287">
        <v>1.23</v>
      </c>
      <c r="P720" s="287">
        <f>Tabla3[[#This Row],[COSTO UNITARIO DOLARES EN HAWTHORNE]]*Tabla3[[#This Row],[CANTIDAD SOLICTADA]]</f>
        <v>19.68</v>
      </c>
      <c r="Q720" s="41" t="s">
        <v>217</v>
      </c>
      <c r="R720" s="229">
        <v>0.12</v>
      </c>
      <c r="S720" s="229">
        <f>+Tabla3[[#This Row],[COSTO UNITARIO DOLARES CTP]]*Tabla3[[#This Row],[CANTIDAD SOLICTADA]]</f>
        <v>1.92</v>
      </c>
      <c r="T720" s="41" t="s">
        <v>674</v>
      </c>
      <c r="U720" s="18" t="s">
        <v>161</v>
      </c>
      <c r="V720" s="8" t="s">
        <v>959</v>
      </c>
      <c r="W720" s="10"/>
      <c r="X720" s="10" t="s">
        <v>89</v>
      </c>
      <c r="Y720" s="10">
        <v>16</v>
      </c>
      <c r="Z720" s="16"/>
      <c r="AA720" s="16"/>
      <c r="AB720" s="16"/>
      <c r="AC720" s="16"/>
      <c r="AD720" s="16"/>
      <c r="AE720" s="16"/>
      <c r="AF720" s="16"/>
      <c r="AG720" s="21" t="s">
        <v>960</v>
      </c>
      <c r="XFD720" s="15" t="str">
        <f>+Tabla3[[#This Row],[ESTATUS DE NUM ECONOMICO]]</f>
        <v>INACTIVA</v>
      </c>
    </row>
    <row r="721" spans="1:33 16384:16384" ht="15.75" thickBot="1" x14ac:dyDescent="0.3">
      <c r="A721" s="8">
        <v>124</v>
      </c>
      <c r="B721" s="9">
        <v>46200</v>
      </c>
      <c r="C721" s="10" t="s">
        <v>87</v>
      </c>
      <c r="D721" s="11"/>
      <c r="E721" s="16"/>
      <c r="F721" s="10"/>
      <c r="G721" s="212" t="str">
        <f>IFERROR(VLOOKUP(Tabla3[[#This Row],[NUM ECONOMICO]],MAQUINARIA!B:H,7,0), " MAQ")</f>
        <v>INACTIVA</v>
      </c>
      <c r="H721" s="214" t="s">
        <v>247</v>
      </c>
      <c r="I721" s="41" t="s">
        <v>996</v>
      </c>
      <c r="J721" s="10" t="s">
        <v>997</v>
      </c>
      <c r="K721" s="10">
        <v>16</v>
      </c>
      <c r="L721" s="13">
        <v>91.7</v>
      </c>
      <c r="M721" s="13">
        <f t="shared" si="11"/>
        <v>1467.2</v>
      </c>
      <c r="N721" s="41"/>
      <c r="O721" s="287">
        <v>5.15</v>
      </c>
      <c r="P721" s="287">
        <f>Tabla3[[#This Row],[COSTO UNITARIO DOLARES EN HAWTHORNE]]*Tabla3[[#This Row],[CANTIDAD SOLICTADA]]</f>
        <v>82.4</v>
      </c>
      <c r="Q721" s="41" t="s">
        <v>674</v>
      </c>
      <c r="R721" s="229">
        <v>0.86</v>
      </c>
      <c r="S721" s="229">
        <f>+Tabla3[[#This Row],[COSTO UNITARIO DOLARES CTP]]*Tabla3[[#This Row],[CANTIDAD SOLICTADA]]</f>
        <v>13.76</v>
      </c>
      <c r="T721" s="41" t="s">
        <v>674</v>
      </c>
      <c r="U721" s="18" t="s">
        <v>161</v>
      </c>
      <c r="V721" s="8" t="s">
        <v>959</v>
      </c>
      <c r="W721" s="10"/>
      <c r="X721" s="10" t="s">
        <v>89</v>
      </c>
      <c r="Y721" s="10">
        <v>16</v>
      </c>
      <c r="Z721" s="16"/>
      <c r="AA721" s="16"/>
      <c r="AB721" s="16"/>
      <c r="AC721" s="16"/>
      <c r="AD721" s="16"/>
      <c r="AE721" s="16"/>
      <c r="AF721" s="16"/>
      <c r="AG721" s="21" t="s">
        <v>960</v>
      </c>
      <c r="XFD721" s="15" t="str">
        <f>+Tabla3[[#This Row],[ESTATUS DE NUM ECONOMICO]]</f>
        <v>INACTIVA</v>
      </c>
    </row>
    <row r="722" spans="1:33 16384:16384" ht="15.75" thickBot="1" x14ac:dyDescent="0.3">
      <c r="A722" s="8">
        <v>124</v>
      </c>
      <c r="B722" s="9">
        <v>46200</v>
      </c>
      <c r="C722" s="10" t="s">
        <v>87</v>
      </c>
      <c r="D722" s="11"/>
      <c r="E722" s="16">
        <v>83</v>
      </c>
      <c r="F722" s="9">
        <v>46203</v>
      </c>
      <c r="G722" s="212" t="str">
        <f>IFERROR(VLOOKUP(Tabla3[[#This Row],[NUM ECONOMICO]],MAQUINARIA!B:H,7,0), " MAQ")</f>
        <v>INACTIVA</v>
      </c>
      <c r="H722" s="214" t="s">
        <v>247</v>
      </c>
      <c r="I722" s="41">
        <v>4587784</v>
      </c>
      <c r="J722" s="10" t="s">
        <v>998</v>
      </c>
      <c r="K722" s="10">
        <v>10</v>
      </c>
      <c r="L722" s="13">
        <v>4030.95</v>
      </c>
      <c r="M722" s="13">
        <f t="shared" si="11"/>
        <v>40309.5</v>
      </c>
      <c r="N722" s="41"/>
      <c r="O722" s="287">
        <v>188.57</v>
      </c>
      <c r="P722" s="287">
        <f>Tabla3[[#This Row],[COSTO UNITARIO DOLARES EN HAWTHORNE]]*Tabla3[[#This Row],[CANTIDAD SOLICTADA]]</f>
        <v>1885.6999999999998</v>
      </c>
      <c r="Q722" s="41" t="s">
        <v>674</v>
      </c>
      <c r="R722" s="229">
        <v>0</v>
      </c>
      <c r="S722" s="229">
        <f>+Tabla3[[#This Row],[COSTO UNITARIO DOLARES CTP]]*Tabla3[[#This Row],[CANTIDAD SOLICTADA]]</f>
        <v>0</v>
      </c>
      <c r="T722" s="41"/>
      <c r="U722" s="18" t="s">
        <v>161</v>
      </c>
      <c r="V722" s="8" t="s">
        <v>959</v>
      </c>
      <c r="W722" s="10"/>
      <c r="X722" s="10" t="s">
        <v>89</v>
      </c>
      <c r="Y722" s="10" t="s">
        <v>90</v>
      </c>
      <c r="Z722" s="16"/>
      <c r="AA722" s="16"/>
      <c r="AB722" s="16"/>
      <c r="AC722" s="16"/>
      <c r="AD722" s="16"/>
      <c r="AE722" s="16"/>
      <c r="AF722" s="16"/>
      <c r="AG722" s="21" t="s">
        <v>960</v>
      </c>
      <c r="XFD722" s="15" t="str">
        <f>+Tabla3[[#This Row],[ESTATUS DE NUM ECONOMICO]]</f>
        <v>INACTIVA</v>
      </c>
    </row>
    <row r="723" spans="1:33 16384:16384" ht="15.75" thickBot="1" x14ac:dyDescent="0.3">
      <c r="A723" s="8">
        <v>124</v>
      </c>
      <c r="B723" s="9">
        <v>46200</v>
      </c>
      <c r="C723" s="10" t="s">
        <v>87</v>
      </c>
      <c r="D723" s="11"/>
      <c r="E723" s="16">
        <v>83</v>
      </c>
      <c r="F723" s="9">
        <v>46203</v>
      </c>
      <c r="G723" s="212" t="str">
        <f>IFERROR(VLOOKUP(Tabla3[[#This Row],[NUM ECONOMICO]],MAQUINARIA!B:H,7,0), " MAQ")</f>
        <v>INACTIVA</v>
      </c>
      <c r="H723" s="214" t="s">
        <v>247</v>
      </c>
      <c r="I723" s="41" t="s">
        <v>999</v>
      </c>
      <c r="J723" s="10" t="s">
        <v>1000</v>
      </c>
      <c r="K723" s="10">
        <v>60</v>
      </c>
      <c r="L723" s="13">
        <v>96.25</v>
      </c>
      <c r="M723" s="13">
        <f t="shared" si="11"/>
        <v>5775</v>
      </c>
      <c r="N723" s="41"/>
      <c r="O723" s="287">
        <v>4.4400000000000004</v>
      </c>
      <c r="P723" s="287">
        <f>Tabla3[[#This Row],[COSTO UNITARIO DOLARES EN HAWTHORNE]]*Tabla3[[#This Row],[CANTIDAD SOLICTADA]]</f>
        <v>266.40000000000003</v>
      </c>
      <c r="Q723" s="41" t="s">
        <v>674</v>
      </c>
      <c r="R723" s="229">
        <v>2.14</v>
      </c>
      <c r="S723" s="229">
        <f>+Tabla3[[#This Row],[COSTO UNITARIO DOLARES CTP]]*Tabla3[[#This Row],[CANTIDAD SOLICTADA]]</f>
        <v>128.4</v>
      </c>
      <c r="T723" s="41" t="s">
        <v>674</v>
      </c>
      <c r="U723" s="18" t="s">
        <v>5</v>
      </c>
      <c r="V723" s="211" t="s">
        <v>959</v>
      </c>
      <c r="W723" s="10"/>
      <c r="X723" s="10" t="s">
        <v>89</v>
      </c>
      <c r="Y723" s="10" t="s">
        <v>90</v>
      </c>
      <c r="Z723" s="16"/>
      <c r="AA723" s="16"/>
      <c r="AB723" s="16"/>
      <c r="AC723" s="16"/>
      <c r="AD723" s="16"/>
      <c r="AE723" s="16"/>
      <c r="AF723" s="16"/>
      <c r="AG723" s="21" t="s">
        <v>960</v>
      </c>
      <c r="XFD723" s="15" t="str">
        <f>+Tabla3[[#This Row],[ESTATUS DE NUM ECONOMICO]]</f>
        <v>INACTIVA</v>
      </c>
    </row>
    <row r="724" spans="1:33 16384:16384" ht="15.75" thickBot="1" x14ac:dyDescent="0.3">
      <c r="A724" s="8">
        <v>124</v>
      </c>
      <c r="B724" s="9">
        <v>46200</v>
      </c>
      <c r="C724" s="10" t="s">
        <v>87</v>
      </c>
      <c r="D724" s="11"/>
      <c r="E724" s="16"/>
      <c r="F724" s="10"/>
      <c r="G724" s="212" t="str">
        <f>IFERROR(VLOOKUP(Tabla3[[#This Row],[NUM ECONOMICO]],MAQUINARIA!B:H,7,0), " MAQ")</f>
        <v>INACTIVA</v>
      </c>
      <c r="H724" s="214" t="s">
        <v>247</v>
      </c>
      <c r="I724" s="41" t="s">
        <v>964</v>
      </c>
      <c r="J724" s="10" t="s">
        <v>965</v>
      </c>
      <c r="K724" s="10">
        <v>60</v>
      </c>
      <c r="L724" s="13">
        <v>48.65</v>
      </c>
      <c r="M724" s="13">
        <f t="shared" si="11"/>
        <v>2919</v>
      </c>
      <c r="N724" s="41"/>
      <c r="O724" s="287">
        <v>2.71</v>
      </c>
      <c r="P724" s="287">
        <f>Tabla3[[#This Row],[COSTO UNITARIO DOLARES EN HAWTHORNE]]*Tabla3[[#This Row],[CANTIDAD SOLICTADA]]</f>
        <v>162.6</v>
      </c>
      <c r="Q724" s="41" t="s">
        <v>674</v>
      </c>
      <c r="R724" s="229">
        <v>0.23</v>
      </c>
      <c r="S724" s="229">
        <f>+Tabla3[[#This Row],[COSTO UNITARIO DOLARES CTP]]*Tabla3[[#This Row],[CANTIDAD SOLICTADA]]</f>
        <v>13.8</v>
      </c>
      <c r="T724" s="41" t="s">
        <v>674</v>
      </c>
      <c r="U724" s="18" t="s">
        <v>161</v>
      </c>
      <c r="V724" s="8" t="s">
        <v>959</v>
      </c>
      <c r="W724" s="10"/>
      <c r="X724" s="10" t="s">
        <v>89</v>
      </c>
      <c r="Y724" s="10">
        <v>5</v>
      </c>
      <c r="Z724" s="16"/>
      <c r="AA724" s="16"/>
      <c r="AB724" s="16"/>
      <c r="AC724" s="16"/>
      <c r="AD724" s="16"/>
      <c r="AE724" s="16"/>
      <c r="AF724" s="16"/>
      <c r="AG724" s="21" t="s">
        <v>960</v>
      </c>
      <c r="XFD724" s="15" t="str">
        <f>+Tabla3[[#This Row],[ESTATUS DE NUM ECONOMICO]]</f>
        <v>INACTIVA</v>
      </c>
    </row>
    <row r="725" spans="1:33 16384:16384" ht="15.75" thickBot="1" x14ac:dyDescent="0.3">
      <c r="A725" s="8">
        <v>124</v>
      </c>
      <c r="B725" s="9">
        <v>46200</v>
      </c>
      <c r="C725" s="10" t="s">
        <v>87</v>
      </c>
      <c r="D725" s="11"/>
      <c r="E725" s="16">
        <v>83</v>
      </c>
      <c r="F725" s="9">
        <v>46203</v>
      </c>
      <c r="G725" s="212" t="str">
        <f>IFERROR(VLOOKUP(Tabla3[[#This Row],[NUM ECONOMICO]],MAQUINARIA!B:H,7,0), " MAQ")</f>
        <v>INACTIVA</v>
      </c>
      <c r="H725" s="214" t="s">
        <v>247</v>
      </c>
      <c r="I725" s="41" t="s">
        <v>1001</v>
      </c>
      <c r="J725" s="10" t="s">
        <v>1002</v>
      </c>
      <c r="K725" s="10">
        <v>60</v>
      </c>
      <c r="L725" s="13">
        <v>45.15</v>
      </c>
      <c r="M725" s="13">
        <f t="shared" si="11"/>
        <v>2709</v>
      </c>
      <c r="N725" s="41"/>
      <c r="O725" s="287">
        <v>2.0699999999999998</v>
      </c>
      <c r="P725" s="287">
        <f>Tabla3[[#This Row],[COSTO UNITARIO DOLARES EN HAWTHORNE]]*Tabla3[[#This Row],[CANTIDAD SOLICTADA]]</f>
        <v>124.19999999999999</v>
      </c>
      <c r="Q725" s="41" t="s">
        <v>674</v>
      </c>
      <c r="R725" s="229">
        <v>0.69</v>
      </c>
      <c r="S725" s="229">
        <f>+Tabla3[[#This Row],[COSTO UNITARIO DOLARES CTP]]*Tabla3[[#This Row],[CANTIDAD SOLICTADA]]</f>
        <v>41.4</v>
      </c>
      <c r="T725" s="41" t="s">
        <v>674</v>
      </c>
      <c r="U725" s="18" t="s">
        <v>5</v>
      </c>
      <c r="V725" s="211" t="s">
        <v>959</v>
      </c>
      <c r="W725" s="10"/>
      <c r="X725" s="10" t="s">
        <v>89</v>
      </c>
      <c r="Y725" s="10" t="s">
        <v>90</v>
      </c>
      <c r="Z725" s="16"/>
      <c r="AA725" s="16"/>
      <c r="AB725" s="16"/>
      <c r="AC725" s="16"/>
      <c r="AD725" s="16"/>
      <c r="AE725" s="16"/>
      <c r="AF725" s="16"/>
      <c r="AG725" s="21" t="s">
        <v>960</v>
      </c>
      <c r="XFD725" s="15" t="str">
        <f>+Tabla3[[#This Row],[ESTATUS DE NUM ECONOMICO]]</f>
        <v>INACTIVA</v>
      </c>
    </row>
    <row r="726" spans="1:33 16384:16384" ht="15.75" thickBot="1" x14ac:dyDescent="0.3">
      <c r="A726" s="8">
        <v>124</v>
      </c>
      <c r="B726" s="9">
        <v>46200</v>
      </c>
      <c r="C726" s="10" t="s">
        <v>87</v>
      </c>
      <c r="D726" s="11"/>
      <c r="E726" s="16"/>
      <c r="F726" s="10"/>
      <c r="G726" s="212" t="str">
        <f>IFERROR(VLOOKUP(Tabla3[[#This Row],[NUM ECONOMICO]],MAQUINARIA!B:H,7,0), " MAQ")</f>
        <v>INACTIVA</v>
      </c>
      <c r="H726" s="214" t="s">
        <v>247</v>
      </c>
      <c r="I726" s="41" t="s">
        <v>1003</v>
      </c>
      <c r="J726" s="10" t="s">
        <v>1004</v>
      </c>
      <c r="K726" s="10">
        <v>4</v>
      </c>
      <c r="L726" s="13">
        <v>1804.6</v>
      </c>
      <c r="M726" s="13">
        <f t="shared" si="11"/>
        <v>7218.4</v>
      </c>
      <c r="N726" s="41"/>
      <c r="O726" s="287">
        <v>88.92</v>
      </c>
      <c r="P726" s="287">
        <f>Tabla3[[#This Row],[COSTO UNITARIO DOLARES EN HAWTHORNE]]*Tabla3[[#This Row],[CANTIDAD SOLICTADA]]</f>
        <v>355.68</v>
      </c>
      <c r="Q726" s="41" t="s">
        <v>674</v>
      </c>
      <c r="R726" s="229">
        <v>9.49</v>
      </c>
      <c r="S726" s="229">
        <f>+Tabla3[[#This Row],[COSTO UNITARIO DOLARES CTP]]*Tabla3[[#This Row],[CANTIDAD SOLICTADA]]</f>
        <v>37.96</v>
      </c>
      <c r="T726" s="41" t="s">
        <v>674</v>
      </c>
      <c r="U726" s="18" t="s">
        <v>161</v>
      </c>
      <c r="V726" s="8" t="s">
        <v>959</v>
      </c>
      <c r="W726" s="10"/>
      <c r="X726" s="10" t="s">
        <v>89</v>
      </c>
      <c r="Y726" s="10">
        <v>4</v>
      </c>
      <c r="Z726" s="16"/>
      <c r="AA726" s="16"/>
      <c r="AB726" s="16"/>
      <c r="AC726" s="16"/>
      <c r="AD726" s="16"/>
      <c r="AE726" s="16"/>
      <c r="AF726" s="16"/>
      <c r="AG726" s="21" t="s">
        <v>960</v>
      </c>
      <c r="XFD726" s="15" t="str">
        <f>+Tabla3[[#This Row],[ESTATUS DE NUM ECONOMICO]]</f>
        <v>INACTIVA</v>
      </c>
    </row>
    <row r="727" spans="1:33 16384:16384" ht="15.75" thickBot="1" x14ac:dyDescent="0.3">
      <c r="A727" s="8">
        <v>124</v>
      </c>
      <c r="B727" s="9">
        <v>46200</v>
      </c>
      <c r="C727" s="10" t="s">
        <v>87</v>
      </c>
      <c r="D727" s="11"/>
      <c r="E727" s="16">
        <v>83</v>
      </c>
      <c r="F727" s="9">
        <v>46203</v>
      </c>
      <c r="G727" s="212" t="str">
        <f>IFERROR(VLOOKUP(Tabla3[[#This Row],[NUM ECONOMICO]],MAQUINARIA!B:H,7,0), " MAQ")</f>
        <v>INACTIVA</v>
      </c>
      <c r="H727" s="214" t="s">
        <v>247</v>
      </c>
      <c r="I727" s="41" t="s">
        <v>1005</v>
      </c>
      <c r="J727" s="10" t="s">
        <v>1004</v>
      </c>
      <c r="K727" s="10">
        <v>8</v>
      </c>
      <c r="L727" s="13">
        <v>1314.43</v>
      </c>
      <c r="M727" s="13">
        <f t="shared" si="11"/>
        <v>10515.44</v>
      </c>
      <c r="N727" s="41"/>
      <c r="O727" s="287">
        <v>67.709999999999994</v>
      </c>
      <c r="P727" s="287">
        <f>Tabla3[[#This Row],[COSTO UNITARIO DOLARES EN HAWTHORNE]]*Tabla3[[#This Row],[CANTIDAD SOLICTADA]]</f>
        <v>541.67999999999995</v>
      </c>
      <c r="Q727" s="41" t="s">
        <v>674</v>
      </c>
      <c r="R727" s="229"/>
      <c r="S727" s="229">
        <f>+Tabla3[[#This Row],[COSTO UNITARIO DOLARES CTP]]*Tabla3[[#This Row],[CANTIDAD SOLICTADA]]</f>
        <v>0</v>
      </c>
      <c r="T727" s="41"/>
      <c r="U727" s="18" t="s">
        <v>5</v>
      </c>
      <c r="V727" s="211" t="s">
        <v>959</v>
      </c>
      <c r="W727" s="10"/>
      <c r="X727" s="10" t="s">
        <v>89</v>
      </c>
      <c r="Y727" s="10">
        <v>8</v>
      </c>
      <c r="Z727" s="16"/>
      <c r="AA727" s="16"/>
      <c r="AB727" s="16"/>
      <c r="AC727" s="16"/>
      <c r="AD727" s="16"/>
      <c r="AE727" s="16"/>
      <c r="AF727" s="16"/>
      <c r="AG727" s="21" t="s">
        <v>960</v>
      </c>
      <c r="XFD727" s="15" t="str">
        <f>+Tabla3[[#This Row],[ESTATUS DE NUM ECONOMICO]]</f>
        <v>INACTIVA</v>
      </c>
    </row>
    <row r="728" spans="1:33 16384:16384" ht="15.75" thickBot="1" x14ac:dyDescent="0.3">
      <c r="A728" s="8">
        <v>124</v>
      </c>
      <c r="B728" s="9">
        <v>46200</v>
      </c>
      <c r="C728" s="10" t="s">
        <v>87</v>
      </c>
      <c r="D728" s="11"/>
      <c r="E728" s="16">
        <v>83</v>
      </c>
      <c r="F728" s="9">
        <v>46203</v>
      </c>
      <c r="G728" s="212" t="str">
        <f>IFERROR(VLOOKUP(Tabla3[[#This Row],[NUM ECONOMICO]],MAQUINARIA!B:H,7,0), " MAQ")</f>
        <v>INACTIVA</v>
      </c>
      <c r="H728" s="214" t="s">
        <v>247</v>
      </c>
      <c r="I728" s="41" t="s">
        <v>1003</v>
      </c>
      <c r="J728" s="10" t="s">
        <v>1004</v>
      </c>
      <c r="K728" s="10">
        <v>4</v>
      </c>
      <c r="L728" s="13">
        <v>1804.6</v>
      </c>
      <c r="M728" s="13">
        <f t="shared" si="11"/>
        <v>7218.4</v>
      </c>
      <c r="N728" s="41"/>
      <c r="O728" s="287">
        <v>88.92</v>
      </c>
      <c r="P728" s="287">
        <f>Tabla3[[#This Row],[COSTO UNITARIO DOLARES EN HAWTHORNE]]*Tabla3[[#This Row],[CANTIDAD SOLICTADA]]</f>
        <v>355.68</v>
      </c>
      <c r="Q728" s="41" t="s">
        <v>674</v>
      </c>
      <c r="R728" s="229">
        <v>9.49</v>
      </c>
      <c r="S728" s="229">
        <f>+Tabla3[[#This Row],[COSTO UNITARIO DOLARES CTP]]*Tabla3[[#This Row],[CANTIDAD SOLICTADA]]</f>
        <v>37.96</v>
      </c>
      <c r="T728" s="41" t="s">
        <v>674</v>
      </c>
      <c r="U728" s="18" t="s">
        <v>5</v>
      </c>
      <c r="V728" s="211" t="s">
        <v>959</v>
      </c>
      <c r="W728" s="10"/>
      <c r="X728" s="10" t="s">
        <v>89</v>
      </c>
      <c r="Y728" s="10">
        <v>4</v>
      </c>
      <c r="Z728" s="16"/>
      <c r="AA728" s="16"/>
      <c r="AB728" s="16"/>
      <c r="AC728" s="16"/>
      <c r="AD728" s="16"/>
      <c r="AE728" s="16"/>
      <c r="AF728" s="16"/>
      <c r="AG728" s="21" t="s">
        <v>960</v>
      </c>
      <c r="XFD728" s="15" t="str">
        <f>+Tabla3[[#This Row],[ESTATUS DE NUM ECONOMICO]]</f>
        <v>INACTIVA</v>
      </c>
    </row>
    <row r="729" spans="1:33 16384:16384" ht="15.75" thickBot="1" x14ac:dyDescent="0.3">
      <c r="A729" s="8">
        <v>124</v>
      </c>
      <c r="B729" s="9">
        <v>46200</v>
      </c>
      <c r="C729" s="10" t="s">
        <v>87</v>
      </c>
      <c r="D729" s="11"/>
      <c r="E729" s="16">
        <v>83</v>
      </c>
      <c r="F729" s="9">
        <v>46203</v>
      </c>
      <c r="G729" s="212" t="str">
        <f>IFERROR(VLOOKUP(Tabla3[[#This Row],[NUM ECONOMICO]],MAQUINARIA!B:H,7,0), " MAQ")</f>
        <v>INACTIVA</v>
      </c>
      <c r="H729" s="214" t="s">
        <v>247</v>
      </c>
      <c r="I729" s="41" t="s">
        <v>785</v>
      </c>
      <c r="J729" s="10" t="s">
        <v>1004</v>
      </c>
      <c r="K729" s="10">
        <v>2</v>
      </c>
      <c r="L729" s="13">
        <v>14582.75</v>
      </c>
      <c r="M729" s="13">
        <f t="shared" si="11"/>
        <v>29165.5</v>
      </c>
      <c r="N729" s="41"/>
      <c r="O729" s="287">
        <v>685.91</v>
      </c>
      <c r="P729" s="287">
        <f>Tabla3[[#This Row],[COSTO UNITARIO DOLARES EN HAWTHORNE]]*Tabla3[[#This Row],[CANTIDAD SOLICTADA]]</f>
        <v>1371.82</v>
      </c>
      <c r="Q729" s="41" t="s">
        <v>674</v>
      </c>
      <c r="R729" s="230">
        <v>222.64</v>
      </c>
      <c r="S729" s="230">
        <f>+Tabla3[[#This Row],[COSTO UNITARIO DOLARES CTP]]*Tabla3[[#This Row],[CANTIDAD SOLICTADA]]</f>
        <v>445.28</v>
      </c>
      <c r="T729" s="41" t="s">
        <v>674</v>
      </c>
      <c r="U729" s="31" t="s">
        <v>161</v>
      </c>
      <c r="V729" s="8" t="s">
        <v>959</v>
      </c>
      <c r="W729" s="10"/>
      <c r="X729" s="10" t="s">
        <v>89</v>
      </c>
      <c r="Y729" s="10" t="s">
        <v>90</v>
      </c>
      <c r="Z729" s="16"/>
      <c r="AA729" s="16"/>
      <c r="AB729" s="16"/>
      <c r="AC729" s="16"/>
      <c r="AD729" s="16"/>
      <c r="AE729" s="16"/>
      <c r="AF729" s="16"/>
      <c r="AG729" s="21" t="s">
        <v>960</v>
      </c>
      <c r="XFD729" s="15" t="str">
        <f>+Tabla3[[#This Row],[ESTATUS DE NUM ECONOMICO]]</f>
        <v>INACTIVA</v>
      </c>
    </row>
    <row r="730" spans="1:33 16384:16384" ht="15.75" thickBot="1" x14ac:dyDescent="0.3">
      <c r="A730" s="8">
        <v>125</v>
      </c>
      <c r="B730" s="9">
        <v>46200</v>
      </c>
      <c r="C730" s="10" t="s">
        <v>87</v>
      </c>
      <c r="D730" s="11"/>
      <c r="E730" s="16">
        <v>23</v>
      </c>
      <c r="F730" s="9">
        <v>46203</v>
      </c>
      <c r="G730" s="212" t="str">
        <f>IFERROR(VLOOKUP(Tabla3[[#This Row],[NUM ECONOMICO]],MAQUINARIA!B:H,7,0), " MAQ")</f>
        <v>ACTIVA</v>
      </c>
      <c r="H730" s="214" t="s">
        <v>113</v>
      </c>
      <c r="I730" s="41" t="s">
        <v>1006</v>
      </c>
      <c r="J730" s="370" t="s">
        <v>1857</v>
      </c>
      <c r="K730" s="10">
        <v>1</v>
      </c>
      <c r="L730" s="13">
        <v>701.46</v>
      </c>
      <c r="M730" s="13">
        <f t="shared" si="11"/>
        <v>701.46</v>
      </c>
      <c r="N730" s="41"/>
      <c r="O730" s="10"/>
      <c r="P730" s="10">
        <f>Tabla3[[#This Row],[COSTO UNITARIO DOLARES EN HAWTHORNE]]*Tabla3[[#This Row],[CANTIDAD SOLICTADA]]</f>
        <v>0</v>
      </c>
      <c r="Q730" s="208"/>
      <c r="R730" s="231"/>
      <c r="S730" s="231">
        <f>+Tabla3[[#This Row],[COSTO UNITARIO DOLARES CTP]]*Tabla3[[#This Row],[CANTIDAD SOLICTADA]]</f>
        <v>0</v>
      </c>
      <c r="T730" s="208"/>
      <c r="U730" s="24" t="s">
        <v>8</v>
      </c>
      <c r="V730" s="8" t="s">
        <v>1007</v>
      </c>
      <c r="W730" s="10"/>
      <c r="X730" s="10" t="s">
        <v>89</v>
      </c>
      <c r="Y730" s="10">
        <v>2</v>
      </c>
      <c r="Z730" s="16"/>
      <c r="AA730" s="16"/>
      <c r="AB730" s="16"/>
      <c r="AC730" s="16"/>
      <c r="AD730" s="16"/>
      <c r="AE730" s="16" t="s">
        <v>1008</v>
      </c>
      <c r="AF730" s="16"/>
      <c r="AG730" s="21" t="s">
        <v>1009</v>
      </c>
      <c r="XFD730" s="15" t="str">
        <f>+Tabla3[[#This Row],[ESTATUS DE NUM ECONOMICO]]</f>
        <v>ACTIVA</v>
      </c>
    </row>
    <row r="731" spans="1:33 16384:16384" ht="15.75" thickBot="1" x14ac:dyDescent="0.3">
      <c r="A731" s="8">
        <v>125</v>
      </c>
      <c r="B731" s="9">
        <v>46200</v>
      </c>
      <c r="C731" s="10" t="s">
        <v>87</v>
      </c>
      <c r="D731" s="11"/>
      <c r="E731" s="16">
        <v>23</v>
      </c>
      <c r="F731" s="9">
        <v>46203</v>
      </c>
      <c r="G731" s="212" t="str">
        <f>IFERROR(VLOOKUP(Tabla3[[#This Row],[NUM ECONOMICO]],MAQUINARIA!B:H,7,0), " MAQ")</f>
        <v>ACTIVA</v>
      </c>
      <c r="H731" s="214" t="s">
        <v>113</v>
      </c>
      <c r="I731" s="41" t="s">
        <v>1010</v>
      </c>
      <c r="J731" s="370" t="s">
        <v>1861</v>
      </c>
      <c r="K731" s="10">
        <v>1</v>
      </c>
      <c r="L731" s="13">
        <v>4141.26</v>
      </c>
      <c r="M731" s="13">
        <f t="shared" si="11"/>
        <v>4141.26</v>
      </c>
      <c r="N731" s="41"/>
      <c r="O731" s="10"/>
      <c r="P731" s="10">
        <f>Tabla3[[#This Row],[COSTO UNITARIO DOLARES EN HAWTHORNE]]*Tabla3[[#This Row],[CANTIDAD SOLICTADA]]</f>
        <v>0</v>
      </c>
      <c r="Q731" s="208"/>
      <c r="R731" s="231"/>
      <c r="S731" s="231">
        <f>+Tabla3[[#This Row],[COSTO UNITARIO DOLARES CTP]]*Tabla3[[#This Row],[CANTIDAD SOLICTADA]]</f>
        <v>0</v>
      </c>
      <c r="T731" s="208"/>
      <c r="U731" s="24" t="s">
        <v>8</v>
      </c>
      <c r="V731" s="8" t="s">
        <v>1007</v>
      </c>
      <c r="W731" s="10"/>
      <c r="X731" s="10" t="s">
        <v>89</v>
      </c>
      <c r="Y731" s="10" t="s">
        <v>90</v>
      </c>
      <c r="Z731" s="16"/>
      <c r="AA731" s="16"/>
      <c r="AB731" s="16"/>
      <c r="AC731" s="16"/>
      <c r="AD731" s="16"/>
      <c r="AE731" s="16" t="s">
        <v>1008</v>
      </c>
      <c r="AF731" s="16"/>
      <c r="AG731" s="21" t="s">
        <v>1009</v>
      </c>
      <c r="XFD731" s="15" t="str">
        <f>+Tabla3[[#This Row],[ESTATUS DE NUM ECONOMICO]]</f>
        <v>ACTIVA</v>
      </c>
    </row>
    <row r="732" spans="1:33 16384:16384" ht="15.75" thickBot="1" x14ac:dyDescent="0.3">
      <c r="A732" s="8">
        <v>125</v>
      </c>
      <c r="B732" s="9">
        <v>46200</v>
      </c>
      <c r="C732" s="10" t="s">
        <v>87</v>
      </c>
      <c r="D732" s="11"/>
      <c r="E732" s="16">
        <v>23</v>
      </c>
      <c r="F732" s="9">
        <v>46203</v>
      </c>
      <c r="G732" s="212" t="str">
        <f>IFERROR(VLOOKUP(Tabla3[[#This Row],[NUM ECONOMICO]],MAQUINARIA!B:H,7,0), " MAQ")</f>
        <v>ACTIVA</v>
      </c>
      <c r="H732" s="214" t="s">
        <v>113</v>
      </c>
      <c r="I732" s="41">
        <v>330695</v>
      </c>
      <c r="J732" s="370" t="s">
        <v>1859</v>
      </c>
      <c r="K732" s="10">
        <v>10</v>
      </c>
      <c r="L732" s="13">
        <v>61.56</v>
      </c>
      <c r="M732" s="13">
        <f t="shared" si="11"/>
        <v>615.6</v>
      </c>
      <c r="N732" s="41"/>
      <c r="O732" s="10"/>
      <c r="P732" s="10">
        <f>Tabla3[[#This Row],[COSTO UNITARIO DOLARES EN HAWTHORNE]]*Tabla3[[#This Row],[CANTIDAD SOLICTADA]]</f>
        <v>0</v>
      </c>
      <c r="Q732" s="208"/>
      <c r="R732" s="231"/>
      <c r="S732" s="231">
        <f>+Tabla3[[#This Row],[COSTO UNITARIO DOLARES CTP]]*Tabla3[[#This Row],[CANTIDAD SOLICTADA]]</f>
        <v>0</v>
      </c>
      <c r="T732" s="208"/>
      <c r="U732" s="24" t="s">
        <v>8</v>
      </c>
      <c r="V732" s="8" t="s">
        <v>1007</v>
      </c>
      <c r="W732" s="10"/>
      <c r="X732" s="10" t="s">
        <v>89</v>
      </c>
      <c r="Y732" s="10" t="s">
        <v>90</v>
      </c>
      <c r="Z732" s="16"/>
      <c r="AA732" s="16"/>
      <c r="AB732" s="16"/>
      <c r="AC732" s="16"/>
      <c r="AD732" s="16"/>
      <c r="AE732" s="16" t="s">
        <v>1008</v>
      </c>
      <c r="AF732" s="16"/>
      <c r="AG732" s="21" t="s">
        <v>1009</v>
      </c>
      <c r="XFD732" s="15" t="str">
        <f>+Tabla3[[#This Row],[ESTATUS DE NUM ECONOMICO]]</f>
        <v>ACTIVA</v>
      </c>
    </row>
    <row r="733" spans="1:33 16384:16384" ht="15.75" thickBot="1" x14ac:dyDescent="0.3">
      <c r="A733" s="8">
        <v>125</v>
      </c>
      <c r="B733" s="9">
        <v>46200</v>
      </c>
      <c r="C733" s="10" t="s">
        <v>87</v>
      </c>
      <c r="D733" s="11"/>
      <c r="E733" s="16">
        <v>23</v>
      </c>
      <c r="F733" s="9">
        <v>46203</v>
      </c>
      <c r="G733" s="212" t="str">
        <f>IFERROR(VLOOKUP(Tabla3[[#This Row],[NUM ECONOMICO]],MAQUINARIA!B:H,7,0), " MAQ")</f>
        <v>ACTIVA</v>
      </c>
      <c r="H733" s="214" t="s">
        <v>113</v>
      </c>
      <c r="I733" s="41">
        <v>310215</v>
      </c>
      <c r="J733" s="10" t="s">
        <v>1860</v>
      </c>
      <c r="K733" s="10">
        <v>17</v>
      </c>
      <c r="L733" s="13">
        <v>6.84</v>
      </c>
      <c r="M733" s="13">
        <f t="shared" si="11"/>
        <v>116.28</v>
      </c>
      <c r="N733" s="41"/>
      <c r="O733" s="10"/>
      <c r="P733" s="10">
        <f>Tabla3[[#This Row],[COSTO UNITARIO DOLARES EN HAWTHORNE]]*Tabla3[[#This Row],[CANTIDAD SOLICTADA]]</f>
        <v>0</v>
      </c>
      <c r="Q733" s="208"/>
      <c r="R733" s="231"/>
      <c r="S733" s="231">
        <f>+Tabla3[[#This Row],[COSTO UNITARIO DOLARES CTP]]*Tabla3[[#This Row],[CANTIDAD SOLICTADA]]</f>
        <v>0</v>
      </c>
      <c r="T733" s="208"/>
      <c r="U733" s="24" t="s">
        <v>8</v>
      </c>
      <c r="V733" s="8" t="s">
        <v>1007</v>
      </c>
      <c r="W733" s="10"/>
      <c r="X733" s="10" t="s">
        <v>89</v>
      </c>
      <c r="Y733" s="10">
        <v>11</v>
      </c>
      <c r="Z733" s="16"/>
      <c r="AA733" s="16"/>
      <c r="AB733" s="16"/>
      <c r="AC733" s="16"/>
      <c r="AD733" s="16"/>
      <c r="AE733" s="16" t="s">
        <v>1008</v>
      </c>
      <c r="AF733" s="16"/>
      <c r="AG733" s="21" t="s">
        <v>1009</v>
      </c>
      <c r="XFD733" s="15" t="str">
        <f>+Tabla3[[#This Row],[ESTATUS DE NUM ECONOMICO]]</f>
        <v>ACTIVA</v>
      </c>
    </row>
    <row r="734" spans="1:33 16384:16384" ht="15.75" thickBot="1" x14ac:dyDescent="0.3">
      <c r="A734" s="8">
        <v>125</v>
      </c>
      <c r="B734" s="9">
        <v>46200</v>
      </c>
      <c r="C734" s="10" t="s">
        <v>87</v>
      </c>
      <c r="D734" s="11"/>
      <c r="E734" s="16">
        <v>23</v>
      </c>
      <c r="F734" s="9">
        <v>46203</v>
      </c>
      <c r="G734" s="212" t="str">
        <f>IFERROR(VLOOKUP(Tabla3[[#This Row],[NUM ECONOMICO]],MAQUINARIA!B:H,7,0), " MAQ")</f>
        <v>ACTIVA</v>
      </c>
      <c r="H734" s="214" t="s">
        <v>113</v>
      </c>
      <c r="I734" s="41" t="s">
        <v>1011</v>
      </c>
      <c r="J734" s="370" t="s">
        <v>1858</v>
      </c>
      <c r="K734" s="10">
        <v>20</v>
      </c>
      <c r="L734" s="13">
        <v>8.2799999999999994</v>
      </c>
      <c r="M734" s="13">
        <f t="shared" si="11"/>
        <v>165.6</v>
      </c>
      <c r="N734" s="41"/>
      <c r="O734" s="10"/>
      <c r="P734" s="10">
        <f>Tabla3[[#This Row],[COSTO UNITARIO DOLARES EN HAWTHORNE]]*Tabla3[[#This Row],[CANTIDAD SOLICTADA]]</f>
        <v>0</v>
      </c>
      <c r="Q734" s="208"/>
      <c r="R734" s="231"/>
      <c r="S734" s="231">
        <f>+Tabla3[[#This Row],[COSTO UNITARIO DOLARES CTP]]*Tabla3[[#This Row],[CANTIDAD SOLICTADA]]</f>
        <v>0</v>
      </c>
      <c r="T734" s="208"/>
      <c r="U734" s="24" t="s">
        <v>8</v>
      </c>
      <c r="V734" s="8" t="s">
        <v>1007</v>
      </c>
      <c r="W734" s="10"/>
      <c r="X734" s="10" t="s">
        <v>89</v>
      </c>
      <c r="Y734" s="10">
        <v>18</v>
      </c>
      <c r="Z734" s="16"/>
      <c r="AA734" s="16"/>
      <c r="AB734" s="16"/>
      <c r="AC734" s="16"/>
      <c r="AD734" s="16"/>
      <c r="AE734" s="16" t="s">
        <v>1008</v>
      </c>
      <c r="AF734" s="16"/>
      <c r="AG734" s="21" t="s">
        <v>1009</v>
      </c>
      <c r="XFD734" s="15" t="str">
        <f>+Tabla3[[#This Row],[ESTATUS DE NUM ECONOMICO]]</f>
        <v>ACTIVA</v>
      </c>
    </row>
    <row r="735" spans="1:33 16384:16384" ht="15.75" thickBot="1" x14ac:dyDescent="0.3">
      <c r="A735" s="8">
        <v>125</v>
      </c>
      <c r="B735" s="9">
        <v>46200</v>
      </c>
      <c r="C735" s="10" t="s">
        <v>87</v>
      </c>
      <c r="D735" s="11"/>
      <c r="E735" s="16">
        <v>23</v>
      </c>
      <c r="F735" s="9">
        <v>46203</v>
      </c>
      <c r="G735" s="212" t="str">
        <f>IFERROR(VLOOKUP(Tabla3[[#This Row],[NUM ECONOMICO]],MAQUINARIA!B:H,7,0), " MAQ")</f>
        <v>ACTIVA</v>
      </c>
      <c r="H735" s="214" t="s">
        <v>113</v>
      </c>
      <c r="I735" s="41" t="s">
        <v>1012</v>
      </c>
      <c r="J735" s="370" t="s">
        <v>1862</v>
      </c>
      <c r="K735" s="10">
        <v>4</v>
      </c>
      <c r="L735" s="13">
        <v>6.12</v>
      </c>
      <c r="M735" s="13">
        <f t="shared" si="11"/>
        <v>24.48</v>
      </c>
      <c r="N735" s="41"/>
      <c r="O735" s="10"/>
      <c r="P735" s="10">
        <f>Tabla3[[#This Row],[COSTO UNITARIO DOLARES EN HAWTHORNE]]*Tabla3[[#This Row],[CANTIDAD SOLICTADA]]</f>
        <v>0</v>
      </c>
      <c r="Q735" s="208"/>
      <c r="R735" s="231"/>
      <c r="S735" s="231">
        <f>+Tabla3[[#This Row],[COSTO UNITARIO DOLARES CTP]]*Tabla3[[#This Row],[CANTIDAD SOLICTADA]]</f>
        <v>0</v>
      </c>
      <c r="T735" s="208"/>
      <c r="U735" s="24" t="s">
        <v>8</v>
      </c>
      <c r="V735" s="8" t="s">
        <v>1007</v>
      </c>
      <c r="W735" s="10"/>
      <c r="X735" s="10" t="s">
        <v>89</v>
      </c>
      <c r="Y735" s="10">
        <v>8</v>
      </c>
      <c r="Z735" s="16"/>
      <c r="AA735" s="16"/>
      <c r="AB735" s="16"/>
      <c r="AC735" s="16"/>
      <c r="AD735" s="16"/>
      <c r="AE735" s="16" t="s">
        <v>1008</v>
      </c>
      <c r="AF735" s="16"/>
      <c r="AG735" s="21" t="s">
        <v>1009</v>
      </c>
      <c r="XFD735" s="15" t="str">
        <f>+Tabla3[[#This Row],[ESTATUS DE NUM ECONOMICO]]</f>
        <v>ACTIVA</v>
      </c>
    </row>
    <row r="736" spans="1:33 16384:16384" ht="15.75" thickBot="1" x14ac:dyDescent="0.3">
      <c r="A736" s="8">
        <v>126</v>
      </c>
      <c r="B736" s="9">
        <v>46200</v>
      </c>
      <c r="C736" s="10" t="s">
        <v>87</v>
      </c>
      <c r="D736" s="11"/>
      <c r="E736" s="16">
        <v>25</v>
      </c>
      <c r="F736" s="9">
        <v>46202</v>
      </c>
      <c r="G736" s="212" t="str">
        <f>IFERROR(VLOOKUP(Tabla3[[#This Row],[NUM ECONOMICO]],MAQUINARIA!B:H,7,0), " MAQ")</f>
        <v>ACTIVA</v>
      </c>
      <c r="H736" s="214" t="s">
        <v>94</v>
      </c>
      <c r="I736" s="41" t="s">
        <v>1013</v>
      </c>
      <c r="J736" s="10" t="s">
        <v>154</v>
      </c>
      <c r="K736" s="10">
        <v>32</v>
      </c>
      <c r="L736" s="13">
        <v>145.80000000000001</v>
      </c>
      <c r="M736" s="13">
        <f t="shared" si="11"/>
        <v>4665.6000000000004</v>
      </c>
      <c r="N736" s="41"/>
      <c r="O736" s="10"/>
      <c r="P736" s="10">
        <f>Tabla3[[#This Row],[COSTO UNITARIO DOLARES EN HAWTHORNE]]*Tabla3[[#This Row],[CANTIDAD SOLICTADA]]</f>
        <v>0</v>
      </c>
      <c r="Q736" s="41"/>
      <c r="R736" s="229"/>
      <c r="S736" s="229">
        <f>+Tabla3[[#This Row],[COSTO UNITARIO DOLARES CTP]]*Tabla3[[#This Row],[CANTIDAD SOLICTADA]]</f>
        <v>0</v>
      </c>
      <c r="T736" s="41"/>
      <c r="U736" s="14" t="s">
        <v>4</v>
      </c>
      <c r="V736" s="8" t="s">
        <v>1014</v>
      </c>
      <c r="W736" s="10"/>
      <c r="X736" s="10" t="s">
        <v>89</v>
      </c>
      <c r="Y736" s="10">
        <v>32</v>
      </c>
      <c r="Z736" s="16" t="s">
        <v>232</v>
      </c>
      <c r="AA736" s="25">
        <v>46202</v>
      </c>
      <c r="AB736" s="25">
        <v>46202</v>
      </c>
      <c r="AC736" s="16" t="s">
        <v>91</v>
      </c>
      <c r="AD736" s="16">
        <v>1613</v>
      </c>
      <c r="AE736" s="16" t="s">
        <v>1015</v>
      </c>
      <c r="AF736" s="16"/>
      <c r="AG736" s="21" t="s">
        <v>1016</v>
      </c>
      <c r="XFD736" s="15" t="str">
        <f>+Tabla3[[#This Row],[ESTATUS DE NUM ECONOMICO]]</f>
        <v>ACTIVA</v>
      </c>
    </row>
    <row r="737" spans="1:33 16384:16384" ht="15.75" thickBot="1" x14ac:dyDescent="0.3">
      <c r="A737" s="8">
        <v>126</v>
      </c>
      <c r="B737" s="9">
        <v>46200</v>
      </c>
      <c r="C737" s="10" t="s">
        <v>87</v>
      </c>
      <c r="D737" s="11"/>
      <c r="E737" s="16">
        <v>25</v>
      </c>
      <c r="F737" s="9">
        <v>46202</v>
      </c>
      <c r="G737" s="212" t="str">
        <f>IFERROR(VLOOKUP(Tabla3[[#This Row],[NUM ECONOMICO]],MAQUINARIA!B:H,7,0), " MAQ")</f>
        <v>ACTIVA</v>
      </c>
      <c r="H737" s="214" t="s">
        <v>94</v>
      </c>
      <c r="I737" s="41" t="s">
        <v>1017</v>
      </c>
      <c r="J737" s="10"/>
      <c r="K737" s="10">
        <v>32</v>
      </c>
      <c r="L737" s="13">
        <v>104.04</v>
      </c>
      <c r="M737" s="13">
        <f t="shared" si="11"/>
        <v>3329.28</v>
      </c>
      <c r="N737" s="41"/>
      <c r="O737" s="10"/>
      <c r="P737" s="10">
        <f>Tabla3[[#This Row],[COSTO UNITARIO DOLARES EN HAWTHORNE]]*Tabla3[[#This Row],[CANTIDAD SOLICTADA]]</f>
        <v>0</v>
      </c>
      <c r="Q737" s="41"/>
      <c r="R737" s="229"/>
      <c r="S737" s="229">
        <f>+Tabla3[[#This Row],[COSTO UNITARIO DOLARES CTP]]*Tabla3[[#This Row],[CANTIDAD SOLICTADA]]</f>
        <v>0</v>
      </c>
      <c r="T737" s="41"/>
      <c r="U737" s="14" t="s">
        <v>4</v>
      </c>
      <c r="V737" s="8" t="s">
        <v>1014</v>
      </c>
      <c r="W737" s="10"/>
      <c r="X737" s="10" t="s">
        <v>89</v>
      </c>
      <c r="Y737" s="10">
        <v>18</v>
      </c>
      <c r="Z737" s="16" t="s">
        <v>232</v>
      </c>
      <c r="AA737" s="25">
        <v>46202</v>
      </c>
      <c r="AB737" s="25">
        <v>46202</v>
      </c>
      <c r="AC737" s="16" t="s">
        <v>91</v>
      </c>
      <c r="AD737" s="16">
        <v>1613</v>
      </c>
      <c r="AE737" s="16" t="s">
        <v>1015</v>
      </c>
      <c r="AF737" s="16"/>
      <c r="AG737" s="21" t="s">
        <v>1016</v>
      </c>
      <c r="XFD737" s="15" t="str">
        <f>+Tabla3[[#This Row],[ESTATUS DE NUM ECONOMICO]]</f>
        <v>ACTIVA</v>
      </c>
    </row>
    <row r="738" spans="1:33 16384:16384" ht="15.75" thickBot="1" x14ac:dyDescent="0.3">
      <c r="A738" s="8">
        <v>126</v>
      </c>
      <c r="B738" s="9">
        <v>46200</v>
      </c>
      <c r="C738" s="10" t="s">
        <v>87</v>
      </c>
      <c r="D738" s="11"/>
      <c r="E738" s="16">
        <v>25</v>
      </c>
      <c r="F738" s="9">
        <v>46202</v>
      </c>
      <c r="G738" s="212" t="str">
        <f>IFERROR(VLOOKUP(Tabla3[[#This Row],[NUM ECONOMICO]],MAQUINARIA!B:H,7,0), " MAQ")</f>
        <v>ACTIVA</v>
      </c>
      <c r="H738" s="214" t="s">
        <v>94</v>
      </c>
      <c r="I738" s="41" t="s">
        <v>1018</v>
      </c>
      <c r="J738" s="10" t="s">
        <v>1019</v>
      </c>
      <c r="K738" s="10">
        <v>32</v>
      </c>
      <c r="L738" s="13">
        <v>230.58</v>
      </c>
      <c r="M738" s="13">
        <f t="shared" si="11"/>
        <v>7378.56</v>
      </c>
      <c r="N738" s="41"/>
      <c r="O738" s="10"/>
      <c r="P738" s="10">
        <f>Tabla3[[#This Row],[COSTO UNITARIO DOLARES EN HAWTHORNE]]*Tabla3[[#This Row],[CANTIDAD SOLICTADA]]</f>
        <v>0</v>
      </c>
      <c r="Q738" s="43"/>
      <c r="R738" s="230"/>
      <c r="S738" s="230">
        <f>+Tabla3[[#This Row],[COSTO UNITARIO DOLARES CTP]]*Tabla3[[#This Row],[CANTIDAD SOLICTADA]]</f>
        <v>0</v>
      </c>
      <c r="T738" s="43"/>
      <c r="U738" s="26" t="s">
        <v>4</v>
      </c>
      <c r="V738" s="8" t="s">
        <v>1014</v>
      </c>
      <c r="W738" s="10"/>
      <c r="X738" s="10" t="s">
        <v>89</v>
      </c>
      <c r="Y738" s="10" t="s">
        <v>90</v>
      </c>
      <c r="Z738" s="16" t="s">
        <v>232</v>
      </c>
      <c r="AA738" s="25">
        <v>46202</v>
      </c>
      <c r="AB738" s="25">
        <v>46202</v>
      </c>
      <c r="AC738" s="16" t="s">
        <v>91</v>
      </c>
      <c r="AD738" s="16">
        <v>1613</v>
      </c>
      <c r="AE738" s="16" t="s">
        <v>1015</v>
      </c>
      <c r="AF738" s="16"/>
      <c r="AG738" s="21" t="s">
        <v>1016</v>
      </c>
      <c r="XFD738" s="15" t="str">
        <f>+Tabla3[[#This Row],[ESTATUS DE NUM ECONOMICO]]</f>
        <v>ACTIVA</v>
      </c>
    </row>
    <row r="739" spans="1:33 16384:16384" ht="15.75" thickBot="1" x14ac:dyDescent="0.3">
      <c r="A739" s="8">
        <v>127</v>
      </c>
      <c r="B739" s="9">
        <v>46200</v>
      </c>
      <c r="C739" s="10" t="s">
        <v>87</v>
      </c>
      <c r="D739" s="11"/>
      <c r="E739" s="16"/>
      <c r="F739" s="10"/>
      <c r="G739" s="212" t="str">
        <f>IFERROR(VLOOKUP(Tabla3[[#This Row],[NUM ECONOMICO]],MAQUINARIA!B:H,7,0), " MAQ")</f>
        <v>ACTIVA</v>
      </c>
      <c r="H739" s="214" t="s">
        <v>410</v>
      </c>
      <c r="I739" s="41" t="s">
        <v>1020</v>
      </c>
      <c r="J739" s="10" t="s">
        <v>1021</v>
      </c>
      <c r="K739" s="10">
        <v>4</v>
      </c>
      <c r="L739" s="13">
        <v>26.46</v>
      </c>
      <c r="M739" s="13">
        <f t="shared" si="11"/>
        <v>105.84</v>
      </c>
      <c r="N739" s="41"/>
      <c r="O739" s="10"/>
      <c r="P739" s="10">
        <f>Tabla3[[#This Row],[COSTO UNITARIO DOLARES EN HAWTHORNE]]*Tabla3[[#This Row],[CANTIDAD SOLICTADA]]</f>
        <v>0</v>
      </c>
      <c r="Q739" s="208"/>
      <c r="R739" s="231"/>
      <c r="S739" s="231">
        <f>+Tabla3[[#This Row],[COSTO UNITARIO DOLARES CTP]]*Tabla3[[#This Row],[CANTIDAD SOLICTADA]]</f>
        <v>0</v>
      </c>
      <c r="T739" s="208"/>
      <c r="U739" s="24" t="s">
        <v>8</v>
      </c>
      <c r="V739" s="8" t="s">
        <v>1022</v>
      </c>
      <c r="W739" s="10"/>
      <c r="X739" s="10" t="s">
        <v>89</v>
      </c>
      <c r="Y739" s="10" t="s">
        <v>90</v>
      </c>
      <c r="Z739" s="16" t="s">
        <v>44</v>
      </c>
      <c r="AA739" s="25">
        <v>46205</v>
      </c>
      <c r="AB739" s="25">
        <v>46207</v>
      </c>
      <c r="AC739" s="16"/>
      <c r="AD739" s="16"/>
      <c r="AE739" s="16" t="s">
        <v>1023</v>
      </c>
      <c r="AF739" s="16"/>
      <c r="AG739" s="21" t="s">
        <v>1024</v>
      </c>
      <c r="XFD739" s="15" t="str">
        <f>+Tabla3[[#This Row],[ESTATUS DE NUM ECONOMICO]]</f>
        <v>ACTIVA</v>
      </c>
    </row>
    <row r="740" spans="1:33 16384:16384" ht="15.75" thickBot="1" x14ac:dyDescent="0.3">
      <c r="A740" s="8">
        <v>127</v>
      </c>
      <c r="B740" s="9">
        <v>46200</v>
      </c>
      <c r="C740" s="10" t="s">
        <v>87</v>
      </c>
      <c r="D740" s="11"/>
      <c r="E740" s="16"/>
      <c r="F740" s="10"/>
      <c r="G740" s="212" t="str">
        <f>IFERROR(VLOOKUP(Tabla3[[#This Row],[NUM ECONOMICO]],MAQUINARIA!B:H,7,0), " MAQ")</f>
        <v>ACTIVA</v>
      </c>
      <c r="H740" s="214" t="s">
        <v>410</v>
      </c>
      <c r="I740" s="41" t="s">
        <v>730</v>
      </c>
      <c r="J740" s="10" t="s">
        <v>1025</v>
      </c>
      <c r="K740" s="10">
        <v>2</v>
      </c>
      <c r="L740" s="13">
        <v>54</v>
      </c>
      <c r="M740" s="13">
        <f t="shared" si="11"/>
        <v>108</v>
      </c>
      <c r="N740" s="41"/>
      <c r="O740" s="10"/>
      <c r="P740" s="10">
        <f>Tabla3[[#This Row],[COSTO UNITARIO DOLARES EN HAWTHORNE]]*Tabla3[[#This Row],[CANTIDAD SOLICTADA]]</f>
        <v>0</v>
      </c>
      <c r="Q740" s="208"/>
      <c r="R740" s="231"/>
      <c r="S740" s="231">
        <f>+Tabla3[[#This Row],[COSTO UNITARIO DOLARES CTP]]*Tabla3[[#This Row],[CANTIDAD SOLICTADA]]</f>
        <v>0</v>
      </c>
      <c r="T740" s="208"/>
      <c r="U740" s="24" t="s">
        <v>8</v>
      </c>
      <c r="V740" s="8" t="s">
        <v>1022</v>
      </c>
      <c r="W740" s="10"/>
      <c r="X740" s="10" t="s">
        <v>89</v>
      </c>
      <c r="Y740" s="10" t="s">
        <v>90</v>
      </c>
      <c r="Z740" s="16" t="s">
        <v>44</v>
      </c>
      <c r="AA740" s="25">
        <v>46205</v>
      </c>
      <c r="AB740" s="25">
        <v>46207</v>
      </c>
      <c r="AC740" s="16"/>
      <c r="AD740" s="16"/>
      <c r="AE740" s="16" t="s">
        <v>1023</v>
      </c>
      <c r="AF740" s="16"/>
      <c r="AG740" s="21" t="s">
        <v>1024</v>
      </c>
      <c r="XFD740" s="15" t="str">
        <f>+Tabla3[[#This Row],[ESTATUS DE NUM ECONOMICO]]</f>
        <v>ACTIVA</v>
      </c>
    </row>
    <row r="741" spans="1:33 16384:16384" ht="15.75" thickBot="1" x14ac:dyDescent="0.3">
      <c r="A741" s="8">
        <v>127</v>
      </c>
      <c r="B741" s="9">
        <v>46200</v>
      </c>
      <c r="C741" s="10" t="s">
        <v>87</v>
      </c>
      <c r="D741" s="11"/>
      <c r="E741" s="16"/>
      <c r="F741" s="10"/>
      <c r="G741" s="212" t="str">
        <f>IFERROR(VLOOKUP(Tabla3[[#This Row],[NUM ECONOMICO]],MAQUINARIA!B:H,7,0), " MAQ")</f>
        <v>ACTIVA</v>
      </c>
      <c r="H741" s="214" t="s">
        <v>410</v>
      </c>
      <c r="I741" s="41">
        <v>1725392</v>
      </c>
      <c r="J741" s="10" t="s">
        <v>1026</v>
      </c>
      <c r="K741" s="10">
        <v>1</v>
      </c>
      <c r="L741" s="13">
        <v>17153.099999999999</v>
      </c>
      <c r="M741" s="13">
        <f t="shared" si="11"/>
        <v>17153.099999999999</v>
      </c>
      <c r="N741" s="41"/>
      <c r="O741" s="10"/>
      <c r="P741" s="10">
        <f>Tabla3[[#This Row],[COSTO UNITARIO DOLARES EN HAWTHORNE]]*Tabla3[[#This Row],[CANTIDAD SOLICTADA]]</f>
        <v>0</v>
      </c>
      <c r="Q741" s="208"/>
      <c r="R741" s="231"/>
      <c r="S741" s="231">
        <f>+Tabla3[[#This Row],[COSTO UNITARIO DOLARES CTP]]*Tabla3[[#This Row],[CANTIDAD SOLICTADA]]</f>
        <v>0</v>
      </c>
      <c r="T741" s="208"/>
      <c r="U741" s="24" t="s">
        <v>8</v>
      </c>
      <c r="V741" s="8" t="s">
        <v>1022</v>
      </c>
      <c r="W741" s="10"/>
      <c r="X741" s="10" t="s">
        <v>89</v>
      </c>
      <c r="Y741" s="10" t="s">
        <v>90</v>
      </c>
      <c r="Z741" s="16" t="s">
        <v>44</v>
      </c>
      <c r="AA741" s="25">
        <v>46205</v>
      </c>
      <c r="AB741" s="25">
        <v>46207</v>
      </c>
      <c r="AC741" s="16"/>
      <c r="AD741" s="16"/>
      <c r="AE741" s="16" t="s">
        <v>1023</v>
      </c>
      <c r="AF741" s="16"/>
      <c r="AG741" s="21" t="s">
        <v>1024</v>
      </c>
      <c r="XFD741" s="15" t="str">
        <f>+Tabla3[[#This Row],[ESTATUS DE NUM ECONOMICO]]</f>
        <v>ACTIVA</v>
      </c>
    </row>
    <row r="742" spans="1:33 16384:16384" ht="15.75" thickBot="1" x14ac:dyDescent="0.3">
      <c r="A742" s="8">
        <v>128</v>
      </c>
      <c r="B742" s="9">
        <v>46200</v>
      </c>
      <c r="C742" s="10" t="s">
        <v>87</v>
      </c>
      <c r="D742" s="11"/>
      <c r="E742" s="16"/>
      <c r="F742" s="10"/>
      <c r="G742" s="212" t="str">
        <f>IFERROR(VLOOKUP(Tabla3[[#This Row],[NUM ECONOMICO]],MAQUINARIA!B:H,7,0), " MAQ")</f>
        <v>INACTIVA</v>
      </c>
      <c r="H742" s="214" t="s">
        <v>344</v>
      </c>
      <c r="I742" s="41" t="s">
        <v>149</v>
      </c>
      <c r="J742" s="10"/>
      <c r="K742" s="10">
        <v>4</v>
      </c>
      <c r="L742" s="13">
        <v>299.95</v>
      </c>
      <c r="M742" s="13">
        <f t="shared" si="11"/>
        <v>1199.8</v>
      </c>
      <c r="N742" s="41"/>
      <c r="O742" s="10"/>
      <c r="P742" s="10">
        <f>Tabla3[[#This Row],[COSTO UNITARIO DOLARES EN HAWTHORNE]]*Tabla3[[#This Row],[CANTIDAD SOLICTADA]]</f>
        <v>0</v>
      </c>
      <c r="Q742" s="41"/>
      <c r="R742" s="229"/>
      <c r="S742" s="229">
        <f>+Tabla3[[#This Row],[COSTO UNITARIO DOLARES CTP]]*Tabla3[[#This Row],[CANTIDAD SOLICTADA]]</f>
        <v>0</v>
      </c>
      <c r="T742" s="41"/>
      <c r="U742" s="20" t="s">
        <v>161</v>
      </c>
      <c r="V742" s="8" t="s">
        <v>1027</v>
      </c>
      <c r="W742" s="10"/>
      <c r="X742" s="10" t="s">
        <v>89</v>
      </c>
      <c r="Y742" s="10">
        <v>32</v>
      </c>
      <c r="Z742" s="16"/>
      <c r="AA742" s="16"/>
      <c r="AB742" s="16"/>
      <c r="AC742" s="16"/>
      <c r="AD742" s="16"/>
      <c r="AE742" s="16"/>
      <c r="AF742" s="16"/>
      <c r="AG742" s="21" t="s">
        <v>1028</v>
      </c>
      <c r="XFD742" s="15" t="str">
        <f>+Tabla3[[#This Row],[ESTATUS DE NUM ECONOMICO]]</f>
        <v>INACTIVA</v>
      </c>
    </row>
    <row r="743" spans="1:33 16384:16384" ht="15.75" thickBot="1" x14ac:dyDescent="0.3">
      <c r="A743" s="8">
        <v>128</v>
      </c>
      <c r="B743" s="9">
        <v>46200</v>
      </c>
      <c r="C743" s="10" t="s">
        <v>87</v>
      </c>
      <c r="D743" s="11"/>
      <c r="E743" s="16"/>
      <c r="F743" s="10"/>
      <c r="G743" s="212" t="str">
        <f>IFERROR(VLOOKUP(Tabla3[[#This Row],[NUM ECONOMICO]],MAQUINARIA!B:H,7,0), " MAQ")</f>
        <v>INACTIVA</v>
      </c>
      <c r="H743" s="214" t="s">
        <v>344</v>
      </c>
      <c r="I743" s="41" t="s">
        <v>151</v>
      </c>
      <c r="J743" s="10"/>
      <c r="K743" s="10">
        <v>4</v>
      </c>
      <c r="L743" s="13">
        <v>9.69</v>
      </c>
      <c r="M743" s="13">
        <f t="shared" si="11"/>
        <v>38.76</v>
      </c>
      <c r="N743" s="41"/>
      <c r="O743" s="10"/>
      <c r="P743" s="10">
        <f>Tabla3[[#This Row],[COSTO UNITARIO DOLARES EN HAWTHORNE]]*Tabla3[[#This Row],[CANTIDAD SOLICTADA]]</f>
        <v>0</v>
      </c>
      <c r="Q743" s="41"/>
      <c r="R743" s="229">
        <v>0.82</v>
      </c>
      <c r="S743" s="229">
        <f>+Tabla3[[#This Row],[COSTO UNITARIO DOLARES CTP]]*Tabla3[[#This Row],[CANTIDAD SOLICTADA]]</f>
        <v>3.28</v>
      </c>
      <c r="T743" s="41"/>
      <c r="U743" s="20" t="s">
        <v>161</v>
      </c>
      <c r="V743" s="8" t="s">
        <v>1027</v>
      </c>
      <c r="W743" s="10"/>
      <c r="X743" s="10" t="s">
        <v>89</v>
      </c>
      <c r="Y743" s="10">
        <v>6</v>
      </c>
      <c r="Z743" s="16"/>
      <c r="AA743" s="16"/>
      <c r="AB743" s="16"/>
      <c r="AC743" s="16"/>
      <c r="AD743" s="16"/>
      <c r="AE743" s="16"/>
      <c r="AF743" s="16"/>
      <c r="AG743" s="21" t="s">
        <v>1028</v>
      </c>
      <c r="XFD743" s="15" t="str">
        <f>+Tabla3[[#This Row],[ESTATUS DE NUM ECONOMICO]]</f>
        <v>INACTIVA</v>
      </c>
    </row>
    <row r="744" spans="1:33 16384:16384" ht="15.75" thickBot="1" x14ac:dyDescent="0.3">
      <c r="A744" s="8">
        <v>128</v>
      </c>
      <c r="B744" s="9">
        <v>46200</v>
      </c>
      <c r="C744" s="10" t="s">
        <v>87</v>
      </c>
      <c r="D744" s="11"/>
      <c r="E744" s="16"/>
      <c r="F744" s="10"/>
      <c r="G744" s="212" t="str">
        <f>IFERROR(VLOOKUP(Tabla3[[#This Row],[NUM ECONOMICO]],MAQUINARIA!B:H,7,0), " MAQ")</f>
        <v>INACTIVA</v>
      </c>
      <c r="H744" s="214" t="s">
        <v>344</v>
      </c>
      <c r="I744" s="41" t="s">
        <v>153</v>
      </c>
      <c r="J744" s="10"/>
      <c r="K744" s="10">
        <v>1</v>
      </c>
      <c r="L744" s="13">
        <v>12.14</v>
      </c>
      <c r="M744" s="13">
        <f t="shared" si="11"/>
        <v>12.14</v>
      </c>
      <c r="N744" s="41"/>
      <c r="O744" s="10"/>
      <c r="P744" s="10">
        <f>Tabla3[[#This Row],[COSTO UNITARIO DOLARES EN HAWTHORNE]]*Tabla3[[#This Row],[CANTIDAD SOLICTADA]]</f>
        <v>0</v>
      </c>
      <c r="Q744" s="43"/>
      <c r="R744" s="230">
        <v>3.98</v>
      </c>
      <c r="S744" s="230">
        <f>+Tabla3[[#This Row],[COSTO UNITARIO DOLARES CTP]]*Tabla3[[#This Row],[CANTIDAD SOLICTADA]]</f>
        <v>3.98</v>
      </c>
      <c r="T744" s="43"/>
      <c r="U744" s="28" t="s">
        <v>161</v>
      </c>
      <c r="V744" s="8" t="s">
        <v>1027</v>
      </c>
      <c r="W744" s="10"/>
      <c r="X744" s="10" t="s">
        <v>89</v>
      </c>
      <c r="Y744" s="10">
        <v>22</v>
      </c>
      <c r="Z744" s="16"/>
      <c r="AA744" s="16"/>
      <c r="AB744" s="16"/>
      <c r="AC744" s="16"/>
      <c r="AD744" s="16"/>
      <c r="AE744" s="16"/>
      <c r="AF744" s="16"/>
      <c r="AG744" s="21" t="s">
        <v>1028</v>
      </c>
      <c r="XFD744" s="15" t="str">
        <f>+Tabla3[[#This Row],[ESTATUS DE NUM ECONOMICO]]</f>
        <v>INACTIVA</v>
      </c>
    </row>
    <row r="745" spans="1:33 16384:16384" ht="15.75" thickBot="1" x14ac:dyDescent="0.3">
      <c r="A745" s="8">
        <v>128</v>
      </c>
      <c r="B745" s="9">
        <v>46200</v>
      </c>
      <c r="C745" s="10" t="s">
        <v>87</v>
      </c>
      <c r="D745" s="11"/>
      <c r="E745" s="16"/>
      <c r="F745" s="10"/>
      <c r="G745" s="212" t="str">
        <f>IFERROR(VLOOKUP(Tabla3[[#This Row],[NUM ECONOMICO]],MAQUINARIA!B:H,7,0), " MAQ")</f>
        <v>INACTIVA</v>
      </c>
      <c r="H745" s="214" t="s">
        <v>344</v>
      </c>
      <c r="I745" s="41" t="s">
        <v>1029</v>
      </c>
      <c r="J745" s="10"/>
      <c r="K745" s="10">
        <v>1</v>
      </c>
      <c r="L745" s="13">
        <v>7125.45</v>
      </c>
      <c r="M745" s="13">
        <f t="shared" si="11"/>
        <v>7125.45</v>
      </c>
      <c r="N745" s="41"/>
      <c r="O745" s="10"/>
      <c r="P745" s="10">
        <f>Tabla3[[#This Row],[COSTO UNITARIO DOLARES EN HAWTHORNE]]*Tabla3[[#This Row],[CANTIDAD SOLICTADA]]</f>
        <v>0</v>
      </c>
      <c r="Q745" s="208"/>
      <c r="R745" s="231"/>
      <c r="S745" s="231">
        <f>+Tabla3[[#This Row],[COSTO UNITARIO DOLARES CTP]]*Tabla3[[#This Row],[CANTIDAD SOLICTADA]]</f>
        <v>0</v>
      </c>
      <c r="T745" s="208"/>
      <c r="U745" s="24" t="s">
        <v>8</v>
      </c>
      <c r="V745" s="8" t="s">
        <v>1027</v>
      </c>
      <c r="W745" s="10"/>
      <c r="X745" s="10" t="s">
        <v>89</v>
      </c>
      <c r="Y745" s="10" t="s">
        <v>90</v>
      </c>
      <c r="Z745" s="16"/>
      <c r="AA745" s="16"/>
      <c r="AB745" s="16"/>
      <c r="AC745" s="16"/>
      <c r="AD745" s="16"/>
      <c r="AE745" s="16" t="s">
        <v>1030</v>
      </c>
      <c r="AF745" s="16"/>
      <c r="AG745" s="21" t="s">
        <v>1028</v>
      </c>
      <c r="XFD745" s="15" t="str">
        <f>+Tabla3[[#This Row],[ESTATUS DE NUM ECONOMICO]]</f>
        <v>INACTIVA</v>
      </c>
    </row>
    <row r="746" spans="1:33 16384:16384" ht="15.75" thickBot="1" x14ac:dyDescent="0.3">
      <c r="A746" s="8">
        <v>129</v>
      </c>
      <c r="B746" s="9">
        <v>46202</v>
      </c>
      <c r="C746" s="10" t="s">
        <v>87</v>
      </c>
      <c r="D746" s="11"/>
      <c r="E746" s="16">
        <v>10</v>
      </c>
      <c r="F746" s="9">
        <v>46233</v>
      </c>
      <c r="G746" s="212" t="str">
        <f>IFERROR(VLOOKUP(Tabla3[[#This Row],[NUM ECONOMICO]],MAQUINARIA!B:H,7,0), " MAQ")</f>
        <v>ACTIVA</v>
      </c>
      <c r="H746" s="214" t="s">
        <v>241</v>
      </c>
      <c r="I746" s="41" t="s">
        <v>1031</v>
      </c>
      <c r="J746" s="10" t="s">
        <v>1808</v>
      </c>
      <c r="K746" s="10">
        <v>344</v>
      </c>
      <c r="L746" s="13">
        <v>70.69</v>
      </c>
      <c r="M746" s="13">
        <f t="shared" si="11"/>
        <v>24317.360000000001</v>
      </c>
      <c r="N746" s="41" t="s">
        <v>1815</v>
      </c>
      <c r="O746" s="287">
        <v>3.73</v>
      </c>
      <c r="P746" s="287">
        <f>Tabla3[[#This Row],[COSTO UNITARIO DOLARES EN HAWTHORNE]]*Tabla3[[#This Row],[CANTIDAD SOLICTADA]]</f>
        <v>1283.1199999999999</v>
      </c>
      <c r="Q746" s="41" t="s">
        <v>1812</v>
      </c>
      <c r="R746" s="229">
        <v>2.54</v>
      </c>
      <c r="S746" s="229">
        <f>+Tabla3[[#This Row],[COSTO UNITARIO DOLARES CTP]]*Tabla3[[#This Row],[CANTIDAD SOLICTADA]]</f>
        <v>873.76</v>
      </c>
      <c r="T746" s="41" t="s">
        <v>1815</v>
      </c>
      <c r="U746" s="18" t="s">
        <v>5</v>
      </c>
      <c r="V746" s="211" t="s">
        <v>1032</v>
      </c>
      <c r="W746" s="10"/>
      <c r="X746" s="10" t="s">
        <v>89</v>
      </c>
      <c r="Y746" s="10">
        <v>12</v>
      </c>
      <c r="Z746" s="16"/>
      <c r="AA746" s="16"/>
      <c r="AB746" s="16"/>
      <c r="AC746" s="16"/>
      <c r="AD746" s="16"/>
      <c r="AE746" s="16" t="s">
        <v>1818</v>
      </c>
      <c r="AF746" s="16"/>
      <c r="AG746" s="21" t="s">
        <v>1033</v>
      </c>
      <c r="XFD746" s="15" t="str">
        <f>+Tabla3[[#This Row],[ESTATUS DE NUM ECONOMICO]]</f>
        <v>ACTIVA</v>
      </c>
    </row>
    <row r="747" spans="1:33 16384:16384" ht="15.75" thickBot="1" x14ac:dyDescent="0.3">
      <c r="A747" s="8">
        <v>129</v>
      </c>
      <c r="B747" s="9">
        <v>46202</v>
      </c>
      <c r="C747" s="10" t="s">
        <v>87</v>
      </c>
      <c r="D747" s="11"/>
      <c r="E747" s="16">
        <v>10</v>
      </c>
      <c r="F747" s="9">
        <v>46233</v>
      </c>
      <c r="G747" s="212" t="str">
        <f>IFERROR(VLOOKUP(Tabla3[[#This Row],[NUM ECONOMICO]],MAQUINARIA!B:H,7,0), " MAQ")</f>
        <v>ACTIVA</v>
      </c>
      <c r="H747" s="214" t="s">
        <v>241</v>
      </c>
      <c r="I747" s="41" t="s">
        <v>1034</v>
      </c>
      <c r="J747" s="10"/>
      <c r="K747" s="10">
        <v>344</v>
      </c>
      <c r="L747" s="13">
        <v>198.44</v>
      </c>
      <c r="M747" s="13">
        <f t="shared" si="11"/>
        <v>68263.360000000001</v>
      </c>
      <c r="N747" s="41" t="s">
        <v>1815</v>
      </c>
      <c r="O747" s="287">
        <v>10.46</v>
      </c>
      <c r="P747" s="287">
        <f>Tabla3[[#This Row],[COSTO UNITARIO DOLARES EN HAWTHORNE]]*Tabla3[[#This Row],[CANTIDAD SOLICTADA]]</f>
        <v>3598.2400000000002</v>
      </c>
      <c r="Q747" s="41" t="s">
        <v>1812</v>
      </c>
      <c r="R747" s="229">
        <v>4.05</v>
      </c>
      <c r="S747" s="229">
        <f>+Tabla3[[#This Row],[COSTO UNITARIO DOLARES CTP]]*Tabla3[[#This Row],[CANTIDAD SOLICTADA]]</f>
        <v>1393.2</v>
      </c>
      <c r="T747" s="41" t="s">
        <v>1815</v>
      </c>
      <c r="U747" s="18" t="s">
        <v>5</v>
      </c>
      <c r="V747" s="211" t="s">
        <v>1032</v>
      </c>
      <c r="W747" s="10"/>
      <c r="X747" s="10" t="s">
        <v>89</v>
      </c>
      <c r="Y747" s="10" t="s">
        <v>90</v>
      </c>
      <c r="Z747" s="16"/>
      <c r="AA747" s="16"/>
      <c r="AB747" s="16"/>
      <c r="AC747" s="16"/>
      <c r="AD747" s="16"/>
      <c r="AE747" s="16" t="s">
        <v>1818</v>
      </c>
      <c r="AF747" s="16"/>
      <c r="AG747" s="21" t="s">
        <v>1033</v>
      </c>
      <c r="XFD747" s="15" t="str">
        <f>+Tabla3[[#This Row],[ESTATUS DE NUM ECONOMICO]]</f>
        <v>ACTIVA</v>
      </c>
    </row>
    <row r="748" spans="1:33 16384:16384" ht="15.75" thickBot="1" x14ac:dyDescent="0.3">
      <c r="A748" s="8">
        <v>129</v>
      </c>
      <c r="B748" s="9">
        <v>46202</v>
      </c>
      <c r="C748" s="10" t="s">
        <v>87</v>
      </c>
      <c r="D748" s="11"/>
      <c r="E748" s="16">
        <v>10</v>
      </c>
      <c r="F748" s="9">
        <v>46233</v>
      </c>
      <c r="G748" s="212" t="str">
        <f>IFERROR(VLOOKUP(Tabla3[[#This Row],[NUM ECONOMICO]],MAQUINARIA!B:H,7,0), " MAQ")</f>
        <v>ACTIVA</v>
      </c>
      <c r="H748" s="214" t="s">
        <v>241</v>
      </c>
      <c r="I748" s="41">
        <v>5394754</v>
      </c>
      <c r="J748" s="10"/>
      <c r="K748" s="10">
        <v>2</v>
      </c>
      <c r="L748" s="13">
        <v>1263.47</v>
      </c>
      <c r="M748" s="13">
        <f t="shared" si="11"/>
        <v>2526.94</v>
      </c>
      <c r="N748" s="41" t="s">
        <v>1815</v>
      </c>
      <c r="O748" s="287">
        <v>66.53</v>
      </c>
      <c r="P748" s="287">
        <f>Tabla3[[#This Row],[COSTO UNITARIO DOLARES EN HAWTHORNE]]*Tabla3[[#This Row],[CANTIDAD SOLICTADA]]</f>
        <v>133.06</v>
      </c>
      <c r="Q748" s="41" t="s">
        <v>1812</v>
      </c>
      <c r="R748" s="229">
        <v>49.19</v>
      </c>
      <c r="S748" s="229">
        <f>+Tabla3[[#This Row],[COSTO UNITARIO DOLARES CTP]]*Tabla3[[#This Row],[CANTIDAD SOLICTADA]]</f>
        <v>98.38</v>
      </c>
      <c r="T748" s="41"/>
      <c r="U748" s="18" t="s">
        <v>5</v>
      </c>
      <c r="V748" s="211" t="s">
        <v>1032</v>
      </c>
      <c r="W748" s="10"/>
      <c r="X748" s="10" t="s">
        <v>89</v>
      </c>
      <c r="Y748" s="10" t="s">
        <v>90</v>
      </c>
      <c r="Z748" s="16"/>
      <c r="AA748" s="16"/>
      <c r="AB748" s="16"/>
      <c r="AC748" s="16"/>
      <c r="AD748" s="16"/>
      <c r="AE748" s="16" t="s">
        <v>1818</v>
      </c>
      <c r="AF748" s="16"/>
      <c r="AG748" s="21" t="s">
        <v>1033</v>
      </c>
      <c r="XFD748" s="15" t="str">
        <f>+Tabla3[[#This Row],[ESTATUS DE NUM ECONOMICO]]</f>
        <v>ACTIVA</v>
      </c>
    </row>
    <row r="749" spans="1:33 16384:16384" ht="15.75" thickBot="1" x14ac:dyDescent="0.3">
      <c r="A749" s="8">
        <v>129</v>
      </c>
      <c r="B749" s="9">
        <v>46202</v>
      </c>
      <c r="C749" s="10" t="s">
        <v>87</v>
      </c>
      <c r="D749" s="11"/>
      <c r="E749" s="16">
        <v>10</v>
      </c>
      <c r="F749" s="9">
        <v>46233</v>
      </c>
      <c r="G749" s="212" t="str">
        <f>IFERROR(VLOOKUP(Tabla3[[#This Row],[NUM ECONOMICO]],MAQUINARIA!B:H,7,0), " MAQ")</f>
        <v>ACTIVA</v>
      </c>
      <c r="H749" s="214" t="s">
        <v>241</v>
      </c>
      <c r="I749" s="41">
        <v>3805946</v>
      </c>
      <c r="J749" s="10"/>
      <c r="K749" s="10">
        <v>1</v>
      </c>
      <c r="L749" s="13">
        <v>465882.09</v>
      </c>
      <c r="M749" s="13">
        <f t="shared" si="11"/>
        <v>465882.09</v>
      </c>
      <c r="N749" s="41" t="s">
        <v>1815</v>
      </c>
      <c r="O749" s="287">
        <v>24924.61</v>
      </c>
      <c r="P749" s="287">
        <f>Tabla3[[#This Row],[COSTO UNITARIO DOLARES EN HAWTHORNE]]*Tabla3[[#This Row],[CANTIDAD SOLICTADA]]</f>
        <v>24924.61</v>
      </c>
      <c r="Q749" s="41" t="s">
        <v>1812</v>
      </c>
      <c r="R749" s="230">
        <v>0</v>
      </c>
      <c r="S749" s="230">
        <f>+Tabla3[[#This Row],[COSTO UNITARIO DOLARES CTP]]*Tabla3[[#This Row],[CANTIDAD SOLICTADA]]</f>
        <v>0</v>
      </c>
      <c r="T749" s="43"/>
      <c r="U749" s="31" t="s">
        <v>5</v>
      </c>
      <c r="V749" s="211" t="s">
        <v>1032</v>
      </c>
      <c r="W749" s="10"/>
      <c r="X749" s="10" t="s">
        <v>89</v>
      </c>
      <c r="Y749" s="10" t="s">
        <v>90</v>
      </c>
      <c r="Z749" s="16"/>
      <c r="AA749" s="16"/>
      <c r="AB749" s="16"/>
      <c r="AC749" s="16"/>
      <c r="AD749" s="16"/>
      <c r="AE749" s="16" t="s">
        <v>1818</v>
      </c>
      <c r="AF749" s="16"/>
      <c r="AG749" s="21" t="s">
        <v>1033</v>
      </c>
      <c r="XFD749" s="15" t="str">
        <f>+Tabla3[[#This Row],[ESTATUS DE NUM ECONOMICO]]</f>
        <v>ACTIVA</v>
      </c>
    </row>
    <row r="750" spans="1:33 16384:16384" ht="15.75" thickBot="1" x14ac:dyDescent="0.3">
      <c r="A750" s="8">
        <v>130</v>
      </c>
      <c r="B750" s="9">
        <v>46202</v>
      </c>
      <c r="C750" s="10" t="s">
        <v>87</v>
      </c>
      <c r="D750" s="10">
        <v>3</v>
      </c>
      <c r="E750" s="16">
        <v>4</v>
      </c>
      <c r="F750" s="9">
        <v>46202</v>
      </c>
      <c r="G750" s="212" t="str">
        <f>IFERROR(VLOOKUP(Tabla3[[#This Row],[NUM ECONOMICO]],MAQUINARIA!B:H,7,0), " MAQ")</f>
        <v>INACTIVA</v>
      </c>
      <c r="H750" s="214" t="s">
        <v>1035</v>
      </c>
      <c r="I750" s="41" t="s">
        <v>1036</v>
      </c>
      <c r="J750" s="10" t="s">
        <v>1858</v>
      </c>
      <c r="K750" s="10">
        <v>2</v>
      </c>
      <c r="L750" s="12"/>
      <c r="M750" s="13">
        <f t="shared" si="11"/>
        <v>0</v>
      </c>
      <c r="N750" s="41"/>
      <c r="O750" s="10"/>
      <c r="P750" s="10">
        <f>Tabla3[[#This Row],[COSTO UNITARIO DOLARES EN HAWTHORNE]]*Tabla3[[#This Row],[CANTIDAD SOLICTADA]]</f>
        <v>0</v>
      </c>
      <c r="Q750" s="208"/>
      <c r="R750" s="231"/>
      <c r="S750" s="231">
        <f>+Tabla3[[#This Row],[COSTO UNITARIO DOLARES CTP]]*Tabla3[[#This Row],[CANTIDAD SOLICTADA]]</f>
        <v>0</v>
      </c>
      <c r="T750" s="208"/>
      <c r="U750" s="24" t="s">
        <v>4</v>
      </c>
      <c r="V750" s="8" t="s">
        <v>1037</v>
      </c>
      <c r="W750" s="10"/>
      <c r="X750" s="10" t="s">
        <v>89</v>
      </c>
      <c r="Y750" s="10">
        <v>1</v>
      </c>
      <c r="Z750" s="16" t="s">
        <v>44</v>
      </c>
      <c r="AA750" s="25">
        <v>46202</v>
      </c>
      <c r="AB750" s="25">
        <v>46202</v>
      </c>
      <c r="AC750" s="16"/>
      <c r="AD750" s="16"/>
      <c r="AE750" s="16"/>
      <c r="AF750" s="16"/>
      <c r="AG750" s="21" t="s">
        <v>1038</v>
      </c>
      <c r="XFD750" s="15" t="str">
        <f>+Tabla3[[#This Row],[ESTATUS DE NUM ECONOMICO]]</f>
        <v>INACTIVA</v>
      </c>
    </row>
    <row r="751" spans="1:33 16384:16384" ht="15.75" thickBot="1" x14ac:dyDescent="0.3">
      <c r="A751" s="8">
        <v>130</v>
      </c>
      <c r="B751" s="9">
        <v>46202</v>
      </c>
      <c r="C751" s="10" t="s">
        <v>87</v>
      </c>
      <c r="D751" s="10">
        <v>3</v>
      </c>
      <c r="E751" s="16">
        <v>4</v>
      </c>
      <c r="F751" s="9">
        <v>46202</v>
      </c>
      <c r="G751" s="212" t="str">
        <f>IFERROR(VLOOKUP(Tabla3[[#This Row],[NUM ECONOMICO]],MAQUINARIA!B:H,7,0), " MAQ")</f>
        <v>INACTIVA</v>
      </c>
      <c r="H751" s="214" t="s">
        <v>1035</v>
      </c>
      <c r="I751" s="41">
        <v>1740221</v>
      </c>
      <c r="J751" s="10" t="s">
        <v>1860</v>
      </c>
      <c r="K751" s="10">
        <v>12</v>
      </c>
      <c r="L751" s="12"/>
      <c r="M751" s="13">
        <f t="shared" si="11"/>
        <v>0</v>
      </c>
      <c r="N751" s="41"/>
      <c r="O751" s="10"/>
      <c r="P751" s="10">
        <f>Tabla3[[#This Row],[COSTO UNITARIO DOLARES EN HAWTHORNE]]*Tabla3[[#This Row],[CANTIDAD SOLICTADA]]</f>
        <v>0</v>
      </c>
      <c r="Q751" s="208"/>
      <c r="R751" s="231"/>
      <c r="S751" s="231">
        <f>+Tabla3[[#This Row],[COSTO UNITARIO DOLARES CTP]]*Tabla3[[#This Row],[CANTIDAD SOLICTADA]]</f>
        <v>0</v>
      </c>
      <c r="T751" s="208"/>
      <c r="U751" s="24" t="s">
        <v>4</v>
      </c>
      <c r="V751" s="8" t="s">
        <v>1037</v>
      </c>
      <c r="W751" s="10"/>
      <c r="X751" s="10" t="s">
        <v>89</v>
      </c>
      <c r="Y751" s="10" t="s">
        <v>90</v>
      </c>
      <c r="Z751" s="16" t="s">
        <v>44</v>
      </c>
      <c r="AA751" s="25">
        <v>46202</v>
      </c>
      <c r="AB751" s="25">
        <v>46202</v>
      </c>
      <c r="AC751" s="16"/>
      <c r="AD751" s="16"/>
      <c r="AE751" s="16"/>
      <c r="AF751" s="16"/>
      <c r="AG751" s="21" t="s">
        <v>1038</v>
      </c>
      <c r="XFD751" s="15" t="str">
        <f>+Tabla3[[#This Row],[ESTATUS DE NUM ECONOMICO]]</f>
        <v>INACTIVA</v>
      </c>
    </row>
    <row r="752" spans="1:33 16384:16384" ht="15.75" thickBot="1" x14ac:dyDescent="0.3">
      <c r="A752" s="8">
        <v>130</v>
      </c>
      <c r="B752" s="9">
        <v>46202</v>
      </c>
      <c r="C752" s="10" t="s">
        <v>87</v>
      </c>
      <c r="D752" s="10">
        <v>3</v>
      </c>
      <c r="E752" s="16">
        <v>4</v>
      </c>
      <c r="F752" s="9">
        <v>46202</v>
      </c>
      <c r="G752" s="212" t="str">
        <f>IFERROR(VLOOKUP(Tabla3[[#This Row],[NUM ECONOMICO]],MAQUINARIA!B:H,7,0), " MAQ")</f>
        <v>INACTIVA</v>
      </c>
      <c r="H752" s="214" t="s">
        <v>1035</v>
      </c>
      <c r="I752" s="41">
        <v>1740222</v>
      </c>
      <c r="J752" s="10" t="s">
        <v>1871</v>
      </c>
      <c r="K752" s="10">
        <v>12</v>
      </c>
      <c r="L752" s="12"/>
      <c r="M752" s="13">
        <f t="shared" si="11"/>
        <v>0</v>
      </c>
      <c r="N752" s="41"/>
      <c r="O752" s="10"/>
      <c r="P752" s="10">
        <f>Tabla3[[#This Row],[COSTO UNITARIO DOLARES EN HAWTHORNE]]*Tabla3[[#This Row],[CANTIDAD SOLICTADA]]</f>
        <v>0</v>
      </c>
      <c r="Q752" s="208"/>
      <c r="R752" s="231"/>
      <c r="S752" s="231">
        <f>+Tabla3[[#This Row],[COSTO UNITARIO DOLARES CTP]]*Tabla3[[#This Row],[CANTIDAD SOLICTADA]]</f>
        <v>0</v>
      </c>
      <c r="T752" s="208"/>
      <c r="U752" s="24" t="s">
        <v>4</v>
      </c>
      <c r="V752" s="8" t="s">
        <v>1037</v>
      </c>
      <c r="W752" s="10"/>
      <c r="X752" s="10" t="s">
        <v>89</v>
      </c>
      <c r="Y752" s="10" t="s">
        <v>90</v>
      </c>
      <c r="Z752" s="16" t="s">
        <v>44</v>
      </c>
      <c r="AA752" s="25">
        <v>46202</v>
      </c>
      <c r="AB752" s="25">
        <v>46202</v>
      </c>
      <c r="AC752" s="16"/>
      <c r="AD752" s="16"/>
      <c r="AE752" s="16"/>
      <c r="AF752" s="16"/>
      <c r="AG752" s="21" t="s">
        <v>1038</v>
      </c>
      <c r="XFD752" s="15" t="str">
        <f>+Tabla3[[#This Row],[ESTATUS DE NUM ECONOMICO]]</f>
        <v>INACTIVA</v>
      </c>
    </row>
    <row r="753" spans="1:33 16384:16384" ht="15.75" thickBot="1" x14ac:dyDescent="0.3">
      <c r="A753" s="8">
        <v>130</v>
      </c>
      <c r="B753" s="9">
        <v>46202</v>
      </c>
      <c r="C753" s="10" t="s">
        <v>87</v>
      </c>
      <c r="D753" s="10">
        <v>3</v>
      </c>
      <c r="E753" s="16">
        <v>4</v>
      </c>
      <c r="F753" s="9">
        <v>46202</v>
      </c>
      <c r="G753" s="212" t="str">
        <f>IFERROR(VLOOKUP(Tabla3[[#This Row],[NUM ECONOMICO]],MAQUINARIA!B:H,7,0), " MAQ")</f>
        <v>INACTIVA</v>
      </c>
      <c r="H753" s="214" t="s">
        <v>1035</v>
      </c>
      <c r="I753" s="41">
        <v>1740219</v>
      </c>
      <c r="J753" s="10" t="s">
        <v>1858</v>
      </c>
      <c r="K753" s="10">
        <v>1</v>
      </c>
      <c r="L753" s="12"/>
      <c r="M753" s="13">
        <f t="shared" si="11"/>
        <v>0</v>
      </c>
      <c r="N753" s="41"/>
      <c r="O753" s="10"/>
      <c r="P753" s="10">
        <f>Tabla3[[#This Row],[COSTO UNITARIO DOLARES EN HAWTHORNE]]*Tabla3[[#This Row],[CANTIDAD SOLICTADA]]</f>
        <v>0</v>
      </c>
      <c r="Q753" s="208"/>
      <c r="R753" s="231"/>
      <c r="S753" s="231">
        <f>+Tabla3[[#This Row],[COSTO UNITARIO DOLARES CTP]]*Tabla3[[#This Row],[CANTIDAD SOLICTADA]]</f>
        <v>0</v>
      </c>
      <c r="T753" s="208"/>
      <c r="U753" s="24" t="s">
        <v>4</v>
      </c>
      <c r="V753" s="8" t="s">
        <v>1037</v>
      </c>
      <c r="W753" s="10"/>
      <c r="X753" s="10" t="s">
        <v>89</v>
      </c>
      <c r="Y753" s="10" t="s">
        <v>90</v>
      </c>
      <c r="Z753" s="16" t="s">
        <v>44</v>
      </c>
      <c r="AA753" s="25">
        <v>46202</v>
      </c>
      <c r="AB753" s="25">
        <v>46202</v>
      </c>
      <c r="AC753" s="16"/>
      <c r="AD753" s="16"/>
      <c r="AE753" s="16"/>
      <c r="AF753" s="16"/>
      <c r="AG753" s="21" t="s">
        <v>1038</v>
      </c>
      <c r="XFD753" s="15" t="str">
        <f>+Tabla3[[#This Row],[ESTATUS DE NUM ECONOMICO]]</f>
        <v>INACTIVA</v>
      </c>
    </row>
    <row r="754" spans="1:33 16384:16384" ht="15.75" thickBot="1" x14ac:dyDescent="0.3">
      <c r="A754" s="8">
        <v>130</v>
      </c>
      <c r="B754" s="9">
        <v>46202</v>
      </c>
      <c r="C754" s="10" t="s">
        <v>87</v>
      </c>
      <c r="D754" s="10">
        <v>3</v>
      </c>
      <c r="E754" s="16">
        <v>4</v>
      </c>
      <c r="F754" s="9">
        <v>46202</v>
      </c>
      <c r="G754" s="212" t="str">
        <f>IFERROR(VLOOKUP(Tabla3[[#This Row],[NUM ECONOMICO]],MAQUINARIA!B:H,7,0), " MAQ")</f>
        <v>INACTIVA</v>
      </c>
      <c r="H754" s="214" t="s">
        <v>1035</v>
      </c>
      <c r="I754" s="41" t="s">
        <v>1039</v>
      </c>
      <c r="J754" s="10" t="s">
        <v>1858</v>
      </c>
      <c r="K754" s="10">
        <v>2</v>
      </c>
      <c r="L754" s="12"/>
      <c r="M754" s="13">
        <f t="shared" si="11"/>
        <v>0</v>
      </c>
      <c r="N754" s="41"/>
      <c r="O754" s="10"/>
      <c r="P754" s="10">
        <f>Tabla3[[#This Row],[COSTO UNITARIO DOLARES EN HAWTHORNE]]*Tabla3[[#This Row],[CANTIDAD SOLICTADA]]</f>
        <v>0</v>
      </c>
      <c r="Q754" s="208"/>
      <c r="R754" s="231"/>
      <c r="S754" s="231">
        <f>+Tabla3[[#This Row],[COSTO UNITARIO DOLARES CTP]]*Tabla3[[#This Row],[CANTIDAD SOLICTADA]]</f>
        <v>0</v>
      </c>
      <c r="T754" s="208"/>
      <c r="U754" s="24" t="s">
        <v>4</v>
      </c>
      <c r="V754" s="8" t="s">
        <v>1037</v>
      </c>
      <c r="W754" s="10"/>
      <c r="X754" s="10" t="s">
        <v>89</v>
      </c>
      <c r="Y754" s="10" t="s">
        <v>90</v>
      </c>
      <c r="Z754" s="16" t="s">
        <v>44</v>
      </c>
      <c r="AA754" s="25">
        <v>46202</v>
      </c>
      <c r="AB754" s="25">
        <v>46202</v>
      </c>
      <c r="AC754" s="16"/>
      <c r="AD754" s="16"/>
      <c r="AE754" s="16"/>
      <c r="AF754" s="16"/>
      <c r="AG754" s="21" t="s">
        <v>1038</v>
      </c>
      <c r="XFD754" s="15" t="str">
        <f>+Tabla3[[#This Row],[ESTATUS DE NUM ECONOMICO]]</f>
        <v>INACTIVA</v>
      </c>
    </row>
    <row r="755" spans="1:33 16384:16384" ht="15.75" thickBot="1" x14ac:dyDescent="0.3">
      <c r="A755" s="8">
        <v>131</v>
      </c>
      <c r="B755" s="9">
        <v>46203</v>
      </c>
      <c r="C755" s="10" t="s">
        <v>87</v>
      </c>
      <c r="D755" s="11"/>
      <c r="E755" s="16"/>
      <c r="F755" s="10"/>
      <c r="G755" s="212" t="str">
        <f>IFERROR(VLOOKUP(Tabla3[[#This Row],[NUM ECONOMICO]],MAQUINARIA!B:H,7,0), " MAQ")</f>
        <v>INACTIVA</v>
      </c>
      <c r="H755" s="214" t="s">
        <v>752</v>
      </c>
      <c r="I755" s="41" t="s">
        <v>1040</v>
      </c>
      <c r="J755" s="10"/>
      <c r="K755" s="10">
        <v>2</v>
      </c>
      <c r="L755" s="12"/>
      <c r="M755" s="13">
        <f t="shared" si="11"/>
        <v>0</v>
      </c>
      <c r="N755" s="41"/>
      <c r="O755" s="10"/>
      <c r="P755" s="10">
        <f>Tabla3[[#This Row],[COSTO UNITARIO DOLARES EN HAWTHORNE]]*Tabla3[[#This Row],[CANTIDAD SOLICTADA]]</f>
        <v>0</v>
      </c>
      <c r="Q755" s="41"/>
      <c r="R755" s="229"/>
      <c r="S755" s="229">
        <f>+Tabla3[[#This Row],[COSTO UNITARIO DOLARES CTP]]*Tabla3[[#This Row],[CANTIDAD SOLICTADA]]</f>
        <v>0</v>
      </c>
      <c r="T755" s="41"/>
      <c r="U755" s="14" t="s">
        <v>4</v>
      </c>
      <c r="V755" s="17"/>
      <c r="W755" s="29">
        <v>46203</v>
      </c>
      <c r="X755" s="16" t="s">
        <v>96</v>
      </c>
      <c r="Y755" s="10" t="s">
        <v>90</v>
      </c>
      <c r="Z755" s="16"/>
      <c r="AA755" s="30">
        <v>46203</v>
      </c>
      <c r="AB755" s="30">
        <v>46203</v>
      </c>
      <c r="AC755" s="16" t="s">
        <v>87</v>
      </c>
      <c r="AD755" s="16"/>
      <c r="AE755" s="16" t="s">
        <v>1041</v>
      </c>
      <c r="AF755" s="16"/>
      <c r="AG755" s="21" t="s">
        <v>506</v>
      </c>
      <c r="XFD755" s="15" t="str">
        <f>+Tabla3[[#This Row],[ESTATUS DE NUM ECONOMICO]]</f>
        <v>INACTIVA</v>
      </c>
    </row>
    <row r="756" spans="1:33 16384:16384" ht="15.75" thickBot="1" x14ac:dyDescent="0.3">
      <c r="A756" s="8">
        <v>132</v>
      </c>
      <c r="B756" s="9">
        <v>46203</v>
      </c>
      <c r="C756" s="10" t="s">
        <v>87</v>
      </c>
      <c r="D756" s="11"/>
      <c r="E756" s="16"/>
      <c r="F756" s="10"/>
      <c r="G756" s="212" t="str">
        <f>IFERROR(VLOOKUP(Tabla3[[#This Row],[NUM ECONOMICO]],MAQUINARIA!B:H,7,0), " MAQ")</f>
        <v>INACTIVA</v>
      </c>
      <c r="H756" s="214" t="s">
        <v>138</v>
      </c>
      <c r="I756" s="41" t="s">
        <v>1042</v>
      </c>
      <c r="J756" s="10"/>
      <c r="K756" s="10">
        <v>2</v>
      </c>
      <c r="L756" s="12"/>
      <c r="M756" s="13">
        <f t="shared" si="11"/>
        <v>0</v>
      </c>
      <c r="N756" s="41"/>
      <c r="O756" s="10"/>
      <c r="P756" s="10">
        <f>Tabla3[[#This Row],[COSTO UNITARIO DOLARES EN HAWTHORNE]]*Tabla3[[#This Row],[CANTIDAD SOLICTADA]]</f>
        <v>0</v>
      </c>
      <c r="Q756" s="41"/>
      <c r="R756" s="229"/>
      <c r="S756" s="229">
        <f>+Tabla3[[#This Row],[COSTO UNITARIO DOLARES CTP]]*Tabla3[[#This Row],[CANTIDAD SOLICTADA]]</f>
        <v>0</v>
      </c>
      <c r="T756" s="41"/>
      <c r="U756" s="20" t="s">
        <v>161</v>
      </c>
      <c r="V756" s="17"/>
      <c r="W756" s="10"/>
      <c r="X756" s="11"/>
      <c r="Y756" s="10">
        <v>1</v>
      </c>
      <c r="Z756" s="16"/>
      <c r="AA756" s="16"/>
      <c r="AB756" s="16"/>
      <c r="AC756" s="16"/>
      <c r="AD756" s="16"/>
      <c r="AE756" s="16" t="s">
        <v>1043</v>
      </c>
      <c r="AF756" s="16"/>
      <c r="AG756" s="21"/>
      <c r="XFD756" s="15" t="str">
        <f>+Tabla3[[#This Row],[ESTATUS DE NUM ECONOMICO]]</f>
        <v>INACTIVA</v>
      </c>
    </row>
    <row r="757" spans="1:33 16384:16384" ht="15.75" thickBot="1" x14ac:dyDescent="0.3">
      <c r="A757" s="8">
        <v>132</v>
      </c>
      <c r="B757" s="9">
        <v>46203</v>
      </c>
      <c r="C757" s="10" t="s">
        <v>87</v>
      </c>
      <c r="D757" s="11"/>
      <c r="E757" s="16"/>
      <c r="F757" s="10"/>
      <c r="G757" s="212" t="str">
        <f>IFERROR(VLOOKUP(Tabla3[[#This Row],[NUM ECONOMICO]],MAQUINARIA!B:H,7,0), " MAQ")</f>
        <v>INACTIVA</v>
      </c>
      <c r="H757" s="214" t="s">
        <v>138</v>
      </c>
      <c r="I757" s="41" t="s">
        <v>347</v>
      </c>
      <c r="J757" s="10"/>
      <c r="K757" s="10">
        <v>1</v>
      </c>
      <c r="L757" s="12"/>
      <c r="M757" s="13">
        <f t="shared" si="11"/>
        <v>0</v>
      </c>
      <c r="N757" s="41"/>
      <c r="O757" s="10"/>
      <c r="P757" s="10">
        <f>Tabla3[[#This Row],[COSTO UNITARIO DOLARES EN HAWTHORNE]]*Tabla3[[#This Row],[CANTIDAD SOLICTADA]]</f>
        <v>0</v>
      </c>
      <c r="Q757" s="41"/>
      <c r="R757" s="229"/>
      <c r="S757" s="229">
        <f>+Tabla3[[#This Row],[COSTO UNITARIO DOLARES CTP]]*Tabla3[[#This Row],[CANTIDAD SOLICTADA]]</f>
        <v>0</v>
      </c>
      <c r="T757" s="41"/>
      <c r="U757" s="20" t="s">
        <v>161</v>
      </c>
      <c r="V757" s="17"/>
      <c r="W757" s="10"/>
      <c r="X757" s="11"/>
      <c r="Y757" s="10">
        <v>7</v>
      </c>
      <c r="Z757" s="16"/>
      <c r="AA757" s="16"/>
      <c r="AB757" s="16"/>
      <c r="AC757" s="16"/>
      <c r="AD757" s="16"/>
      <c r="AE757" s="16" t="s">
        <v>1043</v>
      </c>
      <c r="AF757" s="16"/>
      <c r="AG757" s="21"/>
      <c r="XFD757" s="15" t="str">
        <f>+Tabla3[[#This Row],[ESTATUS DE NUM ECONOMICO]]</f>
        <v>INACTIVA</v>
      </c>
    </row>
    <row r="758" spans="1:33 16384:16384" ht="15.75" thickBot="1" x14ac:dyDescent="0.3">
      <c r="A758" s="8">
        <v>133</v>
      </c>
      <c r="B758" s="9">
        <v>46203</v>
      </c>
      <c r="C758" s="10" t="s">
        <v>87</v>
      </c>
      <c r="D758" s="11"/>
      <c r="E758" s="16">
        <v>10</v>
      </c>
      <c r="F758" s="9">
        <v>46062</v>
      </c>
      <c r="G758" s="212" t="str">
        <f>IFERROR(VLOOKUP(Tabla3[[#This Row],[NUM ECONOMICO]],MAQUINARIA!B:H,7,0), " MAQ")</f>
        <v>ACTIVA</v>
      </c>
      <c r="H758" s="214" t="s">
        <v>1044</v>
      </c>
      <c r="I758" s="41" t="s">
        <v>1045</v>
      </c>
      <c r="J758" s="10"/>
      <c r="K758" s="10">
        <v>1</v>
      </c>
      <c r="L758" s="12"/>
      <c r="M758" s="13">
        <f t="shared" si="11"/>
        <v>0</v>
      </c>
      <c r="N758" s="41"/>
      <c r="O758" s="10"/>
      <c r="P758" s="10">
        <f>Tabla3[[#This Row],[COSTO UNITARIO DOLARES EN HAWTHORNE]]*Tabla3[[#This Row],[CANTIDAD SOLICTADA]]</f>
        <v>0</v>
      </c>
      <c r="Q758" s="41"/>
      <c r="R758" s="229"/>
      <c r="S758" s="229">
        <f>+Tabla3[[#This Row],[COSTO UNITARIO DOLARES CTP]]*Tabla3[[#This Row],[CANTIDAD SOLICTADA]]</f>
        <v>0</v>
      </c>
      <c r="T758" s="41"/>
      <c r="U758" s="20" t="s">
        <v>161</v>
      </c>
      <c r="V758" s="17"/>
      <c r="W758" s="10"/>
      <c r="X758" s="11"/>
      <c r="Y758" s="10">
        <v>120</v>
      </c>
      <c r="Z758" s="16"/>
      <c r="AA758" s="16"/>
      <c r="AB758" s="16"/>
      <c r="AC758" s="16"/>
      <c r="AD758" s="16"/>
      <c r="AE758" s="16"/>
      <c r="AF758" s="16"/>
      <c r="AG758" s="21" t="s">
        <v>1046</v>
      </c>
      <c r="XFD758" s="15" t="str">
        <f>+Tabla3[[#This Row],[ESTATUS DE NUM ECONOMICO]]</f>
        <v>ACTIVA</v>
      </c>
    </row>
    <row r="759" spans="1:33 16384:16384" ht="15.75" thickBot="1" x14ac:dyDescent="0.3">
      <c r="A759" s="8">
        <v>133</v>
      </c>
      <c r="B759" s="9">
        <v>46203</v>
      </c>
      <c r="C759" s="10" t="s">
        <v>87</v>
      </c>
      <c r="D759" s="11"/>
      <c r="E759" s="16">
        <v>10</v>
      </c>
      <c r="F759" s="9">
        <v>46062</v>
      </c>
      <c r="G759" s="212" t="str">
        <f>IFERROR(VLOOKUP(Tabla3[[#This Row],[NUM ECONOMICO]],MAQUINARIA!B:H,7,0), " MAQ")</f>
        <v>ACTIVA</v>
      </c>
      <c r="H759" s="214" t="s">
        <v>1044</v>
      </c>
      <c r="I759" s="41" t="s">
        <v>1047</v>
      </c>
      <c r="J759" s="10"/>
      <c r="K759" s="10">
        <v>2</v>
      </c>
      <c r="L759" s="12"/>
      <c r="M759" s="13">
        <f t="shared" si="11"/>
        <v>0</v>
      </c>
      <c r="N759" s="41"/>
      <c r="O759" s="10"/>
      <c r="P759" s="10">
        <f>Tabla3[[#This Row],[COSTO UNITARIO DOLARES EN HAWTHORNE]]*Tabla3[[#This Row],[CANTIDAD SOLICTADA]]</f>
        <v>0</v>
      </c>
      <c r="Q759" s="43"/>
      <c r="R759" s="230"/>
      <c r="S759" s="230">
        <f>+Tabla3[[#This Row],[COSTO UNITARIO DOLARES CTP]]*Tabla3[[#This Row],[CANTIDAD SOLICTADA]]</f>
        <v>0</v>
      </c>
      <c r="T759" s="43"/>
      <c r="U759" s="381" t="s">
        <v>161</v>
      </c>
      <c r="V759" s="17"/>
      <c r="W759" s="10"/>
      <c r="X759" s="11"/>
      <c r="Y759" s="10">
        <v>10</v>
      </c>
      <c r="Z759" s="16"/>
      <c r="AA759" s="16"/>
      <c r="AB759" s="16"/>
      <c r="AC759" s="16"/>
      <c r="AD759" s="16"/>
      <c r="AE759" s="16"/>
      <c r="AF759" s="16"/>
      <c r="AG759" s="21" t="s">
        <v>1046</v>
      </c>
      <c r="XFD759" s="15" t="str">
        <f>+Tabla3[[#This Row],[ESTATUS DE NUM ECONOMICO]]</f>
        <v>ACTIVA</v>
      </c>
    </row>
    <row r="760" spans="1:33 16384:16384" ht="15.75" thickBot="1" x14ac:dyDescent="0.3">
      <c r="A760" s="8">
        <v>133</v>
      </c>
      <c r="B760" s="9">
        <v>46203</v>
      </c>
      <c r="C760" s="10" t="s">
        <v>87</v>
      </c>
      <c r="D760" s="11"/>
      <c r="E760" s="16">
        <v>10</v>
      </c>
      <c r="F760" s="9">
        <v>46062</v>
      </c>
      <c r="G760" s="212" t="str">
        <f>IFERROR(VLOOKUP(Tabla3[[#This Row],[NUM ECONOMICO]],MAQUINARIA!B:H,7,0), " MAQ")</f>
        <v>ACTIVA</v>
      </c>
      <c r="H760" s="214" t="s">
        <v>1044</v>
      </c>
      <c r="I760" s="41" t="s">
        <v>1048</v>
      </c>
      <c r="J760" s="10"/>
      <c r="K760" s="10">
        <v>2</v>
      </c>
      <c r="L760" s="13">
        <v>1209.06</v>
      </c>
      <c r="M760" s="13">
        <f t="shared" si="11"/>
        <v>2418.12</v>
      </c>
      <c r="N760" s="41"/>
      <c r="O760" s="10"/>
      <c r="P760" s="10">
        <f>Tabla3[[#This Row],[COSTO UNITARIO DOLARES EN HAWTHORNE]]*Tabla3[[#This Row],[CANTIDAD SOLICTADA]]</f>
        <v>0</v>
      </c>
      <c r="Q760" s="208"/>
      <c r="R760" s="231"/>
      <c r="S760" s="231">
        <f>+Tabla3[[#This Row],[COSTO UNITARIO DOLARES CTP]]*Tabla3[[#This Row],[CANTIDAD SOLICTADA]]</f>
        <v>0</v>
      </c>
      <c r="T760" s="208"/>
      <c r="U760" s="383" t="s">
        <v>4</v>
      </c>
      <c r="V760" s="8" t="s">
        <v>1049</v>
      </c>
      <c r="W760" s="9">
        <v>46209</v>
      </c>
      <c r="X760" s="11" t="s">
        <v>96</v>
      </c>
      <c r="Y760" s="10" t="s">
        <v>90</v>
      </c>
      <c r="Z760" s="16" t="s">
        <v>44</v>
      </c>
      <c r="AA760" s="25">
        <v>46206</v>
      </c>
      <c r="AB760" s="25">
        <v>46209</v>
      </c>
      <c r="AC760" s="16" t="s">
        <v>91</v>
      </c>
      <c r="AD760" s="16"/>
      <c r="AE760" s="16" t="s">
        <v>407</v>
      </c>
      <c r="AF760" s="16"/>
      <c r="AG760" s="21" t="s">
        <v>1046</v>
      </c>
      <c r="XFD760" s="15" t="str">
        <f>+Tabla3[[#This Row],[ESTATUS DE NUM ECONOMICO]]</f>
        <v>ACTIVA</v>
      </c>
    </row>
    <row r="761" spans="1:33 16384:16384" ht="15.75" thickBot="1" x14ac:dyDescent="0.3">
      <c r="A761" s="8">
        <v>133</v>
      </c>
      <c r="B761" s="9">
        <v>46203</v>
      </c>
      <c r="C761" s="10" t="s">
        <v>87</v>
      </c>
      <c r="D761" s="11"/>
      <c r="E761" s="16">
        <v>10</v>
      </c>
      <c r="F761" s="9">
        <v>46062</v>
      </c>
      <c r="G761" s="212" t="str">
        <f>IFERROR(VLOOKUP(Tabla3[[#This Row],[NUM ECONOMICO]],MAQUINARIA!B:H,7,0), " MAQ")</f>
        <v>ACTIVA</v>
      </c>
      <c r="H761" s="214" t="s">
        <v>1044</v>
      </c>
      <c r="I761" s="42" t="s">
        <v>1050</v>
      </c>
      <c r="J761" s="10"/>
      <c r="K761" s="10">
        <v>1</v>
      </c>
      <c r="L761" s="13">
        <v>6278.4</v>
      </c>
      <c r="M761" s="13">
        <f t="shared" si="11"/>
        <v>6278.4</v>
      </c>
      <c r="N761" s="41"/>
      <c r="O761" s="10"/>
      <c r="P761" s="10">
        <f>Tabla3[[#This Row],[COSTO UNITARIO DOLARES EN HAWTHORNE]]*Tabla3[[#This Row],[CANTIDAD SOLICTADA]]</f>
        <v>0</v>
      </c>
      <c r="Q761" s="208"/>
      <c r="R761" s="231"/>
      <c r="S761" s="231">
        <f>+Tabla3[[#This Row],[COSTO UNITARIO DOLARES CTP]]*Tabla3[[#This Row],[CANTIDAD SOLICTADA]]</f>
        <v>0</v>
      </c>
      <c r="T761" s="208"/>
      <c r="U761" s="383" t="s">
        <v>4</v>
      </c>
      <c r="V761" s="8" t="s">
        <v>1049</v>
      </c>
      <c r="W761" s="9">
        <v>46209</v>
      </c>
      <c r="X761" s="11" t="s">
        <v>96</v>
      </c>
      <c r="Y761" s="10" t="s">
        <v>90</v>
      </c>
      <c r="Z761" s="16" t="s">
        <v>44</v>
      </c>
      <c r="AA761" s="25">
        <v>46206</v>
      </c>
      <c r="AB761" s="25">
        <v>46209</v>
      </c>
      <c r="AC761" s="16" t="s">
        <v>91</v>
      </c>
      <c r="AD761" s="16"/>
      <c r="AE761" s="16" t="s">
        <v>407</v>
      </c>
      <c r="AF761" s="16"/>
      <c r="AG761" s="21" t="s">
        <v>1046</v>
      </c>
      <c r="XFD761" s="15" t="str">
        <f>+Tabla3[[#This Row],[ESTATUS DE NUM ECONOMICO]]</f>
        <v>ACTIVA</v>
      </c>
    </row>
    <row r="762" spans="1:33 16384:16384" ht="15.75" thickBot="1" x14ac:dyDescent="0.3">
      <c r="A762" s="8">
        <v>133</v>
      </c>
      <c r="B762" s="9">
        <v>46203</v>
      </c>
      <c r="C762" s="10" t="s">
        <v>87</v>
      </c>
      <c r="D762" s="11"/>
      <c r="E762" s="16">
        <v>10</v>
      </c>
      <c r="F762" s="9">
        <v>46062</v>
      </c>
      <c r="G762" s="212" t="str">
        <f>IFERROR(VLOOKUP(Tabla3[[#This Row],[NUM ECONOMICO]],MAQUINARIA!B:H,7,0), " MAQ")</f>
        <v>ACTIVA</v>
      </c>
      <c r="H762" s="214" t="s">
        <v>1044</v>
      </c>
      <c r="I762" s="41">
        <v>1175435</v>
      </c>
      <c r="J762" s="10"/>
      <c r="K762" s="10">
        <v>1</v>
      </c>
      <c r="L762" s="13">
        <v>16084.62</v>
      </c>
      <c r="M762" s="13">
        <f t="shared" si="11"/>
        <v>16084.62</v>
      </c>
      <c r="N762" s="41"/>
      <c r="O762" s="10"/>
      <c r="P762" s="10">
        <f>Tabla3[[#This Row],[COSTO UNITARIO DOLARES EN HAWTHORNE]]*Tabla3[[#This Row],[CANTIDAD SOLICTADA]]</f>
        <v>0</v>
      </c>
      <c r="Q762" s="208"/>
      <c r="R762" s="231"/>
      <c r="S762" s="231">
        <f>+Tabla3[[#This Row],[COSTO UNITARIO DOLARES CTP]]*Tabla3[[#This Row],[CANTIDAD SOLICTADA]]</f>
        <v>0</v>
      </c>
      <c r="T762" s="208"/>
      <c r="U762" s="383" t="s">
        <v>4</v>
      </c>
      <c r="V762" s="8" t="s">
        <v>1049</v>
      </c>
      <c r="W762" s="9">
        <v>46209</v>
      </c>
      <c r="X762" s="11" t="s">
        <v>96</v>
      </c>
      <c r="Y762" s="10">
        <v>1</v>
      </c>
      <c r="Z762" s="16" t="s">
        <v>44</v>
      </c>
      <c r="AA762" s="25">
        <v>46206</v>
      </c>
      <c r="AB762" s="25">
        <v>46209</v>
      </c>
      <c r="AC762" s="16" t="s">
        <v>91</v>
      </c>
      <c r="AD762" s="16"/>
      <c r="AE762" s="16" t="s">
        <v>407</v>
      </c>
      <c r="AF762" s="16"/>
      <c r="AG762" s="21" t="s">
        <v>1046</v>
      </c>
      <c r="XFD762" s="15" t="str">
        <f>+Tabla3[[#This Row],[ESTATUS DE NUM ECONOMICO]]</f>
        <v>ACTIVA</v>
      </c>
    </row>
    <row r="763" spans="1:33 16384:16384" ht="15.75" thickBot="1" x14ac:dyDescent="0.3">
      <c r="A763" s="8">
        <v>133</v>
      </c>
      <c r="B763" s="9">
        <v>46203</v>
      </c>
      <c r="C763" s="10" t="s">
        <v>87</v>
      </c>
      <c r="D763" s="11"/>
      <c r="E763" s="16">
        <v>10</v>
      </c>
      <c r="F763" s="9">
        <v>46062</v>
      </c>
      <c r="G763" s="212" t="str">
        <f>IFERROR(VLOOKUP(Tabla3[[#This Row],[NUM ECONOMICO]],MAQUINARIA!B:H,7,0), " MAQ")</f>
        <v>ACTIVA</v>
      </c>
      <c r="H763" s="214" t="s">
        <v>1044</v>
      </c>
      <c r="I763" s="41" t="s">
        <v>1051</v>
      </c>
      <c r="J763" s="10"/>
      <c r="K763" s="10">
        <v>2</v>
      </c>
      <c r="L763" s="13">
        <v>79.02</v>
      </c>
      <c r="M763" s="13">
        <f t="shared" si="11"/>
        <v>158.04</v>
      </c>
      <c r="N763" s="41"/>
      <c r="O763" s="10"/>
      <c r="P763" s="10">
        <f>Tabla3[[#This Row],[COSTO UNITARIO DOLARES EN HAWTHORNE]]*Tabla3[[#This Row],[CANTIDAD SOLICTADA]]</f>
        <v>0</v>
      </c>
      <c r="Q763" s="208"/>
      <c r="R763" s="231"/>
      <c r="S763" s="231">
        <f>+Tabla3[[#This Row],[COSTO UNITARIO DOLARES CTP]]*Tabla3[[#This Row],[CANTIDAD SOLICTADA]]</f>
        <v>0</v>
      </c>
      <c r="T763" s="208"/>
      <c r="U763" s="383" t="s">
        <v>4</v>
      </c>
      <c r="V763" s="8" t="s">
        <v>1049</v>
      </c>
      <c r="W763" s="9">
        <v>46209</v>
      </c>
      <c r="X763" s="11" t="s">
        <v>96</v>
      </c>
      <c r="Y763" s="10">
        <v>4</v>
      </c>
      <c r="Z763" s="16" t="s">
        <v>44</v>
      </c>
      <c r="AA763" s="25">
        <v>46206</v>
      </c>
      <c r="AB763" s="25">
        <v>46209</v>
      </c>
      <c r="AC763" s="16" t="s">
        <v>91</v>
      </c>
      <c r="AD763" s="16"/>
      <c r="AE763" s="16" t="s">
        <v>407</v>
      </c>
      <c r="AF763" s="16"/>
      <c r="AG763" s="21" t="s">
        <v>1046</v>
      </c>
      <c r="XFD763" s="15" t="str">
        <f>+Tabla3[[#This Row],[ESTATUS DE NUM ECONOMICO]]</f>
        <v>ACTIVA</v>
      </c>
    </row>
    <row r="764" spans="1:33 16384:16384" ht="15.75" thickBot="1" x14ac:dyDescent="0.3">
      <c r="A764" s="8">
        <v>133</v>
      </c>
      <c r="B764" s="9">
        <v>46203</v>
      </c>
      <c r="C764" s="10" t="s">
        <v>87</v>
      </c>
      <c r="D764" s="11"/>
      <c r="E764" s="16">
        <v>10</v>
      </c>
      <c r="F764" s="9">
        <v>46062</v>
      </c>
      <c r="G764" s="212" t="str">
        <f>IFERROR(VLOOKUP(Tabla3[[#This Row],[NUM ECONOMICO]],MAQUINARIA!B:H,7,0), " MAQ")</f>
        <v>ACTIVA</v>
      </c>
      <c r="H764" s="214" t="s">
        <v>1044</v>
      </c>
      <c r="I764" s="41">
        <v>966467</v>
      </c>
      <c r="J764" s="10"/>
      <c r="K764" s="10">
        <v>2</v>
      </c>
      <c r="L764" s="13">
        <v>205.2</v>
      </c>
      <c r="M764" s="13">
        <f t="shared" si="11"/>
        <v>410.4</v>
      </c>
      <c r="N764" s="41"/>
      <c r="O764" s="10"/>
      <c r="P764" s="10">
        <f>Tabla3[[#This Row],[COSTO UNITARIO DOLARES EN HAWTHORNE]]*Tabla3[[#This Row],[CANTIDAD SOLICTADA]]</f>
        <v>0</v>
      </c>
      <c r="Q764" s="208"/>
      <c r="R764" s="231"/>
      <c r="S764" s="231">
        <f>+Tabla3[[#This Row],[COSTO UNITARIO DOLARES CTP]]*Tabla3[[#This Row],[CANTIDAD SOLICTADA]]</f>
        <v>0</v>
      </c>
      <c r="T764" s="208"/>
      <c r="U764" s="383" t="s">
        <v>4</v>
      </c>
      <c r="V764" s="8" t="s">
        <v>1049</v>
      </c>
      <c r="W764" s="9">
        <v>46209</v>
      </c>
      <c r="X764" s="11" t="s">
        <v>96</v>
      </c>
      <c r="Y764" s="10">
        <v>3</v>
      </c>
      <c r="Z764" s="16" t="s">
        <v>44</v>
      </c>
      <c r="AA764" s="25">
        <v>46206</v>
      </c>
      <c r="AB764" s="25">
        <v>46209</v>
      </c>
      <c r="AC764" s="16" t="s">
        <v>91</v>
      </c>
      <c r="AD764" s="16"/>
      <c r="AE764" s="16" t="s">
        <v>407</v>
      </c>
      <c r="AF764" s="16"/>
      <c r="AG764" s="21" t="s">
        <v>1046</v>
      </c>
      <c r="XFD764" s="15" t="str">
        <f>+Tabla3[[#This Row],[ESTATUS DE NUM ECONOMICO]]</f>
        <v>ACTIVA</v>
      </c>
    </row>
    <row r="765" spans="1:33 16384:16384" ht="15.75" thickBot="1" x14ac:dyDescent="0.3">
      <c r="A765" s="8">
        <v>134</v>
      </c>
      <c r="B765" s="9">
        <v>46202</v>
      </c>
      <c r="C765" s="10" t="s">
        <v>87</v>
      </c>
      <c r="D765" s="11"/>
      <c r="E765" s="16">
        <v>5</v>
      </c>
      <c r="F765" s="9">
        <v>46203</v>
      </c>
      <c r="G765" s="212" t="str">
        <f>IFERROR(VLOOKUP(Tabla3[[#This Row],[NUM ECONOMICO]],MAQUINARIA!B:H,7,0), " MAQ")</f>
        <v>INACTIVA</v>
      </c>
      <c r="H765" s="214" t="s">
        <v>164</v>
      </c>
      <c r="I765" s="41" t="s">
        <v>265</v>
      </c>
      <c r="J765" s="10"/>
      <c r="K765" s="10">
        <v>8</v>
      </c>
      <c r="L765" s="13">
        <v>100.62</v>
      </c>
      <c r="M765" s="13">
        <f t="shared" si="11"/>
        <v>804.96</v>
      </c>
      <c r="N765" s="41" t="s">
        <v>674</v>
      </c>
      <c r="O765" s="10"/>
      <c r="P765" s="10">
        <f>Tabla3[[#This Row],[COSTO UNITARIO DOLARES EN HAWTHORNE]]*Tabla3[[#This Row],[CANTIDAD SOLICTADA]]</f>
        <v>0</v>
      </c>
      <c r="Q765" s="43"/>
      <c r="R765" s="230"/>
      <c r="S765" s="230">
        <f>+Tabla3[[#This Row],[COSTO UNITARIO DOLARES CTP]]*Tabla3[[#This Row],[CANTIDAD SOLICTADA]]</f>
        <v>0</v>
      </c>
      <c r="T765" s="43"/>
      <c r="U765" s="382" t="s">
        <v>161</v>
      </c>
      <c r="V765" s="8" t="s">
        <v>1052</v>
      </c>
      <c r="W765" s="10"/>
      <c r="X765" s="11"/>
      <c r="Y765" s="10">
        <v>13</v>
      </c>
      <c r="Z765" s="16"/>
      <c r="AA765" s="16"/>
      <c r="AB765" s="16"/>
      <c r="AC765" s="16"/>
      <c r="AD765" s="16"/>
      <c r="AE765" s="16"/>
      <c r="AF765" s="16"/>
      <c r="AG765" s="21" t="s">
        <v>1053</v>
      </c>
      <c r="XFD765" s="15" t="str">
        <f>+Tabla3[[#This Row],[ESTATUS DE NUM ECONOMICO]]</f>
        <v>INACTIVA</v>
      </c>
    </row>
    <row r="766" spans="1:33 16384:16384" ht="15.75" thickBot="1" x14ac:dyDescent="0.3">
      <c r="A766" s="8">
        <v>134</v>
      </c>
      <c r="B766" s="9">
        <v>46202</v>
      </c>
      <c r="C766" s="10" t="s">
        <v>87</v>
      </c>
      <c r="D766" s="11"/>
      <c r="E766" s="16">
        <v>5</v>
      </c>
      <c r="F766" s="9">
        <v>46203</v>
      </c>
      <c r="G766" s="212" t="str">
        <f>IFERROR(VLOOKUP(Tabla3[[#This Row],[NUM ECONOMICO]],MAQUINARIA!B:H,7,0), " MAQ")</f>
        <v>INACTIVA</v>
      </c>
      <c r="H766" s="214" t="s">
        <v>164</v>
      </c>
      <c r="I766" s="41" t="s">
        <v>1054</v>
      </c>
      <c r="J766" s="10"/>
      <c r="K766" s="10">
        <v>2</v>
      </c>
      <c r="L766" s="13">
        <v>59.76</v>
      </c>
      <c r="M766" s="13">
        <f t="shared" si="11"/>
        <v>119.52</v>
      </c>
      <c r="N766" s="41" t="s">
        <v>674</v>
      </c>
      <c r="O766" s="10"/>
      <c r="P766" s="10">
        <f>Tabla3[[#This Row],[COSTO UNITARIO DOLARES EN HAWTHORNE]]*Tabla3[[#This Row],[CANTIDAD SOLICTADA]]</f>
        <v>0</v>
      </c>
      <c r="Q766" s="208"/>
      <c r="R766" s="231"/>
      <c r="S766" s="231">
        <f>+Tabla3[[#This Row],[COSTO UNITARIO DOLARES CTP]]*Tabla3[[#This Row],[CANTIDAD SOLICTADA]]</f>
        <v>0</v>
      </c>
      <c r="T766" s="208"/>
      <c r="U766" s="24" t="s">
        <v>8</v>
      </c>
      <c r="V766" s="8" t="s">
        <v>1052</v>
      </c>
      <c r="W766" s="10"/>
      <c r="X766" s="11"/>
      <c r="Y766" s="10">
        <v>0</v>
      </c>
      <c r="Z766" s="16"/>
      <c r="AA766" s="25">
        <v>46205</v>
      </c>
      <c r="AB766" s="25">
        <v>46207</v>
      </c>
      <c r="AC766" s="16"/>
      <c r="AD766" s="16"/>
      <c r="AE766" s="16" t="s">
        <v>1055</v>
      </c>
      <c r="AF766" s="16"/>
      <c r="AG766" s="21" t="s">
        <v>1053</v>
      </c>
      <c r="XFD766" s="15" t="str">
        <f>+Tabla3[[#This Row],[ESTATUS DE NUM ECONOMICO]]</f>
        <v>INACTIVA</v>
      </c>
    </row>
    <row r="767" spans="1:33 16384:16384" ht="15.75" thickBot="1" x14ac:dyDescent="0.3">
      <c r="A767" s="8">
        <v>134</v>
      </c>
      <c r="B767" s="9">
        <v>46202</v>
      </c>
      <c r="C767" s="10" t="s">
        <v>87</v>
      </c>
      <c r="D767" s="11"/>
      <c r="E767" s="16">
        <v>5</v>
      </c>
      <c r="F767" s="9">
        <v>46203</v>
      </c>
      <c r="G767" s="212" t="str">
        <f>IFERROR(VLOOKUP(Tabla3[[#This Row],[NUM ECONOMICO]],MAQUINARIA!B:H,7,0), " MAQ")</f>
        <v>INACTIVA</v>
      </c>
      <c r="H767" s="214" t="s">
        <v>164</v>
      </c>
      <c r="I767" s="41" t="s">
        <v>1056</v>
      </c>
      <c r="J767" s="10"/>
      <c r="K767" s="10">
        <v>6</v>
      </c>
      <c r="L767" s="13">
        <v>104.04</v>
      </c>
      <c r="M767" s="13">
        <f t="shared" si="11"/>
        <v>624.24</v>
      </c>
      <c r="N767" s="41" t="s">
        <v>674</v>
      </c>
      <c r="O767" s="10"/>
      <c r="P767" s="10">
        <f>Tabla3[[#This Row],[COSTO UNITARIO DOLARES EN HAWTHORNE]]*Tabla3[[#This Row],[CANTIDAD SOLICTADA]]</f>
        <v>0</v>
      </c>
      <c r="Q767" s="208"/>
      <c r="R767" s="231"/>
      <c r="S767" s="231">
        <f>+Tabla3[[#This Row],[COSTO UNITARIO DOLARES CTP]]*Tabla3[[#This Row],[CANTIDAD SOLICTADA]]</f>
        <v>0</v>
      </c>
      <c r="T767" s="208"/>
      <c r="U767" s="24" t="s">
        <v>8</v>
      </c>
      <c r="V767" s="8" t="s">
        <v>1052</v>
      </c>
      <c r="W767" s="10"/>
      <c r="X767" s="11"/>
      <c r="Y767" s="10">
        <v>0</v>
      </c>
      <c r="Z767" s="16"/>
      <c r="AA767" s="25">
        <v>46205</v>
      </c>
      <c r="AB767" s="25">
        <v>46207</v>
      </c>
      <c r="AC767" s="16"/>
      <c r="AD767" s="16"/>
      <c r="AE767" s="16" t="s">
        <v>1055</v>
      </c>
      <c r="AF767" s="16"/>
      <c r="AG767" s="21" t="s">
        <v>1053</v>
      </c>
      <c r="XFD767" s="15" t="str">
        <f>+Tabla3[[#This Row],[ESTATUS DE NUM ECONOMICO]]</f>
        <v>INACTIVA</v>
      </c>
    </row>
    <row r="768" spans="1:33 16384:16384" ht="15.75" thickBot="1" x14ac:dyDescent="0.3">
      <c r="A768" s="8">
        <v>134</v>
      </c>
      <c r="B768" s="9">
        <v>46202</v>
      </c>
      <c r="C768" s="10" t="s">
        <v>87</v>
      </c>
      <c r="D768" s="11"/>
      <c r="E768" s="16"/>
      <c r="F768" s="10"/>
      <c r="G768" s="212" t="str">
        <f>IFERROR(VLOOKUP(Tabla3[[#This Row],[NUM ECONOMICO]],MAQUINARIA!B:H,7,0), " MAQ")</f>
        <v>INACTIVA</v>
      </c>
      <c r="H768" s="214" t="s">
        <v>164</v>
      </c>
      <c r="I768" s="41" t="s">
        <v>1057</v>
      </c>
      <c r="J768" s="10"/>
      <c r="K768" s="10">
        <v>1</v>
      </c>
      <c r="L768" s="13">
        <v>152.1</v>
      </c>
      <c r="M768" s="13">
        <f t="shared" si="11"/>
        <v>152.1</v>
      </c>
      <c r="N768" s="41" t="s">
        <v>674</v>
      </c>
      <c r="O768" s="10"/>
      <c r="P768" s="10">
        <f>Tabla3[[#This Row],[COSTO UNITARIO DOLARES EN HAWTHORNE]]*Tabla3[[#This Row],[CANTIDAD SOLICTADA]]</f>
        <v>0</v>
      </c>
      <c r="Q768" s="208"/>
      <c r="R768" s="231"/>
      <c r="S768" s="231">
        <f>+Tabla3[[#This Row],[COSTO UNITARIO DOLARES CTP]]*Tabla3[[#This Row],[CANTIDAD SOLICTADA]]</f>
        <v>0</v>
      </c>
      <c r="T768" s="208"/>
      <c r="U768" s="24" t="s">
        <v>8</v>
      </c>
      <c r="V768" s="8" t="s">
        <v>1052</v>
      </c>
      <c r="W768" s="10"/>
      <c r="X768" s="11"/>
      <c r="Y768" s="10">
        <v>0</v>
      </c>
      <c r="Z768" s="16"/>
      <c r="AA768" s="25">
        <v>46205</v>
      </c>
      <c r="AB768" s="25">
        <v>46207</v>
      </c>
      <c r="AC768" s="16"/>
      <c r="AD768" s="16"/>
      <c r="AE768" s="16" t="s">
        <v>1058</v>
      </c>
      <c r="AF768" s="16"/>
      <c r="AG768" s="21" t="s">
        <v>1053</v>
      </c>
      <c r="XFD768" s="15" t="str">
        <f>+Tabla3[[#This Row],[ESTATUS DE NUM ECONOMICO]]</f>
        <v>INACTIVA</v>
      </c>
    </row>
    <row r="769" spans="1:33 16384:16384" ht="15.75" thickBot="1" x14ac:dyDescent="0.3">
      <c r="A769" s="8">
        <v>134</v>
      </c>
      <c r="B769" s="9">
        <v>46202</v>
      </c>
      <c r="C769" s="10" t="s">
        <v>87</v>
      </c>
      <c r="D769" s="11"/>
      <c r="E769" s="16">
        <v>5</v>
      </c>
      <c r="F769" s="9">
        <v>46203</v>
      </c>
      <c r="G769" s="212" t="str">
        <f>IFERROR(VLOOKUP(Tabla3[[#This Row],[NUM ECONOMICO]],MAQUINARIA!B:H,7,0), " MAQ")</f>
        <v>INACTIVA</v>
      </c>
      <c r="H769" s="214" t="s">
        <v>164</v>
      </c>
      <c r="I769" s="41" t="s">
        <v>1059</v>
      </c>
      <c r="J769" s="10"/>
      <c r="K769" s="10">
        <v>5</v>
      </c>
      <c r="L769" s="13">
        <v>43.38</v>
      </c>
      <c r="M769" s="13">
        <f t="shared" si="11"/>
        <v>216.9</v>
      </c>
      <c r="N769" s="41" t="s">
        <v>674</v>
      </c>
      <c r="O769" s="10"/>
      <c r="P769" s="10">
        <f>Tabla3[[#This Row],[COSTO UNITARIO DOLARES EN HAWTHORNE]]*Tabla3[[#This Row],[CANTIDAD SOLICTADA]]</f>
        <v>0</v>
      </c>
      <c r="Q769" s="43"/>
      <c r="R769" s="230"/>
      <c r="S769" s="230">
        <f>+Tabla3[[#This Row],[COSTO UNITARIO DOLARES CTP]]*Tabla3[[#This Row],[CANTIDAD SOLICTADA]]</f>
        <v>0</v>
      </c>
      <c r="T769" s="43"/>
      <c r="U769" s="28" t="s">
        <v>161</v>
      </c>
      <c r="V769" s="17"/>
      <c r="W769" s="10"/>
      <c r="X769" s="11"/>
      <c r="Y769" s="10">
        <v>12</v>
      </c>
      <c r="Z769" s="16"/>
      <c r="AA769" s="16"/>
      <c r="AB769" s="25">
        <v>46207</v>
      </c>
      <c r="AC769" s="16"/>
      <c r="AD769" s="16"/>
      <c r="AE769" s="16"/>
      <c r="AF769" s="16"/>
      <c r="AG769" s="21" t="s">
        <v>1053</v>
      </c>
      <c r="XFD769" s="15" t="str">
        <f>+Tabla3[[#This Row],[ESTATUS DE NUM ECONOMICO]]</f>
        <v>INACTIVA</v>
      </c>
    </row>
    <row r="770" spans="1:33 16384:16384" ht="15.75" thickBot="1" x14ac:dyDescent="0.3">
      <c r="A770" s="8">
        <v>134</v>
      </c>
      <c r="B770" s="9">
        <v>46202</v>
      </c>
      <c r="C770" s="10" t="s">
        <v>87</v>
      </c>
      <c r="D770" s="11"/>
      <c r="E770" s="16">
        <v>5</v>
      </c>
      <c r="F770" s="9">
        <v>46203</v>
      </c>
      <c r="G770" s="212" t="str">
        <f>IFERROR(VLOOKUP(Tabla3[[#This Row],[NUM ECONOMICO]],MAQUINARIA!B:H,7,0), " MAQ")</f>
        <v>INACTIVA</v>
      </c>
      <c r="H770" s="214" t="s">
        <v>164</v>
      </c>
      <c r="I770" s="41" t="s">
        <v>1060</v>
      </c>
      <c r="J770" s="10"/>
      <c r="K770" s="10">
        <v>1</v>
      </c>
      <c r="L770" s="13">
        <v>125.1</v>
      </c>
      <c r="M770" s="13">
        <f t="shared" ref="M770:M807" si="12">+L770*K770</f>
        <v>125.1</v>
      </c>
      <c r="N770" s="41" t="s">
        <v>674</v>
      </c>
      <c r="O770" s="10"/>
      <c r="P770" s="10">
        <f>Tabla3[[#This Row],[COSTO UNITARIO DOLARES EN HAWTHORNE]]*Tabla3[[#This Row],[CANTIDAD SOLICTADA]]</f>
        <v>0</v>
      </c>
      <c r="Q770" s="208"/>
      <c r="R770" s="231"/>
      <c r="S770" s="231">
        <f>+Tabla3[[#This Row],[COSTO UNITARIO DOLARES CTP]]*Tabla3[[#This Row],[CANTIDAD SOLICTADA]]</f>
        <v>0</v>
      </c>
      <c r="T770" s="208"/>
      <c r="U770" s="24" t="s">
        <v>8</v>
      </c>
      <c r="V770" s="8" t="s">
        <v>1052</v>
      </c>
      <c r="W770" s="10"/>
      <c r="X770" s="11"/>
      <c r="Y770" s="10" t="s">
        <v>90</v>
      </c>
      <c r="Z770" s="16"/>
      <c r="AA770" s="25">
        <v>46205</v>
      </c>
      <c r="AB770" s="25">
        <v>46207</v>
      </c>
      <c r="AC770" s="16"/>
      <c r="AD770" s="16"/>
      <c r="AE770" s="16" t="s">
        <v>1055</v>
      </c>
      <c r="AF770" s="16"/>
      <c r="AG770" s="21" t="s">
        <v>1061</v>
      </c>
      <c r="XFD770" s="15" t="str">
        <f>+Tabla3[[#This Row],[ESTATUS DE NUM ECONOMICO]]</f>
        <v>INACTIVA</v>
      </c>
    </row>
    <row r="771" spans="1:33 16384:16384" ht="15.75" thickBot="1" x14ac:dyDescent="0.3">
      <c r="A771" s="8">
        <v>134</v>
      </c>
      <c r="B771" s="9">
        <v>46202</v>
      </c>
      <c r="C771" s="10" t="s">
        <v>87</v>
      </c>
      <c r="D771" s="11"/>
      <c r="E771" s="16">
        <v>5</v>
      </c>
      <c r="F771" s="9">
        <v>46203</v>
      </c>
      <c r="G771" s="212" t="str">
        <f>IFERROR(VLOOKUP(Tabla3[[#This Row],[NUM ECONOMICO]],MAQUINARIA!B:H,7,0), " MAQ")</f>
        <v>INACTIVA</v>
      </c>
      <c r="H771" s="214" t="s">
        <v>164</v>
      </c>
      <c r="I771" s="41" t="s">
        <v>1062</v>
      </c>
      <c r="J771" s="10"/>
      <c r="K771" s="10">
        <v>2</v>
      </c>
      <c r="L771" s="13">
        <v>103.14</v>
      </c>
      <c r="M771" s="13">
        <f t="shared" si="12"/>
        <v>206.28</v>
      </c>
      <c r="N771" s="41" t="s">
        <v>674</v>
      </c>
      <c r="O771" s="10"/>
      <c r="P771" s="10">
        <f>Tabla3[[#This Row],[COSTO UNITARIO DOLARES EN HAWTHORNE]]*Tabla3[[#This Row],[CANTIDAD SOLICTADA]]</f>
        <v>0</v>
      </c>
      <c r="Q771" s="208"/>
      <c r="R771" s="231"/>
      <c r="S771" s="231">
        <f>+Tabla3[[#This Row],[COSTO UNITARIO DOLARES CTP]]*Tabla3[[#This Row],[CANTIDAD SOLICTADA]]</f>
        <v>0</v>
      </c>
      <c r="T771" s="208"/>
      <c r="U771" s="24" t="s">
        <v>8</v>
      </c>
      <c r="V771" s="8" t="s">
        <v>1052</v>
      </c>
      <c r="W771" s="10"/>
      <c r="X771" s="11"/>
      <c r="Y771" s="10">
        <v>1</v>
      </c>
      <c r="Z771" s="16"/>
      <c r="AA771" s="25">
        <v>46205</v>
      </c>
      <c r="AB771" s="25">
        <v>46207</v>
      </c>
      <c r="AC771" s="16"/>
      <c r="AD771" s="16"/>
      <c r="AE771" s="16" t="s">
        <v>1055</v>
      </c>
      <c r="AF771" s="16"/>
      <c r="AG771" s="21" t="s">
        <v>1061</v>
      </c>
      <c r="XFD771" s="15" t="str">
        <f>+Tabla3[[#This Row],[ESTATUS DE NUM ECONOMICO]]</f>
        <v>INACTIVA</v>
      </c>
    </row>
    <row r="772" spans="1:33 16384:16384" ht="15.75" thickBot="1" x14ac:dyDescent="0.3">
      <c r="A772" s="8">
        <v>134</v>
      </c>
      <c r="B772" s="9">
        <v>46202</v>
      </c>
      <c r="C772" s="10" t="s">
        <v>87</v>
      </c>
      <c r="D772" s="11"/>
      <c r="E772" s="16">
        <v>5</v>
      </c>
      <c r="F772" s="9">
        <v>46203</v>
      </c>
      <c r="G772" s="212" t="str">
        <f>IFERROR(VLOOKUP(Tabla3[[#This Row],[NUM ECONOMICO]],MAQUINARIA!B:H,7,0), " MAQ")</f>
        <v>INACTIVA</v>
      </c>
      <c r="H772" s="214" t="s">
        <v>164</v>
      </c>
      <c r="I772" s="41" t="s">
        <v>1063</v>
      </c>
      <c r="J772" s="10"/>
      <c r="K772" s="10">
        <v>1</v>
      </c>
      <c r="L772" s="13">
        <v>262.08</v>
      </c>
      <c r="M772" s="13">
        <f t="shared" si="12"/>
        <v>262.08</v>
      </c>
      <c r="N772" s="41" t="s">
        <v>674</v>
      </c>
      <c r="O772" s="10"/>
      <c r="P772" s="10">
        <f>Tabla3[[#This Row],[COSTO UNITARIO DOLARES EN HAWTHORNE]]*Tabla3[[#This Row],[CANTIDAD SOLICTADA]]</f>
        <v>0</v>
      </c>
      <c r="Q772" s="208"/>
      <c r="R772" s="231"/>
      <c r="S772" s="231">
        <f>+Tabla3[[#This Row],[COSTO UNITARIO DOLARES CTP]]*Tabla3[[#This Row],[CANTIDAD SOLICTADA]]</f>
        <v>0</v>
      </c>
      <c r="T772" s="208"/>
      <c r="U772" s="24" t="s">
        <v>8</v>
      </c>
      <c r="V772" s="8" t="s">
        <v>1052</v>
      </c>
      <c r="W772" s="10"/>
      <c r="X772" s="11"/>
      <c r="Y772" s="10" t="s">
        <v>90</v>
      </c>
      <c r="Z772" s="16"/>
      <c r="AA772" s="25">
        <v>46205</v>
      </c>
      <c r="AB772" s="25">
        <v>46207</v>
      </c>
      <c r="AC772" s="16"/>
      <c r="AD772" s="16"/>
      <c r="AE772" s="16" t="s">
        <v>1055</v>
      </c>
      <c r="AF772" s="16"/>
      <c r="AG772" s="21" t="s">
        <v>1061</v>
      </c>
      <c r="XFD772" s="15" t="str">
        <f>+Tabla3[[#This Row],[ESTATUS DE NUM ECONOMICO]]</f>
        <v>INACTIVA</v>
      </c>
    </row>
    <row r="773" spans="1:33 16384:16384" ht="15.75" thickBot="1" x14ac:dyDescent="0.3">
      <c r="A773" s="8">
        <v>134</v>
      </c>
      <c r="B773" s="9">
        <v>46202</v>
      </c>
      <c r="C773" s="10" t="s">
        <v>87</v>
      </c>
      <c r="D773" s="11"/>
      <c r="E773" s="16">
        <v>5</v>
      </c>
      <c r="F773" s="9">
        <v>46203</v>
      </c>
      <c r="G773" s="212" t="str">
        <f>IFERROR(VLOOKUP(Tabla3[[#This Row],[NUM ECONOMICO]],MAQUINARIA!B:H,7,0), " MAQ")</f>
        <v>INACTIVA</v>
      </c>
      <c r="H773" s="214" t="s">
        <v>164</v>
      </c>
      <c r="I773" s="41" t="s">
        <v>1064</v>
      </c>
      <c r="J773" s="10"/>
      <c r="K773" s="10">
        <v>1</v>
      </c>
      <c r="L773" s="13">
        <v>473.76</v>
      </c>
      <c r="M773" s="13">
        <f t="shared" si="12"/>
        <v>473.76</v>
      </c>
      <c r="N773" s="41" t="s">
        <v>674</v>
      </c>
      <c r="O773" s="10"/>
      <c r="P773" s="10">
        <f>Tabla3[[#This Row],[COSTO UNITARIO DOLARES EN HAWTHORNE]]*Tabla3[[#This Row],[CANTIDAD SOLICTADA]]</f>
        <v>0</v>
      </c>
      <c r="Q773" s="208"/>
      <c r="R773" s="231"/>
      <c r="S773" s="231">
        <f>+Tabla3[[#This Row],[COSTO UNITARIO DOLARES CTP]]*Tabla3[[#This Row],[CANTIDAD SOLICTADA]]</f>
        <v>0</v>
      </c>
      <c r="T773" s="208"/>
      <c r="U773" s="24" t="s">
        <v>8</v>
      </c>
      <c r="V773" s="8" t="s">
        <v>1052</v>
      </c>
      <c r="W773" s="10"/>
      <c r="X773" s="11"/>
      <c r="Y773" s="10" t="s">
        <v>90</v>
      </c>
      <c r="Z773" s="16"/>
      <c r="AA773" s="25">
        <v>46205</v>
      </c>
      <c r="AB773" s="25">
        <v>46207</v>
      </c>
      <c r="AC773" s="16"/>
      <c r="AD773" s="16"/>
      <c r="AE773" s="16" t="s">
        <v>1055</v>
      </c>
      <c r="AF773" s="16"/>
      <c r="AG773" s="21" t="s">
        <v>1061</v>
      </c>
      <c r="XFD773" s="15" t="str">
        <f>+Tabla3[[#This Row],[ESTATUS DE NUM ECONOMICO]]</f>
        <v>INACTIVA</v>
      </c>
    </row>
    <row r="774" spans="1:33 16384:16384" ht="15.75" thickBot="1" x14ac:dyDescent="0.3">
      <c r="A774" s="8">
        <v>134</v>
      </c>
      <c r="B774" s="9">
        <v>46202</v>
      </c>
      <c r="C774" s="10" t="s">
        <v>87</v>
      </c>
      <c r="D774" s="11"/>
      <c r="E774" s="16">
        <v>5</v>
      </c>
      <c r="F774" s="9">
        <v>46203</v>
      </c>
      <c r="G774" s="212" t="str">
        <f>IFERROR(VLOOKUP(Tabla3[[#This Row],[NUM ECONOMICO]],MAQUINARIA!B:H,7,0), " MAQ")</f>
        <v>INACTIVA</v>
      </c>
      <c r="H774" s="214" t="s">
        <v>164</v>
      </c>
      <c r="I774" s="41" t="s">
        <v>1065</v>
      </c>
      <c r="J774" s="10"/>
      <c r="K774" s="10">
        <v>1</v>
      </c>
      <c r="L774" s="13">
        <v>436.14</v>
      </c>
      <c r="M774" s="13">
        <f t="shared" si="12"/>
        <v>436.14</v>
      </c>
      <c r="N774" s="41" t="s">
        <v>674</v>
      </c>
      <c r="O774" s="10"/>
      <c r="P774" s="10">
        <f>Tabla3[[#This Row],[COSTO UNITARIO DOLARES EN HAWTHORNE]]*Tabla3[[#This Row],[CANTIDAD SOLICTADA]]</f>
        <v>0</v>
      </c>
      <c r="Q774" s="208"/>
      <c r="R774" s="231"/>
      <c r="S774" s="231">
        <f>+Tabla3[[#This Row],[COSTO UNITARIO DOLARES CTP]]*Tabla3[[#This Row],[CANTIDAD SOLICTADA]]</f>
        <v>0</v>
      </c>
      <c r="T774" s="208"/>
      <c r="U774" s="24" t="s">
        <v>8</v>
      </c>
      <c r="V774" s="8" t="s">
        <v>1052</v>
      </c>
      <c r="W774" s="10"/>
      <c r="X774" s="11"/>
      <c r="Y774" s="10" t="s">
        <v>90</v>
      </c>
      <c r="Z774" s="16"/>
      <c r="AA774" s="25">
        <v>46205</v>
      </c>
      <c r="AB774" s="25">
        <v>46207</v>
      </c>
      <c r="AC774" s="16"/>
      <c r="AD774" s="16"/>
      <c r="AE774" s="16" t="s">
        <v>1055</v>
      </c>
      <c r="AF774" s="16"/>
      <c r="AG774" s="21" t="s">
        <v>1061</v>
      </c>
      <c r="XFD774" s="15" t="str">
        <f>+Tabla3[[#This Row],[ESTATUS DE NUM ECONOMICO]]</f>
        <v>INACTIVA</v>
      </c>
    </row>
    <row r="775" spans="1:33 16384:16384" ht="15.75" thickBot="1" x14ac:dyDescent="0.3">
      <c r="A775" s="8">
        <v>134</v>
      </c>
      <c r="B775" s="9">
        <v>46202</v>
      </c>
      <c r="C775" s="10" t="s">
        <v>87</v>
      </c>
      <c r="D775" s="11"/>
      <c r="E775" s="16">
        <v>5</v>
      </c>
      <c r="F775" s="9">
        <v>46203</v>
      </c>
      <c r="G775" s="212" t="str">
        <f>IFERROR(VLOOKUP(Tabla3[[#This Row],[NUM ECONOMICO]],MAQUINARIA!B:H,7,0), " MAQ")</f>
        <v>INACTIVA</v>
      </c>
      <c r="H775" s="214" t="s">
        <v>164</v>
      </c>
      <c r="I775" s="41" t="s">
        <v>1066</v>
      </c>
      <c r="J775" s="10"/>
      <c r="K775" s="10">
        <v>1</v>
      </c>
      <c r="L775" s="13">
        <v>282.42</v>
      </c>
      <c r="M775" s="13">
        <f t="shared" si="12"/>
        <v>282.42</v>
      </c>
      <c r="N775" s="41" t="s">
        <v>674</v>
      </c>
      <c r="O775" s="10"/>
      <c r="P775" s="10">
        <f>Tabla3[[#This Row],[COSTO UNITARIO DOLARES EN HAWTHORNE]]*Tabla3[[#This Row],[CANTIDAD SOLICTADA]]</f>
        <v>0</v>
      </c>
      <c r="Q775" s="208"/>
      <c r="R775" s="231"/>
      <c r="S775" s="231">
        <f>+Tabla3[[#This Row],[COSTO UNITARIO DOLARES CTP]]*Tabla3[[#This Row],[CANTIDAD SOLICTADA]]</f>
        <v>0</v>
      </c>
      <c r="T775" s="208"/>
      <c r="U775" s="24" t="s">
        <v>8</v>
      </c>
      <c r="V775" s="8" t="s">
        <v>1052</v>
      </c>
      <c r="W775" s="10"/>
      <c r="X775" s="11"/>
      <c r="Y775" s="10" t="s">
        <v>90</v>
      </c>
      <c r="Z775" s="16"/>
      <c r="AA775" s="25">
        <v>46205</v>
      </c>
      <c r="AB775" s="25">
        <v>46207</v>
      </c>
      <c r="AC775" s="16"/>
      <c r="AD775" s="16"/>
      <c r="AE775" s="16" t="s">
        <v>1055</v>
      </c>
      <c r="AF775" s="16"/>
      <c r="AG775" s="21" t="s">
        <v>1061</v>
      </c>
      <c r="XFD775" s="15" t="str">
        <f>+Tabla3[[#This Row],[ESTATUS DE NUM ECONOMICO]]</f>
        <v>INACTIVA</v>
      </c>
    </row>
    <row r="776" spans="1:33 16384:16384" ht="15.75" thickBot="1" x14ac:dyDescent="0.3">
      <c r="A776" s="8">
        <v>134</v>
      </c>
      <c r="B776" s="9">
        <v>46202</v>
      </c>
      <c r="C776" s="10" t="s">
        <v>87</v>
      </c>
      <c r="D776" s="11"/>
      <c r="E776" s="16">
        <v>5</v>
      </c>
      <c r="F776" s="9">
        <v>46203</v>
      </c>
      <c r="G776" s="212" t="str">
        <f>IFERROR(VLOOKUP(Tabla3[[#This Row],[NUM ECONOMICO]],MAQUINARIA!B:H,7,0), " MAQ")</f>
        <v>INACTIVA</v>
      </c>
      <c r="H776" s="214" t="s">
        <v>164</v>
      </c>
      <c r="I776" s="41" t="s">
        <v>1067</v>
      </c>
      <c r="J776" s="10"/>
      <c r="K776" s="10">
        <v>8</v>
      </c>
      <c r="L776" s="13">
        <v>237.78</v>
      </c>
      <c r="M776" s="13">
        <f t="shared" si="12"/>
        <v>1902.24</v>
      </c>
      <c r="N776" s="41" t="s">
        <v>674</v>
      </c>
      <c r="O776" s="10"/>
      <c r="P776" s="10">
        <f>Tabla3[[#This Row],[COSTO UNITARIO DOLARES EN HAWTHORNE]]*Tabla3[[#This Row],[CANTIDAD SOLICTADA]]</f>
        <v>0</v>
      </c>
      <c r="Q776" s="208"/>
      <c r="R776" s="231"/>
      <c r="S776" s="231">
        <f>+Tabla3[[#This Row],[COSTO UNITARIO DOLARES CTP]]*Tabla3[[#This Row],[CANTIDAD SOLICTADA]]</f>
        <v>0</v>
      </c>
      <c r="T776" s="208"/>
      <c r="U776" s="24" t="s">
        <v>8</v>
      </c>
      <c r="V776" s="8" t="s">
        <v>1052</v>
      </c>
      <c r="W776" s="10"/>
      <c r="X776" s="11"/>
      <c r="Y776" s="10" t="s">
        <v>90</v>
      </c>
      <c r="Z776" s="16"/>
      <c r="AA776" s="25">
        <v>46205</v>
      </c>
      <c r="AB776" s="25">
        <v>46207</v>
      </c>
      <c r="AC776" s="16"/>
      <c r="AD776" s="16"/>
      <c r="AE776" s="16" t="s">
        <v>1055</v>
      </c>
      <c r="AF776" s="16"/>
      <c r="AG776" s="21" t="s">
        <v>1068</v>
      </c>
      <c r="XFD776" s="15" t="str">
        <f>+Tabla3[[#This Row],[ESTATUS DE NUM ECONOMICO]]</f>
        <v>INACTIVA</v>
      </c>
    </row>
    <row r="777" spans="1:33 16384:16384" ht="15.75" thickBot="1" x14ac:dyDescent="0.3">
      <c r="A777" s="8">
        <v>134</v>
      </c>
      <c r="B777" s="9">
        <v>46202</v>
      </c>
      <c r="C777" s="10" t="s">
        <v>87</v>
      </c>
      <c r="D777" s="11"/>
      <c r="E777" s="16">
        <v>5</v>
      </c>
      <c r="F777" s="9">
        <v>46203</v>
      </c>
      <c r="G777" s="212" t="str">
        <f>IFERROR(VLOOKUP(Tabla3[[#This Row],[NUM ECONOMICO]],MAQUINARIA!B:H,7,0), " MAQ")</f>
        <v>INACTIVA</v>
      </c>
      <c r="H777" s="214" t="s">
        <v>164</v>
      </c>
      <c r="I777" s="41" t="s">
        <v>1062</v>
      </c>
      <c r="J777" s="10"/>
      <c r="K777" s="10">
        <v>8</v>
      </c>
      <c r="L777" s="13">
        <v>103.14</v>
      </c>
      <c r="M777" s="13">
        <f t="shared" si="12"/>
        <v>825.12</v>
      </c>
      <c r="N777" s="41" t="s">
        <v>674</v>
      </c>
      <c r="O777" s="10"/>
      <c r="P777" s="10">
        <f>Tabla3[[#This Row],[COSTO UNITARIO DOLARES EN HAWTHORNE]]*Tabla3[[#This Row],[CANTIDAD SOLICTADA]]</f>
        <v>0</v>
      </c>
      <c r="Q777" s="208"/>
      <c r="R777" s="231"/>
      <c r="S777" s="231">
        <f>+Tabla3[[#This Row],[COSTO UNITARIO DOLARES CTP]]*Tabla3[[#This Row],[CANTIDAD SOLICTADA]]</f>
        <v>0</v>
      </c>
      <c r="T777" s="208"/>
      <c r="U777" s="24" t="s">
        <v>8</v>
      </c>
      <c r="V777" s="8" t="s">
        <v>1052</v>
      </c>
      <c r="W777" s="10"/>
      <c r="X777" s="11"/>
      <c r="Y777" s="10">
        <v>1</v>
      </c>
      <c r="Z777" s="16"/>
      <c r="AA777" s="25">
        <v>46205</v>
      </c>
      <c r="AB777" s="25">
        <v>46207</v>
      </c>
      <c r="AC777" s="16"/>
      <c r="AD777" s="16"/>
      <c r="AE777" s="16" t="s">
        <v>1055</v>
      </c>
      <c r="AF777" s="16"/>
      <c r="AG777" s="21" t="s">
        <v>1068</v>
      </c>
      <c r="XFD777" s="15" t="str">
        <f>+Tabla3[[#This Row],[ESTATUS DE NUM ECONOMICO]]</f>
        <v>INACTIVA</v>
      </c>
    </row>
    <row r="778" spans="1:33 16384:16384" ht="15.75" thickBot="1" x14ac:dyDescent="0.3">
      <c r="A778" s="8">
        <v>134</v>
      </c>
      <c r="B778" s="9">
        <v>46202</v>
      </c>
      <c r="C778" s="10" t="s">
        <v>87</v>
      </c>
      <c r="D778" s="11"/>
      <c r="E778" s="16"/>
      <c r="F778" s="10"/>
      <c r="G778" s="212" t="str">
        <f>IFERROR(VLOOKUP(Tabla3[[#This Row],[NUM ECONOMICO]],MAQUINARIA!B:H,7,0), " MAQ")</f>
        <v>INACTIVA</v>
      </c>
      <c r="H778" s="214" t="s">
        <v>164</v>
      </c>
      <c r="I778" s="41" t="s">
        <v>1069</v>
      </c>
      <c r="J778" s="10"/>
      <c r="K778" s="10">
        <v>8</v>
      </c>
      <c r="L778" s="13">
        <v>375.84</v>
      </c>
      <c r="M778" s="13">
        <f t="shared" si="12"/>
        <v>3006.72</v>
      </c>
      <c r="N778" s="41" t="s">
        <v>674</v>
      </c>
      <c r="O778" s="10"/>
      <c r="P778" s="10">
        <f>Tabla3[[#This Row],[COSTO UNITARIO DOLARES EN HAWTHORNE]]*Tabla3[[#This Row],[CANTIDAD SOLICTADA]]</f>
        <v>0</v>
      </c>
      <c r="Q778" s="208"/>
      <c r="R778" s="231"/>
      <c r="S778" s="231">
        <f>+Tabla3[[#This Row],[COSTO UNITARIO DOLARES CTP]]*Tabla3[[#This Row],[CANTIDAD SOLICTADA]]</f>
        <v>0</v>
      </c>
      <c r="T778" s="208"/>
      <c r="U778" s="24" t="s">
        <v>8</v>
      </c>
      <c r="V778" s="8" t="s">
        <v>1070</v>
      </c>
      <c r="W778" s="10"/>
      <c r="X778" s="11"/>
      <c r="Y778" s="10" t="s">
        <v>90</v>
      </c>
      <c r="Z778" s="16"/>
      <c r="AA778" s="25">
        <v>46205</v>
      </c>
      <c r="AB778" s="25">
        <v>46207</v>
      </c>
      <c r="AC778" s="16"/>
      <c r="AD778" s="16"/>
      <c r="AE778" s="16" t="s">
        <v>1058</v>
      </c>
      <c r="AF778" s="16"/>
      <c r="AG778" s="21" t="s">
        <v>1068</v>
      </c>
      <c r="XFD778" s="15" t="str">
        <f>+Tabla3[[#This Row],[ESTATUS DE NUM ECONOMICO]]</f>
        <v>INACTIVA</v>
      </c>
    </row>
    <row r="779" spans="1:33 16384:16384" ht="15.75" thickBot="1" x14ac:dyDescent="0.3">
      <c r="A779" s="8">
        <v>134</v>
      </c>
      <c r="B779" s="9">
        <v>46202</v>
      </c>
      <c r="C779" s="10" t="s">
        <v>87</v>
      </c>
      <c r="D779" s="11"/>
      <c r="E779" s="16"/>
      <c r="F779" s="10"/>
      <c r="G779" s="212" t="str">
        <f>IFERROR(VLOOKUP(Tabla3[[#This Row],[NUM ECONOMICO]],MAQUINARIA!B:H,7,0), " MAQ")</f>
        <v>INACTIVA</v>
      </c>
      <c r="H779" s="214" t="s">
        <v>164</v>
      </c>
      <c r="I779" s="41" t="s">
        <v>1071</v>
      </c>
      <c r="J779" s="10"/>
      <c r="K779" s="10">
        <v>2</v>
      </c>
      <c r="L779" s="13">
        <v>260.10000000000002</v>
      </c>
      <c r="M779" s="13">
        <f t="shared" si="12"/>
        <v>520.20000000000005</v>
      </c>
      <c r="N779" s="41" t="s">
        <v>674</v>
      </c>
      <c r="O779" s="10"/>
      <c r="P779" s="10">
        <f>Tabla3[[#This Row],[COSTO UNITARIO DOLARES EN HAWTHORNE]]*Tabla3[[#This Row],[CANTIDAD SOLICTADA]]</f>
        <v>0</v>
      </c>
      <c r="Q779" s="208"/>
      <c r="R779" s="231"/>
      <c r="S779" s="231">
        <f>+Tabla3[[#This Row],[COSTO UNITARIO DOLARES CTP]]*Tabla3[[#This Row],[CANTIDAD SOLICTADA]]</f>
        <v>0</v>
      </c>
      <c r="T779" s="208"/>
      <c r="U779" s="24" t="s">
        <v>8</v>
      </c>
      <c r="V779" s="8" t="s">
        <v>1052</v>
      </c>
      <c r="W779" s="10"/>
      <c r="X779" s="11"/>
      <c r="Y779" s="10" t="s">
        <v>90</v>
      </c>
      <c r="Z779" s="16"/>
      <c r="AA779" s="25">
        <v>46205</v>
      </c>
      <c r="AB779" s="25">
        <v>46207</v>
      </c>
      <c r="AC779" s="16"/>
      <c r="AD779" s="16"/>
      <c r="AE779" s="16" t="s">
        <v>1058</v>
      </c>
      <c r="AF779" s="16"/>
      <c r="AG779" s="21" t="s">
        <v>1068</v>
      </c>
      <c r="XFD779" s="15" t="str">
        <f>+Tabla3[[#This Row],[ESTATUS DE NUM ECONOMICO]]</f>
        <v>INACTIVA</v>
      </c>
    </row>
    <row r="780" spans="1:33 16384:16384" ht="15.75" thickBot="1" x14ac:dyDescent="0.3">
      <c r="A780" s="8">
        <v>134</v>
      </c>
      <c r="B780" s="9">
        <v>46202</v>
      </c>
      <c r="C780" s="10" t="s">
        <v>87</v>
      </c>
      <c r="D780" s="11"/>
      <c r="E780" s="16">
        <v>5</v>
      </c>
      <c r="F780" s="9">
        <v>46203</v>
      </c>
      <c r="G780" s="212" t="str">
        <f>IFERROR(VLOOKUP(Tabla3[[#This Row],[NUM ECONOMICO]],MAQUINARIA!B:H,7,0), " MAQ")</f>
        <v>INACTIVA</v>
      </c>
      <c r="H780" s="214" t="s">
        <v>164</v>
      </c>
      <c r="I780" s="41" t="s">
        <v>1072</v>
      </c>
      <c r="J780" s="10"/>
      <c r="K780" s="10">
        <v>3</v>
      </c>
      <c r="L780" s="13">
        <v>263.16000000000003</v>
      </c>
      <c r="M780" s="13">
        <f t="shared" si="12"/>
        <v>789.48</v>
      </c>
      <c r="N780" s="41" t="s">
        <v>674</v>
      </c>
      <c r="O780" s="10"/>
      <c r="P780" s="10">
        <f>Tabla3[[#This Row],[COSTO UNITARIO DOLARES EN HAWTHORNE]]*Tabla3[[#This Row],[CANTIDAD SOLICTADA]]</f>
        <v>0</v>
      </c>
      <c r="Q780" s="208"/>
      <c r="R780" s="231"/>
      <c r="S780" s="231">
        <f>+Tabla3[[#This Row],[COSTO UNITARIO DOLARES CTP]]*Tabla3[[#This Row],[CANTIDAD SOLICTADA]]</f>
        <v>0</v>
      </c>
      <c r="T780" s="208"/>
      <c r="U780" s="24" t="s">
        <v>8</v>
      </c>
      <c r="V780" s="8" t="s">
        <v>1070</v>
      </c>
      <c r="W780" s="10"/>
      <c r="X780" s="11"/>
      <c r="Y780" s="10">
        <v>1</v>
      </c>
      <c r="Z780" s="16"/>
      <c r="AA780" s="25">
        <v>46205</v>
      </c>
      <c r="AB780" s="25">
        <v>46207</v>
      </c>
      <c r="AC780" s="16"/>
      <c r="AD780" s="16"/>
      <c r="AE780" s="16" t="s">
        <v>1055</v>
      </c>
      <c r="AF780" s="16"/>
      <c r="AG780" s="21" t="s">
        <v>1068</v>
      </c>
      <c r="XFD780" s="15" t="str">
        <f>+Tabla3[[#This Row],[ESTATUS DE NUM ECONOMICO]]</f>
        <v>INACTIVA</v>
      </c>
    </row>
    <row r="781" spans="1:33 16384:16384" ht="15.75" thickBot="1" x14ac:dyDescent="0.3">
      <c r="A781" s="8">
        <v>134</v>
      </c>
      <c r="B781" s="9">
        <v>46202</v>
      </c>
      <c r="C781" s="10" t="s">
        <v>87</v>
      </c>
      <c r="D781" s="11"/>
      <c r="E781" s="16"/>
      <c r="F781" s="10"/>
      <c r="G781" s="212" t="str">
        <f>IFERROR(VLOOKUP(Tabla3[[#This Row],[NUM ECONOMICO]],MAQUINARIA!B:H,7,0), " MAQ")</f>
        <v>INACTIVA</v>
      </c>
      <c r="H781" s="214" t="s">
        <v>164</v>
      </c>
      <c r="I781" s="41" t="s">
        <v>1073</v>
      </c>
      <c r="J781" s="10"/>
      <c r="K781" s="10">
        <v>5</v>
      </c>
      <c r="L781" s="13">
        <v>356.94</v>
      </c>
      <c r="M781" s="13">
        <f t="shared" si="12"/>
        <v>1784.7</v>
      </c>
      <c r="N781" s="41" t="s">
        <v>674</v>
      </c>
      <c r="O781" s="10"/>
      <c r="P781" s="10">
        <f>Tabla3[[#This Row],[COSTO UNITARIO DOLARES EN HAWTHORNE]]*Tabla3[[#This Row],[CANTIDAD SOLICTADA]]</f>
        <v>0</v>
      </c>
      <c r="Q781" s="208"/>
      <c r="R781" s="231"/>
      <c r="S781" s="231">
        <f>+Tabla3[[#This Row],[COSTO UNITARIO DOLARES CTP]]*Tabla3[[#This Row],[CANTIDAD SOLICTADA]]</f>
        <v>0</v>
      </c>
      <c r="T781" s="208"/>
      <c r="U781" s="24" t="s">
        <v>8</v>
      </c>
      <c r="V781" s="8" t="s">
        <v>1070</v>
      </c>
      <c r="W781" s="10"/>
      <c r="X781" s="11"/>
      <c r="Y781" s="10" t="s">
        <v>90</v>
      </c>
      <c r="Z781" s="16"/>
      <c r="AA781" s="25">
        <v>46205</v>
      </c>
      <c r="AB781" s="25">
        <v>46207</v>
      </c>
      <c r="AC781" s="16"/>
      <c r="AD781" s="16"/>
      <c r="AE781" s="16" t="s">
        <v>1058</v>
      </c>
      <c r="AF781" s="16"/>
      <c r="AG781" s="21" t="s">
        <v>1068</v>
      </c>
      <c r="XFD781" s="15" t="str">
        <f>+Tabla3[[#This Row],[ESTATUS DE NUM ECONOMICO]]</f>
        <v>INACTIVA</v>
      </c>
    </row>
    <row r="782" spans="1:33 16384:16384" ht="15.75" thickBot="1" x14ac:dyDescent="0.3">
      <c r="A782" s="8">
        <v>134</v>
      </c>
      <c r="B782" s="9">
        <v>46202</v>
      </c>
      <c r="C782" s="10" t="s">
        <v>87</v>
      </c>
      <c r="D782" s="11"/>
      <c r="E782" s="16"/>
      <c r="F782" s="10"/>
      <c r="G782" s="212" t="str">
        <f>IFERROR(VLOOKUP(Tabla3[[#This Row],[NUM ECONOMICO]],MAQUINARIA!B:H,7,0), " MAQ")</f>
        <v>INACTIVA</v>
      </c>
      <c r="H782" s="214" t="s">
        <v>164</v>
      </c>
      <c r="I782" s="41" t="s">
        <v>1074</v>
      </c>
      <c r="J782" s="10" t="s">
        <v>253</v>
      </c>
      <c r="K782" s="10">
        <v>2</v>
      </c>
      <c r="L782" s="13">
        <v>268.02</v>
      </c>
      <c r="M782" s="13">
        <f t="shared" si="12"/>
        <v>536.04</v>
      </c>
      <c r="N782" s="41" t="s">
        <v>674</v>
      </c>
      <c r="O782" s="10"/>
      <c r="P782" s="10">
        <f>Tabla3[[#This Row],[COSTO UNITARIO DOLARES EN HAWTHORNE]]*Tabla3[[#This Row],[CANTIDAD SOLICTADA]]</f>
        <v>0</v>
      </c>
      <c r="Q782" s="208"/>
      <c r="R782" s="231"/>
      <c r="S782" s="231">
        <f>+Tabla3[[#This Row],[COSTO UNITARIO DOLARES CTP]]*Tabla3[[#This Row],[CANTIDAD SOLICTADA]]</f>
        <v>0</v>
      </c>
      <c r="T782" s="208"/>
      <c r="U782" s="24" t="s">
        <v>8</v>
      </c>
      <c r="V782" s="8" t="s">
        <v>1070</v>
      </c>
      <c r="W782" s="10"/>
      <c r="X782" s="11"/>
      <c r="Y782" s="10">
        <v>1</v>
      </c>
      <c r="Z782" s="16"/>
      <c r="AA782" s="25">
        <v>46205</v>
      </c>
      <c r="AB782" s="25">
        <v>46207</v>
      </c>
      <c r="AC782" s="16"/>
      <c r="AD782" s="16"/>
      <c r="AE782" s="16" t="s">
        <v>1058</v>
      </c>
      <c r="AF782" s="16"/>
      <c r="AG782" s="21" t="s">
        <v>1068</v>
      </c>
      <c r="XFD782" s="15" t="str">
        <f>+Tabla3[[#This Row],[ESTATUS DE NUM ECONOMICO]]</f>
        <v>INACTIVA</v>
      </c>
    </row>
    <row r="783" spans="1:33 16384:16384" ht="15.75" thickBot="1" x14ac:dyDescent="0.3">
      <c r="A783" s="8">
        <v>134</v>
      </c>
      <c r="B783" s="9">
        <v>46202</v>
      </c>
      <c r="C783" s="10" t="s">
        <v>87</v>
      </c>
      <c r="D783" s="11"/>
      <c r="E783" s="16"/>
      <c r="F783" s="10"/>
      <c r="G783" s="212" t="str">
        <f>IFERROR(VLOOKUP(Tabla3[[#This Row],[NUM ECONOMICO]],MAQUINARIA!B:H,7,0), " MAQ")</f>
        <v>INACTIVA</v>
      </c>
      <c r="H783" s="214" t="s">
        <v>164</v>
      </c>
      <c r="I783" s="41" t="s">
        <v>1075</v>
      </c>
      <c r="J783" s="10" t="s">
        <v>807</v>
      </c>
      <c r="K783" s="10">
        <v>1</v>
      </c>
      <c r="L783" s="13">
        <v>357.66</v>
      </c>
      <c r="M783" s="13">
        <f t="shared" si="12"/>
        <v>357.66</v>
      </c>
      <c r="N783" s="41" t="s">
        <v>674</v>
      </c>
      <c r="O783" s="10"/>
      <c r="P783" s="10">
        <f>Tabla3[[#This Row],[COSTO UNITARIO DOLARES EN HAWTHORNE]]*Tabla3[[#This Row],[CANTIDAD SOLICTADA]]</f>
        <v>0</v>
      </c>
      <c r="Q783" s="208"/>
      <c r="R783" s="231"/>
      <c r="S783" s="231">
        <f>+Tabla3[[#This Row],[COSTO UNITARIO DOLARES CTP]]*Tabla3[[#This Row],[CANTIDAD SOLICTADA]]</f>
        <v>0</v>
      </c>
      <c r="T783" s="208"/>
      <c r="U783" s="24" t="s">
        <v>8</v>
      </c>
      <c r="V783" s="8" t="s">
        <v>1070</v>
      </c>
      <c r="W783" s="10"/>
      <c r="X783" s="11"/>
      <c r="Y783" s="10" t="s">
        <v>90</v>
      </c>
      <c r="Z783" s="16"/>
      <c r="AA783" s="25">
        <v>46205</v>
      </c>
      <c r="AB783" s="25">
        <v>46207</v>
      </c>
      <c r="AC783" s="16"/>
      <c r="AD783" s="16"/>
      <c r="AE783" s="16" t="s">
        <v>1058</v>
      </c>
      <c r="AF783" s="16"/>
      <c r="AG783" s="21" t="s">
        <v>1068</v>
      </c>
      <c r="XFD783" s="15" t="str">
        <f>+Tabla3[[#This Row],[ESTATUS DE NUM ECONOMICO]]</f>
        <v>INACTIVA</v>
      </c>
    </row>
    <row r="784" spans="1:33 16384:16384" ht="15.75" thickBot="1" x14ac:dyDescent="0.3">
      <c r="A784" s="8">
        <v>135</v>
      </c>
      <c r="B784" s="9">
        <v>46203</v>
      </c>
      <c r="C784" s="10" t="s">
        <v>87</v>
      </c>
      <c r="D784" s="11"/>
      <c r="E784" s="16">
        <v>34</v>
      </c>
      <c r="F784" s="9">
        <v>46203</v>
      </c>
      <c r="G784" s="212" t="str">
        <f>IFERROR(VLOOKUP(Tabla3[[#This Row],[NUM ECONOMICO]],MAQUINARIA!B:H,7,0), " MAQ")</f>
        <v>INACTIVA</v>
      </c>
      <c r="H784" s="214" t="s">
        <v>344</v>
      </c>
      <c r="I784" s="41" t="s">
        <v>851</v>
      </c>
      <c r="J784" s="10" t="s">
        <v>253</v>
      </c>
      <c r="K784" s="10">
        <v>1</v>
      </c>
      <c r="L784" s="13">
        <v>54.36</v>
      </c>
      <c r="M784" s="13">
        <f t="shared" si="12"/>
        <v>54.36</v>
      </c>
      <c r="N784" s="41"/>
      <c r="O784" s="10"/>
      <c r="P784" s="10">
        <f>Tabla3[[#This Row],[COSTO UNITARIO DOLARES EN HAWTHORNE]]*Tabla3[[#This Row],[CANTIDAD SOLICTADA]]</f>
        <v>0</v>
      </c>
      <c r="Q784" s="208"/>
      <c r="R784" s="231"/>
      <c r="S784" s="231">
        <f>+Tabla3[[#This Row],[COSTO UNITARIO DOLARES CTP]]*Tabla3[[#This Row],[CANTIDAD SOLICTADA]]</f>
        <v>0</v>
      </c>
      <c r="T784" s="208"/>
      <c r="U784" s="24" t="s">
        <v>8</v>
      </c>
      <c r="V784" s="8" t="s">
        <v>1076</v>
      </c>
      <c r="W784" s="10"/>
      <c r="X784" s="11"/>
      <c r="Y784" s="10" t="s">
        <v>90</v>
      </c>
      <c r="Z784" s="16"/>
      <c r="AA784" s="16"/>
      <c r="AB784" s="16"/>
      <c r="AC784" s="16"/>
      <c r="AD784" s="16"/>
      <c r="AE784" s="16" t="s">
        <v>1077</v>
      </c>
      <c r="AF784" s="16"/>
      <c r="AG784" s="21" t="s">
        <v>1078</v>
      </c>
      <c r="XFD784" s="15" t="str">
        <f>+Tabla3[[#This Row],[ESTATUS DE NUM ECONOMICO]]</f>
        <v>INACTIVA</v>
      </c>
    </row>
    <row r="785" spans="1:33 16384:16384" ht="15.75" thickBot="1" x14ac:dyDescent="0.3">
      <c r="A785" s="8">
        <v>135</v>
      </c>
      <c r="B785" s="9">
        <v>46203</v>
      </c>
      <c r="C785" s="10" t="s">
        <v>87</v>
      </c>
      <c r="D785" s="11"/>
      <c r="E785" s="16">
        <v>34</v>
      </c>
      <c r="F785" s="9">
        <v>46203</v>
      </c>
      <c r="G785" s="212" t="str">
        <f>IFERROR(VLOOKUP(Tabla3[[#This Row],[NUM ECONOMICO]],MAQUINARIA!B:H,7,0), " MAQ")</f>
        <v>INACTIVA</v>
      </c>
      <c r="H785" s="214" t="s">
        <v>344</v>
      </c>
      <c r="I785" s="41">
        <v>1123258</v>
      </c>
      <c r="J785" s="10"/>
      <c r="K785" s="10">
        <v>5</v>
      </c>
      <c r="L785" s="13">
        <v>219.06</v>
      </c>
      <c r="M785" s="13">
        <f t="shared" si="12"/>
        <v>1095.3</v>
      </c>
      <c r="N785" s="41"/>
      <c r="O785" s="10"/>
      <c r="P785" s="10">
        <f>Tabla3[[#This Row],[COSTO UNITARIO DOLARES EN HAWTHORNE]]*Tabla3[[#This Row],[CANTIDAD SOLICTADA]]</f>
        <v>0</v>
      </c>
      <c r="Q785" s="208"/>
      <c r="R785" s="231"/>
      <c r="S785" s="231">
        <f>+Tabla3[[#This Row],[COSTO UNITARIO DOLARES CTP]]*Tabla3[[#This Row],[CANTIDAD SOLICTADA]]</f>
        <v>0</v>
      </c>
      <c r="T785" s="208"/>
      <c r="U785" s="24" t="s">
        <v>8</v>
      </c>
      <c r="V785" s="8" t="s">
        <v>1076</v>
      </c>
      <c r="W785" s="10"/>
      <c r="X785" s="11"/>
      <c r="Y785" s="10">
        <v>0</v>
      </c>
      <c r="Z785" s="16"/>
      <c r="AA785" s="16"/>
      <c r="AB785" s="16"/>
      <c r="AC785" s="16"/>
      <c r="AD785" s="16"/>
      <c r="AE785" s="16" t="s">
        <v>1077</v>
      </c>
      <c r="AF785" s="16"/>
      <c r="AG785" s="21" t="s">
        <v>1078</v>
      </c>
      <c r="XFD785" s="15" t="str">
        <f>+Tabla3[[#This Row],[ESTATUS DE NUM ECONOMICO]]</f>
        <v>INACTIVA</v>
      </c>
    </row>
    <row r="786" spans="1:33 16384:16384" ht="15.75" thickBot="1" x14ac:dyDescent="0.3">
      <c r="A786" s="8">
        <v>135</v>
      </c>
      <c r="B786" s="9">
        <v>46203</v>
      </c>
      <c r="C786" s="10" t="s">
        <v>87</v>
      </c>
      <c r="D786" s="11"/>
      <c r="E786" s="16">
        <v>34</v>
      </c>
      <c r="F786" s="9">
        <v>46203</v>
      </c>
      <c r="G786" s="212" t="str">
        <f>IFERROR(VLOOKUP(Tabla3[[#This Row],[NUM ECONOMICO]],MAQUINARIA!B:H,7,0), " MAQ")</f>
        <v>INACTIVA</v>
      </c>
      <c r="H786" s="214" t="s">
        <v>344</v>
      </c>
      <c r="I786" s="41">
        <v>1090073</v>
      </c>
      <c r="J786" s="10" t="s">
        <v>152</v>
      </c>
      <c r="K786" s="10">
        <v>2</v>
      </c>
      <c r="L786" s="13">
        <v>216.18</v>
      </c>
      <c r="M786" s="13">
        <f t="shared" si="12"/>
        <v>432.36</v>
      </c>
      <c r="N786" s="41"/>
      <c r="O786" s="10"/>
      <c r="P786" s="10">
        <f>Tabla3[[#This Row],[COSTO UNITARIO DOLARES EN HAWTHORNE]]*Tabla3[[#This Row],[CANTIDAD SOLICTADA]]</f>
        <v>0</v>
      </c>
      <c r="Q786" s="208"/>
      <c r="R786" s="231"/>
      <c r="S786" s="231">
        <f>+Tabla3[[#This Row],[COSTO UNITARIO DOLARES CTP]]*Tabla3[[#This Row],[CANTIDAD SOLICTADA]]</f>
        <v>0</v>
      </c>
      <c r="T786" s="208"/>
      <c r="U786" s="24" t="s">
        <v>8</v>
      </c>
      <c r="V786" s="8" t="s">
        <v>1076</v>
      </c>
      <c r="W786" s="10"/>
      <c r="X786" s="11"/>
      <c r="Y786" s="10">
        <v>3</v>
      </c>
      <c r="Z786" s="16"/>
      <c r="AA786" s="16"/>
      <c r="AB786" s="16"/>
      <c r="AC786" s="16"/>
      <c r="AD786" s="16"/>
      <c r="AE786" s="16" t="s">
        <v>1077</v>
      </c>
      <c r="AF786" s="16"/>
      <c r="AG786" s="21" t="s">
        <v>1078</v>
      </c>
      <c r="XFD786" s="15" t="str">
        <f>+Tabla3[[#This Row],[ESTATUS DE NUM ECONOMICO]]</f>
        <v>INACTIVA</v>
      </c>
    </row>
    <row r="787" spans="1:33 16384:16384" ht="15.75" thickBot="1" x14ac:dyDescent="0.3">
      <c r="A787" s="8">
        <v>135</v>
      </c>
      <c r="B787" s="9">
        <v>46203</v>
      </c>
      <c r="C787" s="10" t="s">
        <v>87</v>
      </c>
      <c r="D787" s="11"/>
      <c r="E787" s="16">
        <v>34</v>
      </c>
      <c r="F787" s="9">
        <v>46203</v>
      </c>
      <c r="G787" s="212" t="str">
        <f>IFERROR(VLOOKUP(Tabla3[[#This Row],[NUM ECONOMICO]],MAQUINARIA!B:H,7,0), " MAQ")</f>
        <v>INACTIVA</v>
      </c>
      <c r="H787" s="214" t="s">
        <v>344</v>
      </c>
      <c r="I787" s="41">
        <v>1090079</v>
      </c>
      <c r="J787" s="10" t="s">
        <v>154</v>
      </c>
      <c r="K787" s="10">
        <v>4</v>
      </c>
      <c r="L787" s="13">
        <v>291.60000000000002</v>
      </c>
      <c r="M787" s="13">
        <f t="shared" si="12"/>
        <v>1166.4000000000001</v>
      </c>
      <c r="N787" s="41"/>
      <c r="O787" s="10"/>
      <c r="P787" s="10">
        <f>Tabla3[[#This Row],[COSTO UNITARIO DOLARES EN HAWTHORNE]]*Tabla3[[#This Row],[CANTIDAD SOLICTADA]]</f>
        <v>0</v>
      </c>
      <c r="Q787" s="208"/>
      <c r="R787" s="231"/>
      <c r="S787" s="231">
        <f>+Tabla3[[#This Row],[COSTO UNITARIO DOLARES CTP]]*Tabla3[[#This Row],[CANTIDAD SOLICTADA]]</f>
        <v>0</v>
      </c>
      <c r="T787" s="208"/>
      <c r="U787" s="24" t="s">
        <v>8</v>
      </c>
      <c r="V787" s="8" t="s">
        <v>1076</v>
      </c>
      <c r="W787" s="10"/>
      <c r="X787" s="11"/>
      <c r="Y787" s="10">
        <v>2</v>
      </c>
      <c r="Z787" s="16"/>
      <c r="AA787" s="16"/>
      <c r="AB787" s="16"/>
      <c r="AC787" s="16"/>
      <c r="AD787" s="16"/>
      <c r="AE787" s="16" t="s">
        <v>1077</v>
      </c>
      <c r="AF787" s="16"/>
      <c r="AG787" s="21" t="s">
        <v>1078</v>
      </c>
      <c r="XFD787" s="15" t="str">
        <f>+Tabla3[[#This Row],[ESTATUS DE NUM ECONOMICO]]</f>
        <v>INACTIVA</v>
      </c>
    </row>
    <row r="788" spans="1:33 16384:16384" ht="15.75" thickBot="1" x14ac:dyDescent="0.3">
      <c r="A788" s="8">
        <v>135</v>
      </c>
      <c r="B788" s="9">
        <v>46203</v>
      </c>
      <c r="C788" s="10" t="s">
        <v>87</v>
      </c>
      <c r="D788" s="11"/>
      <c r="E788" s="16">
        <v>34</v>
      </c>
      <c r="F788" s="9">
        <v>46203</v>
      </c>
      <c r="G788" s="212" t="str">
        <f>IFERROR(VLOOKUP(Tabla3[[#This Row],[NUM ECONOMICO]],MAQUINARIA!B:H,7,0), " MAQ")</f>
        <v>INACTIVA</v>
      </c>
      <c r="H788" s="214" t="s">
        <v>344</v>
      </c>
      <c r="I788" s="41" t="s">
        <v>847</v>
      </c>
      <c r="J788" s="10"/>
      <c r="K788" s="10">
        <v>1</v>
      </c>
      <c r="L788" s="13">
        <v>416.7</v>
      </c>
      <c r="M788" s="13">
        <f t="shared" si="12"/>
        <v>416.7</v>
      </c>
      <c r="N788" s="41"/>
      <c r="O788" s="10"/>
      <c r="P788" s="10">
        <f>Tabla3[[#This Row],[COSTO UNITARIO DOLARES EN HAWTHORNE]]*Tabla3[[#This Row],[CANTIDAD SOLICTADA]]</f>
        <v>0</v>
      </c>
      <c r="Q788" s="208"/>
      <c r="R788" s="231"/>
      <c r="S788" s="231">
        <f>+Tabla3[[#This Row],[COSTO UNITARIO DOLARES CTP]]*Tabla3[[#This Row],[CANTIDAD SOLICTADA]]</f>
        <v>0</v>
      </c>
      <c r="T788" s="208"/>
      <c r="U788" s="24" t="s">
        <v>8</v>
      </c>
      <c r="V788" s="8" t="s">
        <v>1076</v>
      </c>
      <c r="W788" s="10"/>
      <c r="X788" s="11"/>
      <c r="Y788" s="10">
        <v>2</v>
      </c>
      <c r="Z788" s="16"/>
      <c r="AA788" s="16"/>
      <c r="AB788" s="16"/>
      <c r="AC788" s="16"/>
      <c r="AD788" s="16"/>
      <c r="AE788" s="16" t="s">
        <v>1077</v>
      </c>
      <c r="AF788" s="16"/>
      <c r="AG788" s="21" t="s">
        <v>1078</v>
      </c>
      <c r="XFD788" s="15" t="str">
        <f>+Tabla3[[#This Row],[ESTATUS DE NUM ECONOMICO]]</f>
        <v>INACTIVA</v>
      </c>
    </row>
    <row r="789" spans="1:33 16384:16384" ht="15.75" thickBot="1" x14ac:dyDescent="0.3">
      <c r="A789" s="8">
        <v>135</v>
      </c>
      <c r="B789" s="9">
        <v>46203</v>
      </c>
      <c r="C789" s="10" t="s">
        <v>87</v>
      </c>
      <c r="D789" s="11"/>
      <c r="E789" s="16">
        <v>34</v>
      </c>
      <c r="F789" s="9">
        <v>46203</v>
      </c>
      <c r="G789" s="212" t="str">
        <f>IFERROR(VLOOKUP(Tabla3[[#This Row],[NUM ECONOMICO]],MAQUINARIA!B:H,7,0), " MAQ")</f>
        <v>INACTIVA</v>
      </c>
      <c r="H789" s="214" t="s">
        <v>344</v>
      </c>
      <c r="I789" s="41">
        <v>1090073</v>
      </c>
      <c r="J789" s="10"/>
      <c r="K789" s="10">
        <v>4</v>
      </c>
      <c r="L789" s="13">
        <v>216.18</v>
      </c>
      <c r="M789" s="13">
        <f t="shared" si="12"/>
        <v>864.72</v>
      </c>
      <c r="N789" s="41"/>
      <c r="O789" s="10"/>
      <c r="P789" s="10">
        <f>Tabla3[[#This Row],[COSTO UNITARIO DOLARES EN HAWTHORNE]]*Tabla3[[#This Row],[CANTIDAD SOLICTADA]]</f>
        <v>0</v>
      </c>
      <c r="Q789" s="208"/>
      <c r="R789" s="231"/>
      <c r="S789" s="231">
        <f>+Tabla3[[#This Row],[COSTO UNITARIO DOLARES CTP]]*Tabla3[[#This Row],[CANTIDAD SOLICTADA]]</f>
        <v>0</v>
      </c>
      <c r="T789" s="208"/>
      <c r="U789" s="24" t="s">
        <v>8</v>
      </c>
      <c r="V789" s="8" t="s">
        <v>1076</v>
      </c>
      <c r="W789" s="10"/>
      <c r="X789" s="11"/>
      <c r="Y789" s="10">
        <v>3</v>
      </c>
      <c r="Z789" s="16"/>
      <c r="AA789" s="16"/>
      <c r="AB789" s="16"/>
      <c r="AC789" s="16"/>
      <c r="AD789" s="16"/>
      <c r="AE789" s="16" t="s">
        <v>1077</v>
      </c>
      <c r="AF789" s="16"/>
      <c r="AG789" s="21" t="s">
        <v>1078</v>
      </c>
      <c r="XFD789" s="15" t="str">
        <f>+Tabla3[[#This Row],[ESTATUS DE NUM ECONOMICO]]</f>
        <v>INACTIVA</v>
      </c>
    </row>
    <row r="790" spans="1:33 16384:16384" ht="15.75" thickBot="1" x14ac:dyDescent="0.3">
      <c r="A790" s="8">
        <v>135</v>
      </c>
      <c r="B790" s="9">
        <v>46203</v>
      </c>
      <c r="C790" s="10" t="s">
        <v>87</v>
      </c>
      <c r="D790" s="11"/>
      <c r="E790" s="16">
        <v>34</v>
      </c>
      <c r="F790" s="9">
        <v>46203</v>
      </c>
      <c r="G790" s="212" t="str">
        <f>IFERROR(VLOOKUP(Tabla3[[#This Row],[NUM ECONOMICO]],MAQUINARIA!B:H,7,0), " MAQ")</f>
        <v>INACTIVA</v>
      </c>
      <c r="H790" s="214" t="s">
        <v>344</v>
      </c>
      <c r="I790" s="41" t="s">
        <v>813</v>
      </c>
      <c r="J790" s="10"/>
      <c r="K790" s="10">
        <v>4</v>
      </c>
      <c r="L790" s="13">
        <v>1109.7</v>
      </c>
      <c r="M790" s="13">
        <f t="shared" si="12"/>
        <v>4438.8</v>
      </c>
      <c r="N790" s="41"/>
      <c r="O790" s="10"/>
      <c r="P790" s="10">
        <f>Tabla3[[#This Row],[COSTO UNITARIO DOLARES EN HAWTHORNE]]*Tabla3[[#This Row],[CANTIDAD SOLICTADA]]</f>
        <v>0</v>
      </c>
      <c r="Q790" s="208"/>
      <c r="R790" s="231">
        <v>11.75</v>
      </c>
      <c r="S790" s="231">
        <f>+Tabla3[[#This Row],[COSTO UNITARIO DOLARES CTP]]*Tabla3[[#This Row],[CANTIDAD SOLICTADA]]</f>
        <v>47</v>
      </c>
      <c r="T790" s="208"/>
      <c r="U790" s="24" t="s">
        <v>8</v>
      </c>
      <c r="V790" s="8" t="s">
        <v>1076</v>
      </c>
      <c r="W790" s="10"/>
      <c r="X790" s="11"/>
      <c r="Y790" s="10">
        <v>9</v>
      </c>
      <c r="Z790" s="16"/>
      <c r="AA790" s="16"/>
      <c r="AB790" s="16"/>
      <c r="AC790" s="16"/>
      <c r="AD790" s="16"/>
      <c r="AE790" s="16" t="s">
        <v>1077</v>
      </c>
      <c r="AF790" s="16"/>
      <c r="AG790" s="21" t="s">
        <v>1078</v>
      </c>
      <c r="XFD790" s="15" t="str">
        <f>+Tabla3[[#This Row],[ESTATUS DE NUM ECONOMICO]]</f>
        <v>INACTIVA</v>
      </c>
    </row>
    <row r="791" spans="1:33 16384:16384" ht="15.75" thickBot="1" x14ac:dyDescent="0.3">
      <c r="A791" s="8">
        <v>135</v>
      </c>
      <c r="B791" s="9">
        <v>46203</v>
      </c>
      <c r="C791" s="10" t="s">
        <v>87</v>
      </c>
      <c r="D791" s="11"/>
      <c r="E791" s="16">
        <v>34</v>
      </c>
      <c r="F791" s="9">
        <v>46203</v>
      </c>
      <c r="G791" s="212" t="str">
        <f>IFERROR(VLOOKUP(Tabla3[[#This Row],[NUM ECONOMICO]],MAQUINARIA!B:H,7,0), " MAQ")</f>
        <v>INACTIVA</v>
      </c>
      <c r="H791" s="214" t="s">
        <v>344</v>
      </c>
      <c r="I791" s="41" t="s">
        <v>815</v>
      </c>
      <c r="J791" s="10" t="s">
        <v>1079</v>
      </c>
      <c r="K791" s="10">
        <v>4</v>
      </c>
      <c r="L791" s="13">
        <v>318.42</v>
      </c>
      <c r="M791" s="13">
        <f t="shared" si="12"/>
        <v>1273.68</v>
      </c>
      <c r="N791" s="41"/>
      <c r="O791" s="10"/>
      <c r="P791" s="10">
        <f>Tabla3[[#This Row],[COSTO UNITARIO DOLARES EN HAWTHORNE]]*Tabla3[[#This Row],[CANTIDAD SOLICTADA]]</f>
        <v>0</v>
      </c>
      <c r="Q791" s="208"/>
      <c r="R791" s="231">
        <v>1.52</v>
      </c>
      <c r="S791" s="231">
        <f>+Tabla3[[#This Row],[COSTO UNITARIO DOLARES CTP]]*Tabla3[[#This Row],[CANTIDAD SOLICTADA]]</f>
        <v>6.08</v>
      </c>
      <c r="T791" s="208"/>
      <c r="U791" s="24" t="s">
        <v>8</v>
      </c>
      <c r="V791" s="8" t="s">
        <v>1076</v>
      </c>
      <c r="W791" s="10"/>
      <c r="X791" s="11"/>
      <c r="Y791" s="10">
        <v>9</v>
      </c>
      <c r="Z791" s="16"/>
      <c r="AA791" s="16"/>
      <c r="AB791" s="16"/>
      <c r="AC791" s="16"/>
      <c r="AD791" s="16"/>
      <c r="AE791" s="16" t="s">
        <v>1077</v>
      </c>
      <c r="AF791" s="16"/>
      <c r="AG791" s="21" t="s">
        <v>1078</v>
      </c>
      <c r="XFD791" s="15" t="str">
        <f>+Tabla3[[#This Row],[ESTATUS DE NUM ECONOMICO]]</f>
        <v>INACTIVA</v>
      </c>
    </row>
    <row r="792" spans="1:33 16384:16384" ht="15.75" thickBot="1" x14ac:dyDescent="0.3">
      <c r="A792" s="8">
        <v>135</v>
      </c>
      <c r="B792" s="9">
        <v>46203</v>
      </c>
      <c r="C792" s="10" t="s">
        <v>87</v>
      </c>
      <c r="D792" s="11"/>
      <c r="E792" s="16">
        <v>34</v>
      </c>
      <c r="F792" s="9">
        <v>46203</v>
      </c>
      <c r="G792" s="212" t="str">
        <f>IFERROR(VLOOKUP(Tabla3[[#This Row],[NUM ECONOMICO]],MAQUINARIA!B:H,7,0), " MAQ")</f>
        <v>INACTIVA</v>
      </c>
      <c r="H792" s="214" t="s">
        <v>344</v>
      </c>
      <c r="I792" s="41" t="s">
        <v>821</v>
      </c>
      <c r="J792" s="10"/>
      <c r="K792" s="10">
        <v>2</v>
      </c>
      <c r="L792" s="13">
        <v>387.36</v>
      </c>
      <c r="M792" s="13">
        <f t="shared" si="12"/>
        <v>774.72</v>
      </c>
      <c r="N792" s="41"/>
      <c r="O792" s="10"/>
      <c r="P792" s="10">
        <f>Tabla3[[#This Row],[COSTO UNITARIO DOLARES EN HAWTHORNE]]*Tabla3[[#This Row],[CANTIDAD SOLICTADA]]</f>
        <v>0</v>
      </c>
      <c r="Q792" s="208"/>
      <c r="R792" s="231">
        <v>2.08</v>
      </c>
      <c r="S792" s="231">
        <f>+Tabla3[[#This Row],[COSTO UNITARIO DOLARES CTP]]*Tabla3[[#This Row],[CANTIDAD SOLICTADA]]</f>
        <v>4.16</v>
      </c>
      <c r="T792" s="208"/>
      <c r="U792" s="24" t="s">
        <v>8</v>
      </c>
      <c r="V792" s="8" t="s">
        <v>1076</v>
      </c>
      <c r="W792" s="10"/>
      <c r="X792" s="11"/>
      <c r="Y792" s="10">
        <v>4</v>
      </c>
      <c r="Z792" s="16"/>
      <c r="AA792" s="16"/>
      <c r="AB792" s="16"/>
      <c r="AC792" s="16"/>
      <c r="AD792" s="16"/>
      <c r="AE792" s="16" t="s">
        <v>1077</v>
      </c>
      <c r="AF792" s="16"/>
      <c r="AG792" s="21" t="s">
        <v>1078</v>
      </c>
      <c r="XFD792" s="15" t="str">
        <f>+Tabla3[[#This Row],[ESTATUS DE NUM ECONOMICO]]</f>
        <v>INACTIVA</v>
      </c>
    </row>
    <row r="793" spans="1:33 16384:16384" ht="15.75" thickBot="1" x14ac:dyDescent="0.3">
      <c r="A793" s="8">
        <v>135</v>
      </c>
      <c r="B793" s="9">
        <v>46203</v>
      </c>
      <c r="C793" s="10" t="s">
        <v>87</v>
      </c>
      <c r="D793" s="11"/>
      <c r="E793" s="16">
        <v>34</v>
      </c>
      <c r="F793" s="9">
        <v>46203</v>
      </c>
      <c r="G793" s="212" t="str">
        <f>IFERROR(VLOOKUP(Tabla3[[#This Row],[NUM ECONOMICO]],MAQUINARIA!B:H,7,0), " MAQ")</f>
        <v>INACTIVA</v>
      </c>
      <c r="H793" s="214" t="s">
        <v>344</v>
      </c>
      <c r="I793" s="41" t="s">
        <v>149</v>
      </c>
      <c r="J793" s="10"/>
      <c r="K793" s="10">
        <v>4</v>
      </c>
      <c r="L793" s="13">
        <v>308.52</v>
      </c>
      <c r="M793" s="13">
        <f t="shared" si="12"/>
        <v>1234.08</v>
      </c>
      <c r="N793" s="41"/>
      <c r="O793" s="10"/>
      <c r="P793" s="10">
        <f>Tabla3[[#This Row],[COSTO UNITARIO DOLARES EN HAWTHORNE]]*Tabla3[[#This Row],[CANTIDAD SOLICTADA]]</f>
        <v>0</v>
      </c>
      <c r="Q793" s="43"/>
      <c r="R793" s="230"/>
      <c r="S793" s="230">
        <f>+Tabla3[[#This Row],[COSTO UNITARIO DOLARES CTP]]*Tabla3[[#This Row],[CANTIDAD SOLICTADA]]</f>
        <v>0</v>
      </c>
      <c r="T793" s="43"/>
      <c r="U793" s="28" t="s">
        <v>161</v>
      </c>
      <c r="V793" s="8" t="s">
        <v>1076</v>
      </c>
      <c r="W793" s="10"/>
      <c r="X793" s="11"/>
      <c r="Y793" s="10">
        <v>32</v>
      </c>
      <c r="Z793" s="16"/>
      <c r="AA793" s="16"/>
      <c r="AB793" s="16"/>
      <c r="AC793" s="16"/>
      <c r="AD793" s="16"/>
      <c r="AE793" s="16"/>
      <c r="AF793" s="16"/>
      <c r="AG793" s="21" t="s">
        <v>1078</v>
      </c>
      <c r="XFD793" s="15" t="str">
        <f>+Tabla3[[#This Row],[ESTATUS DE NUM ECONOMICO]]</f>
        <v>INACTIVA</v>
      </c>
    </row>
    <row r="794" spans="1:33 16384:16384" ht="15.75" thickBot="1" x14ac:dyDescent="0.3">
      <c r="A794" s="8">
        <v>135</v>
      </c>
      <c r="B794" s="9">
        <v>46203</v>
      </c>
      <c r="C794" s="10" t="s">
        <v>87</v>
      </c>
      <c r="D794" s="11"/>
      <c r="E794" s="16">
        <v>34</v>
      </c>
      <c r="F794" s="9">
        <v>46203</v>
      </c>
      <c r="G794" s="212" t="str">
        <f>IFERROR(VLOOKUP(Tabla3[[#This Row],[NUM ECONOMICO]],MAQUINARIA!B:H,7,0), " MAQ")</f>
        <v>INACTIVA</v>
      </c>
      <c r="H794" s="214" t="s">
        <v>344</v>
      </c>
      <c r="I794" s="41" t="s">
        <v>151</v>
      </c>
      <c r="J794" s="10"/>
      <c r="K794" s="10">
        <v>4</v>
      </c>
      <c r="L794" s="13">
        <v>174.42</v>
      </c>
      <c r="M794" s="13">
        <f t="shared" si="12"/>
        <v>697.68</v>
      </c>
      <c r="N794" s="41"/>
      <c r="O794" s="10"/>
      <c r="P794" s="10">
        <f>Tabla3[[#This Row],[COSTO UNITARIO DOLARES EN HAWTHORNE]]*Tabla3[[#This Row],[CANTIDAD SOLICTADA]]</f>
        <v>0</v>
      </c>
      <c r="Q794" s="208"/>
      <c r="R794" s="231">
        <v>0.82</v>
      </c>
      <c r="S794" s="231">
        <f>+Tabla3[[#This Row],[COSTO UNITARIO DOLARES CTP]]*Tabla3[[#This Row],[CANTIDAD SOLICTADA]]</f>
        <v>3.28</v>
      </c>
      <c r="T794" s="208"/>
      <c r="U794" s="24" t="s">
        <v>8</v>
      </c>
      <c r="V794" s="8" t="s">
        <v>1076</v>
      </c>
      <c r="W794" s="10"/>
      <c r="X794" s="11"/>
      <c r="Y794" s="10">
        <v>6</v>
      </c>
      <c r="Z794" s="16"/>
      <c r="AA794" s="16"/>
      <c r="AB794" s="16"/>
      <c r="AC794" s="16"/>
      <c r="AD794" s="16"/>
      <c r="AE794" s="16" t="s">
        <v>1077</v>
      </c>
      <c r="AF794" s="16"/>
      <c r="AG794" s="21" t="s">
        <v>1078</v>
      </c>
      <c r="XFD794" s="15" t="str">
        <f>+Tabla3[[#This Row],[ESTATUS DE NUM ECONOMICO]]</f>
        <v>INACTIVA</v>
      </c>
    </row>
    <row r="795" spans="1:33 16384:16384" ht="15.75" thickBot="1" x14ac:dyDescent="0.3">
      <c r="A795" s="8">
        <v>135</v>
      </c>
      <c r="B795" s="9">
        <v>46203</v>
      </c>
      <c r="C795" s="10" t="s">
        <v>87</v>
      </c>
      <c r="D795" s="11"/>
      <c r="E795" s="16">
        <v>34</v>
      </c>
      <c r="F795" s="9">
        <v>46203</v>
      </c>
      <c r="G795" s="212" t="str">
        <f>IFERROR(VLOOKUP(Tabla3[[#This Row],[NUM ECONOMICO]],MAQUINARIA!B:H,7,0), " MAQ")</f>
        <v>INACTIVA</v>
      </c>
      <c r="H795" s="214" t="s">
        <v>344</v>
      </c>
      <c r="I795" s="41" t="s">
        <v>153</v>
      </c>
      <c r="J795" s="10"/>
      <c r="K795" s="10">
        <v>1</v>
      </c>
      <c r="L795" s="13">
        <v>218.52</v>
      </c>
      <c r="M795" s="13">
        <f t="shared" si="12"/>
        <v>218.52</v>
      </c>
      <c r="N795" s="41"/>
      <c r="O795" s="10"/>
      <c r="P795" s="10">
        <f>Tabla3[[#This Row],[COSTO UNITARIO DOLARES EN HAWTHORNE]]*Tabla3[[#This Row],[CANTIDAD SOLICTADA]]</f>
        <v>0</v>
      </c>
      <c r="Q795" s="41"/>
      <c r="R795" s="229">
        <v>3.98</v>
      </c>
      <c r="S795" s="229">
        <f>+Tabla3[[#This Row],[COSTO UNITARIO DOLARES CTP]]*Tabla3[[#This Row],[CANTIDAD SOLICTADA]]</f>
        <v>3.98</v>
      </c>
      <c r="T795" s="41"/>
      <c r="U795" s="20" t="s">
        <v>161</v>
      </c>
      <c r="V795" s="8" t="s">
        <v>1076</v>
      </c>
      <c r="W795" s="10"/>
      <c r="X795" s="11"/>
      <c r="Y795" s="10">
        <v>22</v>
      </c>
      <c r="Z795" s="16"/>
      <c r="AA795" s="16"/>
      <c r="AB795" s="16"/>
      <c r="AC795" s="16"/>
      <c r="AD795" s="16"/>
      <c r="AE795" s="16"/>
      <c r="AF795" s="16"/>
      <c r="AG795" s="21" t="s">
        <v>1078</v>
      </c>
      <c r="XFD795" s="15" t="str">
        <f>+Tabla3[[#This Row],[ESTATUS DE NUM ECONOMICO]]</f>
        <v>INACTIVA</v>
      </c>
    </row>
    <row r="796" spans="1:33 16384:16384" ht="15.75" thickBot="1" x14ac:dyDescent="0.3">
      <c r="A796" s="8">
        <v>135</v>
      </c>
      <c r="B796" s="9">
        <v>46203</v>
      </c>
      <c r="C796" s="10" t="s">
        <v>87</v>
      </c>
      <c r="D796" s="11"/>
      <c r="E796" s="16">
        <v>34</v>
      </c>
      <c r="F796" s="9">
        <v>46203</v>
      </c>
      <c r="G796" s="212" t="str">
        <f>IFERROR(VLOOKUP(Tabla3[[#This Row],[NUM ECONOMICO]],MAQUINARIA!B:H,7,0), " MAQ")</f>
        <v>INACTIVA</v>
      </c>
      <c r="H796" s="214" t="s">
        <v>344</v>
      </c>
      <c r="I796" s="41" t="s">
        <v>1080</v>
      </c>
      <c r="J796" s="10"/>
      <c r="K796" s="10">
        <v>1</v>
      </c>
      <c r="L796" s="13">
        <v>32.76</v>
      </c>
      <c r="M796" s="13">
        <f t="shared" si="12"/>
        <v>32.76</v>
      </c>
      <c r="N796" s="41"/>
      <c r="O796" s="10"/>
      <c r="P796" s="10">
        <f>Tabla3[[#This Row],[COSTO UNITARIO DOLARES EN HAWTHORNE]]*Tabla3[[#This Row],[CANTIDAD SOLICTADA]]</f>
        <v>0</v>
      </c>
      <c r="Q796" s="41"/>
      <c r="R796" s="229"/>
      <c r="S796" s="229">
        <f>+Tabla3[[#This Row],[COSTO UNITARIO DOLARES CTP]]*Tabla3[[#This Row],[CANTIDAD SOLICTADA]]</f>
        <v>0</v>
      </c>
      <c r="T796" s="41"/>
      <c r="U796" s="20" t="s">
        <v>161</v>
      </c>
      <c r="V796" s="8" t="s">
        <v>1076</v>
      </c>
      <c r="W796" s="10"/>
      <c r="X796" s="11"/>
      <c r="Y796" s="10">
        <v>4</v>
      </c>
      <c r="Z796" s="16"/>
      <c r="AA796" s="16"/>
      <c r="AB796" s="16"/>
      <c r="AC796" s="16"/>
      <c r="AD796" s="16"/>
      <c r="AE796" s="16"/>
      <c r="AF796" s="16"/>
      <c r="AG796" s="21" t="s">
        <v>1078</v>
      </c>
      <c r="XFD796" s="15" t="str">
        <f>+Tabla3[[#This Row],[ESTATUS DE NUM ECONOMICO]]</f>
        <v>INACTIVA</v>
      </c>
    </row>
    <row r="797" spans="1:33 16384:16384" ht="15.75" thickBot="1" x14ac:dyDescent="0.3">
      <c r="A797" s="8">
        <v>135</v>
      </c>
      <c r="B797" s="9">
        <v>46203</v>
      </c>
      <c r="C797" s="10" t="s">
        <v>87</v>
      </c>
      <c r="D797" s="11"/>
      <c r="E797" s="16">
        <v>34</v>
      </c>
      <c r="F797" s="9">
        <v>46203</v>
      </c>
      <c r="G797" s="212" t="str">
        <f>IFERROR(VLOOKUP(Tabla3[[#This Row],[NUM ECONOMICO]],MAQUINARIA!B:H,7,0), " MAQ")</f>
        <v>INACTIVA</v>
      </c>
      <c r="H797" s="214" t="s">
        <v>344</v>
      </c>
      <c r="I797" s="41" t="s">
        <v>1081</v>
      </c>
      <c r="J797" s="10"/>
      <c r="K797" s="10">
        <v>1</v>
      </c>
      <c r="L797" s="13">
        <v>35.64</v>
      </c>
      <c r="M797" s="13">
        <f t="shared" si="12"/>
        <v>35.64</v>
      </c>
      <c r="N797" s="41"/>
      <c r="O797" s="10"/>
      <c r="P797" s="10">
        <f>Tabla3[[#This Row],[COSTO UNITARIO DOLARES EN HAWTHORNE]]*Tabla3[[#This Row],[CANTIDAD SOLICTADA]]</f>
        <v>0</v>
      </c>
      <c r="Q797" s="43"/>
      <c r="R797" s="230"/>
      <c r="S797" s="230">
        <f>+Tabla3[[#This Row],[COSTO UNITARIO DOLARES CTP]]*Tabla3[[#This Row],[CANTIDAD SOLICTADA]]</f>
        <v>0</v>
      </c>
      <c r="T797" s="43"/>
      <c r="U797" s="28" t="s">
        <v>161</v>
      </c>
      <c r="V797" s="8" t="s">
        <v>1076</v>
      </c>
      <c r="W797" s="10"/>
      <c r="X797" s="11"/>
      <c r="Y797" s="10">
        <v>1</v>
      </c>
      <c r="Z797" s="16"/>
      <c r="AA797" s="16"/>
      <c r="AB797" s="16"/>
      <c r="AC797" s="16"/>
      <c r="AD797" s="16"/>
      <c r="AE797" s="16"/>
      <c r="AF797" s="16"/>
      <c r="AG797" s="21" t="s">
        <v>1078</v>
      </c>
      <c r="XFD797" s="15" t="str">
        <f>+Tabla3[[#This Row],[ESTATUS DE NUM ECONOMICO]]</f>
        <v>INACTIVA</v>
      </c>
    </row>
    <row r="798" spans="1:33 16384:16384" ht="15.75" thickBot="1" x14ac:dyDescent="0.3">
      <c r="A798" s="8">
        <v>135</v>
      </c>
      <c r="B798" s="9">
        <v>46203</v>
      </c>
      <c r="C798" s="10" t="s">
        <v>87</v>
      </c>
      <c r="D798" s="11"/>
      <c r="E798" s="16">
        <v>34</v>
      </c>
      <c r="F798" s="9">
        <v>46203</v>
      </c>
      <c r="G798" s="212" t="str">
        <f>IFERROR(VLOOKUP(Tabla3[[#This Row],[NUM ECONOMICO]],MAQUINARIA!B:H,7,0), " MAQ")</f>
        <v>INACTIVA</v>
      </c>
      <c r="H798" s="214" t="s">
        <v>344</v>
      </c>
      <c r="I798" s="41" t="s">
        <v>1082</v>
      </c>
      <c r="J798" s="10" t="s">
        <v>185</v>
      </c>
      <c r="K798" s="10">
        <v>2</v>
      </c>
      <c r="L798" s="13">
        <v>123.3</v>
      </c>
      <c r="M798" s="13">
        <f t="shared" si="12"/>
        <v>246.6</v>
      </c>
      <c r="N798" s="41"/>
      <c r="O798" s="10"/>
      <c r="P798" s="10">
        <f>Tabla3[[#This Row],[COSTO UNITARIO DOLARES EN HAWTHORNE]]*Tabla3[[#This Row],[CANTIDAD SOLICTADA]]</f>
        <v>0</v>
      </c>
      <c r="Q798" s="208"/>
      <c r="R798" s="231"/>
      <c r="S798" s="231">
        <f>+Tabla3[[#This Row],[COSTO UNITARIO DOLARES CTP]]*Tabla3[[#This Row],[CANTIDAD SOLICTADA]]</f>
        <v>0</v>
      </c>
      <c r="T798" s="208"/>
      <c r="U798" s="24" t="s">
        <v>8</v>
      </c>
      <c r="V798" s="8" t="s">
        <v>1076</v>
      </c>
      <c r="W798" s="10"/>
      <c r="X798" s="11"/>
      <c r="Y798" s="10" t="s">
        <v>90</v>
      </c>
      <c r="Z798" s="16"/>
      <c r="AA798" s="16"/>
      <c r="AB798" s="16"/>
      <c r="AC798" s="16"/>
      <c r="AD798" s="16"/>
      <c r="AE798" s="16" t="s">
        <v>1077</v>
      </c>
      <c r="AF798" s="16"/>
      <c r="AG798" s="21" t="s">
        <v>1078</v>
      </c>
      <c r="XFD798" s="15" t="str">
        <f>+Tabla3[[#This Row],[ESTATUS DE NUM ECONOMICO]]</f>
        <v>INACTIVA</v>
      </c>
    </row>
    <row r="799" spans="1:33 16384:16384" ht="15.75" thickBot="1" x14ac:dyDescent="0.3">
      <c r="A799" s="8">
        <v>136</v>
      </c>
      <c r="B799" s="9">
        <v>46203</v>
      </c>
      <c r="C799" s="10" t="s">
        <v>87</v>
      </c>
      <c r="D799" s="11"/>
      <c r="E799" s="16">
        <v>10</v>
      </c>
      <c r="F799" s="9">
        <v>46233</v>
      </c>
      <c r="G799" s="212" t="str">
        <f>IFERROR(VLOOKUP(Tabla3[[#This Row],[NUM ECONOMICO]],MAQUINARIA!B:H,7,0), " MAQ")</f>
        <v>ACTIVA</v>
      </c>
      <c r="H799" s="214" t="s">
        <v>234</v>
      </c>
      <c r="I799" s="41">
        <v>1797087</v>
      </c>
      <c r="J799" s="10" t="s">
        <v>1079</v>
      </c>
      <c r="K799" s="10">
        <v>2</v>
      </c>
      <c r="L799" s="13">
        <v>1763.46</v>
      </c>
      <c r="M799" s="13">
        <f t="shared" si="12"/>
        <v>3526.92</v>
      </c>
      <c r="N799" s="41"/>
      <c r="O799" s="287">
        <v>83.33</v>
      </c>
      <c r="P799" s="287">
        <f>Tabla3[[#This Row],[COSTO UNITARIO DOLARES EN HAWTHORNE]]*Tabla3[[#This Row],[CANTIDAD SOLICTADA]]</f>
        <v>166.66</v>
      </c>
      <c r="Q799" s="43" t="s">
        <v>1812</v>
      </c>
      <c r="R799" s="230">
        <v>71.63</v>
      </c>
      <c r="S799" s="230">
        <f>+Tabla3[[#This Row],[COSTO UNITARIO DOLARES CTP]]*Tabla3[[#This Row],[CANTIDAD SOLICTADA]]</f>
        <v>143.26</v>
      </c>
      <c r="T799" s="43" t="s">
        <v>674</v>
      </c>
      <c r="U799" s="31" t="s">
        <v>5</v>
      </c>
      <c r="V799" s="211" t="s">
        <v>1083</v>
      </c>
      <c r="W799" s="10"/>
      <c r="X799" s="10" t="s">
        <v>89</v>
      </c>
      <c r="Y799" s="10" t="s">
        <v>90</v>
      </c>
      <c r="Z799" s="16"/>
      <c r="AA799" s="16"/>
      <c r="AB799" s="16"/>
      <c r="AC799" s="16"/>
      <c r="AD799" s="16"/>
      <c r="AE799" s="16"/>
      <c r="AF799" s="16"/>
      <c r="AG799" s="21" t="s">
        <v>1084</v>
      </c>
      <c r="XFD799" s="15" t="str">
        <f>+Tabla3[[#This Row],[ESTATUS DE NUM ECONOMICO]]</f>
        <v>ACTIVA</v>
      </c>
    </row>
    <row r="800" spans="1:33 16384:16384" ht="15.75" thickBot="1" x14ac:dyDescent="0.3">
      <c r="A800" s="8">
        <v>137</v>
      </c>
      <c r="B800" s="9">
        <v>46203</v>
      </c>
      <c r="C800" s="10" t="s">
        <v>195</v>
      </c>
      <c r="D800" s="11"/>
      <c r="E800" s="16">
        <v>41</v>
      </c>
      <c r="F800" s="9">
        <v>46203</v>
      </c>
      <c r="G800" s="212" t="str">
        <f>IFERROR(VLOOKUP(Tabla3[[#This Row],[NUM ECONOMICO]],MAQUINARIA!B:H,7,0), " MAQ")</f>
        <v>ACTIVA</v>
      </c>
      <c r="H800" s="214" t="s">
        <v>400</v>
      </c>
      <c r="I800" s="41">
        <v>2575022</v>
      </c>
      <c r="J800" s="10"/>
      <c r="K800" s="10">
        <v>2</v>
      </c>
      <c r="L800" s="13">
        <v>1879.2</v>
      </c>
      <c r="M800" s="13">
        <f t="shared" si="12"/>
        <v>3758.4</v>
      </c>
      <c r="N800" s="41"/>
      <c r="O800" s="10"/>
      <c r="P800" s="10">
        <f>Tabla3[[#This Row],[COSTO UNITARIO DOLARES EN HAWTHORNE]]*Tabla3[[#This Row],[CANTIDAD SOLICTADA]]</f>
        <v>0</v>
      </c>
      <c r="Q800" s="208"/>
      <c r="R800" s="231"/>
      <c r="S800" s="231">
        <f>+Tabla3[[#This Row],[COSTO UNITARIO DOLARES CTP]]*Tabla3[[#This Row],[CANTIDAD SOLICTADA]]</f>
        <v>0</v>
      </c>
      <c r="T800" s="208"/>
      <c r="U800" s="24" t="s">
        <v>8</v>
      </c>
      <c r="V800" s="8"/>
      <c r="W800" s="10"/>
      <c r="X800" s="11"/>
      <c r="Y800" s="10" t="s">
        <v>90</v>
      </c>
      <c r="Z800" s="16" t="s">
        <v>44</v>
      </c>
      <c r="AA800" s="25">
        <v>46204</v>
      </c>
      <c r="AB800" s="25">
        <v>46206</v>
      </c>
      <c r="AC800" s="16"/>
      <c r="AD800" s="16"/>
      <c r="AE800" s="16"/>
      <c r="AF800" s="16"/>
      <c r="AG800" s="21" t="s">
        <v>1086</v>
      </c>
      <c r="XFD800" s="15" t="str">
        <f>+Tabla3[[#This Row],[ESTATUS DE NUM ECONOMICO]]</f>
        <v>ACTIVA</v>
      </c>
    </row>
    <row r="801" spans="1:33 16384:16384" ht="15.75" thickBot="1" x14ac:dyDescent="0.3">
      <c r="A801" s="8">
        <v>137</v>
      </c>
      <c r="B801" s="9">
        <v>46203</v>
      </c>
      <c r="C801" s="10" t="s">
        <v>195</v>
      </c>
      <c r="D801" s="11"/>
      <c r="E801" s="16">
        <v>41</v>
      </c>
      <c r="F801" s="9">
        <v>46203</v>
      </c>
      <c r="G801" s="212" t="str">
        <f>IFERROR(VLOOKUP(Tabla3[[#This Row],[NUM ECONOMICO]],MAQUINARIA!B:H,7,0), " MAQ")</f>
        <v>ACTIVA</v>
      </c>
      <c r="H801" s="214" t="s">
        <v>400</v>
      </c>
      <c r="I801" s="41">
        <v>3843892</v>
      </c>
      <c r="J801" s="10"/>
      <c r="K801" s="10">
        <v>1</v>
      </c>
      <c r="L801" s="13">
        <v>7247.16</v>
      </c>
      <c r="M801" s="13">
        <f t="shared" si="12"/>
        <v>7247.16</v>
      </c>
      <c r="N801" s="41"/>
      <c r="O801" s="10"/>
      <c r="P801" s="10">
        <f>Tabla3[[#This Row],[COSTO UNITARIO DOLARES EN HAWTHORNE]]*Tabla3[[#This Row],[CANTIDAD SOLICTADA]]</f>
        <v>0</v>
      </c>
      <c r="Q801" s="208"/>
      <c r="R801" s="231"/>
      <c r="S801" s="231">
        <f>+Tabla3[[#This Row],[COSTO UNITARIO DOLARES CTP]]*Tabla3[[#This Row],[CANTIDAD SOLICTADA]]</f>
        <v>0</v>
      </c>
      <c r="T801" s="208"/>
      <c r="U801" s="24" t="s">
        <v>8</v>
      </c>
      <c r="V801" s="8"/>
      <c r="W801" s="10"/>
      <c r="X801" s="11"/>
      <c r="Y801" s="10">
        <v>1</v>
      </c>
      <c r="Z801" s="16" t="s">
        <v>44</v>
      </c>
      <c r="AA801" s="25">
        <v>46204</v>
      </c>
      <c r="AB801" s="25">
        <v>46206</v>
      </c>
      <c r="AC801" s="16"/>
      <c r="AD801" s="16"/>
      <c r="AE801" s="16"/>
      <c r="AF801" s="16"/>
      <c r="AG801" s="21" t="s">
        <v>1086</v>
      </c>
      <c r="XFD801" s="15" t="str">
        <f>+Tabla3[[#This Row],[ESTATUS DE NUM ECONOMICO]]</f>
        <v>ACTIVA</v>
      </c>
    </row>
    <row r="802" spans="1:33 16384:16384" ht="15.75" thickBot="1" x14ac:dyDescent="0.3">
      <c r="A802" s="8">
        <v>138</v>
      </c>
      <c r="B802" s="9">
        <v>46205</v>
      </c>
      <c r="C802" s="10" t="s">
        <v>87</v>
      </c>
      <c r="D802" s="11"/>
      <c r="E802" s="16"/>
      <c r="F802" s="10"/>
      <c r="G802" s="212" t="str">
        <f>IFERROR(VLOOKUP(Tabla3[[#This Row],[NUM ECONOMICO]],MAQUINARIA!B:H,7,0), " MAQ")</f>
        <v>ACTIVA</v>
      </c>
      <c r="H802" s="214" t="s">
        <v>415</v>
      </c>
      <c r="I802" s="41">
        <v>2440957</v>
      </c>
      <c r="J802" s="10" t="s">
        <v>1798</v>
      </c>
      <c r="K802" s="10">
        <v>1</v>
      </c>
      <c r="L802" s="13">
        <v>7557.4</v>
      </c>
      <c r="M802" s="13">
        <f t="shared" si="12"/>
        <v>7557.4</v>
      </c>
      <c r="N802" s="41" t="s">
        <v>674</v>
      </c>
      <c r="O802" s="10"/>
      <c r="P802" s="10">
        <f>Tabla3[[#This Row],[COSTO UNITARIO DOLARES EN HAWTHORNE]]*Tabla3[[#This Row],[CANTIDAD SOLICTADA]]</f>
        <v>0</v>
      </c>
      <c r="Q802" s="41"/>
      <c r="R802" s="229"/>
      <c r="S802" s="229">
        <f>+Tabla3[[#This Row],[COSTO UNITARIO DOLARES CTP]]*Tabla3[[#This Row],[CANTIDAD SOLICTADA]]</f>
        <v>0</v>
      </c>
      <c r="T802" s="41"/>
      <c r="U802" s="24" t="s">
        <v>8</v>
      </c>
      <c r="V802" s="16" t="s">
        <v>1085</v>
      </c>
      <c r="W802" s="10"/>
      <c r="X802" s="11"/>
      <c r="Y802" s="10" t="s">
        <v>90</v>
      </c>
      <c r="Z802" s="16" t="s">
        <v>44</v>
      </c>
      <c r="AA802" s="25">
        <v>46205</v>
      </c>
      <c r="AB802" s="25">
        <v>46209</v>
      </c>
      <c r="AC802" s="16"/>
      <c r="AD802" s="16"/>
      <c r="AE802" s="16" t="s">
        <v>557</v>
      </c>
      <c r="AF802" s="16"/>
      <c r="AG802" s="21" t="s">
        <v>1087</v>
      </c>
      <c r="XFD802" s="15" t="str">
        <f>+Tabla3[[#This Row],[ESTATUS DE NUM ECONOMICO]]</f>
        <v>ACTIVA</v>
      </c>
    </row>
    <row r="803" spans="1:33 16384:16384" ht="15.75" thickBot="1" x14ac:dyDescent="0.3">
      <c r="A803" s="8">
        <v>138</v>
      </c>
      <c r="B803" s="9">
        <v>46205</v>
      </c>
      <c r="C803" s="10" t="s">
        <v>87</v>
      </c>
      <c r="D803" s="11"/>
      <c r="E803" s="16"/>
      <c r="F803" s="10"/>
      <c r="G803" s="212" t="str">
        <f>IFERROR(VLOOKUP(Tabla3[[#This Row],[NUM ECONOMICO]],MAQUINARIA!B:H,7,0), " MAQ")</f>
        <v>ACTIVA</v>
      </c>
      <c r="H803" s="214" t="s">
        <v>415</v>
      </c>
      <c r="I803" s="41" t="s">
        <v>174</v>
      </c>
      <c r="J803" s="10" t="s">
        <v>1799</v>
      </c>
      <c r="K803" s="10">
        <v>2</v>
      </c>
      <c r="L803" s="13">
        <v>424.44</v>
      </c>
      <c r="M803" s="13">
        <f t="shared" si="12"/>
        <v>848.88</v>
      </c>
      <c r="N803" s="41" t="s">
        <v>674</v>
      </c>
      <c r="O803" s="10"/>
      <c r="P803" s="10">
        <f>Tabla3[[#This Row],[COSTO UNITARIO DOLARES EN HAWTHORNE]]*Tabla3[[#This Row],[CANTIDAD SOLICTADA]]</f>
        <v>0</v>
      </c>
      <c r="Q803" s="41"/>
      <c r="R803" s="229"/>
      <c r="S803" s="229">
        <f>+Tabla3[[#This Row],[COSTO UNITARIO DOLARES CTP]]*Tabla3[[#This Row],[CANTIDAD SOLICTADA]]</f>
        <v>0</v>
      </c>
      <c r="T803" s="41"/>
      <c r="U803" s="24" t="s">
        <v>8</v>
      </c>
      <c r="V803" s="16" t="s">
        <v>1085</v>
      </c>
      <c r="W803" s="10"/>
      <c r="X803" s="11"/>
      <c r="Y803" s="10">
        <v>2</v>
      </c>
      <c r="Z803" s="16" t="s">
        <v>44</v>
      </c>
      <c r="AA803" s="25">
        <v>46205</v>
      </c>
      <c r="AB803" s="25">
        <v>46209</v>
      </c>
      <c r="AC803" s="16"/>
      <c r="AD803" s="16"/>
      <c r="AE803" s="16" t="s">
        <v>557</v>
      </c>
      <c r="AF803" s="16"/>
      <c r="AG803" s="21" t="s">
        <v>1087</v>
      </c>
      <c r="XFD803" s="15" t="str">
        <f>+Tabla3[[#This Row],[ESTATUS DE NUM ECONOMICO]]</f>
        <v>ACTIVA</v>
      </c>
    </row>
    <row r="804" spans="1:33 16384:16384" ht="15.75" thickBot="1" x14ac:dyDescent="0.3">
      <c r="A804" s="8">
        <v>138</v>
      </c>
      <c r="B804" s="9">
        <v>46205</v>
      </c>
      <c r="C804" s="10" t="s">
        <v>87</v>
      </c>
      <c r="D804" s="11"/>
      <c r="E804" s="16"/>
      <c r="F804" s="10"/>
      <c r="G804" s="212" t="str">
        <f>IFERROR(VLOOKUP(Tabla3[[#This Row],[NUM ECONOMICO]],MAQUINARIA!B:H,7,0), " MAQ")</f>
        <v>ACTIVA</v>
      </c>
      <c r="H804" s="214" t="s">
        <v>415</v>
      </c>
      <c r="I804" s="41" t="s">
        <v>1088</v>
      </c>
      <c r="J804" s="10" t="s">
        <v>1800</v>
      </c>
      <c r="K804" s="10">
        <v>4</v>
      </c>
      <c r="L804" s="13">
        <v>1164.24</v>
      </c>
      <c r="M804" s="13">
        <f t="shared" si="12"/>
        <v>4656.96</v>
      </c>
      <c r="N804" s="41" t="s">
        <v>674</v>
      </c>
      <c r="O804" s="10"/>
      <c r="P804" s="10">
        <f>Tabla3[[#This Row],[COSTO UNITARIO DOLARES EN HAWTHORNE]]*Tabla3[[#This Row],[CANTIDAD SOLICTADA]]</f>
        <v>0</v>
      </c>
      <c r="Q804" s="41"/>
      <c r="R804" s="229"/>
      <c r="S804" s="229">
        <f>+Tabla3[[#This Row],[COSTO UNITARIO DOLARES CTP]]*Tabla3[[#This Row],[CANTIDAD SOLICTADA]]</f>
        <v>0</v>
      </c>
      <c r="T804" s="41"/>
      <c r="U804" s="24" t="s">
        <v>8</v>
      </c>
      <c r="V804" s="16" t="s">
        <v>1085</v>
      </c>
      <c r="W804" s="10"/>
      <c r="X804" s="11"/>
      <c r="Y804" s="10" t="s">
        <v>90</v>
      </c>
      <c r="Z804" s="16" t="s">
        <v>44</v>
      </c>
      <c r="AA804" s="25">
        <v>46205</v>
      </c>
      <c r="AB804" s="25">
        <v>46209</v>
      </c>
      <c r="AC804" s="16"/>
      <c r="AD804" s="16"/>
      <c r="AE804" s="16" t="s">
        <v>557</v>
      </c>
      <c r="AF804" s="16"/>
      <c r="AG804" s="21" t="s">
        <v>1087</v>
      </c>
      <c r="XFD804" s="15" t="str">
        <f>+Tabla3[[#This Row],[ESTATUS DE NUM ECONOMICO]]</f>
        <v>ACTIVA</v>
      </c>
    </row>
    <row r="805" spans="1:33 16384:16384" ht="15.75" thickBot="1" x14ac:dyDescent="0.3">
      <c r="A805" s="8">
        <v>138</v>
      </c>
      <c r="B805" s="9">
        <v>46205</v>
      </c>
      <c r="C805" s="10" t="s">
        <v>87</v>
      </c>
      <c r="D805" s="11"/>
      <c r="E805" s="16"/>
      <c r="F805" s="10"/>
      <c r="G805" s="212" t="str">
        <f>IFERROR(VLOOKUP(Tabla3[[#This Row],[NUM ECONOMICO]],MAQUINARIA!B:H,7,0), " MAQ")</f>
        <v>ACTIVA</v>
      </c>
      <c r="H805" s="214" t="s">
        <v>415</v>
      </c>
      <c r="I805" s="41" t="s">
        <v>1089</v>
      </c>
      <c r="J805" s="10" t="s">
        <v>1801</v>
      </c>
      <c r="K805" s="10">
        <v>4</v>
      </c>
      <c r="L805" s="13">
        <v>821.7</v>
      </c>
      <c r="M805" s="13">
        <f t="shared" si="12"/>
        <v>3286.8</v>
      </c>
      <c r="N805" s="41" t="s">
        <v>674</v>
      </c>
      <c r="O805" s="10"/>
      <c r="P805" s="10">
        <f>Tabla3[[#This Row],[COSTO UNITARIO DOLARES EN HAWTHORNE]]*Tabla3[[#This Row],[CANTIDAD SOLICTADA]]</f>
        <v>0</v>
      </c>
      <c r="Q805" s="41"/>
      <c r="R805" s="229"/>
      <c r="S805" s="229">
        <f>+Tabla3[[#This Row],[COSTO UNITARIO DOLARES CTP]]*Tabla3[[#This Row],[CANTIDAD SOLICTADA]]</f>
        <v>0</v>
      </c>
      <c r="T805" s="41"/>
      <c r="U805" s="24" t="s">
        <v>8</v>
      </c>
      <c r="V805" s="16" t="s">
        <v>1085</v>
      </c>
      <c r="W805" s="10"/>
      <c r="X805" s="11"/>
      <c r="Y805" s="10" t="s">
        <v>90</v>
      </c>
      <c r="Z805" s="16" t="s">
        <v>44</v>
      </c>
      <c r="AA805" s="25">
        <v>46205</v>
      </c>
      <c r="AB805" s="25">
        <v>46209</v>
      </c>
      <c r="AC805" s="16"/>
      <c r="AD805" s="16"/>
      <c r="AE805" s="16" t="s">
        <v>557</v>
      </c>
      <c r="AF805" s="16"/>
      <c r="AG805" s="21" t="s">
        <v>1087</v>
      </c>
      <c r="XFD805" s="15" t="str">
        <f>+Tabla3[[#This Row],[ESTATUS DE NUM ECONOMICO]]</f>
        <v>ACTIVA</v>
      </c>
    </row>
    <row r="806" spans="1:33 16384:16384" ht="15.75" thickBot="1" x14ac:dyDescent="0.3">
      <c r="A806" s="8">
        <v>138</v>
      </c>
      <c r="B806" s="9">
        <v>46205</v>
      </c>
      <c r="C806" s="10" t="s">
        <v>87</v>
      </c>
      <c r="D806" s="11"/>
      <c r="E806" s="16"/>
      <c r="F806" s="10"/>
      <c r="G806" s="212" t="str">
        <f>IFERROR(VLOOKUP(Tabla3[[#This Row],[NUM ECONOMICO]],MAQUINARIA!B:H,7,0), " MAQ")</f>
        <v>ACTIVA</v>
      </c>
      <c r="H806" s="214" t="s">
        <v>415</v>
      </c>
      <c r="I806" s="41">
        <v>1447295</v>
      </c>
      <c r="J806" s="10" t="s">
        <v>1802</v>
      </c>
      <c r="K806" s="10">
        <v>2</v>
      </c>
      <c r="L806" s="13">
        <v>96.12</v>
      </c>
      <c r="M806" s="13">
        <f t="shared" si="12"/>
        <v>192.24</v>
      </c>
      <c r="N806" s="41" t="s">
        <v>674</v>
      </c>
      <c r="O806" s="10"/>
      <c r="P806" s="10">
        <f>Tabla3[[#This Row],[COSTO UNITARIO DOLARES EN HAWTHORNE]]*Tabla3[[#This Row],[CANTIDAD SOLICTADA]]</f>
        <v>0</v>
      </c>
      <c r="Q806" s="41"/>
      <c r="R806" s="229">
        <v>0</v>
      </c>
      <c r="S806" s="229">
        <f>+Tabla3[[#This Row],[COSTO UNITARIO DOLARES CTP]]*Tabla3[[#This Row],[CANTIDAD SOLICTADA]]</f>
        <v>0</v>
      </c>
      <c r="T806" s="41"/>
      <c r="U806" s="24" t="s">
        <v>8</v>
      </c>
      <c r="V806" s="16" t="s">
        <v>1085</v>
      </c>
      <c r="W806" s="10"/>
      <c r="X806" s="11"/>
      <c r="Y806" s="10" t="s">
        <v>90</v>
      </c>
      <c r="Z806" s="16" t="s">
        <v>44</v>
      </c>
      <c r="AA806" s="25">
        <v>46205</v>
      </c>
      <c r="AB806" s="25">
        <v>46209</v>
      </c>
      <c r="AC806" s="16"/>
      <c r="AD806" s="16"/>
      <c r="AE806" s="16" t="s">
        <v>557</v>
      </c>
      <c r="AF806" s="16"/>
      <c r="AG806" s="21" t="s">
        <v>1087</v>
      </c>
      <c r="XFD806" s="15" t="str">
        <f>+Tabla3[[#This Row],[ESTATUS DE NUM ECONOMICO]]</f>
        <v>ACTIVA</v>
      </c>
    </row>
    <row r="807" spans="1:33 16384:16384" ht="15.75" thickBot="1" x14ac:dyDescent="0.3">
      <c r="A807" s="32">
        <v>139</v>
      </c>
      <c r="B807" s="33">
        <v>46205</v>
      </c>
      <c r="C807" s="22" t="s">
        <v>87</v>
      </c>
      <c r="D807" s="34"/>
      <c r="E807" s="204">
        <v>26</v>
      </c>
      <c r="F807" s="33">
        <v>46205</v>
      </c>
      <c r="G807" s="213" t="str">
        <f>IFERROR(VLOOKUP(Tabla3[[#This Row],[NUM ECONOMICO]],MAQUINARIA!B:H,7,0), " MAQ")</f>
        <v>INACTIVA</v>
      </c>
      <c r="H807" s="215" t="s">
        <v>141</v>
      </c>
      <c r="I807" s="43" t="s">
        <v>1803</v>
      </c>
      <c r="J807" s="10" t="s">
        <v>1804</v>
      </c>
      <c r="K807" s="22">
        <v>1</v>
      </c>
      <c r="L807" s="35">
        <v>60009.120000000003</v>
      </c>
      <c r="M807" s="35">
        <f t="shared" si="12"/>
        <v>60009.120000000003</v>
      </c>
      <c r="N807" s="41" t="s">
        <v>674</v>
      </c>
      <c r="O807" s="22">
        <v>2496.79</v>
      </c>
      <c r="P807" s="22">
        <f>Tabla3[[#This Row],[COSTO UNITARIO DOLARES EN HAWTHORNE]]*Tabla3[[#This Row],[CANTIDAD SOLICTADA]]</f>
        <v>2496.79</v>
      </c>
      <c r="Q807" s="43" t="s">
        <v>1805</v>
      </c>
      <c r="R807" s="230">
        <v>0</v>
      </c>
      <c r="S807" s="230">
        <f>+Tabla3[[#This Row],[COSTO UNITARIO DOLARES CTP]]*Tabla3[[#This Row],[CANTIDAD SOLICTADA]]</f>
        <v>0</v>
      </c>
      <c r="T807" s="43" t="s">
        <v>217</v>
      </c>
      <c r="U807" s="24" t="s">
        <v>4</v>
      </c>
      <c r="V807" s="204" t="s">
        <v>1806</v>
      </c>
      <c r="W807" s="33">
        <v>46210</v>
      </c>
      <c r="X807" s="34" t="s">
        <v>96</v>
      </c>
      <c r="Y807" s="22" t="s">
        <v>90</v>
      </c>
      <c r="Z807" s="204" t="s">
        <v>46</v>
      </c>
      <c r="AA807" s="313">
        <v>46206</v>
      </c>
      <c r="AB807" s="313">
        <v>46210</v>
      </c>
      <c r="AC807" s="204" t="s">
        <v>91</v>
      </c>
      <c r="AD807" s="204"/>
      <c r="AE807" s="204" t="s">
        <v>1807</v>
      </c>
      <c r="AF807" s="204" t="s">
        <v>407</v>
      </c>
      <c r="AG807" s="36" t="s">
        <v>1090</v>
      </c>
      <c r="XFD807" s="15" t="str">
        <f>+Tabla3[[#This Row],[ESTATUS DE NUM ECONOMICO]]</f>
        <v>INACTIVA</v>
      </c>
    </row>
    <row r="808" spans="1:33 16384:16384" ht="15.75" thickBot="1" x14ac:dyDescent="0.3">
      <c r="A808" s="368">
        <v>140</v>
      </c>
      <c r="B808" s="369">
        <v>46209</v>
      </c>
      <c r="C808" s="370" t="s">
        <v>87</v>
      </c>
      <c r="D808" s="371"/>
      <c r="E808" s="372"/>
      <c r="F808" s="373"/>
      <c r="G808" s="213" t="str">
        <f>IFERROR(VLOOKUP(Tabla3[[#This Row],[NUM ECONOMICO]],MAQUINARIA!B:H,7,0), " MAQ")</f>
        <v>ACTIVA</v>
      </c>
      <c r="H808" s="374" t="s">
        <v>517</v>
      </c>
      <c r="I808" s="375" t="s">
        <v>1824</v>
      </c>
      <c r="J808" s="370" t="s">
        <v>479</v>
      </c>
      <c r="K808" s="370">
        <v>4</v>
      </c>
      <c r="L808" s="376"/>
      <c r="M808" s="376">
        <f t="shared" ref="M808:M816" si="13">+L808*K808</f>
        <v>0</v>
      </c>
      <c r="N808" s="43"/>
      <c r="O808" s="370"/>
      <c r="P808" s="377">
        <f>Tabla3[[#This Row],[COSTO UNITARIO DOLARES EN HAWTHORNE]]*Tabla3[[#This Row],[CANTIDAD SOLICTADA]]</f>
        <v>0</v>
      </c>
      <c r="Q808" s="43"/>
      <c r="R808" s="230"/>
      <c r="S808" s="230">
        <f>+Tabla3[[#This Row],[COSTO UNITARIO DOLARES CTP]]*Tabla3[[#This Row],[CANTIDAD SOLICTADA]]</f>
        <v>0</v>
      </c>
      <c r="T808" s="43"/>
      <c r="U808" s="370" t="s">
        <v>4</v>
      </c>
      <c r="V808" s="371"/>
      <c r="W808" s="378"/>
      <c r="X808" s="371"/>
      <c r="Y808" s="370"/>
      <c r="Z808" s="372"/>
      <c r="AA808" s="379"/>
      <c r="AB808" s="379"/>
      <c r="AC808" s="372"/>
      <c r="AD808" s="372"/>
      <c r="AE808" s="372"/>
      <c r="AF808" s="204"/>
      <c r="AG808" s="372" t="s">
        <v>1864</v>
      </c>
    </row>
    <row r="809" spans="1:33 16384:16384" ht="15.75" thickBot="1" x14ac:dyDescent="0.3">
      <c r="A809" s="368">
        <v>140</v>
      </c>
      <c r="B809" s="369">
        <v>46209</v>
      </c>
      <c r="C809" s="370" t="s">
        <v>87</v>
      </c>
      <c r="D809" s="371"/>
      <c r="E809" s="372"/>
      <c r="F809" s="373"/>
      <c r="G809" s="213" t="str">
        <f>IFERROR(VLOOKUP(Tabla3[[#This Row],[NUM ECONOMICO]],MAQUINARIA!B:H,7,0), " MAQ")</f>
        <v>ACTIVA</v>
      </c>
      <c r="H809" s="374" t="s">
        <v>517</v>
      </c>
      <c r="I809" s="375" t="s">
        <v>1825</v>
      </c>
      <c r="J809" s="370" t="s">
        <v>1826</v>
      </c>
      <c r="K809" s="370">
        <v>127</v>
      </c>
      <c r="L809" s="376"/>
      <c r="M809" s="376">
        <f t="shared" si="13"/>
        <v>0</v>
      </c>
      <c r="N809" s="43"/>
      <c r="O809" s="370"/>
      <c r="P809" s="377">
        <f>Tabla3[[#This Row],[COSTO UNITARIO DOLARES EN HAWTHORNE]]*Tabla3[[#This Row],[CANTIDAD SOLICTADA]]</f>
        <v>0</v>
      </c>
      <c r="Q809" s="43"/>
      <c r="R809" s="230"/>
      <c r="S809" s="230">
        <f>+Tabla3[[#This Row],[COSTO UNITARIO DOLARES CTP]]*Tabla3[[#This Row],[CANTIDAD SOLICTADA]]</f>
        <v>0</v>
      </c>
      <c r="T809" s="43"/>
      <c r="U809" s="370" t="s">
        <v>4</v>
      </c>
      <c r="V809" s="371"/>
      <c r="W809" s="378"/>
      <c r="X809" s="371"/>
      <c r="Y809" s="370"/>
      <c r="Z809" s="372"/>
      <c r="AA809" s="372"/>
      <c r="AB809" s="372"/>
      <c r="AC809" s="372"/>
      <c r="AD809" s="372"/>
      <c r="AE809" s="372"/>
      <c r="AF809" s="204"/>
      <c r="AG809" s="372" t="s">
        <v>479</v>
      </c>
    </row>
    <row r="810" spans="1:33 16384:16384" ht="15.75" thickBot="1" x14ac:dyDescent="0.3">
      <c r="A810" s="368">
        <v>141</v>
      </c>
      <c r="B810" s="369">
        <v>46206</v>
      </c>
      <c r="C810" s="370" t="s">
        <v>87</v>
      </c>
      <c r="D810" s="371"/>
      <c r="E810" s="372">
        <v>23</v>
      </c>
      <c r="F810" s="415">
        <v>46203</v>
      </c>
      <c r="G810" s="213" t="str">
        <f>IFERROR(VLOOKUP(Tabla3[[#This Row],[NUM ECONOMICO]],MAQUINARIA!B:H,7,0), " MAQ")</f>
        <v>ACTIVA</v>
      </c>
      <c r="H810" s="374" t="s">
        <v>113</v>
      </c>
      <c r="I810" s="375" t="s">
        <v>1006</v>
      </c>
      <c r="J810" s="370" t="s">
        <v>1857</v>
      </c>
      <c r="K810" s="370">
        <v>1</v>
      </c>
      <c r="L810" s="376">
        <v>704.54</v>
      </c>
      <c r="M810" s="376">
        <f t="shared" si="13"/>
        <v>704.54</v>
      </c>
      <c r="N810" s="43" t="s">
        <v>674</v>
      </c>
      <c r="O810" s="370"/>
      <c r="P810" s="377">
        <f>Tabla3[[#This Row],[COSTO UNITARIO DOLARES EN HAWTHORNE]]*Tabla3[[#This Row],[CANTIDAD SOLICTADA]]</f>
        <v>0</v>
      </c>
      <c r="Q810" s="43"/>
      <c r="R810" s="230"/>
      <c r="S810" s="230">
        <f>+Tabla3[[#This Row],[COSTO UNITARIO DOLARES CTP]]*Tabla3[[#This Row],[CANTIDAD SOLICTADA]]</f>
        <v>0</v>
      </c>
      <c r="T810" s="43"/>
      <c r="U810" s="370" t="s">
        <v>7</v>
      </c>
      <c r="V810" s="372" t="s">
        <v>1995</v>
      </c>
      <c r="W810" s="378"/>
      <c r="X810" s="371"/>
      <c r="Y810" s="370"/>
      <c r="Z810" s="372"/>
      <c r="AA810" s="372"/>
      <c r="AB810" s="372"/>
      <c r="AC810" s="372"/>
      <c r="AD810" s="372"/>
      <c r="AE810" s="372" t="s">
        <v>1996</v>
      </c>
      <c r="AF810" s="204"/>
      <c r="AG810" s="372" t="s">
        <v>1863</v>
      </c>
    </row>
    <row r="811" spans="1:33 16384:16384" ht="15.75" thickBot="1" x14ac:dyDescent="0.3">
      <c r="A811" s="368">
        <v>141</v>
      </c>
      <c r="B811" s="369">
        <v>46206</v>
      </c>
      <c r="C811" s="370" t="s">
        <v>87</v>
      </c>
      <c r="D811" s="371"/>
      <c r="E811" s="372">
        <v>23</v>
      </c>
      <c r="F811" s="415">
        <v>46203</v>
      </c>
      <c r="G811" s="213" t="str">
        <f>IFERROR(VLOOKUP(Tabla3[[#This Row],[NUM ECONOMICO]],MAQUINARIA!B:H,7,0), " MAQ")</f>
        <v>ACTIVA</v>
      </c>
      <c r="H811" s="374" t="s">
        <v>113</v>
      </c>
      <c r="I811" s="375" t="s">
        <v>1011</v>
      </c>
      <c r="J811" s="370" t="s">
        <v>1858</v>
      </c>
      <c r="K811" s="370">
        <v>20</v>
      </c>
      <c r="L811" s="376">
        <v>164.6</v>
      </c>
      <c r="M811" s="376">
        <f t="shared" si="13"/>
        <v>3292</v>
      </c>
      <c r="N811" s="43" t="s">
        <v>674</v>
      </c>
      <c r="O811" s="370"/>
      <c r="P811" s="377">
        <f>Tabla3[[#This Row],[COSTO UNITARIO DOLARES EN HAWTHORNE]]*Tabla3[[#This Row],[CANTIDAD SOLICTADA]]</f>
        <v>0</v>
      </c>
      <c r="Q811" s="43"/>
      <c r="R811" s="230"/>
      <c r="S811" s="230">
        <f>+Tabla3[[#This Row],[COSTO UNITARIO DOLARES CTP]]*Tabla3[[#This Row],[CANTIDAD SOLICTADA]]</f>
        <v>0</v>
      </c>
      <c r="T811" s="43"/>
      <c r="U811" s="370" t="s">
        <v>7</v>
      </c>
      <c r="V811" s="372" t="s">
        <v>1995</v>
      </c>
      <c r="W811" s="378"/>
      <c r="X811" s="371"/>
      <c r="Y811" s="370"/>
      <c r="Z811" s="372"/>
      <c r="AA811" s="372"/>
      <c r="AB811" s="372"/>
      <c r="AC811" s="372"/>
      <c r="AD811" s="372"/>
      <c r="AE811" s="372" t="s">
        <v>1996</v>
      </c>
      <c r="AF811" s="204"/>
      <c r="AG811" s="372" t="s">
        <v>1863</v>
      </c>
    </row>
    <row r="812" spans="1:33 16384:16384" ht="15.75" thickBot="1" x14ac:dyDescent="0.3">
      <c r="A812" s="368">
        <v>141</v>
      </c>
      <c r="B812" s="369">
        <v>46206</v>
      </c>
      <c r="C812" s="370" t="s">
        <v>87</v>
      </c>
      <c r="D812" s="371"/>
      <c r="E812" s="372">
        <v>23</v>
      </c>
      <c r="F812" s="415">
        <v>46203</v>
      </c>
      <c r="G812" s="213" t="str">
        <f>IFERROR(VLOOKUP(Tabla3[[#This Row],[NUM ECONOMICO]],MAQUINARIA!B:H,7,0), " MAQ")</f>
        <v>ACTIVA</v>
      </c>
      <c r="H812" s="374" t="s">
        <v>113</v>
      </c>
      <c r="I812" s="375" t="s">
        <v>1855</v>
      </c>
      <c r="J812" s="370" t="s">
        <v>1859</v>
      </c>
      <c r="K812" s="370">
        <v>10</v>
      </c>
      <c r="L812" s="376">
        <v>619.92999999999995</v>
      </c>
      <c r="M812" s="376">
        <f t="shared" si="13"/>
        <v>6199.2999999999993</v>
      </c>
      <c r="N812" s="43" t="s">
        <v>674</v>
      </c>
      <c r="O812" s="370"/>
      <c r="P812" s="377">
        <f>Tabla3[[#This Row],[COSTO UNITARIO DOLARES EN HAWTHORNE]]*Tabla3[[#This Row],[CANTIDAD SOLICTADA]]</f>
        <v>0</v>
      </c>
      <c r="Q812" s="43"/>
      <c r="R812" s="230"/>
      <c r="S812" s="230">
        <f>+Tabla3[[#This Row],[COSTO UNITARIO DOLARES CTP]]*Tabla3[[#This Row],[CANTIDAD SOLICTADA]]</f>
        <v>0</v>
      </c>
      <c r="T812" s="43"/>
      <c r="U812" s="370" t="s">
        <v>7</v>
      </c>
      <c r="V812" s="372" t="s">
        <v>1995</v>
      </c>
      <c r="W812" s="378"/>
      <c r="X812" s="371"/>
      <c r="Y812" s="370"/>
      <c r="Z812" s="372"/>
      <c r="AA812" s="372"/>
      <c r="AB812" s="372"/>
      <c r="AC812" s="372"/>
      <c r="AD812" s="372"/>
      <c r="AE812" s="372" t="s">
        <v>1996</v>
      </c>
      <c r="AF812" s="204"/>
      <c r="AG812" s="372" t="s">
        <v>1863</v>
      </c>
    </row>
    <row r="813" spans="1:33 16384:16384" ht="15.75" thickBot="1" x14ac:dyDescent="0.3">
      <c r="A813" s="368">
        <v>141</v>
      </c>
      <c r="B813" s="369">
        <v>46206</v>
      </c>
      <c r="C813" s="370" t="s">
        <v>87</v>
      </c>
      <c r="D813" s="371"/>
      <c r="E813" s="372">
        <v>23</v>
      </c>
      <c r="F813" s="415">
        <v>46203</v>
      </c>
      <c r="G813" s="213" t="str">
        <f>IFERROR(VLOOKUP(Tabla3[[#This Row],[NUM ECONOMICO]],MAQUINARIA!B:H,7,0), " MAQ")</f>
        <v>ACTIVA</v>
      </c>
      <c r="H813" s="374" t="s">
        <v>113</v>
      </c>
      <c r="I813" s="375" t="s">
        <v>1856</v>
      </c>
      <c r="J813" s="370" t="s">
        <v>1860</v>
      </c>
      <c r="K813" s="370">
        <v>17</v>
      </c>
      <c r="L813" s="376">
        <v>6.8</v>
      </c>
      <c r="M813" s="376">
        <f t="shared" si="13"/>
        <v>115.6</v>
      </c>
      <c r="N813" s="43" t="s">
        <v>674</v>
      </c>
      <c r="O813" s="370"/>
      <c r="P813" s="377">
        <f>Tabla3[[#This Row],[COSTO UNITARIO DOLARES EN HAWTHORNE]]*Tabla3[[#This Row],[CANTIDAD SOLICTADA]]</f>
        <v>0</v>
      </c>
      <c r="Q813" s="43"/>
      <c r="R813" s="230"/>
      <c r="S813" s="230">
        <f>+Tabla3[[#This Row],[COSTO UNITARIO DOLARES CTP]]*Tabla3[[#This Row],[CANTIDAD SOLICTADA]]</f>
        <v>0</v>
      </c>
      <c r="T813" s="43"/>
      <c r="U813" s="370" t="s">
        <v>7</v>
      </c>
      <c r="V813" s="372" t="s">
        <v>1995</v>
      </c>
      <c r="W813" s="378"/>
      <c r="X813" s="371"/>
      <c r="Y813" s="370"/>
      <c r="Z813" s="372"/>
      <c r="AA813" s="372"/>
      <c r="AB813" s="372"/>
      <c r="AC813" s="372"/>
      <c r="AD813" s="372"/>
      <c r="AE813" s="372" t="s">
        <v>1996</v>
      </c>
      <c r="AF813" s="204"/>
      <c r="AG813" s="372" t="s">
        <v>1863</v>
      </c>
    </row>
    <row r="814" spans="1:33 16384:16384" ht="15.75" thickBot="1" x14ac:dyDescent="0.3">
      <c r="A814" s="368">
        <v>141</v>
      </c>
      <c r="B814" s="369">
        <v>46206</v>
      </c>
      <c r="C814" s="370" t="s">
        <v>87</v>
      </c>
      <c r="D814" s="371"/>
      <c r="E814" s="372">
        <v>23</v>
      </c>
      <c r="F814" s="415">
        <v>46203</v>
      </c>
      <c r="G814" s="213" t="str">
        <f>IFERROR(VLOOKUP(Tabla3[[#This Row],[NUM ECONOMICO]],MAQUINARIA!B:H,7,0), " MAQ")</f>
        <v>ACTIVA</v>
      </c>
      <c r="H814" s="374" t="s">
        <v>113</v>
      </c>
      <c r="I814" s="375" t="s">
        <v>1010</v>
      </c>
      <c r="J814" s="370" t="s">
        <v>1861</v>
      </c>
      <c r="K814" s="370">
        <v>1</v>
      </c>
      <c r="L814" s="376">
        <v>4159.6000000000004</v>
      </c>
      <c r="M814" s="376">
        <f t="shared" si="13"/>
        <v>4159.6000000000004</v>
      </c>
      <c r="N814" s="43" t="s">
        <v>674</v>
      </c>
      <c r="O814" s="370"/>
      <c r="P814" s="377">
        <f>Tabla3[[#This Row],[COSTO UNITARIO DOLARES EN HAWTHORNE]]*Tabla3[[#This Row],[CANTIDAD SOLICTADA]]</f>
        <v>0</v>
      </c>
      <c r="Q814" s="43"/>
      <c r="R814" s="230"/>
      <c r="S814" s="230">
        <f>+Tabla3[[#This Row],[COSTO UNITARIO DOLARES CTP]]*Tabla3[[#This Row],[CANTIDAD SOLICTADA]]</f>
        <v>0</v>
      </c>
      <c r="T814" s="43"/>
      <c r="U814" s="370" t="s">
        <v>7</v>
      </c>
      <c r="V814" s="372" t="s">
        <v>1995</v>
      </c>
      <c r="W814" s="378"/>
      <c r="X814" s="371"/>
      <c r="Y814" s="370"/>
      <c r="Z814" s="372"/>
      <c r="AA814" s="372"/>
      <c r="AB814" s="372"/>
      <c r="AC814" s="372"/>
      <c r="AD814" s="372"/>
      <c r="AE814" s="372" t="s">
        <v>1996</v>
      </c>
      <c r="AF814" s="204"/>
      <c r="AG814" s="372" t="s">
        <v>1863</v>
      </c>
    </row>
    <row r="815" spans="1:33 16384:16384" ht="15.75" thickBot="1" x14ac:dyDescent="0.3">
      <c r="A815" s="368">
        <v>141</v>
      </c>
      <c r="B815" s="369">
        <v>46206</v>
      </c>
      <c r="C815" s="370" t="s">
        <v>87</v>
      </c>
      <c r="D815" s="371"/>
      <c r="E815" s="372">
        <v>23</v>
      </c>
      <c r="F815" s="415">
        <v>46203</v>
      </c>
      <c r="G815" s="213" t="str">
        <f>IFERROR(VLOOKUP(Tabla3[[#This Row],[NUM ECONOMICO]],MAQUINARIA!B:H,7,0), " MAQ")</f>
        <v>ACTIVA</v>
      </c>
      <c r="H815" s="374" t="s">
        <v>113</v>
      </c>
      <c r="I815" s="375" t="s">
        <v>1012</v>
      </c>
      <c r="J815" s="370" t="s">
        <v>1862</v>
      </c>
      <c r="K815" s="370">
        <v>4</v>
      </c>
      <c r="L815" s="376">
        <v>6.09</v>
      </c>
      <c r="M815" s="376">
        <f t="shared" si="13"/>
        <v>24.36</v>
      </c>
      <c r="N815" s="43" t="s">
        <v>674</v>
      </c>
      <c r="O815" s="370"/>
      <c r="P815" s="377">
        <f>Tabla3[[#This Row],[COSTO UNITARIO DOLARES EN HAWTHORNE]]*Tabla3[[#This Row],[CANTIDAD SOLICTADA]]</f>
        <v>0</v>
      </c>
      <c r="Q815" s="43"/>
      <c r="R815" s="230"/>
      <c r="S815" s="230">
        <f>+Tabla3[[#This Row],[COSTO UNITARIO DOLARES CTP]]*Tabla3[[#This Row],[CANTIDAD SOLICTADA]]</f>
        <v>0</v>
      </c>
      <c r="T815" s="43"/>
      <c r="U815" s="370" t="s">
        <v>7</v>
      </c>
      <c r="V815" s="372" t="s">
        <v>1995</v>
      </c>
      <c r="W815" s="378"/>
      <c r="X815" s="371"/>
      <c r="Y815" s="370"/>
      <c r="Z815" s="372"/>
      <c r="AA815" s="372"/>
      <c r="AB815" s="372"/>
      <c r="AC815" s="372"/>
      <c r="AD815" s="372"/>
      <c r="AE815" s="372" t="s">
        <v>1996</v>
      </c>
      <c r="AF815" s="204"/>
      <c r="AG815" s="372" t="s">
        <v>1863</v>
      </c>
    </row>
    <row r="816" spans="1:33 16384:16384" ht="15.75" thickBot="1" x14ac:dyDescent="0.3">
      <c r="A816" s="368">
        <v>142</v>
      </c>
      <c r="B816" s="369">
        <v>46206</v>
      </c>
      <c r="C816" s="370" t="s">
        <v>87</v>
      </c>
      <c r="D816" s="371">
        <v>5</v>
      </c>
      <c r="E816" s="372">
        <v>6</v>
      </c>
      <c r="F816" s="415">
        <v>46200</v>
      </c>
      <c r="G816" s="213" t="str">
        <f>IFERROR(VLOOKUP(Tabla3[[#This Row],[NUM ECONOMICO]],MAQUINARIA!B:H,7,0), " MAQ")</f>
        <v>ACTIVA</v>
      </c>
      <c r="H816" s="374" t="s">
        <v>129</v>
      </c>
      <c r="I816" s="375" t="s">
        <v>1865</v>
      </c>
      <c r="J816" s="370" t="s">
        <v>1866</v>
      </c>
      <c r="K816" s="370">
        <v>1</v>
      </c>
      <c r="L816" s="376">
        <v>2111.66</v>
      </c>
      <c r="M816" s="376">
        <f t="shared" si="13"/>
        <v>2111.66</v>
      </c>
      <c r="N816" s="43" t="s">
        <v>674</v>
      </c>
      <c r="O816" s="370"/>
      <c r="P816" s="377">
        <f>Tabla3[[#This Row],[COSTO UNITARIO DOLARES EN HAWTHORNE]]*Tabla3[[#This Row],[CANTIDAD SOLICTADA]]</f>
        <v>0</v>
      </c>
      <c r="Q816" s="43"/>
      <c r="R816" s="230"/>
      <c r="S816" s="230">
        <f>+Tabla3[[#This Row],[COSTO UNITARIO DOLARES CTP]]*Tabla3[[#This Row],[CANTIDAD SOLICTADA]]</f>
        <v>0</v>
      </c>
      <c r="T816" s="43"/>
      <c r="U816" s="24" t="s">
        <v>8</v>
      </c>
      <c r="V816" s="371" t="s">
        <v>565</v>
      </c>
      <c r="W816" s="378"/>
      <c r="X816" s="371">
        <v>0</v>
      </c>
      <c r="Y816" s="370" t="s">
        <v>90</v>
      </c>
      <c r="Z816" s="372" t="s">
        <v>44</v>
      </c>
      <c r="AA816" s="416">
        <v>46210</v>
      </c>
      <c r="AB816" s="416">
        <v>46213</v>
      </c>
      <c r="AC816" s="372"/>
      <c r="AD816" s="372"/>
      <c r="AE816" s="372"/>
      <c r="AF816" s="204"/>
      <c r="AG816" s="380" t="s">
        <v>1867</v>
      </c>
    </row>
    <row r="817" spans="1:33" ht="15.75" thickBot="1" x14ac:dyDescent="0.3">
      <c r="A817" s="356">
        <v>143</v>
      </c>
      <c r="B817" s="357">
        <v>46210</v>
      </c>
      <c r="C817" s="358" t="s">
        <v>87</v>
      </c>
      <c r="D817" s="359"/>
      <c r="E817" s="360"/>
      <c r="F817" s="361"/>
      <c r="G817" s="213" t="str">
        <f>IFERROR(VLOOKUP(Tabla3[[#This Row],[NUM ECONOMICO]],MAQUINARIA!B:H,7,0), " MAQ")</f>
        <v>INACTIVA</v>
      </c>
      <c r="H817" s="362" t="s">
        <v>1356</v>
      </c>
      <c r="I817" s="363" t="s">
        <v>452</v>
      </c>
      <c r="J817" s="358" t="s">
        <v>1960</v>
      </c>
      <c r="K817" s="358">
        <v>1</v>
      </c>
      <c r="L817" s="364">
        <v>533.78</v>
      </c>
      <c r="M817" s="364">
        <f t="shared" ref="M817:M848" si="14">+L817*K817</f>
        <v>533.78</v>
      </c>
      <c r="N817" s="41" t="s">
        <v>1990</v>
      </c>
      <c r="O817" s="358"/>
      <c r="P817" s="365">
        <f>Tabla3[[#This Row],[COSTO UNITARIO DOLARES EN HAWTHORNE]]*Tabla3[[#This Row],[CANTIDAD SOLICTADA]]</f>
        <v>0</v>
      </c>
      <c r="Q817" s="41"/>
      <c r="R817" s="229"/>
      <c r="S817" s="229">
        <f>+Tabla3[[#This Row],[COSTO UNITARIO DOLARES CTP]]*Tabla3[[#This Row],[CANTIDAD SOLICTADA]]</f>
        <v>0</v>
      </c>
      <c r="T817" s="41"/>
      <c r="U817" s="358" t="s">
        <v>5</v>
      </c>
      <c r="V817" s="360" t="s">
        <v>1991</v>
      </c>
      <c r="W817" s="366"/>
      <c r="X817" s="359"/>
      <c r="Y817" s="358"/>
      <c r="Z817" s="360"/>
      <c r="AA817" s="360"/>
      <c r="AB817" s="360"/>
      <c r="AC817" s="360"/>
      <c r="AD817" s="360"/>
      <c r="AE817" s="360"/>
      <c r="AF817" s="16"/>
      <c r="AG817" s="367" t="s">
        <v>1992</v>
      </c>
    </row>
    <row r="818" spans="1:33" ht="15.75" thickBot="1" x14ac:dyDescent="0.3">
      <c r="A818" s="356">
        <v>143</v>
      </c>
      <c r="B818" s="357">
        <v>46210</v>
      </c>
      <c r="C818" s="358" t="s">
        <v>87</v>
      </c>
      <c r="D818" s="359"/>
      <c r="E818" s="360"/>
      <c r="F818" s="361"/>
      <c r="G818" s="213" t="str">
        <f>IFERROR(VLOOKUP(Tabla3[[#This Row],[NUM ECONOMICO]],MAQUINARIA!B:H,7,0), " MAQ")</f>
        <v>INACTIVA</v>
      </c>
      <c r="H818" s="362" t="s">
        <v>1356</v>
      </c>
      <c r="I818" s="363" t="s">
        <v>1872</v>
      </c>
      <c r="J818" s="358" t="s">
        <v>1961</v>
      </c>
      <c r="K818" s="358">
        <v>2</v>
      </c>
      <c r="L818" s="364">
        <v>267.95999999999998</v>
      </c>
      <c r="M818" s="364">
        <f t="shared" si="14"/>
        <v>535.91999999999996</v>
      </c>
      <c r="N818" s="41" t="s">
        <v>1990</v>
      </c>
      <c r="O818" s="358"/>
      <c r="P818" s="365">
        <f>Tabla3[[#This Row],[COSTO UNITARIO DOLARES EN HAWTHORNE]]*Tabla3[[#This Row],[CANTIDAD SOLICTADA]]</f>
        <v>0</v>
      </c>
      <c r="Q818" s="41"/>
      <c r="R818" s="229"/>
      <c r="S818" s="229">
        <f>+Tabla3[[#This Row],[COSTO UNITARIO DOLARES CTP]]*Tabla3[[#This Row],[CANTIDAD SOLICTADA]]</f>
        <v>0</v>
      </c>
      <c r="T818" s="41"/>
      <c r="U818" s="358" t="s">
        <v>5</v>
      </c>
      <c r="V818" s="360" t="s">
        <v>1991</v>
      </c>
      <c r="W818" s="366"/>
      <c r="X818" s="359"/>
      <c r="Y818" s="358"/>
      <c r="Z818" s="360"/>
      <c r="AA818" s="360"/>
      <c r="AB818" s="360"/>
      <c r="AC818" s="360"/>
      <c r="AD818" s="360"/>
      <c r="AE818" s="360"/>
      <c r="AF818" s="16"/>
      <c r="AG818" s="367" t="s">
        <v>1992</v>
      </c>
    </row>
    <row r="819" spans="1:33" ht="15.75" thickBot="1" x14ac:dyDescent="0.3">
      <c r="A819" s="356">
        <v>143</v>
      </c>
      <c r="B819" s="357">
        <v>46210</v>
      </c>
      <c r="C819" s="358" t="s">
        <v>87</v>
      </c>
      <c r="D819" s="359"/>
      <c r="E819" s="360"/>
      <c r="F819" s="361"/>
      <c r="G819" s="213" t="str">
        <f>IFERROR(VLOOKUP(Tabla3[[#This Row],[NUM ECONOMICO]],MAQUINARIA!B:H,7,0), " MAQ")</f>
        <v>INACTIVA</v>
      </c>
      <c r="H819" s="362" t="s">
        <v>1356</v>
      </c>
      <c r="I819" s="363" t="s">
        <v>1873</v>
      </c>
      <c r="J819" s="358" t="s">
        <v>1962</v>
      </c>
      <c r="K819" s="358">
        <v>1</v>
      </c>
      <c r="L819" s="364">
        <v>143.56</v>
      </c>
      <c r="M819" s="364">
        <f t="shared" si="14"/>
        <v>143.56</v>
      </c>
      <c r="N819" s="41" t="s">
        <v>1990</v>
      </c>
      <c r="O819" s="358"/>
      <c r="P819" s="365">
        <f>Tabla3[[#This Row],[COSTO UNITARIO DOLARES EN HAWTHORNE]]*Tabla3[[#This Row],[CANTIDAD SOLICTADA]]</f>
        <v>0</v>
      </c>
      <c r="Q819" s="41"/>
      <c r="R819" s="229"/>
      <c r="S819" s="229">
        <f>+Tabla3[[#This Row],[COSTO UNITARIO DOLARES CTP]]*Tabla3[[#This Row],[CANTIDAD SOLICTADA]]</f>
        <v>0</v>
      </c>
      <c r="T819" s="41"/>
      <c r="U819" s="358" t="s">
        <v>5</v>
      </c>
      <c r="V819" s="360" t="s">
        <v>1991</v>
      </c>
      <c r="W819" s="366"/>
      <c r="X819" s="359"/>
      <c r="Y819" s="358"/>
      <c r="Z819" s="360"/>
      <c r="AA819" s="360"/>
      <c r="AB819" s="360"/>
      <c r="AC819" s="360"/>
      <c r="AD819" s="360"/>
      <c r="AE819" s="360"/>
      <c r="AF819" s="16"/>
      <c r="AG819" s="367" t="s">
        <v>1992</v>
      </c>
    </row>
    <row r="820" spans="1:33" ht="15.75" thickBot="1" x14ac:dyDescent="0.3">
      <c r="A820" s="356">
        <v>143</v>
      </c>
      <c r="B820" s="357">
        <v>46210</v>
      </c>
      <c r="C820" s="358" t="s">
        <v>87</v>
      </c>
      <c r="D820" s="359"/>
      <c r="E820" s="360"/>
      <c r="F820" s="361"/>
      <c r="G820" s="213" t="str">
        <f>IFERROR(VLOOKUP(Tabla3[[#This Row],[NUM ECONOMICO]],MAQUINARIA!B:H,7,0), " MAQ")</f>
        <v>INACTIVA</v>
      </c>
      <c r="H820" s="362" t="s">
        <v>1356</v>
      </c>
      <c r="I820" s="363" t="s">
        <v>1874</v>
      </c>
      <c r="J820" s="358" t="s">
        <v>1963</v>
      </c>
      <c r="K820" s="358">
        <v>9</v>
      </c>
      <c r="L820" s="364">
        <v>5089.87</v>
      </c>
      <c r="M820" s="364">
        <f t="shared" si="14"/>
        <v>45808.83</v>
      </c>
      <c r="N820" s="41" t="s">
        <v>1990</v>
      </c>
      <c r="O820" s="358"/>
      <c r="P820" s="365">
        <f>Tabla3[[#This Row],[COSTO UNITARIO DOLARES EN HAWTHORNE]]*Tabla3[[#This Row],[CANTIDAD SOLICTADA]]</f>
        <v>0</v>
      </c>
      <c r="Q820" s="41"/>
      <c r="R820" s="229"/>
      <c r="S820" s="229">
        <f>+Tabla3[[#This Row],[COSTO UNITARIO DOLARES CTP]]*Tabla3[[#This Row],[CANTIDAD SOLICTADA]]</f>
        <v>0</v>
      </c>
      <c r="T820" s="41"/>
      <c r="U820" s="358" t="s">
        <v>5</v>
      </c>
      <c r="V820" s="360" t="s">
        <v>1991</v>
      </c>
      <c r="W820" s="366"/>
      <c r="X820" s="359"/>
      <c r="Y820" s="358"/>
      <c r="Z820" s="360"/>
      <c r="AA820" s="360"/>
      <c r="AB820" s="360"/>
      <c r="AC820" s="360"/>
      <c r="AD820" s="360"/>
      <c r="AE820" s="360"/>
      <c r="AF820" s="16"/>
      <c r="AG820" s="367" t="s">
        <v>1992</v>
      </c>
    </row>
    <row r="821" spans="1:33" ht="15.75" thickBot="1" x14ac:dyDescent="0.3">
      <c r="A821" s="356">
        <v>143</v>
      </c>
      <c r="B821" s="357">
        <v>46210</v>
      </c>
      <c r="C821" s="358" t="s">
        <v>87</v>
      </c>
      <c r="D821" s="359"/>
      <c r="E821" s="360"/>
      <c r="F821" s="361"/>
      <c r="G821" s="213" t="str">
        <f>IFERROR(VLOOKUP(Tabla3[[#This Row],[NUM ECONOMICO]],MAQUINARIA!B:H,7,0), " MAQ")</f>
        <v>INACTIVA</v>
      </c>
      <c r="H821" s="362" t="s">
        <v>1356</v>
      </c>
      <c r="I821" s="363" t="s">
        <v>1875</v>
      </c>
      <c r="J821" s="358" t="s">
        <v>308</v>
      </c>
      <c r="K821" s="358">
        <v>1</v>
      </c>
      <c r="L821" s="364">
        <v>8928.34</v>
      </c>
      <c r="M821" s="364">
        <f t="shared" si="14"/>
        <v>8928.34</v>
      </c>
      <c r="N821" s="41" t="s">
        <v>1990</v>
      </c>
      <c r="O821" s="358"/>
      <c r="P821" s="365">
        <f>Tabla3[[#This Row],[COSTO UNITARIO DOLARES EN HAWTHORNE]]*Tabla3[[#This Row],[CANTIDAD SOLICTADA]]</f>
        <v>0</v>
      </c>
      <c r="Q821" s="41"/>
      <c r="R821" s="229"/>
      <c r="S821" s="229">
        <f>+Tabla3[[#This Row],[COSTO UNITARIO DOLARES CTP]]*Tabla3[[#This Row],[CANTIDAD SOLICTADA]]</f>
        <v>0</v>
      </c>
      <c r="T821" s="41"/>
      <c r="U821" s="358" t="s">
        <v>5</v>
      </c>
      <c r="V821" s="360" t="s">
        <v>1991</v>
      </c>
      <c r="W821" s="366"/>
      <c r="X821" s="359"/>
      <c r="Y821" s="358"/>
      <c r="Z821" s="360"/>
      <c r="AA821" s="360"/>
      <c r="AB821" s="360"/>
      <c r="AC821" s="360"/>
      <c r="AD821" s="360"/>
      <c r="AE821" s="360"/>
      <c r="AF821" s="16"/>
      <c r="AG821" s="367" t="s">
        <v>1992</v>
      </c>
    </row>
    <row r="822" spans="1:33" ht="15.75" thickBot="1" x14ac:dyDescent="0.3">
      <c r="A822" s="356">
        <v>143</v>
      </c>
      <c r="B822" s="357">
        <v>46210</v>
      </c>
      <c r="C822" s="358" t="s">
        <v>87</v>
      </c>
      <c r="D822" s="359"/>
      <c r="E822" s="360"/>
      <c r="F822" s="361"/>
      <c r="G822" s="213" t="str">
        <f>IFERROR(VLOOKUP(Tabla3[[#This Row],[NUM ECONOMICO]],MAQUINARIA!B:H,7,0), " MAQ")</f>
        <v>INACTIVA</v>
      </c>
      <c r="H822" s="362" t="s">
        <v>1356</v>
      </c>
      <c r="I822" s="363" t="s">
        <v>1876</v>
      </c>
      <c r="J822" s="358" t="s">
        <v>308</v>
      </c>
      <c r="K822" s="358">
        <v>3</v>
      </c>
      <c r="L822" s="364">
        <v>4319.09</v>
      </c>
      <c r="M822" s="364">
        <f t="shared" si="14"/>
        <v>12957.27</v>
      </c>
      <c r="N822" s="41" t="s">
        <v>1990</v>
      </c>
      <c r="O822" s="358"/>
      <c r="P822" s="365">
        <f>Tabla3[[#This Row],[COSTO UNITARIO DOLARES EN HAWTHORNE]]*Tabla3[[#This Row],[CANTIDAD SOLICTADA]]</f>
        <v>0</v>
      </c>
      <c r="Q822" s="41"/>
      <c r="R822" s="229"/>
      <c r="S822" s="229">
        <f>+Tabla3[[#This Row],[COSTO UNITARIO DOLARES CTP]]*Tabla3[[#This Row],[CANTIDAD SOLICTADA]]</f>
        <v>0</v>
      </c>
      <c r="T822" s="41"/>
      <c r="U822" s="358" t="s">
        <v>5</v>
      </c>
      <c r="V822" s="360" t="s">
        <v>1991</v>
      </c>
      <c r="W822" s="366"/>
      <c r="X822" s="359"/>
      <c r="Y822" s="358"/>
      <c r="Z822" s="360"/>
      <c r="AA822" s="360"/>
      <c r="AB822" s="360"/>
      <c r="AC822" s="360"/>
      <c r="AD822" s="360"/>
      <c r="AE822" s="360"/>
      <c r="AF822" s="16"/>
      <c r="AG822" s="367" t="s">
        <v>1992</v>
      </c>
    </row>
    <row r="823" spans="1:33" ht="15.75" thickBot="1" x14ac:dyDescent="0.3">
      <c r="A823" s="356">
        <v>143</v>
      </c>
      <c r="B823" s="357">
        <v>46210</v>
      </c>
      <c r="C823" s="358" t="s">
        <v>87</v>
      </c>
      <c r="D823" s="359"/>
      <c r="E823" s="360"/>
      <c r="F823" s="361"/>
      <c r="G823" s="213" t="str">
        <f>IFERROR(VLOOKUP(Tabla3[[#This Row],[NUM ECONOMICO]],MAQUINARIA!B:H,7,0), " MAQ")</f>
        <v>INACTIVA</v>
      </c>
      <c r="H823" s="362" t="s">
        <v>1356</v>
      </c>
      <c r="I823" s="363" t="s">
        <v>1877</v>
      </c>
      <c r="J823" s="358" t="s">
        <v>670</v>
      </c>
      <c r="K823" s="358">
        <v>75</v>
      </c>
      <c r="L823" s="364">
        <v>92.01</v>
      </c>
      <c r="M823" s="364">
        <f t="shared" si="14"/>
        <v>6900.75</v>
      </c>
      <c r="N823" s="41" t="s">
        <v>1990</v>
      </c>
      <c r="O823" s="358"/>
      <c r="P823" s="365">
        <f>Tabla3[[#This Row],[COSTO UNITARIO DOLARES EN HAWTHORNE]]*Tabla3[[#This Row],[CANTIDAD SOLICTADA]]</f>
        <v>0</v>
      </c>
      <c r="Q823" s="41"/>
      <c r="R823" s="229"/>
      <c r="S823" s="229">
        <f>+Tabla3[[#This Row],[COSTO UNITARIO DOLARES CTP]]*Tabla3[[#This Row],[CANTIDAD SOLICTADA]]</f>
        <v>0</v>
      </c>
      <c r="T823" s="41"/>
      <c r="U823" s="358" t="s">
        <v>5</v>
      </c>
      <c r="V823" s="360" t="s">
        <v>1991</v>
      </c>
      <c r="W823" s="366"/>
      <c r="X823" s="359"/>
      <c r="Y823" s="358"/>
      <c r="Z823" s="360"/>
      <c r="AA823" s="360"/>
      <c r="AB823" s="360"/>
      <c r="AC823" s="360"/>
      <c r="AD823" s="360"/>
      <c r="AE823" s="360"/>
      <c r="AF823" s="16"/>
      <c r="AG823" s="367" t="s">
        <v>1992</v>
      </c>
    </row>
    <row r="824" spans="1:33" ht="15.75" thickBot="1" x14ac:dyDescent="0.3">
      <c r="A824" s="356">
        <v>143</v>
      </c>
      <c r="B824" s="357">
        <v>46210</v>
      </c>
      <c r="C824" s="358" t="s">
        <v>87</v>
      </c>
      <c r="D824" s="359"/>
      <c r="E824" s="360"/>
      <c r="F824" s="361"/>
      <c r="G824" s="213" t="str">
        <f>IFERROR(VLOOKUP(Tabla3[[#This Row],[NUM ECONOMICO]],MAQUINARIA!B:H,7,0), " MAQ")</f>
        <v>INACTIVA</v>
      </c>
      <c r="H824" s="362" t="s">
        <v>1356</v>
      </c>
      <c r="I824" s="363" t="s">
        <v>1878</v>
      </c>
      <c r="J824" s="358" t="s">
        <v>1964</v>
      </c>
      <c r="K824" s="358">
        <v>4</v>
      </c>
      <c r="L824" s="364">
        <v>7737.82</v>
      </c>
      <c r="M824" s="364">
        <f t="shared" si="14"/>
        <v>30951.279999999999</v>
      </c>
      <c r="N824" s="41" t="s">
        <v>1990</v>
      </c>
      <c r="O824" s="358"/>
      <c r="P824" s="365">
        <f>Tabla3[[#This Row],[COSTO UNITARIO DOLARES EN HAWTHORNE]]*Tabla3[[#This Row],[CANTIDAD SOLICTADA]]</f>
        <v>0</v>
      </c>
      <c r="Q824" s="41"/>
      <c r="R824" s="229"/>
      <c r="S824" s="229">
        <f>+Tabla3[[#This Row],[COSTO UNITARIO DOLARES CTP]]*Tabla3[[#This Row],[CANTIDAD SOLICTADA]]</f>
        <v>0</v>
      </c>
      <c r="T824" s="41"/>
      <c r="U824" s="358" t="s">
        <v>5</v>
      </c>
      <c r="V824" s="360" t="s">
        <v>1991</v>
      </c>
      <c r="W824" s="366"/>
      <c r="X824" s="359"/>
      <c r="Y824" s="358"/>
      <c r="Z824" s="360"/>
      <c r="AA824" s="360"/>
      <c r="AB824" s="360"/>
      <c r="AC824" s="360"/>
      <c r="AD824" s="360"/>
      <c r="AE824" s="360"/>
      <c r="AF824" s="16"/>
      <c r="AG824" s="367" t="s">
        <v>1992</v>
      </c>
    </row>
    <row r="825" spans="1:33" ht="15.75" thickBot="1" x14ac:dyDescent="0.3">
      <c r="A825" s="356">
        <v>143</v>
      </c>
      <c r="B825" s="357">
        <v>46210</v>
      </c>
      <c r="C825" s="358" t="s">
        <v>87</v>
      </c>
      <c r="D825" s="359"/>
      <c r="E825" s="360"/>
      <c r="F825" s="361"/>
      <c r="G825" s="213" t="str">
        <f>IFERROR(VLOOKUP(Tabla3[[#This Row],[NUM ECONOMICO]],MAQUINARIA!B:H,7,0), " MAQ")</f>
        <v>INACTIVA</v>
      </c>
      <c r="H825" s="362" t="s">
        <v>1356</v>
      </c>
      <c r="I825" s="363" t="s">
        <v>1879</v>
      </c>
      <c r="J825" s="358" t="s">
        <v>1965</v>
      </c>
      <c r="K825" s="358">
        <v>4</v>
      </c>
      <c r="L825" s="364">
        <v>3675.46</v>
      </c>
      <c r="M825" s="364">
        <f t="shared" si="14"/>
        <v>14701.84</v>
      </c>
      <c r="N825" s="41" t="s">
        <v>1990</v>
      </c>
      <c r="O825" s="358"/>
      <c r="P825" s="365">
        <f>Tabla3[[#This Row],[COSTO UNITARIO DOLARES EN HAWTHORNE]]*Tabla3[[#This Row],[CANTIDAD SOLICTADA]]</f>
        <v>0</v>
      </c>
      <c r="Q825" s="41"/>
      <c r="R825" s="229"/>
      <c r="S825" s="229">
        <f>+Tabla3[[#This Row],[COSTO UNITARIO DOLARES CTP]]*Tabla3[[#This Row],[CANTIDAD SOLICTADA]]</f>
        <v>0</v>
      </c>
      <c r="T825" s="41"/>
      <c r="U825" s="358" t="s">
        <v>5</v>
      </c>
      <c r="V825" s="360" t="s">
        <v>1991</v>
      </c>
      <c r="W825" s="366"/>
      <c r="X825" s="359"/>
      <c r="Y825" s="358"/>
      <c r="Z825" s="360"/>
      <c r="AA825" s="360"/>
      <c r="AB825" s="360"/>
      <c r="AC825" s="360"/>
      <c r="AD825" s="360"/>
      <c r="AE825" s="360"/>
      <c r="AF825" s="16"/>
      <c r="AG825" s="367" t="s">
        <v>1992</v>
      </c>
    </row>
    <row r="826" spans="1:33" ht="15.75" thickBot="1" x14ac:dyDescent="0.3">
      <c r="A826" s="356">
        <v>143</v>
      </c>
      <c r="B826" s="357">
        <v>46210</v>
      </c>
      <c r="C826" s="358" t="s">
        <v>87</v>
      </c>
      <c r="D826" s="359"/>
      <c r="E826" s="360"/>
      <c r="F826" s="361"/>
      <c r="G826" s="213" t="str">
        <f>IFERROR(VLOOKUP(Tabla3[[#This Row],[NUM ECONOMICO]],MAQUINARIA!B:H,7,0), " MAQ")</f>
        <v>INACTIVA</v>
      </c>
      <c r="H826" s="362" t="s">
        <v>1356</v>
      </c>
      <c r="I826" s="363" t="s">
        <v>1880</v>
      </c>
      <c r="J826" s="358" t="s">
        <v>1964</v>
      </c>
      <c r="K826" s="358">
        <v>9</v>
      </c>
      <c r="L826" s="364">
        <v>9028.76</v>
      </c>
      <c r="M826" s="364">
        <f t="shared" si="14"/>
        <v>81258.84</v>
      </c>
      <c r="N826" s="41" t="s">
        <v>1990</v>
      </c>
      <c r="O826" s="358"/>
      <c r="P826" s="365">
        <f>Tabla3[[#This Row],[COSTO UNITARIO DOLARES EN HAWTHORNE]]*Tabla3[[#This Row],[CANTIDAD SOLICTADA]]</f>
        <v>0</v>
      </c>
      <c r="Q826" s="41"/>
      <c r="R826" s="229"/>
      <c r="S826" s="229">
        <f>+Tabla3[[#This Row],[COSTO UNITARIO DOLARES CTP]]*Tabla3[[#This Row],[CANTIDAD SOLICTADA]]</f>
        <v>0</v>
      </c>
      <c r="T826" s="41"/>
      <c r="U826" s="358" t="s">
        <v>5</v>
      </c>
      <c r="V826" s="360" t="s">
        <v>1991</v>
      </c>
      <c r="W826" s="366"/>
      <c r="X826" s="359"/>
      <c r="Y826" s="358"/>
      <c r="Z826" s="360"/>
      <c r="AA826" s="360"/>
      <c r="AB826" s="360"/>
      <c r="AC826" s="360"/>
      <c r="AD826" s="360"/>
      <c r="AE826" s="360"/>
      <c r="AF826" s="16"/>
      <c r="AG826" s="367" t="s">
        <v>1992</v>
      </c>
    </row>
    <row r="827" spans="1:33" ht="15.75" thickBot="1" x14ac:dyDescent="0.3">
      <c r="A827" s="356">
        <v>143</v>
      </c>
      <c r="B827" s="357">
        <v>46210</v>
      </c>
      <c r="C827" s="358" t="s">
        <v>87</v>
      </c>
      <c r="D827" s="359"/>
      <c r="E827" s="360"/>
      <c r="F827" s="361"/>
      <c r="G827" s="213" t="str">
        <f>IFERROR(VLOOKUP(Tabla3[[#This Row],[NUM ECONOMICO]],MAQUINARIA!B:H,7,0), " MAQ")</f>
        <v>INACTIVA</v>
      </c>
      <c r="H827" s="362" t="s">
        <v>1356</v>
      </c>
      <c r="I827" s="363" t="s">
        <v>1879</v>
      </c>
      <c r="J827" s="358" t="s">
        <v>1966</v>
      </c>
      <c r="K827" s="358">
        <v>9</v>
      </c>
      <c r="L827" s="364">
        <v>4288.66</v>
      </c>
      <c r="M827" s="364">
        <f t="shared" si="14"/>
        <v>38597.94</v>
      </c>
      <c r="N827" s="41" t="s">
        <v>1990</v>
      </c>
      <c r="O827" s="358"/>
      <c r="P827" s="365">
        <f>Tabla3[[#This Row],[COSTO UNITARIO DOLARES EN HAWTHORNE]]*Tabla3[[#This Row],[CANTIDAD SOLICTADA]]</f>
        <v>0</v>
      </c>
      <c r="Q827" s="41"/>
      <c r="R827" s="229"/>
      <c r="S827" s="229">
        <f>+Tabla3[[#This Row],[COSTO UNITARIO DOLARES CTP]]*Tabla3[[#This Row],[CANTIDAD SOLICTADA]]</f>
        <v>0</v>
      </c>
      <c r="T827" s="41"/>
      <c r="U827" s="358" t="s">
        <v>5</v>
      </c>
      <c r="V827" s="360" t="s">
        <v>1991</v>
      </c>
      <c r="W827" s="366"/>
      <c r="X827" s="359"/>
      <c r="Y827" s="358"/>
      <c r="Z827" s="360"/>
      <c r="AA827" s="360"/>
      <c r="AB827" s="360"/>
      <c r="AC827" s="360"/>
      <c r="AD827" s="360"/>
      <c r="AE827" s="360"/>
      <c r="AF827" s="16"/>
      <c r="AG827" s="367" t="s">
        <v>1992</v>
      </c>
    </row>
    <row r="828" spans="1:33" ht="15.75" thickBot="1" x14ac:dyDescent="0.3">
      <c r="A828" s="356">
        <v>143</v>
      </c>
      <c r="B828" s="357">
        <v>46210</v>
      </c>
      <c r="C828" s="358" t="s">
        <v>87</v>
      </c>
      <c r="D828" s="359"/>
      <c r="E828" s="360"/>
      <c r="F828" s="361"/>
      <c r="G828" s="213" t="str">
        <f>IFERROR(VLOOKUP(Tabla3[[#This Row],[NUM ECONOMICO]],MAQUINARIA!B:H,7,0), " MAQ")</f>
        <v>INACTIVA</v>
      </c>
      <c r="H828" s="362" t="s">
        <v>1356</v>
      </c>
      <c r="I828" s="363" t="s">
        <v>1881</v>
      </c>
      <c r="J828" s="358" t="s">
        <v>670</v>
      </c>
      <c r="K828" s="358">
        <v>20</v>
      </c>
      <c r="L828" s="364">
        <v>184.37</v>
      </c>
      <c r="M828" s="364">
        <f t="shared" si="14"/>
        <v>3687.4</v>
      </c>
      <c r="N828" s="41" t="s">
        <v>1990</v>
      </c>
      <c r="O828" s="358"/>
      <c r="P828" s="365">
        <f>Tabla3[[#This Row],[COSTO UNITARIO DOLARES EN HAWTHORNE]]*Tabla3[[#This Row],[CANTIDAD SOLICTADA]]</f>
        <v>0</v>
      </c>
      <c r="Q828" s="41"/>
      <c r="R828" s="229"/>
      <c r="S828" s="229">
        <f>+Tabla3[[#This Row],[COSTO UNITARIO DOLARES CTP]]*Tabla3[[#This Row],[CANTIDAD SOLICTADA]]</f>
        <v>0</v>
      </c>
      <c r="T828" s="41"/>
      <c r="U828" s="358" t="s">
        <v>5</v>
      </c>
      <c r="V828" s="360" t="s">
        <v>1991</v>
      </c>
      <c r="W828" s="366"/>
      <c r="X828" s="359"/>
      <c r="Y828" s="358"/>
      <c r="Z828" s="360"/>
      <c r="AA828" s="360"/>
      <c r="AB828" s="360"/>
      <c r="AC828" s="360"/>
      <c r="AD828" s="360"/>
      <c r="AE828" s="360"/>
      <c r="AF828" s="16"/>
      <c r="AG828" s="367" t="s">
        <v>1992</v>
      </c>
    </row>
    <row r="829" spans="1:33" ht="15.75" thickBot="1" x14ac:dyDescent="0.3">
      <c r="A829" s="356">
        <v>143</v>
      </c>
      <c r="B829" s="357">
        <v>46210</v>
      </c>
      <c r="C829" s="358" t="s">
        <v>87</v>
      </c>
      <c r="D829" s="359"/>
      <c r="E829" s="360"/>
      <c r="F829" s="361"/>
      <c r="G829" s="213" t="str">
        <f>IFERROR(VLOOKUP(Tabla3[[#This Row],[NUM ECONOMICO]],MAQUINARIA!B:H,7,0), " MAQ")</f>
        <v>INACTIVA</v>
      </c>
      <c r="H829" s="362" t="s">
        <v>1356</v>
      </c>
      <c r="I829" s="363" t="s">
        <v>1882</v>
      </c>
      <c r="J829" s="358" t="s">
        <v>670</v>
      </c>
      <c r="K829" s="358">
        <v>5</v>
      </c>
      <c r="L829" s="364">
        <v>270.47000000000003</v>
      </c>
      <c r="M829" s="364">
        <f t="shared" si="14"/>
        <v>1352.3500000000001</v>
      </c>
      <c r="N829" s="41" t="s">
        <v>1990</v>
      </c>
      <c r="O829" s="358"/>
      <c r="P829" s="365">
        <f>Tabla3[[#This Row],[COSTO UNITARIO DOLARES EN HAWTHORNE]]*Tabla3[[#This Row],[CANTIDAD SOLICTADA]]</f>
        <v>0</v>
      </c>
      <c r="Q829" s="41"/>
      <c r="R829" s="229"/>
      <c r="S829" s="229">
        <f>+Tabla3[[#This Row],[COSTO UNITARIO DOLARES CTP]]*Tabla3[[#This Row],[CANTIDAD SOLICTADA]]</f>
        <v>0</v>
      </c>
      <c r="T829" s="41"/>
      <c r="U829" s="358" t="s">
        <v>5</v>
      </c>
      <c r="V829" s="360" t="s">
        <v>1991</v>
      </c>
      <c r="W829" s="366"/>
      <c r="X829" s="359"/>
      <c r="Y829" s="358"/>
      <c r="Z829" s="360"/>
      <c r="AA829" s="360"/>
      <c r="AB829" s="360"/>
      <c r="AC829" s="360"/>
      <c r="AD829" s="360"/>
      <c r="AE829" s="360"/>
      <c r="AF829" s="16"/>
      <c r="AG829" s="367" t="s">
        <v>1992</v>
      </c>
    </row>
    <row r="830" spans="1:33" ht="15.75" thickBot="1" x14ac:dyDescent="0.3">
      <c r="A830" s="356">
        <v>143</v>
      </c>
      <c r="B830" s="357">
        <v>46210</v>
      </c>
      <c r="C830" s="358" t="s">
        <v>87</v>
      </c>
      <c r="D830" s="359"/>
      <c r="E830" s="360"/>
      <c r="F830" s="361"/>
      <c r="G830" s="213" t="str">
        <f>IFERROR(VLOOKUP(Tabla3[[#This Row],[NUM ECONOMICO]],MAQUINARIA!B:H,7,0), " MAQ")</f>
        <v>INACTIVA</v>
      </c>
      <c r="H830" s="362" t="s">
        <v>1356</v>
      </c>
      <c r="I830" s="363" t="s">
        <v>1883</v>
      </c>
      <c r="J830" s="358" t="s">
        <v>308</v>
      </c>
      <c r="K830" s="358">
        <v>3</v>
      </c>
      <c r="L830" s="364">
        <v>2814.6</v>
      </c>
      <c r="M830" s="364">
        <f t="shared" si="14"/>
        <v>8443.7999999999993</v>
      </c>
      <c r="N830" s="41" t="s">
        <v>1990</v>
      </c>
      <c r="O830" s="358"/>
      <c r="P830" s="365">
        <f>Tabla3[[#This Row],[COSTO UNITARIO DOLARES EN HAWTHORNE]]*Tabla3[[#This Row],[CANTIDAD SOLICTADA]]</f>
        <v>0</v>
      </c>
      <c r="Q830" s="41"/>
      <c r="R830" s="229"/>
      <c r="S830" s="229">
        <f>+Tabla3[[#This Row],[COSTO UNITARIO DOLARES CTP]]*Tabla3[[#This Row],[CANTIDAD SOLICTADA]]</f>
        <v>0</v>
      </c>
      <c r="T830" s="41"/>
      <c r="U830" s="358" t="s">
        <v>5</v>
      </c>
      <c r="V830" s="360" t="s">
        <v>1991</v>
      </c>
      <c r="W830" s="366"/>
      <c r="X830" s="359"/>
      <c r="Y830" s="358"/>
      <c r="Z830" s="360"/>
      <c r="AA830" s="360"/>
      <c r="AB830" s="360"/>
      <c r="AC830" s="360"/>
      <c r="AD830" s="360"/>
      <c r="AE830" s="360"/>
      <c r="AF830" s="16"/>
      <c r="AG830" s="367" t="s">
        <v>1992</v>
      </c>
    </row>
    <row r="831" spans="1:33" ht="15.75" thickBot="1" x14ac:dyDescent="0.3">
      <c r="A831" s="356">
        <v>143</v>
      </c>
      <c r="B831" s="357">
        <v>46210</v>
      </c>
      <c r="C831" s="358" t="s">
        <v>87</v>
      </c>
      <c r="D831" s="359"/>
      <c r="E831" s="360"/>
      <c r="F831" s="361"/>
      <c r="G831" s="213" t="str">
        <f>IFERROR(VLOOKUP(Tabla3[[#This Row],[NUM ECONOMICO]],MAQUINARIA!B:H,7,0), " MAQ")</f>
        <v>INACTIVA</v>
      </c>
      <c r="H831" s="362" t="s">
        <v>1356</v>
      </c>
      <c r="I831" s="363" t="s">
        <v>1884</v>
      </c>
      <c r="J831" s="358" t="s">
        <v>1967</v>
      </c>
      <c r="K831" s="358">
        <v>5</v>
      </c>
      <c r="L831" s="364">
        <v>4319.09</v>
      </c>
      <c r="M831" s="364">
        <f t="shared" si="14"/>
        <v>21595.45</v>
      </c>
      <c r="N831" s="41" t="s">
        <v>1990</v>
      </c>
      <c r="O831" s="358"/>
      <c r="P831" s="365">
        <f>Tabla3[[#This Row],[COSTO UNITARIO DOLARES EN HAWTHORNE]]*Tabla3[[#This Row],[CANTIDAD SOLICTADA]]</f>
        <v>0</v>
      </c>
      <c r="Q831" s="41"/>
      <c r="R831" s="229"/>
      <c r="S831" s="229">
        <f>+Tabla3[[#This Row],[COSTO UNITARIO DOLARES CTP]]*Tabla3[[#This Row],[CANTIDAD SOLICTADA]]</f>
        <v>0</v>
      </c>
      <c r="T831" s="41"/>
      <c r="U831" s="358" t="s">
        <v>5</v>
      </c>
      <c r="V831" s="360" t="s">
        <v>1991</v>
      </c>
      <c r="W831" s="366"/>
      <c r="X831" s="359"/>
      <c r="Y831" s="358"/>
      <c r="Z831" s="360"/>
      <c r="AA831" s="360"/>
      <c r="AB831" s="360"/>
      <c r="AC831" s="360"/>
      <c r="AD831" s="360"/>
      <c r="AE831" s="360"/>
      <c r="AF831" s="16"/>
      <c r="AG831" s="367" t="s">
        <v>1992</v>
      </c>
    </row>
    <row r="832" spans="1:33" ht="15.75" thickBot="1" x14ac:dyDescent="0.3">
      <c r="A832" s="356">
        <v>143</v>
      </c>
      <c r="B832" s="357">
        <v>46210</v>
      </c>
      <c r="C832" s="358" t="s">
        <v>87</v>
      </c>
      <c r="D832" s="359"/>
      <c r="E832" s="360"/>
      <c r="F832" s="361"/>
      <c r="G832" s="213" t="str">
        <f>IFERROR(VLOOKUP(Tabla3[[#This Row],[NUM ECONOMICO]],MAQUINARIA!B:H,7,0), " MAQ")</f>
        <v>INACTIVA</v>
      </c>
      <c r="H832" s="362" t="s">
        <v>1356</v>
      </c>
      <c r="I832" s="363" t="s">
        <v>1885</v>
      </c>
      <c r="J832" s="358" t="s">
        <v>1858</v>
      </c>
      <c r="K832" s="358">
        <v>8</v>
      </c>
      <c r="L832" s="364">
        <v>175.24</v>
      </c>
      <c r="M832" s="364">
        <f t="shared" si="14"/>
        <v>1401.92</v>
      </c>
      <c r="N832" s="41" t="s">
        <v>1990</v>
      </c>
      <c r="O832" s="358"/>
      <c r="P832" s="365">
        <f>Tabla3[[#This Row],[COSTO UNITARIO DOLARES EN HAWTHORNE]]*Tabla3[[#This Row],[CANTIDAD SOLICTADA]]</f>
        <v>0</v>
      </c>
      <c r="Q832" s="41"/>
      <c r="R832" s="229"/>
      <c r="S832" s="229">
        <f>+Tabla3[[#This Row],[COSTO UNITARIO DOLARES CTP]]*Tabla3[[#This Row],[CANTIDAD SOLICTADA]]</f>
        <v>0</v>
      </c>
      <c r="T832" s="41"/>
      <c r="U832" s="358" t="s">
        <v>5</v>
      </c>
      <c r="V832" s="360" t="s">
        <v>1991</v>
      </c>
      <c r="W832" s="366"/>
      <c r="X832" s="359"/>
      <c r="Y832" s="358"/>
      <c r="Z832" s="360"/>
      <c r="AA832" s="360"/>
      <c r="AB832" s="360"/>
      <c r="AC832" s="360"/>
      <c r="AD832" s="360"/>
      <c r="AE832" s="360"/>
      <c r="AF832" s="16"/>
      <c r="AG832" s="367" t="s">
        <v>1992</v>
      </c>
    </row>
    <row r="833" spans="1:33" ht="15.75" thickBot="1" x14ac:dyDescent="0.3">
      <c r="A833" s="356">
        <v>143</v>
      </c>
      <c r="B833" s="357">
        <v>46210</v>
      </c>
      <c r="C833" s="358" t="s">
        <v>87</v>
      </c>
      <c r="D833" s="359"/>
      <c r="E833" s="360"/>
      <c r="F833" s="361"/>
      <c r="G833" s="213" t="str">
        <f>IFERROR(VLOOKUP(Tabla3[[#This Row],[NUM ECONOMICO]],MAQUINARIA!B:H,7,0), " MAQ")</f>
        <v>INACTIVA</v>
      </c>
      <c r="H833" s="362" t="s">
        <v>1356</v>
      </c>
      <c r="I833" s="363" t="s">
        <v>286</v>
      </c>
      <c r="J833" s="358" t="s">
        <v>308</v>
      </c>
      <c r="K833" s="358">
        <v>22</v>
      </c>
      <c r="L833" s="364">
        <v>197.62</v>
      </c>
      <c r="M833" s="364">
        <f t="shared" si="14"/>
        <v>4347.6400000000003</v>
      </c>
      <c r="N833" s="41" t="s">
        <v>1990</v>
      </c>
      <c r="O833" s="358"/>
      <c r="P833" s="365">
        <f>Tabla3[[#This Row],[COSTO UNITARIO DOLARES EN HAWTHORNE]]*Tabla3[[#This Row],[CANTIDAD SOLICTADA]]</f>
        <v>0</v>
      </c>
      <c r="Q833" s="41"/>
      <c r="R833" s="229"/>
      <c r="S833" s="229">
        <f>+Tabla3[[#This Row],[COSTO UNITARIO DOLARES CTP]]*Tabla3[[#This Row],[CANTIDAD SOLICTADA]]</f>
        <v>0</v>
      </c>
      <c r="T833" s="41"/>
      <c r="U833" s="358" t="s">
        <v>5</v>
      </c>
      <c r="V833" s="360" t="s">
        <v>1991</v>
      </c>
      <c r="W833" s="366"/>
      <c r="X833" s="359"/>
      <c r="Y833" s="358"/>
      <c r="Z833" s="360"/>
      <c r="AA833" s="360"/>
      <c r="AB833" s="360"/>
      <c r="AC833" s="360"/>
      <c r="AD833" s="360"/>
      <c r="AE833" s="360"/>
      <c r="AF833" s="16"/>
      <c r="AG833" s="367" t="s">
        <v>1992</v>
      </c>
    </row>
    <row r="834" spans="1:33" ht="15.75" thickBot="1" x14ac:dyDescent="0.3">
      <c r="A834" s="356">
        <v>143</v>
      </c>
      <c r="B834" s="357">
        <v>46210</v>
      </c>
      <c r="C834" s="358" t="s">
        <v>87</v>
      </c>
      <c r="D834" s="359"/>
      <c r="E834" s="360"/>
      <c r="F834" s="361"/>
      <c r="G834" s="213" t="str">
        <f>IFERROR(VLOOKUP(Tabla3[[#This Row],[NUM ECONOMICO]],MAQUINARIA!B:H,7,0), " MAQ")</f>
        <v>INACTIVA</v>
      </c>
      <c r="H834" s="362" t="s">
        <v>1356</v>
      </c>
      <c r="I834" s="363" t="s">
        <v>1886</v>
      </c>
      <c r="J834" s="358" t="s">
        <v>1968</v>
      </c>
      <c r="K834" s="358">
        <v>16</v>
      </c>
      <c r="L834" s="364">
        <v>217.13</v>
      </c>
      <c r="M834" s="364">
        <f t="shared" si="14"/>
        <v>3474.08</v>
      </c>
      <c r="N834" s="41" t="s">
        <v>1990</v>
      </c>
      <c r="O834" s="358"/>
      <c r="P834" s="365">
        <f>Tabla3[[#This Row],[COSTO UNITARIO DOLARES EN HAWTHORNE]]*Tabla3[[#This Row],[CANTIDAD SOLICTADA]]</f>
        <v>0</v>
      </c>
      <c r="Q834" s="41"/>
      <c r="R834" s="229"/>
      <c r="S834" s="229">
        <f>+Tabla3[[#This Row],[COSTO UNITARIO DOLARES CTP]]*Tabla3[[#This Row],[CANTIDAD SOLICTADA]]</f>
        <v>0</v>
      </c>
      <c r="T834" s="41"/>
      <c r="U834" s="358" t="s">
        <v>5</v>
      </c>
      <c r="V834" s="360" t="s">
        <v>1991</v>
      </c>
      <c r="W834" s="366"/>
      <c r="X834" s="359"/>
      <c r="Y834" s="358"/>
      <c r="Z834" s="360"/>
      <c r="AA834" s="360"/>
      <c r="AB834" s="360"/>
      <c r="AC834" s="360"/>
      <c r="AD834" s="360"/>
      <c r="AE834" s="360"/>
      <c r="AF834" s="16"/>
      <c r="AG834" s="367" t="s">
        <v>1992</v>
      </c>
    </row>
    <row r="835" spans="1:33" ht="15.75" thickBot="1" x14ac:dyDescent="0.3">
      <c r="A835" s="356">
        <v>143</v>
      </c>
      <c r="B835" s="357">
        <v>46210</v>
      </c>
      <c r="C835" s="358" t="s">
        <v>87</v>
      </c>
      <c r="D835" s="359"/>
      <c r="E835" s="360"/>
      <c r="F835" s="361"/>
      <c r="G835" s="213" t="str">
        <f>IFERROR(VLOOKUP(Tabla3[[#This Row],[NUM ECONOMICO]],MAQUINARIA!B:H,7,0), " MAQ")</f>
        <v>INACTIVA</v>
      </c>
      <c r="H835" s="362" t="s">
        <v>1356</v>
      </c>
      <c r="I835" s="363" t="s">
        <v>1887</v>
      </c>
      <c r="J835" s="358" t="s">
        <v>308</v>
      </c>
      <c r="K835" s="358">
        <v>3</v>
      </c>
      <c r="L835" s="364">
        <v>2868.65</v>
      </c>
      <c r="M835" s="364">
        <f t="shared" si="14"/>
        <v>8605.9500000000007</v>
      </c>
      <c r="N835" s="41" t="s">
        <v>1990</v>
      </c>
      <c r="O835" s="358"/>
      <c r="P835" s="365">
        <f>Tabla3[[#This Row],[COSTO UNITARIO DOLARES EN HAWTHORNE]]*Tabla3[[#This Row],[CANTIDAD SOLICTADA]]</f>
        <v>0</v>
      </c>
      <c r="Q835" s="41"/>
      <c r="R835" s="229"/>
      <c r="S835" s="229">
        <f>+Tabla3[[#This Row],[COSTO UNITARIO DOLARES CTP]]*Tabla3[[#This Row],[CANTIDAD SOLICTADA]]</f>
        <v>0</v>
      </c>
      <c r="T835" s="41"/>
      <c r="U835" s="358" t="s">
        <v>5</v>
      </c>
      <c r="V835" s="360" t="s">
        <v>1991</v>
      </c>
      <c r="W835" s="366"/>
      <c r="X835" s="359"/>
      <c r="Y835" s="358"/>
      <c r="Z835" s="360"/>
      <c r="AA835" s="360"/>
      <c r="AB835" s="360"/>
      <c r="AC835" s="360"/>
      <c r="AD835" s="360"/>
      <c r="AE835" s="360"/>
      <c r="AF835" s="16"/>
      <c r="AG835" s="367" t="s">
        <v>1992</v>
      </c>
    </row>
    <row r="836" spans="1:33" ht="15.75" thickBot="1" x14ac:dyDescent="0.3">
      <c r="A836" s="356">
        <v>143</v>
      </c>
      <c r="B836" s="357">
        <v>46210</v>
      </c>
      <c r="C836" s="358" t="s">
        <v>87</v>
      </c>
      <c r="D836" s="359"/>
      <c r="E836" s="360"/>
      <c r="F836" s="361"/>
      <c r="G836" s="213" t="str">
        <f>IFERROR(VLOOKUP(Tabla3[[#This Row],[NUM ECONOMICO]],MAQUINARIA!B:H,7,0), " MAQ")</f>
        <v>INACTIVA</v>
      </c>
      <c r="H836" s="362" t="s">
        <v>1356</v>
      </c>
      <c r="I836" s="363" t="s">
        <v>1888</v>
      </c>
      <c r="J836" s="358" t="s">
        <v>1969</v>
      </c>
      <c r="K836" s="358">
        <v>1</v>
      </c>
      <c r="L836" s="364">
        <v>87438.82</v>
      </c>
      <c r="M836" s="364">
        <f t="shared" si="14"/>
        <v>87438.82</v>
      </c>
      <c r="N836" s="41" t="s">
        <v>1990</v>
      </c>
      <c r="O836" s="358"/>
      <c r="P836" s="365">
        <f>Tabla3[[#This Row],[COSTO UNITARIO DOLARES EN HAWTHORNE]]*Tabla3[[#This Row],[CANTIDAD SOLICTADA]]</f>
        <v>0</v>
      </c>
      <c r="Q836" s="41"/>
      <c r="R836" s="229"/>
      <c r="S836" s="229">
        <f>+Tabla3[[#This Row],[COSTO UNITARIO DOLARES CTP]]*Tabla3[[#This Row],[CANTIDAD SOLICTADA]]</f>
        <v>0</v>
      </c>
      <c r="T836" s="41"/>
      <c r="U836" s="358" t="s">
        <v>5</v>
      </c>
      <c r="V836" s="360" t="s">
        <v>1991</v>
      </c>
      <c r="W836" s="366"/>
      <c r="X836" s="359"/>
      <c r="Y836" s="358"/>
      <c r="Z836" s="360"/>
      <c r="AA836" s="360"/>
      <c r="AB836" s="360"/>
      <c r="AC836" s="360"/>
      <c r="AD836" s="360"/>
      <c r="AE836" s="360"/>
      <c r="AF836" s="16"/>
      <c r="AG836" s="367" t="s">
        <v>1992</v>
      </c>
    </row>
    <row r="837" spans="1:33" ht="15.75" thickBot="1" x14ac:dyDescent="0.3">
      <c r="A837" s="356">
        <v>143</v>
      </c>
      <c r="B837" s="357">
        <v>46210</v>
      </c>
      <c r="C837" s="358" t="s">
        <v>87</v>
      </c>
      <c r="D837" s="359"/>
      <c r="E837" s="360"/>
      <c r="F837" s="361"/>
      <c r="G837" s="213" t="str">
        <f>IFERROR(VLOOKUP(Tabla3[[#This Row],[NUM ECONOMICO]],MAQUINARIA!B:H,7,0), " MAQ")</f>
        <v>INACTIVA</v>
      </c>
      <c r="H837" s="362" t="s">
        <v>1356</v>
      </c>
      <c r="I837" s="363" t="s">
        <v>1889</v>
      </c>
      <c r="J837" s="358" t="s">
        <v>1962</v>
      </c>
      <c r="K837" s="358">
        <v>1</v>
      </c>
      <c r="L837" s="364">
        <v>2340.7800000000002</v>
      </c>
      <c r="M837" s="364">
        <f t="shared" si="14"/>
        <v>2340.7800000000002</v>
      </c>
      <c r="N837" s="41" t="s">
        <v>1990</v>
      </c>
      <c r="O837" s="358"/>
      <c r="P837" s="365">
        <f>Tabla3[[#This Row],[COSTO UNITARIO DOLARES EN HAWTHORNE]]*Tabla3[[#This Row],[CANTIDAD SOLICTADA]]</f>
        <v>0</v>
      </c>
      <c r="Q837" s="41"/>
      <c r="R837" s="229"/>
      <c r="S837" s="229">
        <f>+Tabla3[[#This Row],[COSTO UNITARIO DOLARES CTP]]*Tabla3[[#This Row],[CANTIDAD SOLICTADA]]</f>
        <v>0</v>
      </c>
      <c r="T837" s="41"/>
      <c r="U837" s="358" t="s">
        <v>5</v>
      </c>
      <c r="V837" s="360" t="s">
        <v>1991</v>
      </c>
      <c r="W837" s="366"/>
      <c r="X837" s="359"/>
      <c r="Y837" s="358"/>
      <c r="Z837" s="360"/>
      <c r="AA837" s="360"/>
      <c r="AB837" s="360"/>
      <c r="AC837" s="360"/>
      <c r="AD837" s="360"/>
      <c r="AE837" s="360"/>
      <c r="AF837" s="16"/>
      <c r="AG837" s="367" t="s">
        <v>1992</v>
      </c>
    </row>
    <row r="838" spans="1:33" ht="15.75" thickBot="1" x14ac:dyDescent="0.3">
      <c r="A838" s="356">
        <v>143</v>
      </c>
      <c r="B838" s="357">
        <v>46210</v>
      </c>
      <c r="C838" s="358" t="s">
        <v>87</v>
      </c>
      <c r="D838" s="359"/>
      <c r="E838" s="360"/>
      <c r="F838" s="361"/>
      <c r="G838" s="213" t="str">
        <f>IFERROR(VLOOKUP(Tabla3[[#This Row],[NUM ECONOMICO]],MAQUINARIA!B:H,7,0), " MAQ")</f>
        <v>INACTIVA</v>
      </c>
      <c r="H838" s="362" t="s">
        <v>1356</v>
      </c>
      <c r="I838" s="363" t="s">
        <v>1890</v>
      </c>
      <c r="J838" s="358" t="s">
        <v>1970</v>
      </c>
      <c r="K838" s="358">
        <v>1</v>
      </c>
      <c r="L838" s="364">
        <v>0</v>
      </c>
      <c r="M838" s="364">
        <f t="shared" si="14"/>
        <v>0</v>
      </c>
      <c r="N838" s="41" t="s">
        <v>1990</v>
      </c>
      <c r="O838" s="358"/>
      <c r="P838" s="365">
        <f>Tabla3[[#This Row],[COSTO UNITARIO DOLARES EN HAWTHORNE]]*Tabla3[[#This Row],[CANTIDAD SOLICTADA]]</f>
        <v>0</v>
      </c>
      <c r="Q838" s="41"/>
      <c r="R838" s="229"/>
      <c r="S838" s="229">
        <f>+Tabla3[[#This Row],[COSTO UNITARIO DOLARES CTP]]*Tabla3[[#This Row],[CANTIDAD SOLICTADA]]</f>
        <v>0</v>
      </c>
      <c r="T838" s="41"/>
      <c r="U838" s="358" t="s">
        <v>5</v>
      </c>
      <c r="V838" s="360" t="s">
        <v>1991</v>
      </c>
      <c r="W838" s="366"/>
      <c r="X838" s="359"/>
      <c r="Y838" s="358"/>
      <c r="Z838" s="360"/>
      <c r="AA838" s="360"/>
      <c r="AB838" s="360"/>
      <c r="AC838" s="360"/>
      <c r="AD838" s="360"/>
      <c r="AE838" s="360"/>
      <c r="AF838" s="16"/>
      <c r="AG838" s="367" t="s">
        <v>1992</v>
      </c>
    </row>
    <row r="839" spans="1:33" ht="15.75" thickBot="1" x14ac:dyDescent="0.3">
      <c r="A839" s="356">
        <v>143</v>
      </c>
      <c r="B839" s="357">
        <v>46210</v>
      </c>
      <c r="C839" s="358" t="s">
        <v>87</v>
      </c>
      <c r="D839" s="359"/>
      <c r="E839" s="360"/>
      <c r="F839" s="361"/>
      <c r="G839" s="213" t="str">
        <f>IFERROR(VLOOKUP(Tabla3[[#This Row],[NUM ECONOMICO]],MAQUINARIA!B:H,7,0), " MAQ")</f>
        <v>INACTIVA</v>
      </c>
      <c r="H839" s="362" t="s">
        <v>1356</v>
      </c>
      <c r="I839" s="363" t="s">
        <v>1891</v>
      </c>
      <c r="J839" s="358" t="s">
        <v>546</v>
      </c>
      <c r="K839" s="358">
        <v>2</v>
      </c>
      <c r="L839" s="364">
        <v>125.84</v>
      </c>
      <c r="M839" s="364">
        <f t="shared" si="14"/>
        <v>251.68</v>
      </c>
      <c r="N839" s="41" t="s">
        <v>1990</v>
      </c>
      <c r="O839" s="358"/>
      <c r="P839" s="365">
        <f>Tabla3[[#This Row],[COSTO UNITARIO DOLARES EN HAWTHORNE]]*Tabla3[[#This Row],[CANTIDAD SOLICTADA]]</f>
        <v>0</v>
      </c>
      <c r="Q839" s="41"/>
      <c r="R839" s="229"/>
      <c r="S839" s="229">
        <f>+Tabla3[[#This Row],[COSTO UNITARIO DOLARES CTP]]*Tabla3[[#This Row],[CANTIDAD SOLICTADA]]</f>
        <v>0</v>
      </c>
      <c r="T839" s="41"/>
      <c r="U839" s="358" t="s">
        <v>5</v>
      </c>
      <c r="V839" s="360" t="s">
        <v>1991</v>
      </c>
      <c r="W839" s="366"/>
      <c r="X839" s="359"/>
      <c r="Y839" s="358"/>
      <c r="Z839" s="360"/>
      <c r="AA839" s="360"/>
      <c r="AB839" s="360"/>
      <c r="AC839" s="360"/>
      <c r="AD839" s="360"/>
      <c r="AE839" s="360"/>
      <c r="AF839" s="16"/>
      <c r="AG839" s="367" t="s">
        <v>1992</v>
      </c>
    </row>
    <row r="840" spans="1:33" ht="15.75" thickBot="1" x14ac:dyDescent="0.3">
      <c r="A840" s="356">
        <v>143</v>
      </c>
      <c r="B840" s="357">
        <v>46210</v>
      </c>
      <c r="C840" s="358" t="s">
        <v>87</v>
      </c>
      <c r="D840" s="359"/>
      <c r="E840" s="360"/>
      <c r="F840" s="361"/>
      <c r="G840" s="213" t="str">
        <f>IFERROR(VLOOKUP(Tabla3[[#This Row],[NUM ECONOMICO]],MAQUINARIA!B:H,7,0), " MAQ")</f>
        <v>INACTIVA</v>
      </c>
      <c r="H840" s="362" t="s">
        <v>1356</v>
      </c>
      <c r="I840" s="363" t="s">
        <v>679</v>
      </c>
      <c r="J840" s="358" t="s">
        <v>220</v>
      </c>
      <c r="K840" s="358">
        <v>2</v>
      </c>
      <c r="L840" s="364">
        <v>295.17</v>
      </c>
      <c r="M840" s="364">
        <f t="shared" si="14"/>
        <v>590.34</v>
      </c>
      <c r="N840" s="41" t="s">
        <v>1990</v>
      </c>
      <c r="O840" s="358"/>
      <c r="P840" s="365">
        <f>Tabla3[[#This Row],[COSTO UNITARIO DOLARES EN HAWTHORNE]]*Tabla3[[#This Row],[CANTIDAD SOLICTADA]]</f>
        <v>0</v>
      </c>
      <c r="Q840" s="41"/>
      <c r="R840" s="229"/>
      <c r="S840" s="229">
        <f>+Tabla3[[#This Row],[COSTO UNITARIO DOLARES CTP]]*Tabla3[[#This Row],[CANTIDAD SOLICTADA]]</f>
        <v>0</v>
      </c>
      <c r="T840" s="41"/>
      <c r="U840" s="358" t="s">
        <v>5</v>
      </c>
      <c r="V840" s="360" t="s">
        <v>1991</v>
      </c>
      <c r="W840" s="366"/>
      <c r="X840" s="359"/>
      <c r="Y840" s="358"/>
      <c r="Z840" s="360"/>
      <c r="AA840" s="360"/>
      <c r="AB840" s="360"/>
      <c r="AC840" s="360"/>
      <c r="AD840" s="360"/>
      <c r="AE840" s="360"/>
      <c r="AF840" s="16"/>
      <c r="AG840" s="367" t="s">
        <v>1992</v>
      </c>
    </row>
    <row r="841" spans="1:33" ht="15.75" thickBot="1" x14ac:dyDescent="0.3">
      <c r="A841" s="356">
        <v>143</v>
      </c>
      <c r="B841" s="357">
        <v>46210</v>
      </c>
      <c r="C841" s="358" t="s">
        <v>87</v>
      </c>
      <c r="D841" s="359"/>
      <c r="E841" s="360"/>
      <c r="F841" s="361"/>
      <c r="G841" s="213" t="str">
        <f>IFERROR(VLOOKUP(Tabla3[[#This Row],[NUM ECONOMICO]],MAQUINARIA!B:H,7,0), " MAQ")</f>
        <v>INACTIVA</v>
      </c>
      <c r="H841" s="362" t="s">
        <v>1356</v>
      </c>
      <c r="I841" s="363" t="s">
        <v>1892</v>
      </c>
      <c r="J841" s="358" t="s">
        <v>1961</v>
      </c>
      <c r="K841" s="358">
        <v>1</v>
      </c>
      <c r="L841" s="364">
        <v>173.09</v>
      </c>
      <c r="M841" s="364">
        <f t="shared" si="14"/>
        <v>173.09</v>
      </c>
      <c r="N841" s="41" t="s">
        <v>1990</v>
      </c>
      <c r="O841" s="358"/>
      <c r="P841" s="365">
        <f>Tabla3[[#This Row],[COSTO UNITARIO DOLARES EN HAWTHORNE]]*Tabla3[[#This Row],[CANTIDAD SOLICTADA]]</f>
        <v>0</v>
      </c>
      <c r="Q841" s="41"/>
      <c r="R841" s="229"/>
      <c r="S841" s="229">
        <f>+Tabla3[[#This Row],[COSTO UNITARIO DOLARES CTP]]*Tabla3[[#This Row],[CANTIDAD SOLICTADA]]</f>
        <v>0</v>
      </c>
      <c r="T841" s="41"/>
      <c r="U841" s="358" t="s">
        <v>5</v>
      </c>
      <c r="V841" s="360" t="s">
        <v>1991</v>
      </c>
      <c r="W841" s="366"/>
      <c r="X841" s="359"/>
      <c r="Y841" s="358"/>
      <c r="Z841" s="360"/>
      <c r="AA841" s="360"/>
      <c r="AB841" s="360"/>
      <c r="AC841" s="360"/>
      <c r="AD841" s="360"/>
      <c r="AE841" s="360"/>
      <c r="AF841" s="16"/>
      <c r="AG841" s="367" t="s">
        <v>1992</v>
      </c>
    </row>
    <row r="842" spans="1:33" ht="15.75" thickBot="1" x14ac:dyDescent="0.3">
      <c r="A842" s="356">
        <v>143</v>
      </c>
      <c r="B842" s="357">
        <v>46210</v>
      </c>
      <c r="C842" s="358" t="s">
        <v>87</v>
      </c>
      <c r="D842" s="359"/>
      <c r="E842" s="360"/>
      <c r="F842" s="361"/>
      <c r="G842" s="213" t="str">
        <f>IFERROR(VLOOKUP(Tabla3[[#This Row],[NUM ECONOMICO]],MAQUINARIA!B:H,7,0), " MAQ")</f>
        <v>INACTIVA</v>
      </c>
      <c r="H842" s="362" t="s">
        <v>1356</v>
      </c>
      <c r="I842" s="363" t="s">
        <v>323</v>
      </c>
      <c r="J842" s="358" t="s">
        <v>1961</v>
      </c>
      <c r="K842" s="358">
        <v>1</v>
      </c>
      <c r="L842" s="364">
        <v>48.33</v>
      </c>
      <c r="M842" s="364">
        <f t="shared" si="14"/>
        <v>48.33</v>
      </c>
      <c r="N842" s="41" t="s">
        <v>1990</v>
      </c>
      <c r="O842" s="358"/>
      <c r="P842" s="365">
        <f>Tabla3[[#This Row],[COSTO UNITARIO DOLARES EN HAWTHORNE]]*Tabla3[[#This Row],[CANTIDAD SOLICTADA]]</f>
        <v>0</v>
      </c>
      <c r="Q842" s="41"/>
      <c r="R842" s="229"/>
      <c r="S842" s="229">
        <f>+Tabla3[[#This Row],[COSTO UNITARIO DOLARES CTP]]*Tabla3[[#This Row],[CANTIDAD SOLICTADA]]</f>
        <v>0</v>
      </c>
      <c r="T842" s="41"/>
      <c r="U842" s="358" t="s">
        <v>5</v>
      </c>
      <c r="V842" s="360" t="s">
        <v>1991</v>
      </c>
      <c r="W842" s="366"/>
      <c r="X842" s="359"/>
      <c r="Y842" s="358"/>
      <c r="Z842" s="360"/>
      <c r="AA842" s="360"/>
      <c r="AB842" s="360"/>
      <c r="AC842" s="360"/>
      <c r="AD842" s="360"/>
      <c r="AE842" s="360"/>
      <c r="AF842" s="16"/>
      <c r="AG842" s="367" t="s">
        <v>1992</v>
      </c>
    </row>
    <row r="843" spans="1:33" ht="15.75" thickBot="1" x14ac:dyDescent="0.3">
      <c r="A843" s="356">
        <v>143</v>
      </c>
      <c r="B843" s="357">
        <v>46210</v>
      </c>
      <c r="C843" s="358" t="s">
        <v>87</v>
      </c>
      <c r="D843" s="359"/>
      <c r="E843" s="360"/>
      <c r="F843" s="361"/>
      <c r="G843" s="213" t="str">
        <f>IFERROR(VLOOKUP(Tabla3[[#This Row],[NUM ECONOMICO]],MAQUINARIA!B:H,7,0), " MAQ")</f>
        <v>INACTIVA</v>
      </c>
      <c r="H843" s="362" t="s">
        <v>1356</v>
      </c>
      <c r="I843" s="363" t="s">
        <v>334</v>
      </c>
      <c r="J843" s="358" t="s">
        <v>506</v>
      </c>
      <c r="K843" s="358">
        <v>2</v>
      </c>
      <c r="L843" s="364">
        <v>31.5</v>
      </c>
      <c r="M843" s="364">
        <f t="shared" si="14"/>
        <v>63</v>
      </c>
      <c r="N843" s="41" t="s">
        <v>1990</v>
      </c>
      <c r="O843" s="358"/>
      <c r="P843" s="365">
        <f>Tabla3[[#This Row],[COSTO UNITARIO DOLARES EN HAWTHORNE]]*Tabla3[[#This Row],[CANTIDAD SOLICTADA]]</f>
        <v>0</v>
      </c>
      <c r="Q843" s="41"/>
      <c r="R843" s="229"/>
      <c r="S843" s="229">
        <f>+Tabla3[[#This Row],[COSTO UNITARIO DOLARES CTP]]*Tabla3[[#This Row],[CANTIDAD SOLICTADA]]</f>
        <v>0</v>
      </c>
      <c r="T843" s="41"/>
      <c r="U843" s="358" t="s">
        <v>5</v>
      </c>
      <c r="V843" s="360" t="s">
        <v>1991</v>
      </c>
      <c r="W843" s="366"/>
      <c r="X843" s="359"/>
      <c r="Y843" s="358"/>
      <c r="Z843" s="360"/>
      <c r="AA843" s="360"/>
      <c r="AB843" s="360"/>
      <c r="AC843" s="360"/>
      <c r="AD843" s="360"/>
      <c r="AE843" s="360"/>
      <c r="AF843" s="16"/>
      <c r="AG843" s="367" t="s">
        <v>1992</v>
      </c>
    </row>
    <row r="844" spans="1:33" ht="15.75" thickBot="1" x14ac:dyDescent="0.3">
      <c r="A844" s="356">
        <v>143</v>
      </c>
      <c r="B844" s="357">
        <v>46210</v>
      </c>
      <c r="C844" s="358" t="s">
        <v>87</v>
      </c>
      <c r="D844" s="359"/>
      <c r="E844" s="360"/>
      <c r="F844" s="361"/>
      <c r="G844" s="213" t="str">
        <f>IFERROR(VLOOKUP(Tabla3[[#This Row],[NUM ECONOMICO]],MAQUINARIA!B:H,7,0), " MAQ")</f>
        <v>INACTIVA</v>
      </c>
      <c r="H844" s="362" t="s">
        <v>1356</v>
      </c>
      <c r="I844" s="363" t="s">
        <v>1893</v>
      </c>
      <c r="J844" s="358" t="s">
        <v>1961</v>
      </c>
      <c r="K844" s="358">
        <v>1</v>
      </c>
      <c r="L844" s="364">
        <v>122.61</v>
      </c>
      <c r="M844" s="364">
        <f t="shared" si="14"/>
        <v>122.61</v>
      </c>
      <c r="N844" s="41" t="s">
        <v>1990</v>
      </c>
      <c r="O844" s="358"/>
      <c r="P844" s="365">
        <f>Tabla3[[#This Row],[COSTO UNITARIO DOLARES EN HAWTHORNE]]*Tabla3[[#This Row],[CANTIDAD SOLICTADA]]</f>
        <v>0</v>
      </c>
      <c r="Q844" s="41"/>
      <c r="R844" s="229"/>
      <c r="S844" s="229">
        <f>+Tabla3[[#This Row],[COSTO UNITARIO DOLARES CTP]]*Tabla3[[#This Row],[CANTIDAD SOLICTADA]]</f>
        <v>0</v>
      </c>
      <c r="T844" s="41"/>
      <c r="U844" s="358" t="s">
        <v>5</v>
      </c>
      <c r="V844" s="360" t="s">
        <v>1991</v>
      </c>
      <c r="W844" s="366"/>
      <c r="X844" s="359"/>
      <c r="Y844" s="358"/>
      <c r="Z844" s="360"/>
      <c r="AA844" s="360"/>
      <c r="AB844" s="360"/>
      <c r="AC844" s="360"/>
      <c r="AD844" s="360"/>
      <c r="AE844" s="360"/>
      <c r="AF844" s="16"/>
      <c r="AG844" s="367" t="s">
        <v>1992</v>
      </c>
    </row>
    <row r="845" spans="1:33" ht="15.75" thickBot="1" x14ac:dyDescent="0.3">
      <c r="A845" s="356">
        <v>143</v>
      </c>
      <c r="B845" s="357">
        <v>46210</v>
      </c>
      <c r="C845" s="358" t="s">
        <v>87</v>
      </c>
      <c r="D845" s="359"/>
      <c r="E845" s="360"/>
      <c r="F845" s="361"/>
      <c r="G845" s="213" t="str">
        <f>IFERROR(VLOOKUP(Tabla3[[#This Row],[NUM ECONOMICO]],MAQUINARIA!B:H,7,0), " MAQ")</f>
        <v>INACTIVA</v>
      </c>
      <c r="H845" s="362" t="s">
        <v>1356</v>
      </c>
      <c r="I845" s="363" t="s">
        <v>1894</v>
      </c>
      <c r="J845" s="358" t="s">
        <v>1971</v>
      </c>
      <c r="K845" s="358">
        <v>1</v>
      </c>
      <c r="L845" s="364">
        <v>55.85</v>
      </c>
      <c r="M845" s="364">
        <f t="shared" si="14"/>
        <v>55.85</v>
      </c>
      <c r="N845" s="41" t="s">
        <v>1990</v>
      </c>
      <c r="O845" s="358"/>
      <c r="P845" s="365">
        <f>Tabla3[[#This Row],[COSTO UNITARIO DOLARES EN HAWTHORNE]]*Tabla3[[#This Row],[CANTIDAD SOLICTADA]]</f>
        <v>0</v>
      </c>
      <c r="Q845" s="41"/>
      <c r="R845" s="229"/>
      <c r="S845" s="229">
        <f>+Tabla3[[#This Row],[COSTO UNITARIO DOLARES CTP]]*Tabla3[[#This Row],[CANTIDAD SOLICTADA]]</f>
        <v>0</v>
      </c>
      <c r="T845" s="41"/>
      <c r="U845" s="358" t="s">
        <v>5</v>
      </c>
      <c r="V845" s="360" t="s">
        <v>1991</v>
      </c>
      <c r="W845" s="366"/>
      <c r="X845" s="359"/>
      <c r="Y845" s="358"/>
      <c r="Z845" s="360"/>
      <c r="AA845" s="360"/>
      <c r="AB845" s="360"/>
      <c r="AC845" s="360"/>
      <c r="AD845" s="360"/>
      <c r="AE845" s="360"/>
      <c r="AF845" s="16"/>
      <c r="AG845" s="367" t="s">
        <v>1992</v>
      </c>
    </row>
    <row r="846" spans="1:33" ht="15.75" thickBot="1" x14ac:dyDescent="0.3">
      <c r="A846" s="356">
        <v>143</v>
      </c>
      <c r="B846" s="357">
        <v>46210</v>
      </c>
      <c r="C846" s="358" t="s">
        <v>87</v>
      </c>
      <c r="D846" s="359"/>
      <c r="E846" s="360"/>
      <c r="F846" s="361"/>
      <c r="G846" s="213" t="str">
        <f>IFERROR(VLOOKUP(Tabla3[[#This Row],[NUM ECONOMICO]],MAQUINARIA!B:H,7,0), " MAQ")</f>
        <v>INACTIVA</v>
      </c>
      <c r="H846" s="362" t="s">
        <v>1356</v>
      </c>
      <c r="I846" s="363" t="s">
        <v>1895</v>
      </c>
      <c r="J846" s="358" t="s">
        <v>220</v>
      </c>
      <c r="K846" s="358">
        <v>1</v>
      </c>
      <c r="L846" s="364">
        <v>475.42</v>
      </c>
      <c r="M846" s="364">
        <f t="shared" si="14"/>
        <v>475.42</v>
      </c>
      <c r="N846" s="41" t="s">
        <v>1990</v>
      </c>
      <c r="O846" s="358"/>
      <c r="P846" s="365">
        <f>Tabla3[[#This Row],[COSTO UNITARIO DOLARES EN HAWTHORNE]]*Tabla3[[#This Row],[CANTIDAD SOLICTADA]]</f>
        <v>0</v>
      </c>
      <c r="Q846" s="41"/>
      <c r="R846" s="229"/>
      <c r="S846" s="229">
        <f>+Tabla3[[#This Row],[COSTO UNITARIO DOLARES CTP]]*Tabla3[[#This Row],[CANTIDAD SOLICTADA]]</f>
        <v>0</v>
      </c>
      <c r="T846" s="41"/>
      <c r="U846" s="358" t="s">
        <v>5</v>
      </c>
      <c r="V846" s="360" t="s">
        <v>1991</v>
      </c>
      <c r="W846" s="366"/>
      <c r="X846" s="359"/>
      <c r="Y846" s="358"/>
      <c r="Z846" s="360"/>
      <c r="AA846" s="360"/>
      <c r="AB846" s="360"/>
      <c r="AC846" s="360"/>
      <c r="AD846" s="360"/>
      <c r="AE846" s="360"/>
      <c r="AF846" s="16"/>
      <c r="AG846" s="367" t="s">
        <v>1992</v>
      </c>
    </row>
    <row r="847" spans="1:33" ht="15.75" thickBot="1" x14ac:dyDescent="0.3">
      <c r="A847" s="356">
        <v>143</v>
      </c>
      <c r="B847" s="357">
        <v>46210</v>
      </c>
      <c r="C847" s="358" t="s">
        <v>87</v>
      </c>
      <c r="D847" s="359"/>
      <c r="E847" s="360"/>
      <c r="F847" s="361"/>
      <c r="G847" s="213" t="str">
        <f>IFERROR(VLOOKUP(Tabla3[[#This Row],[NUM ECONOMICO]],MAQUINARIA!B:H,7,0), " MAQ")</f>
        <v>INACTIVA</v>
      </c>
      <c r="H847" s="362" t="s">
        <v>1356</v>
      </c>
      <c r="I847" s="363" t="s">
        <v>330</v>
      </c>
      <c r="J847" s="358" t="s">
        <v>1961</v>
      </c>
      <c r="K847" s="358">
        <v>1</v>
      </c>
      <c r="L847" s="364">
        <v>153.4</v>
      </c>
      <c r="M847" s="364">
        <f t="shared" si="14"/>
        <v>153.4</v>
      </c>
      <c r="N847" s="41" t="s">
        <v>1990</v>
      </c>
      <c r="O847" s="358"/>
      <c r="P847" s="365">
        <f>Tabla3[[#This Row],[COSTO UNITARIO DOLARES EN HAWTHORNE]]*Tabla3[[#This Row],[CANTIDAD SOLICTADA]]</f>
        <v>0</v>
      </c>
      <c r="Q847" s="41"/>
      <c r="R847" s="229"/>
      <c r="S847" s="229">
        <f>+Tabla3[[#This Row],[COSTO UNITARIO DOLARES CTP]]*Tabla3[[#This Row],[CANTIDAD SOLICTADA]]</f>
        <v>0</v>
      </c>
      <c r="T847" s="41"/>
      <c r="U847" s="358" t="s">
        <v>5</v>
      </c>
      <c r="V847" s="360" t="s">
        <v>1991</v>
      </c>
      <c r="W847" s="366"/>
      <c r="X847" s="359"/>
      <c r="Y847" s="358"/>
      <c r="Z847" s="360"/>
      <c r="AA847" s="360"/>
      <c r="AB847" s="360"/>
      <c r="AC847" s="360"/>
      <c r="AD847" s="360"/>
      <c r="AE847" s="360"/>
      <c r="AF847" s="16"/>
      <c r="AG847" s="367" t="s">
        <v>1992</v>
      </c>
    </row>
    <row r="848" spans="1:33" ht="15.75" thickBot="1" x14ac:dyDescent="0.3">
      <c r="A848" s="356">
        <v>143</v>
      </c>
      <c r="B848" s="357">
        <v>46210</v>
      </c>
      <c r="C848" s="358" t="s">
        <v>87</v>
      </c>
      <c r="D848" s="359"/>
      <c r="E848" s="360"/>
      <c r="F848" s="361"/>
      <c r="G848" s="213" t="str">
        <f>IFERROR(VLOOKUP(Tabla3[[#This Row],[NUM ECONOMICO]],MAQUINARIA!B:H,7,0), " MAQ")</f>
        <v>INACTIVA</v>
      </c>
      <c r="H848" s="362" t="s">
        <v>1356</v>
      </c>
      <c r="I848" s="363" t="s">
        <v>1896</v>
      </c>
      <c r="J848" s="358" t="s">
        <v>220</v>
      </c>
      <c r="K848" s="358">
        <v>1</v>
      </c>
      <c r="L848" s="364">
        <v>198.33</v>
      </c>
      <c r="M848" s="364">
        <f t="shared" si="14"/>
        <v>198.33</v>
      </c>
      <c r="N848" s="41" t="s">
        <v>1990</v>
      </c>
      <c r="O848" s="358"/>
      <c r="P848" s="365">
        <f>Tabla3[[#This Row],[COSTO UNITARIO DOLARES EN HAWTHORNE]]*Tabla3[[#This Row],[CANTIDAD SOLICTADA]]</f>
        <v>0</v>
      </c>
      <c r="Q848" s="41"/>
      <c r="R848" s="229"/>
      <c r="S848" s="229">
        <f>+Tabla3[[#This Row],[COSTO UNITARIO DOLARES CTP]]*Tabla3[[#This Row],[CANTIDAD SOLICTADA]]</f>
        <v>0</v>
      </c>
      <c r="T848" s="41"/>
      <c r="U848" s="358" t="s">
        <v>5</v>
      </c>
      <c r="V848" s="360" t="s">
        <v>1991</v>
      </c>
      <c r="W848" s="366"/>
      <c r="X848" s="359"/>
      <c r="Y848" s="358"/>
      <c r="Z848" s="360"/>
      <c r="AA848" s="360"/>
      <c r="AB848" s="360"/>
      <c r="AC848" s="360"/>
      <c r="AD848" s="360"/>
      <c r="AE848" s="360"/>
      <c r="AF848" s="16"/>
      <c r="AG848" s="367" t="s">
        <v>1992</v>
      </c>
    </row>
    <row r="849" spans="1:33" ht="15.75" thickBot="1" x14ac:dyDescent="0.3">
      <c r="A849" s="356">
        <v>143</v>
      </c>
      <c r="B849" s="357">
        <v>46210</v>
      </c>
      <c r="C849" s="358" t="s">
        <v>87</v>
      </c>
      <c r="D849" s="359"/>
      <c r="E849" s="360"/>
      <c r="F849" s="361"/>
      <c r="G849" s="213" t="str">
        <f>IFERROR(VLOOKUP(Tabla3[[#This Row],[NUM ECONOMICO]],MAQUINARIA!B:H,7,0), " MAQ")</f>
        <v>INACTIVA</v>
      </c>
      <c r="H849" s="362" t="s">
        <v>1356</v>
      </c>
      <c r="I849" s="363" t="s">
        <v>1897</v>
      </c>
      <c r="J849" s="358" t="s">
        <v>220</v>
      </c>
      <c r="K849" s="358">
        <v>1</v>
      </c>
      <c r="L849" s="364">
        <v>608.05999999999995</v>
      </c>
      <c r="M849" s="364">
        <f t="shared" ref="M849:M880" si="15">+L849*K849</f>
        <v>608.05999999999995</v>
      </c>
      <c r="N849" s="41" t="s">
        <v>1990</v>
      </c>
      <c r="O849" s="358"/>
      <c r="P849" s="365">
        <f>Tabla3[[#This Row],[COSTO UNITARIO DOLARES EN HAWTHORNE]]*Tabla3[[#This Row],[CANTIDAD SOLICTADA]]</f>
        <v>0</v>
      </c>
      <c r="Q849" s="41"/>
      <c r="R849" s="229"/>
      <c r="S849" s="229">
        <f>+Tabla3[[#This Row],[COSTO UNITARIO DOLARES CTP]]*Tabla3[[#This Row],[CANTIDAD SOLICTADA]]</f>
        <v>0</v>
      </c>
      <c r="T849" s="41"/>
      <c r="U849" s="358" t="s">
        <v>5</v>
      </c>
      <c r="V849" s="360" t="s">
        <v>1991</v>
      </c>
      <c r="W849" s="366"/>
      <c r="X849" s="359"/>
      <c r="Y849" s="358"/>
      <c r="Z849" s="360"/>
      <c r="AA849" s="360"/>
      <c r="AB849" s="360"/>
      <c r="AC849" s="360"/>
      <c r="AD849" s="360"/>
      <c r="AE849" s="360"/>
      <c r="AF849" s="16"/>
      <c r="AG849" s="367" t="s">
        <v>1992</v>
      </c>
    </row>
    <row r="850" spans="1:33" ht="15.75" thickBot="1" x14ac:dyDescent="0.3">
      <c r="A850" s="356">
        <v>143</v>
      </c>
      <c r="B850" s="357">
        <v>46210</v>
      </c>
      <c r="C850" s="358" t="s">
        <v>87</v>
      </c>
      <c r="D850" s="359"/>
      <c r="E850" s="360"/>
      <c r="F850" s="361"/>
      <c r="G850" s="213" t="str">
        <f>IFERROR(VLOOKUP(Tabla3[[#This Row],[NUM ECONOMICO]],MAQUINARIA!B:H,7,0), " MAQ")</f>
        <v>INACTIVA</v>
      </c>
      <c r="H850" s="362" t="s">
        <v>1356</v>
      </c>
      <c r="I850" s="363" t="s">
        <v>341</v>
      </c>
      <c r="J850" s="358" t="s">
        <v>546</v>
      </c>
      <c r="K850" s="358">
        <v>1</v>
      </c>
      <c r="L850" s="364">
        <v>52.63</v>
      </c>
      <c r="M850" s="364">
        <f t="shared" si="15"/>
        <v>52.63</v>
      </c>
      <c r="N850" s="41" t="s">
        <v>1990</v>
      </c>
      <c r="O850" s="358"/>
      <c r="P850" s="365">
        <f>Tabla3[[#This Row],[COSTO UNITARIO DOLARES EN HAWTHORNE]]*Tabla3[[#This Row],[CANTIDAD SOLICTADA]]</f>
        <v>0</v>
      </c>
      <c r="Q850" s="41"/>
      <c r="R850" s="229"/>
      <c r="S850" s="229">
        <f>+Tabla3[[#This Row],[COSTO UNITARIO DOLARES CTP]]*Tabla3[[#This Row],[CANTIDAD SOLICTADA]]</f>
        <v>0</v>
      </c>
      <c r="T850" s="41"/>
      <c r="U850" s="358" t="s">
        <v>5</v>
      </c>
      <c r="V850" s="360" t="s">
        <v>1991</v>
      </c>
      <c r="W850" s="366"/>
      <c r="X850" s="359"/>
      <c r="Y850" s="358"/>
      <c r="Z850" s="360"/>
      <c r="AA850" s="360"/>
      <c r="AB850" s="360"/>
      <c r="AC850" s="360"/>
      <c r="AD850" s="360"/>
      <c r="AE850" s="360"/>
      <c r="AF850" s="16"/>
      <c r="AG850" s="367" t="s">
        <v>1992</v>
      </c>
    </row>
    <row r="851" spans="1:33" ht="15.75" thickBot="1" x14ac:dyDescent="0.3">
      <c r="A851" s="356">
        <v>143</v>
      </c>
      <c r="B851" s="357">
        <v>46210</v>
      </c>
      <c r="C851" s="358" t="s">
        <v>87</v>
      </c>
      <c r="D851" s="359"/>
      <c r="E851" s="360"/>
      <c r="F851" s="361"/>
      <c r="G851" s="213" t="str">
        <f>IFERROR(VLOOKUP(Tabla3[[#This Row],[NUM ECONOMICO]],MAQUINARIA!B:H,7,0), " MAQ")</f>
        <v>INACTIVA</v>
      </c>
      <c r="H851" s="362" t="s">
        <v>1356</v>
      </c>
      <c r="I851" s="363" t="s">
        <v>297</v>
      </c>
      <c r="J851" s="358" t="s">
        <v>1961</v>
      </c>
      <c r="K851" s="358">
        <v>2</v>
      </c>
      <c r="L851" s="364">
        <v>178.82</v>
      </c>
      <c r="M851" s="364">
        <f t="shared" si="15"/>
        <v>357.64</v>
      </c>
      <c r="N851" s="41" t="s">
        <v>1990</v>
      </c>
      <c r="O851" s="358"/>
      <c r="P851" s="365">
        <f>Tabla3[[#This Row],[COSTO UNITARIO DOLARES EN HAWTHORNE]]*Tabla3[[#This Row],[CANTIDAD SOLICTADA]]</f>
        <v>0</v>
      </c>
      <c r="Q851" s="41"/>
      <c r="R851" s="229"/>
      <c r="S851" s="229">
        <f>+Tabla3[[#This Row],[COSTO UNITARIO DOLARES CTP]]*Tabla3[[#This Row],[CANTIDAD SOLICTADA]]</f>
        <v>0</v>
      </c>
      <c r="T851" s="41"/>
      <c r="U851" s="358" t="s">
        <v>5</v>
      </c>
      <c r="V851" s="360" t="s">
        <v>1991</v>
      </c>
      <c r="W851" s="366"/>
      <c r="X851" s="359"/>
      <c r="Y851" s="358"/>
      <c r="Z851" s="360"/>
      <c r="AA851" s="360"/>
      <c r="AB851" s="360"/>
      <c r="AC851" s="360"/>
      <c r="AD851" s="360"/>
      <c r="AE851" s="360"/>
      <c r="AF851" s="16"/>
      <c r="AG851" s="367" t="s">
        <v>1992</v>
      </c>
    </row>
    <row r="852" spans="1:33" ht="15.75" thickBot="1" x14ac:dyDescent="0.3">
      <c r="A852" s="356">
        <v>143</v>
      </c>
      <c r="B852" s="357">
        <v>46210</v>
      </c>
      <c r="C852" s="358" t="s">
        <v>87</v>
      </c>
      <c r="D852" s="359"/>
      <c r="E852" s="360"/>
      <c r="F852" s="361"/>
      <c r="G852" s="213" t="str">
        <f>IFERROR(VLOOKUP(Tabla3[[#This Row],[NUM ECONOMICO]],MAQUINARIA!B:H,7,0), " MAQ")</f>
        <v>INACTIVA</v>
      </c>
      <c r="H852" s="362" t="s">
        <v>1356</v>
      </c>
      <c r="I852" s="363" t="s">
        <v>339</v>
      </c>
      <c r="J852" s="358" t="s">
        <v>546</v>
      </c>
      <c r="K852" s="358">
        <v>2</v>
      </c>
      <c r="L852" s="364">
        <v>137.83000000000001</v>
      </c>
      <c r="M852" s="364">
        <f t="shared" si="15"/>
        <v>275.66000000000003</v>
      </c>
      <c r="N852" s="41" t="s">
        <v>1990</v>
      </c>
      <c r="O852" s="358"/>
      <c r="P852" s="365">
        <f>Tabla3[[#This Row],[COSTO UNITARIO DOLARES EN HAWTHORNE]]*Tabla3[[#This Row],[CANTIDAD SOLICTADA]]</f>
        <v>0</v>
      </c>
      <c r="Q852" s="41"/>
      <c r="R852" s="229"/>
      <c r="S852" s="229">
        <f>+Tabla3[[#This Row],[COSTO UNITARIO DOLARES CTP]]*Tabla3[[#This Row],[CANTIDAD SOLICTADA]]</f>
        <v>0</v>
      </c>
      <c r="T852" s="41"/>
      <c r="U852" s="358" t="s">
        <v>5</v>
      </c>
      <c r="V852" s="360" t="s">
        <v>1991</v>
      </c>
      <c r="W852" s="366"/>
      <c r="X852" s="359"/>
      <c r="Y852" s="358"/>
      <c r="Z852" s="360"/>
      <c r="AA852" s="360"/>
      <c r="AB852" s="360"/>
      <c r="AC852" s="360"/>
      <c r="AD852" s="360"/>
      <c r="AE852" s="360"/>
      <c r="AF852" s="16"/>
      <c r="AG852" s="367" t="s">
        <v>1992</v>
      </c>
    </row>
    <row r="853" spans="1:33" ht="15.75" thickBot="1" x14ac:dyDescent="0.3">
      <c r="A853" s="356">
        <v>143</v>
      </c>
      <c r="B853" s="357">
        <v>46210</v>
      </c>
      <c r="C853" s="358" t="s">
        <v>87</v>
      </c>
      <c r="D853" s="359"/>
      <c r="E853" s="360"/>
      <c r="F853" s="361"/>
      <c r="G853" s="213" t="str">
        <f>IFERROR(VLOOKUP(Tabla3[[#This Row],[NUM ECONOMICO]],MAQUINARIA!B:H,7,0), " MAQ")</f>
        <v>INACTIVA</v>
      </c>
      <c r="H853" s="362" t="s">
        <v>1356</v>
      </c>
      <c r="I853" s="363" t="s">
        <v>1898</v>
      </c>
      <c r="J853" s="358" t="s">
        <v>546</v>
      </c>
      <c r="K853" s="358">
        <v>1</v>
      </c>
      <c r="L853" s="364">
        <v>427.81</v>
      </c>
      <c r="M853" s="364">
        <f t="shared" si="15"/>
        <v>427.81</v>
      </c>
      <c r="N853" s="41" t="s">
        <v>1990</v>
      </c>
      <c r="O853" s="358"/>
      <c r="P853" s="365">
        <f>Tabla3[[#This Row],[COSTO UNITARIO DOLARES EN HAWTHORNE]]*Tabla3[[#This Row],[CANTIDAD SOLICTADA]]</f>
        <v>0</v>
      </c>
      <c r="Q853" s="41"/>
      <c r="R853" s="229"/>
      <c r="S853" s="229">
        <f>+Tabla3[[#This Row],[COSTO UNITARIO DOLARES CTP]]*Tabla3[[#This Row],[CANTIDAD SOLICTADA]]</f>
        <v>0</v>
      </c>
      <c r="T853" s="41"/>
      <c r="U853" s="358" t="s">
        <v>5</v>
      </c>
      <c r="V853" s="360" t="s">
        <v>1991</v>
      </c>
      <c r="W853" s="366"/>
      <c r="X853" s="359"/>
      <c r="Y853" s="358"/>
      <c r="Z853" s="360"/>
      <c r="AA853" s="360"/>
      <c r="AB853" s="360"/>
      <c r="AC853" s="360"/>
      <c r="AD853" s="360"/>
      <c r="AE853" s="360"/>
      <c r="AF853" s="16"/>
      <c r="AG853" s="367" t="s">
        <v>1992</v>
      </c>
    </row>
    <row r="854" spans="1:33" ht="15.75" thickBot="1" x14ac:dyDescent="0.3">
      <c r="A854" s="356">
        <v>143</v>
      </c>
      <c r="B854" s="357">
        <v>46210</v>
      </c>
      <c r="C854" s="358" t="s">
        <v>87</v>
      </c>
      <c r="D854" s="359"/>
      <c r="E854" s="360"/>
      <c r="F854" s="361"/>
      <c r="G854" s="213" t="str">
        <f>IFERROR(VLOOKUP(Tabla3[[#This Row],[NUM ECONOMICO]],MAQUINARIA!B:H,7,0), " MAQ")</f>
        <v>INACTIVA</v>
      </c>
      <c r="H854" s="362" t="s">
        <v>1356</v>
      </c>
      <c r="I854" s="363" t="s">
        <v>1082</v>
      </c>
      <c r="J854" s="358" t="s">
        <v>1961</v>
      </c>
      <c r="K854" s="358">
        <v>1</v>
      </c>
      <c r="L854" s="364">
        <v>123.69</v>
      </c>
      <c r="M854" s="364">
        <f t="shared" si="15"/>
        <v>123.69</v>
      </c>
      <c r="N854" s="41" t="s">
        <v>1990</v>
      </c>
      <c r="O854" s="358"/>
      <c r="P854" s="365">
        <f>Tabla3[[#This Row],[COSTO UNITARIO DOLARES EN HAWTHORNE]]*Tabla3[[#This Row],[CANTIDAD SOLICTADA]]</f>
        <v>0</v>
      </c>
      <c r="Q854" s="41"/>
      <c r="R854" s="229"/>
      <c r="S854" s="229">
        <f>+Tabla3[[#This Row],[COSTO UNITARIO DOLARES CTP]]*Tabla3[[#This Row],[CANTIDAD SOLICTADA]]</f>
        <v>0</v>
      </c>
      <c r="T854" s="41"/>
      <c r="U854" s="358" t="s">
        <v>5</v>
      </c>
      <c r="V854" s="360" t="s">
        <v>1991</v>
      </c>
      <c r="W854" s="366"/>
      <c r="X854" s="359"/>
      <c r="Y854" s="358"/>
      <c r="Z854" s="360"/>
      <c r="AA854" s="360"/>
      <c r="AB854" s="360"/>
      <c r="AC854" s="360"/>
      <c r="AD854" s="360"/>
      <c r="AE854" s="360"/>
      <c r="AF854" s="16"/>
      <c r="AG854" s="367" t="s">
        <v>1992</v>
      </c>
    </row>
    <row r="855" spans="1:33" ht="15.75" thickBot="1" x14ac:dyDescent="0.3">
      <c r="A855" s="356">
        <v>143</v>
      </c>
      <c r="B855" s="357">
        <v>46210</v>
      </c>
      <c r="C855" s="358" t="s">
        <v>87</v>
      </c>
      <c r="D855" s="359"/>
      <c r="E855" s="360"/>
      <c r="F855" s="361"/>
      <c r="G855" s="213" t="str">
        <f>IFERROR(VLOOKUP(Tabla3[[#This Row],[NUM ECONOMICO]],MAQUINARIA!B:H,7,0), " MAQ")</f>
        <v>INACTIVA</v>
      </c>
      <c r="H855" s="362" t="s">
        <v>1356</v>
      </c>
      <c r="I855" s="363" t="s">
        <v>1891</v>
      </c>
      <c r="J855" s="358" t="s">
        <v>546</v>
      </c>
      <c r="K855" s="358">
        <v>4</v>
      </c>
      <c r="L855" s="364">
        <v>125.84</v>
      </c>
      <c r="M855" s="364">
        <f t="shared" si="15"/>
        <v>503.36</v>
      </c>
      <c r="N855" s="41" t="s">
        <v>1990</v>
      </c>
      <c r="O855" s="358"/>
      <c r="P855" s="365">
        <f>Tabla3[[#This Row],[COSTO UNITARIO DOLARES EN HAWTHORNE]]*Tabla3[[#This Row],[CANTIDAD SOLICTADA]]</f>
        <v>0</v>
      </c>
      <c r="Q855" s="41"/>
      <c r="R855" s="229"/>
      <c r="S855" s="229">
        <f>+Tabla3[[#This Row],[COSTO UNITARIO DOLARES CTP]]*Tabla3[[#This Row],[CANTIDAD SOLICTADA]]</f>
        <v>0</v>
      </c>
      <c r="T855" s="41"/>
      <c r="U855" s="358" t="s">
        <v>5</v>
      </c>
      <c r="V855" s="360" t="s">
        <v>1991</v>
      </c>
      <c r="W855" s="366"/>
      <c r="X855" s="359"/>
      <c r="Y855" s="358"/>
      <c r="Z855" s="360"/>
      <c r="AA855" s="360"/>
      <c r="AB855" s="360"/>
      <c r="AC855" s="360"/>
      <c r="AD855" s="360"/>
      <c r="AE855" s="360"/>
      <c r="AF855" s="16"/>
      <c r="AG855" s="367" t="s">
        <v>1992</v>
      </c>
    </row>
    <row r="856" spans="1:33" ht="15.75" thickBot="1" x14ac:dyDescent="0.3">
      <c r="A856" s="356">
        <v>143</v>
      </c>
      <c r="B856" s="357">
        <v>46210</v>
      </c>
      <c r="C856" s="358" t="s">
        <v>87</v>
      </c>
      <c r="D856" s="359"/>
      <c r="E856" s="360"/>
      <c r="F856" s="361"/>
      <c r="G856" s="213" t="str">
        <f>IFERROR(VLOOKUP(Tabla3[[#This Row],[NUM ECONOMICO]],MAQUINARIA!B:H,7,0), " MAQ")</f>
        <v>INACTIVA</v>
      </c>
      <c r="H856" s="362" t="s">
        <v>1356</v>
      </c>
      <c r="I856" s="363" t="s">
        <v>679</v>
      </c>
      <c r="J856" s="358" t="s">
        <v>220</v>
      </c>
      <c r="K856" s="358">
        <v>2</v>
      </c>
      <c r="L856" s="364">
        <v>295.17</v>
      </c>
      <c r="M856" s="364">
        <f t="shared" si="15"/>
        <v>590.34</v>
      </c>
      <c r="N856" s="41" t="s">
        <v>1990</v>
      </c>
      <c r="O856" s="358"/>
      <c r="P856" s="365">
        <f>Tabla3[[#This Row],[COSTO UNITARIO DOLARES EN HAWTHORNE]]*Tabla3[[#This Row],[CANTIDAD SOLICTADA]]</f>
        <v>0</v>
      </c>
      <c r="Q856" s="41"/>
      <c r="R856" s="229"/>
      <c r="S856" s="229">
        <f>+Tabla3[[#This Row],[COSTO UNITARIO DOLARES CTP]]*Tabla3[[#This Row],[CANTIDAD SOLICTADA]]</f>
        <v>0</v>
      </c>
      <c r="T856" s="41"/>
      <c r="U856" s="358" t="s">
        <v>5</v>
      </c>
      <c r="V856" s="360" t="s">
        <v>1991</v>
      </c>
      <c r="W856" s="366"/>
      <c r="X856" s="359"/>
      <c r="Y856" s="358"/>
      <c r="Z856" s="360"/>
      <c r="AA856" s="360"/>
      <c r="AB856" s="360"/>
      <c r="AC856" s="360"/>
      <c r="AD856" s="360"/>
      <c r="AE856" s="360"/>
      <c r="AF856" s="16"/>
      <c r="AG856" s="367" t="s">
        <v>1992</v>
      </c>
    </row>
    <row r="857" spans="1:33" ht="15.75" thickBot="1" x14ac:dyDescent="0.3">
      <c r="A857" s="356">
        <v>143</v>
      </c>
      <c r="B857" s="357">
        <v>46210</v>
      </c>
      <c r="C857" s="358" t="s">
        <v>87</v>
      </c>
      <c r="D857" s="359"/>
      <c r="E857" s="360"/>
      <c r="F857" s="361"/>
      <c r="G857" s="213" t="str">
        <f>IFERROR(VLOOKUP(Tabla3[[#This Row],[NUM ECONOMICO]],MAQUINARIA!B:H,7,0), " MAQ")</f>
        <v>INACTIVA</v>
      </c>
      <c r="H857" s="362" t="s">
        <v>1356</v>
      </c>
      <c r="I857" s="363" t="s">
        <v>1892</v>
      </c>
      <c r="J857" s="358" t="s">
        <v>1961</v>
      </c>
      <c r="K857" s="358">
        <v>1</v>
      </c>
      <c r="L857" s="364">
        <v>173.09</v>
      </c>
      <c r="M857" s="364">
        <f t="shared" si="15"/>
        <v>173.09</v>
      </c>
      <c r="N857" s="41" t="s">
        <v>1990</v>
      </c>
      <c r="O857" s="358"/>
      <c r="P857" s="365">
        <f>Tabla3[[#This Row],[COSTO UNITARIO DOLARES EN HAWTHORNE]]*Tabla3[[#This Row],[CANTIDAD SOLICTADA]]</f>
        <v>0</v>
      </c>
      <c r="Q857" s="41"/>
      <c r="R857" s="229"/>
      <c r="S857" s="229">
        <f>+Tabla3[[#This Row],[COSTO UNITARIO DOLARES CTP]]*Tabla3[[#This Row],[CANTIDAD SOLICTADA]]</f>
        <v>0</v>
      </c>
      <c r="T857" s="41"/>
      <c r="U857" s="358" t="s">
        <v>5</v>
      </c>
      <c r="V857" s="360" t="s">
        <v>1991</v>
      </c>
      <c r="W857" s="366"/>
      <c r="X857" s="359"/>
      <c r="Y857" s="358"/>
      <c r="Z857" s="360"/>
      <c r="AA857" s="360"/>
      <c r="AB857" s="360"/>
      <c r="AC857" s="360"/>
      <c r="AD857" s="360"/>
      <c r="AE857" s="360"/>
      <c r="AF857" s="16"/>
      <c r="AG857" s="367" t="s">
        <v>1992</v>
      </c>
    </row>
    <row r="858" spans="1:33" ht="15.75" thickBot="1" x14ac:dyDescent="0.3">
      <c r="A858" s="356">
        <v>143</v>
      </c>
      <c r="B858" s="357">
        <v>46210</v>
      </c>
      <c r="C858" s="358" t="s">
        <v>87</v>
      </c>
      <c r="D858" s="359"/>
      <c r="E858" s="360"/>
      <c r="F858" s="361"/>
      <c r="G858" s="213" t="str">
        <f>IFERROR(VLOOKUP(Tabla3[[#This Row],[NUM ECONOMICO]],MAQUINARIA!B:H,7,0), " MAQ")</f>
        <v>INACTIVA</v>
      </c>
      <c r="H858" s="362" t="s">
        <v>1356</v>
      </c>
      <c r="I858" s="363" t="s">
        <v>323</v>
      </c>
      <c r="J858" s="358" t="s">
        <v>1961</v>
      </c>
      <c r="K858" s="358">
        <v>2</v>
      </c>
      <c r="L858" s="364">
        <v>48.33</v>
      </c>
      <c r="M858" s="364">
        <f t="shared" si="15"/>
        <v>96.66</v>
      </c>
      <c r="N858" s="41" t="s">
        <v>1990</v>
      </c>
      <c r="O858" s="358"/>
      <c r="P858" s="365">
        <f>Tabla3[[#This Row],[COSTO UNITARIO DOLARES EN HAWTHORNE]]*Tabla3[[#This Row],[CANTIDAD SOLICTADA]]</f>
        <v>0</v>
      </c>
      <c r="Q858" s="41"/>
      <c r="R858" s="229"/>
      <c r="S858" s="229">
        <f>+Tabla3[[#This Row],[COSTO UNITARIO DOLARES CTP]]*Tabla3[[#This Row],[CANTIDAD SOLICTADA]]</f>
        <v>0</v>
      </c>
      <c r="T858" s="41"/>
      <c r="U858" s="358" t="s">
        <v>5</v>
      </c>
      <c r="V858" s="360" t="s">
        <v>1991</v>
      </c>
      <c r="W858" s="366"/>
      <c r="X858" s="359"/>
      <c r="Y858" s="358"/>
      <c r="Z858" s="360"/>
      <c r="AA858" s="360"/>
      <c r="AB858" s="360"/>
      <c r="AC858" s="360"/>
      <c r="AD858" s="360"/>
      <c r="AE858" s="360"/>
      <c r="AF858" s="16"/>
      <c r="AG858" s="367" t="s">
        <v>1992</v>
      </c>
    </row>
    <row r="859" spans="1:33" ht="15.75" thickBot="1" x14ac:dyDescent="0.3">
      <c r="A859" s="356">
        <v>143</v>
      </c>
      <c r="B859" s="357">
        <v>46210</v>
      </c>
      <c r="C859" s="358" t="s">
        <v>87</v>
      </c>
      <c r="D859" s="359"/>
      <c r="E859" s="360"/>
      <c r="F859" s="361"/>
      <c r="G859" s="213" t="str">
        <f>IFERROR(VLOOKUP(Tabla3[[#This Row],[NUM ECONOMICO]],MAQUINARIA!B:H,7,0), " MAQ")</f>
        <v>INACTIVA</v>
      </c>
      <c r="H859" s="362" t="s">
        <v>1356</v>
      </c>
      <c r="I859" s="363" t="s">
        <v>334</v>
      </c>
      <c r="J859" s="358" t="s">
        <v>506</v>
      </c>
      <c r="K859" s="358">
        <v>2</v>
      </c>
      <c r="L859" s="364">
        <v>31.5</v>
      </c>
      <c r="M859" s="364">
        <f t="shared" si="15"/>
        <v>63</v>
      </c>
      <c r="N859" s="41" t="s">
        <v>1990</v>
      </c>
      <c r="O859" s="358"/>
      <c r="P859" s="365">
        <f>Tabla3[[#This Row],[COSTO UNITARIO DOLARES EN HAWTHORNE]]*Tabla3[[#This Row],[CANTIDAD SOLICTADA]]</f>
        <v>0</v>
      </c>
      <c r="Q859" s="41"/>
      <c r="R859" s="229"/>
      <c r="S859" s="229">
        <f>+Tabla3[[#This Row],[COSTO UNITARIO DOLARES CTP]]*Tabla3[[#This Row],[CANTIDAD SOLICTADA]]</f>
        <v>0</v>
      </c>
      <c r="T859" s="41"/>
      <c r="U859" s="358" t="s">
        <v>5</v>
      </c>
      <c r="V859" s="360" t="s">
        <v>1991</v>
      </c>
      <c r="W859" s="366"/>
      <c r="X859" s="359"/>
      <c r="Y859" s="358"/>
      <c r="Z859" s="360"/>
      <c r="AA859" s="360"/>
      <c r="AB859" s="360"/>
      <c r="AC859" s="360"/>
      <c r="AD859" s="360"/>
      <c r="AE859" s="360"/>
      <c r="AF859" s="16"/>
      <c r="AG859" s="367" t="s">
        <v>1992</v>
      </c>
    </row>
    <row r="860" spans="1:33" ht="15.75" thickBot="1" x14ac:dyDescent="0.3">
      <c r="A860" s="356">
        <v>143</v>
      </c>
      <c r="B860" s="357">
        <v>46210</v>
      </c>
      <c r="C860" s="358" t="s">
        <v>87</v>
      </c>
      <c r="D860" s="359"/>
      <c r="E860" s="360"/>
      <c r="F860" s="361"/>
      <c r="G860" s="213" t="str">
        <f>IFERROR(VLOOKUP(Tabla3[[#This Row],[NUM ECONOMICO]],MAQUINARIA!B:H,7,0), " MAQ")</f>
        <v>INACTIVA</v>
      </c>
      <c r="H860" s="362" t="s">
        <v>1356</v>
      </c>
      <c r="I860" s="363" t="s">
        <v>1893</v>
      </c>
      <c r="J860" s="358" t="s">
        <v>1961</v>
      </c>
      <c r="K860" s="358">
        <v>1</v>
      </c>
      <c r="L860" s="364">
        <v>122.61</v>
      </c>
      <c r="M860" s="364">
        <f t="shared" si="15"/>
        <v>122.61</v>
      </c>
      <c r="N860" s="41" t="s">
        <v>1990</v>
      </c>
      <c r="O860" s="358"/>
      <c r="P860" s="365">
        <f>Tabla3[[#This Row],[COSTO UNITARIO DOLARES EN HAWTHORNE]]*Tabla3[[#This Row],[CANTIDAD SOLICTADA]]</f>
        <v>0</v>
      </c>
      <c r="Q860" s="41"/>
      <c r="R860" s="229"/>
      <c r="S860" s="229">
        <f>+Tabla3[[#This Row],[COSTO UNITARIO DOLARES CTP]]*Tabla3[[#This Row],[CANTIDAD SOLICTADA]]</f>
        <v>0</v>
      </c>
      <c r="T860" s="41"/>
      <c r="U860" s="358" t="s">
        <v>5</v>
      </c>
      <c r="V860" s="360" t="s">
        <v>1991</v>
      </c>
      <c r="W860" s="366"/>
      <c r="X860" s="359"/>
      <c r="Y860" s="358"/>
      <c r="Z860" s="360"/>
      <c r="AA860" s="360"/>
      <c r="AB860" s="360"/>
      <c r="AC860" s="360"/>
      <c r="AD860" s="360"/>
      <c r="AE860" s="360"/>
      <c r="AF860" s="16"/>
      <c r="AG860" s="367" t="s">
        <v>1992</v>
      </c>
    </row>
    <row r="861" spans="1:33" ht="15.75" thickBot="1" x14ac:dyDescent="0.3">
      <c r="A861" s="356">
        <v>143</v>
      </c>
      <c r="B861" s="357">
        <v>46210</v>
      </c>
      <c r="C861" s="358" t="s">
        <v>87</v>
      </c>
      <c r="D861" s="359"/>
      <c r="E861" s="360"/>
      <c r="F861" s="361"/>
      <c r="G861" s="213" t="str">
        <f>IFERROR(VLOOKUP(Tabla3[[#This Row],[NUM ECONOMICO]],MAQUINARIA!B:H,7,0), " MAQ")</f>
        <v>INACTIVA</v>
      </c>
      <c r="H861" s="362" t="s">
        <v>1356</v>
      </c>
      <c r="I861" s="363" t="s">
        <v>1894</v>
      </c>
      <c r="J861" s="358" t="s">
        <v>1971</v>
      </c>
      <c r="K861" s="358">
        <v>1</v>
      </c>
      <c r="L861" s="364">
        <v>55.85</v>
      </c>
      <c r="M861" s="364">
        <f t="shared" si="15"/>
        <v>55.85</v>
      </c>
      <c r="N861" s="41" t="s">
        <v>1990</v>
      </c>
      <c r="O861" s="358"/>
      <c r="P861" s="365">
        <f>Tabla3[[#This Row],[COSTO UNITARIO DOLARES EN HAWTHORNE]]*Tabla3[[#This Row],[CANTIDAD SOLICTADA]]</f>
        <v>0</v>
      </c>
      <c r="Q861" s="41"/>
      <c r="R861" s="229"/>
      <c r="S861" s="229">
        <f>+Tabla3[[#This Row],[COSTO UNITARIO DOLARES CTP]]*Tabla3[[#This Row],[CANTIDAD SOLICTADA]]</f>
        <v>0</v>
      </c>
      <c r="T861" s="41"/>
      <c r="U861" s="358" t="s">
        <v>5</v>
      </c>
      <c r="V861" s="360" t="s">
        <v>1991</v>
      </c>
      <c r="W861" s="366"/>
      <c r="X861" s="359"/>
      <c r="Y861" s="358"/>
      <c r="Z861" s="360"/>
      <c r="AA861" s="360"/>
      <c r="AB861" s="360"/>
      <c r="AC861" s="360"/>
      <c r="AD861" s="360"/>
      <c r="AE861" s="360"/>
      <c r="AF861" s="16"/>
      <c r="AG861" s="367" t="s">
        <v>1992</v>
      </c>
    </row>
    <row r="862" spans="1:33" ht="15.75" thickBot="1" x14ac:dyDescent="0.3">
      <c r="A862" s="356">
        <v>143</v>
      </c>
      <c r="B862" s="357">
        <v>46210</v>
      </c>
      <c r="C862" s="358" t="s">
        <v>87</v>
      </c>
      <c r="D862" s="359"/>
      <c r="E862" s="360"/>
      <c r="F862" s="361"/>
      <c r="G862" s="213" t="str">
        <f>IFERROR(VLOOKUP(Tabla3[[#This Row],[NUM ECONOMICO]],MAQUINARIA!B:H,7,0), " MAQ")</f>
        <v>INACTIVA</v>
      </c>
      <c r="H862" s="362" t="s">
        <v>1356</v>
      </c>
      <c r="I862" s="363" t="s">
        <v>1895</v>
      </c>
      <c r="J862" s="358" t="s">
        <v>220</v>
      </c>
      <c r="K862" s="358">
        <v>1</v>
      </c>
      <c r="L862" s="364">
        <v>475.42</v>
      </c>
      <c r="M862" s="364">
        <f t="shared" si="15"/>
        <v>475.42</v>
      </c>
      <c r="N862" s="41" t="s">
        <v>1990</v>
      </c>
      <c r="O862" s="358"/>
      <c r="P862" s="365">
        <f>Tabla3[[#This Row],[COSTO UNITARIO DOLARES EN HAWTHORNE]]*Tabla3[[#This Row],[CANTIDAD SOLICTADA]]</f>
        <v>0</v>
      </c>
      <c r="Q862" s="41"/>
      <c r="R862" s="229"/>
      <c r="S862" s="229">
        <f>+Tabla3[[#This Row],[COSTO UNITARIO DOLARES CTP]]*Tabla3[[#This Row],[CANTIDAD SOLICTADA]]</f>
        <v>0</v>
      </c>
      <c r="T862" s="41"/>
      <c r="U862" s="358" t="s">
        <v>5</v>
      </c>
      <c r="V862" s="360" t="s">
        <v>1991</v>
      </c>
      <c r="W862" s="366"/>
      <c r="X862" s="359"/>
      <c r="Y862" s="358"/>
      <c r="Z862" s="360"/>
      <c r="AA862" s="360"/>
      <c r="AB862" s="360"/>
      <c r="AC862" s="360"/>
      <c r="AD862" s="360"/>
      <c r="AE862" s="360"/>
      <c r="AF862" s="16"/>
      <c r="AG862" s="367" t="s">
        <v>1992</v>
      </c>
    </row>
    <row r="863" spans="1:33" ht="15.75" thickBot="1" x14ac:dyDescent="0.3">
      <c r="A863" s="356">
        <v>143</v>
      </c>
      <c r="B863" s="357">
        <v>46210</v>
      </c>
      <c r="C863" s="358" t="s">
        <v>87</v>
      </c>
      <c r="D863" s="359"/>
      <c r="E863" s="360"/>
      <c r="F863" s="361"/>
      <c r="G863" s="213" t="str">
        <f>IFERROR(VLOOKUP(Tabla3[[#This Row],[NUM ECONOMICO]],MAQUINARIA!B:H,7,0), " MAQ")</f>
        <v>INACTIVA</v>
      </c>
      <c r="H863" s="362" t="s">
        <v>1356</v>
      </c>
      <c r="I863" s="363" t="s">
        <v>330</v>
      </c>
      <c r="J863" s="358" t="s">
        <v>1961</v>
      </c>
      <c r="K863" s="358">
        <v>1</v>
      </c>
      <c r="L863" s="364">
        <v>153.4</v>
      </c>
      <c r="M863" s="364">
        <f t="shared" si="15"/>
        <v>153.4</v>
      </c>
      <c r="N863" s="41" t="s">
        <v>1990</v>
      </c>
      <c r="O863" s="358"/>
      <c r="P863" s="365">
        <f>Tabla3[[#This Row],[COSTO UNITARIO DOLARES EN HAWTHORNE]]*Tabla3[[#This Row],[CANTIDAD SOLICTADA]]</f>
        <v>0</v>
      </c>
      <c r="Q863" s="41"/>
      <c r="R863" s="229"/>
      <c r="S863" s="229">
        <f>+Tabla3[[#This Row],[COSTO UNITARIO DOLARES CTP]]*Tabla3[[#This Row],[CANTIDAD SOLICTADA]]</f>
        <v>0</v>
      </c>
      <c r="T863" s="41"/>
      <c r="U863" s="358" t="s">
        <v>5</v>
      </c>
      <c r="V863" s="360" t="s">
        <v>1991</v>
      </c>
      <c r="W863" s="366"/>
      <c r="X863" s="359"/>
      <c r="Y863" s="358"/>
      <c r="Z863" s="360"/>
      <c r="AA863" s="360"/>
      <c r="AB863" s="360"/>
      <c r="AC863" s="360"/>
      <c r="AD863" s="360"/>
      <c r="AE863" s="360"/>
      <c r="AF863" s="16"/>
      <c r="AG863" s="367" t="s">
        <v>1992</v>
      </c>
    </row>
    <row r="864" spans="1:33" ht="15.75" thickBot="1" x14ac:dyDescent="0.3">
      <c r="A864" s="356">
        <v>143</v>
      </c>
      <c r="B864" s="357">
        <v>46210</v>
      </c>
      <c r="C864" s="358" t="s">
        <v>87</v>
      </c>
      <c r="D864" s="359"/>
      <c r="E864" s="360"/>
      <c r="F864" s="361"/>
      <c r="G864" s="213" t="str">
        <f>IFERROR(VLOOKUP(Tabla3[[#This Row],[NUM ECONOMICO]],MAQUINARIA!B:H,7,0), " MAQ")</f>
        <v>INACTIVA</v>
      </c>
      <c r="H864" s="362" t="s">
        <v>1356</v>
      </c>
      <c r="I864" s="363" t="s">
        <v>1896</v>
      </c>
      <c r="J864" s="358" t="s">
        <v>220</v>
      </c>
      <c r="K864" s="358">
        <v>1</v>
      </c>
      <c r="L864" s="364">
        <v>198.33</v>
      </c>
      <c r="M864" s="364">
        <f t="shared" si="15"/>
        <v>198.33</v>
      </c>
      <c r="N864" s="41" t="s">
        <v>1990</v>
      </c>
      <c r="O864" s="358"/>
      <c r="P864" s="365">
        <f>Tabla3[[#This Row],[COSTO UNITARIO DOLARES EN HAWTHORNE]]*Tabla3[[#This Row],[CANTIDAD SOLICTADA]]</f>
        <v>0</v>
      </c>
      <c r="Q864" s="41"/>
      <c r="R864" s="229"/>
      <c r="S864" s="229">
        <f>+Tabla3[[#This Row],[COSTO UNITARIO DOLARES CTP]]*Tabla3[[#This Row],[CANTIDAD SOLICTADA]]</f>
        <v>0</v>
      </c>
      <c r="T864" s="41"/>
      <c r="U864" s="358" t="s">
        <v>5</v>
      </c>
      <c r="V864" s="360" t="s">
        <v>1991</v>
      </c>
      <c r="W864" s="366"/>
      <c r="X864" s="359"/>
      <c r="Y864" s="358"/>
      <c r="Z864" s="360"/>
      <c r="AA864" s="360"/>
      <c r="AB864" s="360"/>
      <c r="AC864" s="360"/>
      <c r="AD864" s="360"/>
      <c r="AE864" s="360"/>
      <c r="AF864" s="16"/>
      <c r="AG864" s="367" t="s">
        <v>1992</v>
      </c>
    </row>
    <row r="865" spans="1:33" ht="15.75" thickBot="1" x14ac:dyDescent="0.3">
      <c r="A865" s="356">
        <v>143</v>
      </c>
      <c r="B865" s="357">
        <v>46210</v>
      </c>
      <c r="C865" s="358" t="s">
        <v>87</v>
      </c>
      <c r="D865" s="359"/>
      <c r="E865" s="360"/>
      <c r="F865" s="361"/>
      <c r="G865" s="213" t="str">
        <f>IFERROR(VLOOKUP(Tabla3[[#This Row],[NUM ECONOMICO]],MAQUINARIA!B:H,7,0), " MAQ")</f>
        <v>INACTIVA</v>
      </c>
      <c r="H865" s="362" t="s">
        <v>1356</v>
      </c>
      <c r="I865" s="363" t="s">
        <v>1897</v>
      </c>
      <c r="J865" s="358" t="s">
        <v>220</v>
      </c>
      <c r="K865" s="358">
        <v>2</v>
      </c>
      <c r="L865" s="364">
        <v>608.05999999999995</v>
      </c>
      <c r="M865" s="364">
        <f t="shared" si="15"/>
        <v>1216.1199999999999</v>
      </c>
      <c r="N865" s="41" t="s">
        <v>1990</v>
      </c>
      <c r="O865" s="358"/>
      <c r="P865" s="365">
        <f>Tabla3[[#This Row],[COSTO UNITARIO DOLARES EN HAWTHORNE]]*Tabla3[[#This Row],[CANTIDAD SOLICTADA]]</f>
        <v>0</v>
      </c>
      <c r="Q865" s="41"/>
      <c r="R865" s="229"/>
      <c r="S865" s="229">
        <f>+Tabla3[[#This Row],[COSTO UNITARIO DOLARES CTP]]*Tabla3[[#This Row],[CANTIDAD SOLICTADA]]</f>
        <v>0</v>
      </c>
      <c r="T865" s="41"/>
      <c r="U865" s="358" t="s">
        <v>5</v>
      </c>
      <c r="V865" s="360" t="s">
        <v>1991</v>
      </c>
      <c r="W865" s="366"/>
      <c r="X865" s="359"/>
      <c r="Y865" s="358"/>
      <c r="Z865" s="360"/>
      <c r="AA865" s="360"/>
      <c r="AB865" s="360"/>
      <c r="AC865" s="360"/>
      <c r="AD865" s="360"/>
      <c r="AE865" s="360"/>
      <c r="AF865" s="16"/>
      <c r="AG865" s="367" t="s">
        <v>1992</v>
      </c>
    </row>
    <row r="866" spans="1:33" ht="15.75" thickBot="1" x14ac:dyDescent="0.3">
      <c r="A866" s="356">
        <v>143</v>
      </c>
      <c r="B866" s="357">
        <v>46210</v>
      </c>
      <c r="C866" s="358" t="s">
        <v>87</v>
      </c>
      <c r="D866" s="359"/>
      <c r="E866" s="360"/>
      <c r="F866" s="361"/>
      <c r="G866" s="213" t="str">
        <f>IFERROR(VLOOKUP(Tabla3[[#This Row],[NUM ECONOMICO]],MAQUINARIA!B:H,7,0), " MAQ")</f>
        <v>INACTIVA</v>
      </c>
      <c r="H866" s="362" t="s">
        <v>1356</v>
      </c>
      <c r="I866" s="363" t="s">
        <v>341</v>
      </c>
      <c r="J866" s="358" t="s">
        <v>546</v>
      </c>
      <c r="K866" s="358">
        <v>2</v>
      </c>
      <c r="L866" s="364">
        <v>52.63</v>
      </c>
      <c r="M866" s="364">
        <f t="shared" si="15"/>
        <v>105.26</v>
      </c>
      <c r="N866" s="41" t="s">
        <v>1990</v>
      </c>
      <c r="O866" s="358"/>
      <c r="P866" s="365">
        <f>Tabla3[[#This Row],[COSTO UNITARIO DOLARES EN HAWTHORNE]]*Tabla3[[#This Row],[CANTIDAD SOLICTADA]]</f>
        <v>0</v>
      </c>
      <c r="Q866" s="41"/>
      <c r="R866" s="229"/>
      <c r="S866" s="229">
        <f>+Tabla3[[#This Row],[COSTO UNITARIO DOLARES CTP]]*Tabla3[[#This Row],[CANTIDAD SOLICTADA]]</f>
        <v>0</v>
      </c>
      <c r="T866" s="41"/>
      <c r="U866" s="358" t="s">
        <v>5</v>
      </c>
      <c r="V866" s="360" t="s">
        <v>1991</v>
      </c>
      <c r="W866" s="366"/>
      <c r="X866" s="359"/>
      <c r="Y866" s="358"/>
      <c r="Z866" s="360"/>
      <c r="AA866" s="360"/>
      <c r="AB866" s="360"/>
      <c r="AC866" s="360"/>
      <c r="AD866" s="360"/>
      <c r="AE866" s="360"/>
      <c r="AF866" s="16"/>
      <c r="AG866" s="367" t="s">
        <v>1992</v>
      </c>
    </row>
    <row r="867" spans="1:33" ht="15.75" thickBot="1" x14ac:dyDescent="0.3">
      <c r="A867" s="356">
        <v>143</v>
      </c>
      <c r="B867" s="357">
        <v>46210</v>
      </c>
      <c r="C867" s="358" t="s">
        <v>87</v>
      </c>
      <c r="D867" s="359"/>
      <c r="E867" s="360"/>
      <c r="F867" s="361"/>
      <c r="G867" s="213" t="str">
        <f>IFERROR(VLOOKUP(Tabla3[[#This Row],[NUM ECONOMICO]],MAQUINARIA!B:H,7,0), " MAQ")</f>
        <v>INACTIVA</v>
      </c>
      <c r="H867" s="362" t="s">
        <v>1356</v>
      </c>
      <c r="I867" s="363" t="s">
        <v>297</v>
      </c>
      <c r="J867" s="358" t="s">
        <v>1961</v>
      </c>
      <c r="K867" s="358">
        <v>4</v>
      </c>
      <c r="L867" s="364">
        <v>178.82</v>
      </c>
      <c r="M867" s="364">
        <f t="shared" si="15"/>
        <v>715.28</v>
      </c>
      <c r="N867" s="41" t="s">
        <v>1990</v>
      </c>
      <c r="O867" s="358"/>
      <c r="P867" s="365">
        <f>Tabla3[[#This Row],[COSTO UNITARIO DOLARES EN HAWTHORNE]]*Tabla3[[#This Row],[CANTIDAD SOLICTADA]]</f>
        <v>0</v>
      </c>
      <c r="Q867" s="41"/>
      <c r="R867" s="229"/>
      <c r="S867" s="229">
        <f>+Tabla3[[#This Row],[COSTO UNITARIO DOLARES CTP]]*Tabla3[[#This Row],[CANTIDAD SOLICTADA]]</f>
        <v>0</v>
      </c>
      <c r="T867" s="41"/>
      <c r="U867" s="358" t="s">
        <v>5</v>
      </c>
      <c r="V867" s="360" t="s">
        <v>1991</v>
      </c>
      <c r="W867" s="366"/>
      <c r="X867" s="359"/>
      <c r="Y867" s="358"/>
      <c r="Z867" s="360"/>
      <c r="AA867" s="360"/>
      <c r="AB867" s="360"/>
      <c r="AC867" s="360"/>
      <c r="AD867" s="360"/>
      <c r="AE867" s="360"/>
      <c r="AF867" s="16"/>
      <c r="AG867" s="367" t="s">
        <v>1992</v>
      </c>
    </row>
    <row r="868" spans="1:33" ht="15.75" thickBot="1" x14ac:dyDescent="0.3">
      <c r="A868" s="356">
        <v>143</v>
      </c>
      <c r="B868" s="357">
        <v>46210</v>
      </c>
      <c r="C868" s="358" t="s">
        <v>87</v>
      </c>
      <c r="D868" s="359"/>
      <c r="E868" s="360"/>
      <c r="F868" s="361"/>
      <c r="G868" s="213" t="str">
        <f>IFERROR(VLOOKUP(Tabla3[[#This Row],[NUM ECONOMICO]],MAQUINARIA!B:H,7,0), " MAQ")</f>
        <v>INACTIVA</v>
      </c>
      <c r="H868" s="362" t="s">
        <v>1356</v>
      </c>
      <c r="I868" s="363" t="s">
        <v>339</v>
      </c>
      <c r="J868" s="358" t="s">
        <v>546</v>
      </c>
      <c r="K868" s="358">
        <v>4</v>
      </c>
      <c r="L868" s="364">
        <v>137.83000000000001</v>
      </c>
      <c r="M868" s="364">
        <f t="shared" si="15"/>
        <v>551.32000000000005</v>
      </c>
      <c r="N868" s="41" t="s">
        <v>1990</v>
      </c>
      <c r="O868" s="358"/>
      <c r="P868" s="365">
        <f>Tabla3[[#This Row],[COSTO UNITARIO DOLARES EN HAWTHORNE]]*Tabla3[[#This Row],[CANTIDAD SOLICTADA]]</f>
        <v>0</v>
      </c>
      <c r="Q868" s="41"/>
      <c r="R868" s="229"/>
      <c r="S868" s="229">
        <f>+Tabla3[[#This Row],[COSTO UNITARIO DOLARES CTP]]*Tabla3[[#This Row],[CANTIDAD SOLICTADA]]</f>
        <v>0</v>
      </c>
      <c r="T868" s="41"/>
      <c r="U868" s="358" t="s">
        <v>5</v>
      </c>
      <c r="V868" s="360" t="s">
        <v>1991</v>
      </c>
      <c r="W868" s="366"/>
      <c r="X868" s="359"/>
      <c r="Y868" s="358"/>
      <c r="Z868" s="360"/>
      <c r="AA868" s="360"/>
      <c r="AB868" s="360"/>
      <c r="AC868" s="360"/>
      <c r="AD868" s="360"/>
      <c r="AE868" s="360"/>
      <c r="AF868" s="16"/>
      <c r="AG868" s="367" t="s">
        <v>1992</v>
      </c>
    </row>
    <row r="869" spans="1:33" ht="15.75" thickBot="1" x14ac:dyDescent="0.3">
      <c r="A869" s="356">
        <v>143</v>
      </c>
      <c r="B869" s="357">
        <v>46210</v>
      </c>
      <c r="C869" s="358" t="s">
        <v>87</v>
      </c>
      <c r="D869" s="359"/>
      <c r="E869" s="360"/>
      <c r="F869" s="361"/>
      <c r="G869" s="213" t="str">
        <f>IFERROR(VLOOKUP(Tabla3[[#This Row],[NUM ECONOMICO]],MAQUINARIA!B:H,7,0), " MAQ")</f>
        <v>INACTIVA</v>
      </c>
      <c r="H869" s="362" t="s">
        <v>1356</v>
      </c>
      <c r="I869" s="363" t="s">
        <v>1898</v>
      </c>
      <c r="J869" s="358" t="s">
        <v>546</v>
      </c>
      <c r="K869" s="358">
        <v>2</v>
      </c>
      <c r="L869" s="364">
        <v>427.81</v>
      </c>
      <c r="M869" s="364">
        <f t="shared" si="15"/>
        <v>855.62</v>
      </c>
      <c r="N869" s="41" t="s">
        <v>1990</v>
      </c>
      <c r="O869" s="358"/>
      <c r="P869" s="365">
        <f>Tabla3[[#This Row],[COSTO UNITARIO DOLARES EN HAWTHORNE]]*Tabla3[[#This Row],[CANTIDAD SOLICTADA]]</f>
        <v>0</v>
      </c>
      <c r="Q869" s="41"/>
      <c r="R869" s="229"/>
      <c r="S869" s="229">
        <f>+Tabla3[[#This Row],[COSTO UNITARIO DOLARES CTP]]*Tabla3[[#This Row],[CANTIDAD SOLICTADA]]</f>
        <v>0</v>
      </c>
      <c r="T869" s="41"/>
      <c r="U869" s="358" t="s">
        <v>5</v>
      </c>
      <c r="V869" s="360" t="s">
        <v>1991</v>
      </c>
      <c r="W869" s="366"/>
      <c r="X869" s="359"/>
      <c r="Y869" s="358"/>
      <c r="Z869" s="360"/>
      <c r="AA869" s="360"/>
      <c r="AB869" s="360"/>
      <c r="AC869" s="360"/>
      <c r="AD869" s="360"/>
      <c r="AE869" s="360"/>
      <c r="AF869" s="16"/>
      <c r="AG869" s="367" t="s">
        <v>1992</v>
      </c>
    </row>
    <row r="870" spans="1:33" ht="15.75" thickBot="1" x14ac:dyDescent="0.3">
      <c r="A870" s="356">
        <v>143</v>
      </c>
      <c r="B870" s="357">
        <v>46210</v>
      </c>
      <c r="C870" s="358" t="s">
        <v>87</v>
      </c>
      <c r="D870" s="359"/>
      <c r="E870" s="360"/>
      <c r="F870" s="361"/>
      <c r="G870" s="213" t="str">
        <f>IFERROR(VLOOKUP(Tabla3[[#This Row],[NUM ECONOMICO]],MAQUINARIA!B:H,7,0), " MAQ")</f>
        <v>INACTIVA</v>
      </c>
      <c r="H870" s="362" t="s">
        <v>1356</v>
      </c>
      <c r="I870" s="363" t="s">
        <v>1082</v>
      </c>
      <c r="J870" s="358" t="s">
        <v>1961</v>
      </c>
      <c r="K870" s="358">
        <v>2</v>
      </c>
      <c r="L870" s="364">
        <v>123.69</v>
      </c>
      <c r="M870" s="364">
        <f t="shared" si="15"/>
        <v>247.38</v>
      </c>
      <c r="N870" s="41" t="s">
        <v>1990</v>
      </c>
      <c r="O870" s="358"/>
      <c r="P870" s="365">
        <f>Tabla3[[#This Row],[COSTO UNITARIO DOLARES EN HAWTHORNE]]*Tabla3[[#This Row],[CANTIDAD SOLICTADA]]</f>
        <v>0</v>
      </c>
      <c r="Q870" s="41"/>
      <c r="R870" s="229"/>
      <c r="S870" s="229">
        <f>+Tabla3[[#This Row],[COSTO UNITARIO DOLARES CTP]]*Tabla3[[#This Row],[CANTIDAD SOLICTADA]]</f>
        <v>0</v>
      </c>
      <c r="T870" s="41"/>
      <c r="U870" s="358" t="s">
        <v>5</v>
      </c>
      <c r="V870" s="360" t="s">
        <v>1991</v>
      </c>
      <c r="W870" s="366"/>
      <c r="X870" s="359"/>
      <c r="Y870" s="358"/>
      <c r="Z870" s="360"/>
      <c r="AA870" s="360"/>
      <c r="AB870" s="360"/>
      <c r="AC870" s="360"/>
      <c r="AD870" s="360"/>
      <c r="AE870" s="360"/>
      <c r="AF870" s="16"/>
      <c r="AG870" s="367" t="s">
        <v>1992</v>
      </c>
    </row>
    <row r="871" spans="1:33" ht="15.75" thickBot="1" x14ac:dyDescent="0.3">
      <c r="A871" s="356">
        <v>143</v>
      </c>
      <c r="B871" s="357">
        <v>46210</v>
      </c>
      <c r="C871" s="358" t="s">
        <v>87</v>
      </c>
      <c r="D871" s="359"/>
      <c r="E871" s="360"/>
      <c r="F871" s="361"/>
      <c r="G871" s="213" t="str">
        <f>IFERROR(VLOOKUP(Tabla3[[#This Row],[NUM ECONOMICO]],MAQUINARIA!B:H,7,0), " MAQ")</f>
        <v>INACTIVA</v>
      </c>
      <c r="H871" s="362" t="s">
        <v>1356</v>
      </c>
      <c r="I871" s="363" t="s">
        <v>1899</v>
      </c>
      <c r="J871" s="358" t="s">
        <v>1970</v>
      </c>
      <c r="K871" s="358">
        <v>1</v>
      </c>
      <c r="L871" s="364">
        <v>1428.42</v>
      </c>
      <c r="M871" s="364">
        <f t="shared" si="15"/>
        <v>1428.42</v>
      </c>
      <c r="N871" s="41" t="s">
        <v>1990</v>
      </c>
      <c r="O871" s="358"/>
      <c r="P871" s="365">
        <f>Tabla3[[#This Row],[COSTO UNITARIO DOLARES EN HAWTHORNE]]*Tabla3[[#This Row],[CANTIDAD SOLICTADA]]</f>
        <v>0</v>
      </c>
      <c r="Q871" s="41"/>
      <c r="R871" s="229"/>
      <c r="S871" s="229">
        <f>+Tabla3[[#This Row],[COSTO UNITARIO DOLARES CTP]]*Tabla3[[#This Row],[CANTIDAD SOLICTADA]]</f>
        <v>0</v>
      </c>
      <c r="T871" s="41"/>
      <c r="U871" s="358" t="s">
        <v>5</v>
      </c>
      <c r="V871" s="360" t="s">
        <v>1991</v>
      </c>
      <c r="W871" s="366"/>
      <c r="X871" s="359"/>
      <c r="Y871" s="358"/>
      <c r="Z871" s="360"/>
      <c r="AA871" s="360"/>
      <c r="AB871" s="360"/>
      <c r="AC871" s="360"/>
      <c r="AD871" s="360"/>
      <c r="AE871" s="360"/>
      <c r="AF871" s="16"/>
      <c r="AG871" s="367" t="s">
        <v>1992</v>
      </c>
    </row>
    <row r="872" spans="1:33" ht="15.75" thickBot="1" x14ac:dyDescent="0.3">
      <c r="A872" s="356">
        <v>143</v>
      </c>
      <c r="B872" s="357">
        <v>46210</v>
      </c>
      <c r="C872" s="358" t="s">
        <v>87</v>
      </c>
      <c r="D872" s="359"/>
      <c r="E872" s="360"/>
      <c r="F872" s="361"/>
      <c r="G872" s="213" t="str">
        <f>IFERROR(VLOOKUP(Tabla3[[#This Row],[NUM ECONOMICO]],MAQUINARIA!B:H,7,0), " MAQ")</f>
        <v>INACTIVA</v>
      </c>
      <c r="H872" s="362" t="s">
        <v>1356</v>
      </c>
      <c r="I872" s="363" t="s">
        <v>1900</v>
      </c>
      <c r="J872" s="358" t="s">
        <v>1961</v>
      </c>
      <c r="K872" s="358">
        <v>2</v>
      </c>
      <c r="L872" s="364">
        <v>29.71</v>
      </c>
      <c r="M872" s="364">
        <f t="shared" si="15"/>
        <v>59.42</v>
      </c>
      <c r="N872" s="41" t="s">
        <v>1990</v>
      </c>
      <c r="O872" s="358"/>
      <c r="P872" s="365">
        <f>Tabla3[[#This Row],[COSTO UNITARIO DOLARES EN HAWTHORNE]]*Tabla3[[#This Row],[CANTIDAD SOLICTADA]]</f>
        <v>0</v>
      </c>
      <c r="Q872" s="41"/>
      <c r="R872" s="229"/>
      <c r="S872" s="229">
        <f>+Tabla3[[#This Row],[COSTO UNITARIO DOLARES CTP]]*Tabla3[[#This Row],[CANTIDAD SOLICTADA]]</f>
        <v>0</v>
      </c>
      <c r="T872" s="41"/>
      <c r="U872" s="358" t="s">
        <v>5</v>
      </c>
      <c r="V872" s="360" t="s">
        <v>1991</v>
      </c>
      <c r="W872" s="366"/>
      <c r="X872" s="359"/>
      <c r="Y872" s="358"/>
      <c r="Z872" s="360"/>
      <c r="AA872" s="360"/>
      <c r="AB872" s="360"/>
      <c r="AC872" s="360"/>
      <c r="AD872" s="360"/>
      <c r="AE872" s="360"/>
      <c r="AF872" s="16"/>
      <c r="AG872" s="367" t="s">
        <v>1992</v>
      </c>
    </row>
    <row r="873" spans="1:33" ht="15.75" thickBot="1" x14ac:dyDescent="0.3">
      <c r="A873" s="356">
        <v>143</v>
      </c>
      <c r="B873" s="357">
        <v>46210</v>
      </c>
      <c r="C873" s="358" t="s">
        <v>87</v>
      </c>
      <c r="D873" s="359"/>
      <c r="E873" s="360"/>
      <c r="F873" s="361"/>
      <c r="G873" s="213" t="str">
        <f>IFERROR(VLOOKUP(Tabla3[[#This Row],[NUM ECONOMICO]],MAQUINARIA!B:H,7,0), " MAQ")</f>
        <v>INACTIVA</v>
      </c>
      <c r="H873" s="362" t="s">
        <v>1356</v>
      </c>
      <c r="I873" s="363" t="s">
        <v>558</v>
      </c>
      <c r="J873" s="358" t="s">
        <v>546</v>
      </c>
      <c r="K873" s="358">
        <v>2</v>
      </c>
      <c r="L873" s="364">
        <v>76.430000000000007</v>
      </c>
      <c r="M873" s="364">
        <f t="shared" si="15"/>
        <v>152.86000000000001</v>
      </c>
      <c r="N873" s="41" t="s">
        <v>1990</v>
      </c>
      <c r="O873" s="358"/>
      <c r="P873" s="365">
        <f>Tabla3[[#This Row],[COSTO UNITARIO DOLARES EN HAWTHORNE]]*Tabla3[[#This Row],[CANTIDAD SOLICTADA]]</f>
        <v>0</v>
      </c>
      <c r="Q873" s="41"/>
      <c r="R873" s="229"/>
      <c r="S873" s="229">
        <f>+Tabla3[[#This Row],[COSTO UNITARIO DOLARES CTP]]*Tabla3[[#This Row],[CANTIDAD SOLICTADA]]</f>
        <v>0</v>
      </c>
      <c r="T873" s="41"/>
      <c r="U873" s="358" t="s">
        <v>5</v>
      </c>
      <c r="V873" s="360" t="s">
        <v>1991</v>
      </c>
      <c r="W873" s="366"/>
      <c r="X873" s="359"/>
      <c r="Y873" s="358"/>
      <c r="Z873" s="360"/>
      <c r="AA873" s="360"/>
      <c r="AB873" s="360"/>
      <c r="AC873" s="360"/>
      <c r="AD873" s="360"/>
      <c r="AE873" s="360"/>
      <c r="AF873" s="16"/>
      <c r="AG873" s="367" t="s">
        <v>1992</v>
      </c>
    </row>
    <row r="874" spans="1:33" ht="15.75" thickBot="1" x14ac:dyDescent="0.3">
      <c r="A874" s="356">
        <v>143</v>
      </c>
      <c r="B874" s="357">
        <v>46210</v>
      </c>
      <c r="C874" s="358" t="s">
        <v>87</v>
      </c>
      <c r="D874" s="359"/>
      <c r="E874" s="360"/>
      <c r="F874" s="361"/>
      <c r="G874" s="213" t="str">
        <f>IFERROR(VLOOKUP(Tabla3[[#This Row],[NUM ECONOMICO]],MAQUINARIA!B:H,7,0), " MAQ")</f>
        <v>INACTIVA</v>
      </c>
      <c r="H874" s="362" t="s">
        <v>1356</v>
      </c>
      <c r="I874" s="363" t="s">
        <v>303</v>
      </c>
      <c r="J874" s="358" t="s">
        <v>546</v>
      </c>
      <c r="K874" s="358">
        <v>2</v>
      </c>
      <c r="L874" s="364">
        <v>125.84</v>
      </c>
      <c r="M874" s="364">
        <f t="shared" si="15"/>
        <v>251.68</v>
      </c>
      <c r="N874" s="41" t="s">
        <v>1990</v>
      </c>
      <c r="O874" s="358"/>
      <c r="P874" s="365">
        <f>Tabla3[[#This Row],[COSTO UNITARIO DOLARES EN HAWTHORNE]]*Tabla3[[#This Row],[CANTIDAD SOLICTADA]]</f>
        <v>0</v>
      </c>
      <c r="Q874" s="41"/>
      <c r="R874" s="229"/>
      <c r="S874" s="229">
        <f>+Tabla3[[#This Row],[COSTO UNITARIO DOLARES CTP]]*Tabla3[[#This Row],[CANTIDAD SOLICTADA]]</f>
        <v>0</v>
      </c>
      <c r="T874" s="41"/>
      <c r="U874" s="358" t="s">
        <v>5</v>
      </c>
      <c r="V874" s="360" t="s">
        <v>1991</v>
      </c>
      <c r="W874" s="366"/>
      <c r="X874" s="359"/>
      <c r="Y874" s="358"/>
      <c r="Z874" s="360"/>
      <c r="AA874" s="360"/>
      <c r="AB874" s="360"/>
      <c r="AC874" s="360"/>
      <c r="AD874" s="360"/>
      <c r="AE874" s="360"/>
      <c r="AF874" s="16"/>
      <c r="AG874" s="367" t="s">
        <v>1992</v>
      </c>
    </row>
    <row r="875" spans="1:33" ht="15.75" thickBot="1" x14ac:dyDescent="0.3">
      <c r="A875" s="356">
        <v>143</v>
      </c>
      <c r="B875" s="357">
        <v>46210</v>
      </c>
      <c r="C875" s="358" t="s">
        <v>87</v>
      </c>
      <c r="D875" s="359"/>
      <c r="E875" s="360"/>
      <c r="F875" s="361"/>
      <c r="G875" s="213" t="str">
        <f>IFERROR(VLOOKUP(Tabla3[[#This Row],[NUM ECONOMICO]],MAQUINARIA!B:H,7,0), " MAQ")</f>
        <v>INACTIVA</v>
      </c>
      <c r="H875" s="362" t="s">
        <v>1356</v>
      </c>
      <c r="I875" s="363" t="s">
        <v>548</v>
      </c>
      <c r="J875" s="358" t="s">
        <v>1961</v>
      </c>
      <c r="K875" s="358">
        <v>2</v>
      </c>
      <c r="L875" s="364">
        <v>38.479999999999997</v>
      </c>
      <c r="M875" s="364">
        <f t="shared" si="15"/>
        <v>76.959999999999994</v>
      </c>
      <c r="N875" s="41" t="s">
        <v>1990</v>
      </c>
      <c r="O875" s="358"/>
      <c r="P875" s="365">
        <f>Tabla3[[#This Row],[COSTO UNITARIO DOLARES EN HAWTHORNE]]*Tabla3[[#This Row],[CANTIDAD SOLICTADA]]</f>
        <v>0</v>
      </c>
      <c r="Q875" s="41"/>
      <c r="R875" s="229"/>
      <c r="S875" s="229">
        <f>+Tabla3[[#This Row],[COSTO UNITARIO DOLARES CTP]]*Tabla3[[#This Row],[CANTIDAD SOLICTADA]]</f>
        <v>0</v>
      </c>
      <c r="T875" s="41"/>
      <c r="U875" s="358" t="s">
        <v>5</v>
      </c>
      <c r="V875" s="360" t="s">
        <v>1991</v>
      </c>
      <c r="W875" s="366"/>
      <c r="X875" s="359"/>
      <c r="Y875" s="358"/>
      <c r="Z875" s="360"/>
      <c r="AA875" s="360"/>
      <c r="AB875" s="360"/>
      <c r="AC875" s="360"/>
      <c r="AD875" s="360"/>
      <c r="AE875" s="360"/>
      <c r="AF875" s="16"/>
      <c r="AG875" s="367" t="s">
        <v>1992</v>
      </c>
    </row>
    <row r="876" spans="1:33" ht="15.75" thickBot="1" x14ac:dyDescent="0.3">
      <c r="A876" s="356">
        <v>143</v>
      </c>
      <c r="B876" s="357">
        <v>46210</v>
      </c>
      <c r="C876" s="358" t="s">
        <v>87</v>
      </c>
      <c r="D876" s="359"/>
      <c r="E876" s="360"/>
      <c r="F876" s="361"/>
      <c r="G876" s="213" t="str">
        <f>IFERROR(VLOOKUP(Tabla3[[#This Row],[NUM ECONOMICO]],MAQUINARIA!B:H,7,0), " MAQ")</f>
        <v>INACTIVA</v>
      </c>
      <c r="H876" s="362" t="s">
        <v>1356</v>
      </c>
      <c r="I876" s="363" t="s">
        <v>1901</v>
      </c>
      <c r="J876" s="358" t="s">
        <v>1972</v>
      </c>
      <c r="K876" s="358">
        <v>5</v>
      </c>
      <c r="L876" s="364">
        <v>123.69</v>
      </c>
      <c r="M876" s="364">
        <f t="shared" si="15"/>
        <v>618.45000000000005</v>
      </c>
      <c r="N876" s="41" t="s">
        <v>1990</v>
      </c>
      <c r="O876" s="358"/>
      <c r="P876" s="365">
        <f>Tabla3[[#This Row],[COSTO UNITARIO DOLARES EN HAWTHORNE]]*Tabla3[[#This Row],[CANTIDAD SOLICTADA]]</f>
        <v>0</v>
      </c>
      <c r="Q876" s="41"/>
      <c r="R876" s="229"/>
      <c r="S876" s="229">
        <f>+Tabla3[[#This Row],[COSTO UNITARIO DOLARES CTP]]*Tabla3[[#This Row],[CANTIDAD SOLICTADA]]</f>
        <v>0</v>
      </c>
      <c r="T876" s="41"/>
      <c r="U876" s="358" t="s">
        <v>5</v>
      </c>
      <c r="V876" s="360" t="s">
        <v>1991</v>
      </c>
      <c r="W876" s="366"/>
      <c r="X876" s="359"/>
      <c r="Y876" s="358"/>
      <c r="Z876" s="360"/>
      <c r="AA876" s="360"/>
      <c r="AB876" s="360"/>
      <c r="AC876" s="360"/>
      <c r="AD876" s="360"/>
      <c r="AE876" s="360"/>
      <c r="AF876" s="16"/>
      <c r="AG876" s="367" t="s">
        <v>1992</v>
      </c>
    </row>
    <row r="877" spans="1:33" ht="15.75" thickBot="1" x14ac:dyDescent="0.3">
      <c r="A877" s="356">
        <v>143</v>
      </c>
      <c r="B877" s="357">
        <v>46210</v>
      </c>
      <c r="C877" s="358" t="s">
        <v>87</v>
      </c>
      <c r="D877" s="359"/>
      <c r="E877" s="360"/>
      <c r="F877" s="361"/>
      <c r="G877" s="213" t="str">
        <f>IFERROR(VLOOKUP(Tabla3[[#This Row],[NUM ECONOMICO]],MAQUINARIA!B:H,7,0), " MAQ")</f>
        <v>INACTIVA</v>
      </c>
      <c r="H877" s="362" t="s">
        <v>1356</v>
      </c>
      <c r="I877" s="363" t="s">
        <v>1902</v>
      </c>
      <c r="J877" s="358" t="s">
        <v>1972</v>
      </c>
      <c r="K877" s="358">
        <v>1</v>
      </c>
      <c r="L877" s="364">
        <v>325.95999999999998</v>
      </c>
      <c r="M877" s="364">
        <f t="shared" si="15"/>
        <v>325.95999999999998</v>
      </c>
      <c r="N877" s="41" t="s">
        <v>1990</v>
      </c>
      <c r="O877" s="358"/>
      <c r="P877" s="365">
        <f>Tabla3[[#This Row],[COSTO UNITARIO DOLARES EN HAWTHORNE]]*Tabla3[[#This Row],[CANTIDAD SOLICTADA]]</f>
        <v>0</v>
      </c>
      <c r="Q877" s="41"/>
      <c r="R877" s="229"/>
      <c r="S877" s="229">
        <f>+Tabla3[[#This Row],[COSTO UNITARIO DOLARES CTP]]*Tabla3[[#This Row],[CANTIDAD SOLICTADA]]</f>
        <v>0</v>
      </c>
      <c r="T877" s="41"/>
      <c r="U877" s="358" t="s">
        <v>5</v>
      </c>
      <c r="V877" s="360" t="s">
        <v>1991</v>
      </c>
      <c r="W877" s="366"/>
      <c r="X877" s="359"/>
      <c r="Y877" s="358"/>
      <c r="Z877" s="360"/>
      <c r="AA877" s="360"/>
      <c r="AB877" s="360"/>
      <c r="AC877" s="360"/>
      <c r="AD877" s="360"/>
      <c r="AE877" s="360"/>
      <c r="AF877" s="16"/>
      <c r="AG877" s="367" t="s">
        <v>1992</v>
      </c>
    </row>
    <row r="878" spans="1:33" ht="15.75" thickBot="1" x14ac:dyDescent="0.3">
      <c r="A878" s="356">
        <v>143</v>
      </c>
      <c r="B878" s="357">
        <v>46210</v>
      </c>
      <c r="C878" s="358" t="s">
        <v>87</v>
      </c>
      <c r="D878" s="359"/>
      <c r="E878" s="360"/>
      <c r="F878" s="361"/>
      <c r="G878" s="213" t="str">
        <f>IFERROR(VLOOKUP(Tabla3[[#This Row],[NUM ECONOMICO]],MAQUINARIA!B:H,7,0), " MAQ")</f>
        <v>INACTIVA</v>
      </c>
      <c r="H878" s="362" t="s">
        <v>1356</v>
      </c>
      <c r="I878" s="363" t="s">
        <v>1903</v>
      </c>
      <c r="J878" s="358" t="s">
        <v>1973</v>
      </c>
      <c r="K878" s="358">
        <v>12</v>
      </c>
      <c r="L878" s="364">
        <v>194.04</v>
      </c>
      <c r="M878" s="364">
        <f t="shared" si="15"/>
        <v>2328.48</v>
      </c>
      <c r="N878" s="41" t="s">
        <v>1990</v>
      </c>
      <c r="O878" s="358"/>
      <c r="P878" s="365">
        <f>Tabla3[[#This Row],[COSTO UNITARIO DOLARES EN HAWTHORNE]]*Tabla3[[#This Row],[CANTIDAD SOLICTADA]]</f>
        <v>0</v>
      </c>
      <c r="Q878" s="41"/>
      <c r="R878" s="229"/>
      <c r="S878" s="229">
        <f>+Tabla3[[#This Row],[COSTO UNITARIO DOLARES CTP]]*Tabla3[[#This Row],[CANTIDAD SOLICTADA]]</f>
        <v>0</v>
      </c>
      <c r="T878" s="41"/>
      <c r="U878" s="358" t="s">
        <v>5</v>
      </c>
      <c r="V878" s="360" t="s">
        <v>1991</v>
      </c>
      <c r="W878" s="366"/>
      <c r="X878" s="359"/>
      <c r="Y878" s="358"/>
      <c r="Z878" s="360"/>
      <c r="AA878" s="360"/>
      <c r="AB878" s="360"/>
      <c r="AC878" s="360"/>
      <c r="AD878" s="360"/>
      <c r="AE878" s="360"/>
      <c r="AF878" s="16"/>
      <c r="AG878" s="367" t="s">
        <v>1992</v>
      </c>
    </row>
    <row r="879" spans="1:33" ht="15.75" thickBot="1" x14ac:dyDescent="0.3">
      <c r="A879" s="356">
        <v>143</v>
      </c>
      <c r="B879" s="357">
        <v>46210</v>
      </c>
      <c r="C879" s="358" t="s">
        <v>87</v>
      </c>
      <c r="D879" s="359"/>
      <c r="E879" s="360"/>
      <c r="F879" s="361"/>
      <c r="G879" s="213" t="str">
        <f>IFERROR(VLOOKUP(Tabla3[[#This Row],[NUM ECONOMICO]],MAQUINARIA!B:H,7,0), " MAQ")</f>
        <v>INACTIVA</v>
      </c>
      <c r="H879" s="362" t="s">
        <v>1356</v>
      </c>
      <c r="I879" s="363" t="s">
        <v>334</v>
      </c>
      <c r="J879" s="358" t="s">
        <v>506</v>
      </c>
      <c r="K879" s="358">
        <v>14</v>
      </c>
      <c r="L879" s="364">
        <v>31.5</v>
      </c>
      <c r="M879" s="364">
        <f t="shared" si="15"/>
        <v>441</v>
      </c>
      <c r="N879" s="41" t="s">
        <v>1990</v>
      </c>
      <c r="O879" s="358"/>
      <c r="P879" s="365">
        <f>Tabla3[[#This Row],[COSTO UNITARIO DOLARES EN HAWTHORNE]]*Tabla3[[#This Row],[CANTIDAD SOLICTADA]]</f>
        <v>0</v>
      </c>
      <c r="Q879" s="41"/>
      <c r="R879" s="229"/>
      <c r="S879" s="229">
        <f>+Tabla3[[#This Row],[COSTO UNITARIO DOLARES CTP]]*Tabla3[[#This Row],[CANTIDAD SOLICTADA]]</f>
        <v>0</v>
      </c>
      <c r="T879" s="41"/>
      <c r="U879" s="358" t="s">
        <v>5</v>
      </c>
      <c r="V879" s="360" t="s">
        <v>1991</v>
      </c>
      <c r="W879" s="366"/>
      <c r="X879" s="359"/>
      <c r="Y879" s="358"/>
      <c r="Z879" s="360"/>
      <c r="AA879" s="360"/>
      <c r="AB879" s="360"/>
      <c r="AC879" s="360"/>
      <c r="AD879" s="360"/>
      <c r="AE879" s="360"/>
      <c r="AF879" s="16"/>
      <c r="AG879" s="367" t="s">
        <v>1992</v>
      </c>
    </row>
    <row r="880" spans="1:33" ht="15.75" thickBot="1" x14ac:dyDescent="0.3">
      <c r="A880" s="356">
        <v>143</v>
      </c>
      <c r="B880" s="357">
        <v>46210</v>
      </c>
      <c r="C880" s="358" t="s">
        <v>87</v>
      </c>
      <c r="D880" s="359"/>
      <c r="E880" s="360"/>
      <c r="F880" s="361"/>
      <c r="G880" s="213" t="str">
        <f>IFERROR(VLOOKUP(Tabla3[[#This Row],[NUM ECONOMICO]],MAQUINARIA!B:H,7,0), " MAQ")</f>
        <v>INACTIVA</v>
      </c>
      <c r="H880" s="362" t="s">
        <v>1356</v>
      </c>
      <c r="I880" s="363" t="s">
        <v>336</v>
      </c>
      <c r="J880" s="358" t="s">
        <v>1971</v>
      </c>
      <c r="K880" s="358">
        <v>5</v>
      </c>
      <c r="L880" s="364">
        <v>34.9</v>
      </c>
      <c r="M880" s="364">
        <f t="shared" si="15"/>
        <v>174.5</v>
      </c>
      <c r="N880" s="41" t="s">
        <v>1990</v>
      </c>
      <c r="O880" s="358"/>
      <c r="P880" s="365">
        <f>Tabla3[[#This Row],[COSTO UNITARIO DOLARES EN HAWTHORNE]]*Tabla3[[#This Row],[CANTIDAD SOLICTADA]]</f>
        <v>0</v>
      </c>
      <c r="Q880" s="41"/>
      <c r="R880" s="229"/>
      <c r="S880" s="229">
        <f>+Tabla3[[#This Row],[COSTO UNITARIO DOLARES CTP]]*Tabla3[[#This Row],[CANTIDAD SOLICTADA]]</f>
        <v>0</v>
      </c>
      <c r="T880" s="41"/>
      <c r="U880" s="358" t="s">
        <v>5</v>
      </c>
      <c r="V880" s="360" t="s">
        <v>1991</v>
      </c>
      <c r="W880" s="366"/>
      <c r="X880" s="359"/>
      <c r="Y880" s="358"/>
      <c r="Z880" s="360"/>
      <c r="AA880" s="360"/>
      <c r="AB880" s="360"/>
      <c r="AC880" s="360"/>
      <c r="AD880" s="360"/>
      <c r="AE880" s="360"/>
      <c r="AF880" s="16"/>
      <c r="AG880" s="367" t="s">
        <v>1992</v>
      </c>
    </row>
    <row r="881" spans="1:33" ht="15.75" thickBot="1" x14ac:dyDescent="0.3">
      <c r="A881" s="356">
        <v>143</v>
      </c>
      <c r="B881" s="357">
        <v>46210</v>
      </c>
      <c r="C881" s="358" t="s">
        <v>87</v>
      </c>
      <c r="D881" s="359"/>
      <c r="E881" s="360"/>
      <c r="F881" s="361"/>
      <c r="G881" s="213" t="str">
        <f>IFERROR(VLOOKUP(Tabla3[[#This Row],[NUM ECONOMICO]],MAQUINARIA!B:H,7,0), " MAQ")</f>
        <v>INACTIVA</v>
      </c>
      <c r="H881" s="362" t="s">
        <v>1356</v>
      </c>
      <c r="I881" s="363" t="s">
        <v>1904</v>
      </c>
      <c r="J881" s="358" t="s">
        <v>1972</v>
      </c>
      <c r="K881" s="358">
        <v>8</v>
      </c>
      <c r="L881" s="364">
        <v>241.29</v>
      </c>
      <c r="M881" s="364">
        <f t="shared" ref="M881:M912" si="16">+L881*K881</f>
        <v>1930.32</v>
      </c>
      <c r="N881" s="41" t="s">
        <v>1990</v>
      </c>
      <c r="O881" s="358"/>
      <c r="P881" s="365">
        <f>Tabla3[[#This Row],[COSTO UNITARIO DOLARES EN HAWTHORNE]]*Tabla3[[#This Row],[CANTIDAD SOLICTADA]]</f>
        <v>0</v>
      </c>
      <c r="Q881" s="41"/>
      <c r="R881" s="229"/>
      <c r="S881" s="229">
        <f>+Tabla3[[#This Row],[COSTO UNITARIO DOLARES CTP]]*Tabla3[[#This Row],[CANTIDAD SOLICTADA]]</f>
        <v>0</v>
      </c>
      <c r="T881" s="41"/>
      <c r="U881" s="358" t="s">
        <v>5</v>
      </c>
      <c r="V881" s="360" t="s">
        <v>1991</v>
      </c>
      <c r="W881" s="366"/>
      <c r="X881" s="359"/>
      <c r="Y881" s="358"/>
      <c r="Z881" s="360"/>
      <c r="AA881" s="360"/>
      <c r="AB881" s="360"/>
      <c r="AC881" s="360"/>
      <c r="AD881" s="360"/>
      <c r="AE881" s="360"/>
      <c r="AF881" s="16"/>
      <c r="AG881" s="367" t="s">
        <v>1992</v>
      </c>
    </row>
    <row r="882" spans="1:33" ht="15.75" thickBot="1" x14ac:dyDescent="0.3">
      <c r="A882" s="356">
        <v>143</v>
      </c>
      <c r="B882" s="357">
        <v>46210</v>
      </c>
      <c r="C882" s="358" t="s">
        <v>87</v>
      </c>
      <c r="D882" s="359"/>
      <c r="E882" s="360"/>
      <c r="F882" s="361"/>
      <c r="G882" s="213" t="str">
        <f>IFERROR(VLOOKUP(Tabla3[[#This Row],[NUM ECONOMICO]],MAQUINARIA!B:H,7,0), " MAQ")</f>
        <v>INACTIVA</v>
      </c>
      <c r="H882" s="362" t="s">
        <v>1356</v>
      </c>
      <c r="I882" s="363" t="s">
        <v>551</v>
      </c>
      <c r="J882" s="358" t="s">
        <v>1962</v>
      </c>
      <c r="K882" s="358">
        <v>21</v>
      </c>
      <c r="L882" s="364">
        <v>25.24</v>
      </c>
      <c r="M882" s="364">
        <f t="shared" si="16"/>
        <v>530.04</v>
      </c>
      <c r="N882" s="41" t="s">
        <v>1990</v>
      </c>
      <c r="O882" s="358"/>
      <c r="P882" s="365">
        <f>Tabla3[[#This Row],[COSTO UNITARIO DOLARES EN HAWTHORNE]]*Tabla3[[#This Row],[CANTIDAD SOLICTADA]]</f>
        <v>0</v>
      </c>
      <c r="Q882" s="41"/>
      <c r="R882" s="229"/>
      <c r="S882" s="229">
        <f>+Tabla3[[#This Row],[COSTO UNITARIO DOLARES CTP]]*Tabla3[[#This Row],[CANTIDAD SOLICTADA]]</f>
        <v>0</v>
      </c>
      <c r="T882" s="41"/>
      <c r="U882" s="358" t="s">
        <v>5</v>
      </c>
      <c r="V882" s="360" t="s">
        <v>1991</v>
      </c>
      <c r="W882" s="366"/>
      <c r="X882" s="359"/>
      <c r="Y882" s="358"/>
      <c r="Z882" s="360"/>
      <c r="AA882" s="360"/>
      <c r="AB882" s="360"/>
      <c r="AC882" s="360"/>
      <c r="AD882" s="360"/>
      <c r="AE882" s="360"/>
      <c r="AF882" s="16"/>
      <c r="AG882" s="367" t="s">
        <v>1992</v>
      </c>
    </row>
    <row r="883" spans="1:33" ht="15.75" thickBot="1" x14ac:dyDescent="0.3">
      <c r="A883" s="356">
        <v>143</v>
      </c>
      <c r="B883" s="357">
        <v>46210</v>
      </c>
      <c r="C883" s="358" t="s">
        <v>87</v>
      </c>
      <c r="D883" s="359"/>
      <c r="E883" s="360"/>
      <c r="F883" s="361"/>
      <c r="G883" s="213" t="str">
        <f>IFERROR(VLOOKUP(Tabla3[[#This Row],[NUM ECONOMICO]],MAQUINARIA!B:H,7,0), " MAQ")</f>
        <v>INACTIVA</v>
      </c>
      <c r="H883" s="362" t="s">
        <v>1356</v>
      </c>
      <c r="I883" s="363" t="s">
        <v>553</v>
      </c>
      <c r="J883" s="358" t="s">
        <v>546</v>
      </c>
      <c r="K883" s="358">
        <v>2</v>
      </c>
      <c r="L883" s="364">
        <v>31.5</v>
      </c>
      <c r="M883" s="364">
        <f t="shared" si="16"/>
        <v>63</v>
      </c>
      <c r="N883" s="41" t="s">
        <v>1990</v>
      </c>
      <c r="O883" s="358"/>
      <c r="P883" s="365">
        <f>Tabla3[[#This Row],[COSTO UNITARIO DOLARES EN HAWTHORNE]]*Tabla3[[#This Row],[CANTIDAD SOLICTADA]]</f>
        <v>0</v>
      </c>
      <c r="Q883" s="41"/>
      <c r="R883" s="229"/>
      <c r="S883" s="229">
        <f>+Tabla3[[#This Row],[COSTO UNITARIO DOLARES CTP]]*Tabla3[[#This Row],[CANTIDAD SOLICTADA]]</f>
        <v>0</v>
      </c>
      <c r="T883" s="41"/>
      <c r="U883" s="358" t="s">
        <v>5</v>
      </c>
      <c r="V883" s="360" t="s">
        <v>1991</v>
      </c>
      <c r="W883" s="366"/>
      <c r="X883" s="359"/>
      <c r="Y883" s="358"/>
      <c r="Z883" s="360"/>
      <c r="AA883" s="360"/>
      <c r="AB883" s="360"/>
      <c r="AC883" s="360"/>
      <c r="AD883" s="360"/>
      <c r="AE883" s="360"/>
      <c r="AF883" s="16"/>
      <c r="AG883" s="367" t="s">
        <v>1992</v>
      </c>
    </row>
    <row r="884" spans="1:33" ht="15.75" thickBot="1" x14ac:dyDescent="0.3">
      <c r="A884" s="356">
        <v>143</v>
      </c>
      <c r="B884" s="357">
        <v>46210</v>
      </c>
      <c r="C884" s="358" t="s">
        <v>87</v>
      </c>
      <c r="D884" s="359"/>
      <c r="E884" s="360"/>
      <c r="F884" s="361"/>
      <c r="G884" s="213" t="str">
        <f>IFERROR(VLOOKUP(Tabla3[[#This Row],[NUM ECONOMICO]],MAQUINARIA!B:H,7,0), " MAQ")</f>
        <v>INACTIVA</v>
      </c>
      <c r="H884" s="362" t="s">
        <v>1356</v>
      </c>
      <c r="I884" s="363" t="s">
        <v>1905</v>
      </c>
      <c r="J884" s="358" t="s">
        <v>1974</v>
      </c>
      <c r="K884" s="358">
        <v>5</v>
      </c>
      <c r="L884" s="364">
        <v>184.55</v>
      </c>
      <c r="M884" s="364">
        <f t="shared" si="16"/>
        <v>922.75</v>
      </c>
      <c r="N884" s="41" t="s">
        <v>1990</v>
      </c>
      <c r="O884" s="358"/>
      <c r="P884" s="365">
        <f>Tabla3[[#This Row],[COSTO UNITARIO DOLARES EN HAWTHORNE]]*Tabla3[[#This Row],[CANTIDAD SOLICTADA]]</f>
        <v>0</v>
      </c>
      <c r="Q884" s="41"/>
      <c r="R884" s="229"/>
      <c r="S884" s="229">
        <f>+Tabla3[[#This Row],[COSTO UNITARIO DOLARES CTP]]*Tabla3[[#This Row],[CANTIDAD SOLICTADA]]</f>
        <v>0</v>
      </c>
      <c r="T884" s="41"/>
      <c r="U884" s="358" t="s">
        <v>5</v>
      </c>
      <c r="V884" s="360" t="s">
        <v>1991</v>
      </c>
      <c r="W884" s="366"/>
      <c r="X884" s="359"/>
      <c r="Y884" s="358"/>
      <c r="Z884" s="360"/>
      <c r="AA884" s="360"/>
      <c r="AB884" s="360"/>
      <c r="AC884" s="360"/>
      <c r="AD884" s="360"/>
      <c r="AE884" s="360"/>
      <c r="AF884" s="16"/>
      <c r="AG884" s="367" t="s">
        <v>1992</v>
      </c>
    </row>
    <row r="885" spans="1:33" ht="15.75" thickBot="1" x14ac:dyDescent="0.3">
      <c r="A885" s="356">
        <v>143</v>
      </c>
      <c r="B885" s="357">
        <v>46210</v>
      </c>
      <c r="C885" s="358" t="s">
        <v>87</v>
      </c>
      <c r="D885" s="359"/>
      <c r="E885" s="360"/>
      <c r="F885" s="361"/>
      <c r="G885" s="213" t="str">
        <f>IFERROR(VLOOKUP(Tabla3[[#This Row],[NUM ECONOMICO]],MAQUINARIA!B:H,7,0), " MAQ")</f>
        <v>INACTIVA</v>
      </c>
      <c r="H885" s="362" t="s">
        <v>1356</v>
      </c>
      <c r="I885" s="363" t="s">
        <v>1906</v>
      </c>
      <c r="J885" s="358" t="s">
        <v>220</v>
      </c>
      <c r="K885" s="358">
        <v>1</v>
      </c>
      <c r="L885" s="364">
        <v>100.42</v>
      </c>
      <c r="M885" s="364">
        <f t="shared" si="16"/>
        <v>100.42</v>
      </c>
      <c r="N885" s="41" t="s">
        <v>1990</v>
      </c>
      <c r="O885" s="358"/>
      <c r="P885" s="365">
        <f>Tabla3[[#This Row],[COSTO UNITARIO DOLARES EN HAWTHORNE]]*Tabla3[[#This Row],[CANTIDAD SOLICTADA]]</f>
        <v>0</v>
      </c>
      <c r="Q885" s="41"/>
      <c r="R885" s="229"/>
      <c r="S885" s="229">
        <f>+Tabla3[[#This Row],[COSTO UNITARIO DOLARES CTP]]*Tabla3[[#This Row],[CANTIDAD SOLICTADA]]</f>
        <v>0</v>
      </c>
      <c r="T885" s="41"/>
      <c r="U885" s="358" t="s">
        <v>5</v>
      </c>
      <c r="V885" s="360" t="s">
        <v>1991</v>
      </c>
      <c r="W885" s="366"/>
      <c r="X885" s="359"/>
      <c r="Y885" s="358"/>
      <c r="Z885" s="360"/>
      <c r="AA885" s="360"/>
      <c r="AB885" s="360"/>
      <c r="AC885" s="360"/>
      <c r="AD885" s="360"/>
      <c r="AE885" s="360"/>
      <c r="AF885" s="16"/>
      <c r="AG885" s="367" t="s">
        <v>1992</v>
      </c>
    </row>
    <row r="886" spans="1:33" ht="15.75" thickBot="1" x14ac:dyDescent="0.3">
      <c r="A886" s="356">
        <v>143</v>
      </c>
      <c r="B886" s="357">
        <v>46210</v>
      </c>
      <c r="C886" s="358" t="s">
        <v>87</v>
      </c>
      <c r="D886" s="359"/>
      <c r="E886" s="360"/>
      <c r="F886" s="361"/>
      <c r="G886" s="213" t="str">
        <f>IFERROR(VLOOKUP(Tabla3[[#This Row],[NUM ECONOMICO]],MAQUINARIA!B:H,7,0), " MAQ")</f>
        <v>INACTIVA</v>
      </c>
      <c r="H886" s="362" t="s">
        <v>1356</v>
      </c>
      <c r="I886" s="363" t="s">
        <v>1907</v>
      </c>
      <c r="J886" s="358" t="s">
        <v>1961</v>
      </c>
      <c r="K886" s="358">
        <v>1</v>
      </c>
      <c r="L886" s="364">
        <v>210.33</v>
      </c>
      <c r="M886" s="364">
        <f t="shared" si="16"/>
        <v>210.33</v>
      </c>
      <c r="N886" s="41" t="s">
        <v>1990</v>
      </c>
      <c r="O886" s="358"/>
      <c r="P886" s="365">
        <f>Tabla3[[#This Row],[COSTO UNITARIO DOLARES EN HAWTHORNE]]*Tabla3[[#This Row],[CANTIDAD SOLICTADA]]</f>
        <v>0</v>
      </c>
      <c r="Q886" s="41"/>
      <c r="R886" s="229"/>
      <c r="S886" s="229">
        <f>+Tabla3[[#This Row],[COSTO UNITARIO DOLARES CTP]]*Tabla3[[#This Row],[CANTIDAD SOLICTADA]]</f>
        <v>0</v>
      </c>
      <c r="T886" s="41"/>
      <c r="U886" s="358" t="s">
        <v>5</v>
      </c>
      <c r="V886" s="360" t="s">
        <v>1991</v>
      </c>
      <c r="W886" s="366"/>
      <c r="X886" s="359"/>
      <c r="Y886" s="358"/>
      <c r="Z886" s="360"/>
      <c r="AA886" s="360"/>
      <c r="AB886" s="360"/>
      <c r="AC886" s="360"/>
      <c r="AD886" s="360"/>
      <c r="AE886" s="360"/>
      <c r="AF886" s="16"/>
      <c r="AG886" s="367" t="s">
        <v>1992</v>
      </c>
    </row>
    <row r="887" spans="1:33" ht="15.75" thickBot="1" x14ac:dyDescent="0.3">
      <c r="A887" s="356">
        <v>143</v>
      </c>
      <c r="B887" s="357">
        <v>46210</v>
      </c>
      <c r="C887" s="358" t="s">
        <v>87</v>
      </c>
      <c r="D887" s="359"/>
      <c r="E887" s="360"/>
      <c r="F887" s="361"/>
      <c r="G887" s="213" t="str">
        <f>IFERROR(VLOOKUP(Tabla3[[#This Row],[NUM ECONOMICO]],MAQUINARIA!B:H,7,0), " MAQ")</f>
        <v>INACTIVA</v>
      </c>
      <c r="H887" s="362" t="s">
        <v>1356</v>
      </c>
      <c r="I887" s="363" t="s">
        <v>1897</v>
      </c>
      <c r="J887" s="358" t="s">
        <v>220</v>
      </c>
      <c r="K887" s="358">
        <v>1</v>
      </c>
      <c r="L887" s="364">
        <v>608.05999999999995</v>
      </c>
      <c r="M887" s="364">
        <f t="shared" si="16"/>
        <v>608.05999999999995</v>
      </c>
      <c r="N887" s="41" t="s">
        <v>1990</v>
      </c>
      <c r="O887" s="358"/>
      <c r="P887" s="365">
        <f>Tabla3[[#This Row],[COSTO UNITARIO DOLARES EN HAWTHORNE]]*Tabla3[[#This Row],[CANTIDAD SOLICTADA]]</f>
        <v>0</v>
      </c>
      <c r="Q887" s="41"/>
      <c r="R887" s="229"/>
      <c r="S887" s="229">
        <f>+Tabla3[[#This Row],[COSTO UNITARIO DOLARES CTP]]*Tabla3[[#This Row],[CANTIDAD SOLICTADA]]</f>
        <v>0</v>
      </c>
      <c r="T887" s="41"/>
      <c r="U887" s="358" t="s">
        <v>5</v>
      </c>
      <c r="V887" s="360" t="s">
        <v>1991</v>
      </c>
      <c r="W887" s="366"/>
      <c r="X887" s="359"/>
      <c r="Y887" s="358"/>
      <c r="Z887" s="360"/>
      <c r="AA887" s="360"/>
      <c r="AB887" s="360"/>
      <c r="AC887" s="360"/>
      <c r="AD887" s="360"/>
      <c r="AE887" s="360"/>
      <c r="AF887" s="16"/>
      <c r="AG887" s="367" t="s">
        <v>1992</v>
      </c>
    </row>
    <row r="888" spans="1:33" ht="15.75" thickBot="1" x14ac:dyDescent="0.3">
      <c r="A888" s="356">
        <v>143</v>
      </c>
      <c r="B888" s="357">
        <v>46210</v>
      </c>
      <c r="C888" s="358" t="s">
        <v>87</v>
      </c>
      <c r="D888" s="359"/>
      <c r="E888" s="360"/>
      <c r="F888" s="361"/>
      <c r="G888" s="213" t="str">
        <f>IFERROR(VLOOKUP(Tabla3[[#This Row],[NUM ECONOMICO]],MAQUINARIA!B:H,7,0), " MAQ")</f>
        <v>INACTIVA</v>
      </c>
      <c r="H888" s="362" t="s">
        <v>1356</v>
      </c>
      <c r="I888" s="363" t="s">
        <v>341</v>
      </c>
      <c r="J888" s="358" t="s">
        <v>546</v>
      </c>
      <c r="K888" s="358">
        <v>1</v>
      </c>
      <c r="L888" s="364">
        <v>52.63</v>
      </c>
      <c r="M888" s="364">
        <f t="shared" si="16"/>
        <v>52.63</v>
      </c>
      <c r="N888" s="41" t="s">
        <v>1990</v>
      </c>
      <c r="O888" s="358"/>
      <c r="P888" s="365">
        <f>Tabla3[[#This Row],[COSTO UNITARIO DOLARES EN HAWTHORNE]]*Tabla3[[#This Row],[CANTIDAD SOLICTADA]]</f>
        <v>0</v>
      </c>
      <c r="Q888" s="41"/>
      <c r="R888" s="229"/>
      <c r="S888" s="229">
        <f>+Tabla3[[#This Row],[COSTO UNITARIO DOLARES CTP]]*Tabla3[[#This Row],[CANTIDAD SOLICTADA]]</f>
        <v>0</v>
      </c>
      <c r="T888" s="41"/>
      <c r="U888" s="358" t="s">
        <v>5</v>
      </c>
      <c r="V888" s="360" t="s">
        <v>1991</v>
      </c>
      <c r="W888" s="366"/>
      <c r="X888" s="359"/>
      <c r="Y888" s="358"/>
      <c r="Z888" s="360"/>
      <c r="AA888" s="360"/>
      <c r="AB888" s="360"/>
      <c r="AC888" s="360"/>
      <c r="AD888" s="360"/>
      <c r="AE888" s="360"/>
      <c r="AF888" s="16"/>
      <c r="AG888" s="367" t="s">
        <v>1992</v>
      </c>
    </row>
    <row r="889" spans="1:33" ht="15.75" thickBot="1" x14ac:dyDescent="0.3">
      <c r="A889" s="356">
        <v>143</v>
      </c>
      <c r="B889" s="357">
        <v>46210</v>
      </c>
      <c r="C889" s="358" t="s">
        <v>87</v>
      </c>
      <c r="D889" s="359"/>
      <c r="E889" s="360"/>
      <c r="F889" s="361"/>
      <c r="G889" s="213" t="str">
        <f>IFERROR(VLOOKUP(Tabla3[[#This Row],[NUM ECONOMICO]],MAQUINARIA!B:H,7,0), " MAQ")</f>
        <v>INACTIVA</v>
      </c>
      <c r="H889" s="362" t="s">
        <v>1356</v>
      </c>
      <c r="I889" s="363" t="s">
        <v>1054</v>
      </c>
      <c r="J889" s="358" t="s">
        <v>1961</v>
      </c>
      <c r="K889" s="358">
        <v>2</v>
      </c>
      <c r="L889" s="364">
        <v>60.14</v>
      </c>
      <c r="M889" s="364">
        <f t="shared" si="16"/>
        <v>120.28</v>
      </c>
      <c r="N889" s="41" t="s">
        <v>1990</v>
      </c>
      <c r="O889" s="358"/>
      <c r="P889" s="365">
        <f>Tabla3[[#This Row],[COSTO UNITARIO DOLARES EN HAWTHORNE]]*Tabla3[[#This Row],[CANTIDAD SOLICTADA]]</f>
        <v>0</v>
      </c>
      <c r="Q889" s="41"/>
      <c r="R889" s="229"/>
      <c r="S889" s="229">
        <f>+Tabla3[[#This Row],[COSTO UNITARIO DOLARES CTP]]*Tabla3[[#This Row],[CANTIDAD SOLICTADA]]</f>
        <v>0</v>
      </c>
      <c r="T889" s="41"/>
      <c r="U889" s="358" t="s">
        <v>5</v>
      </c>
      <c r="V889" s="360" t="s">
        <v>1991</v>
      </c>
      <c r="W889" s="366"/>
      <c r="X889" s="359"/>
      <c r="Y889" s="358"/>
      <c r="Z889" s="360"/>
      <c r="AA889" s="360"/>
      <c r="AB889" s="360"/>
      <c r="AC889" s="360"/>
      <c r="AD889" s="360"/>
      <c r="AE889" s="360"/>
      <c r="AF889" s="16"/>
      <c r="AG889" s="367" t="s">
        <v>1992</v>
      </c>
    </row>
    <row r="890" spans="1:33" ht="15.75" thickBot="1" x14ac:dyDescent="0.3">
      <c r="A890" s="356">
        <v>143</v>
      </c>
      <c r="B890" s="357">
        <v>46210</v>
      </c>
      <c r="C890" s="358" t="s">
        <v>87</v>
      </c>
      <c r="D890" s="359"/>
      <c r="E890" s="360"/>
      <c r="F890" s="361"/>
      <c r="G890" s="213" t="str">
        <f>IFERROR(VLOOKUP(Tabla3[[#This Row],[NUM ECONOMICO]],MAQUINARIA!B:H,7,0), " MAQ")</f>
        <v>INACTIVA</v>
      </c>
      <c r="H890" s="362" t="s">
        <v>1356</v>
      </c>
      <c r="I890" s="363" t="s">
        <v>1908</v>
      </c>
      <c r="J890" s="358" t="s">
        <v>1961</v>
      </c>
      <c r="K890" s="358">
        <v>1</v>
      </c>
      <c r="L890" s="364">
        <v>97.73</v>
      </c>
      <c r="M890" s="364">
        <f t="shared" si="16"/>
        <v>97.73</v>
      </c>
      <c r="N890" s="41" t="s">
        <v>1990</v>
      </c>
      <c r="O890" s="358"/>
      <c r="P890" s="365">
        <f>Tabla3[[#This Row],[COSTO UNITARIO DOLARES EN HAWTHORNE]]*Tabla3[[#This Row],[CANTIDAD SOLICTADA]]</f>
        <v>0</v>
      </c>
      <c r="Q890" s="41"/>
      <c r="R890" s="229"/>
      <c r="S890" s="229">
        <f>+Tabla3[[#This Row],[COSTO UNITARIO DOLARES CTP]]*Tabla3[[#This Row],[CANTIDAD SOLICTADA]]</f>
        <v>0</v>
      </c>
      <c r="T890" s="41"/>
      <c r="U890" s="358" t="s">
        <v>5</v>
      </c>
      <c r="V890" s="360" t="s">
        <v>1991</v>
      </c>
      <c r="W890" s="366"/>
      <c r="X890" s="359"/>
      <c r="Y890" s="358"/>
      <c r="Z890" s="360"/>
      <c r="AA890" s="360"/>
      <c r="AB890" s="360"/>
      <c r="AC890" s="360"/>
      <c r="AD890" s="360"/>
      <c r="AE890" s="360"/>
      <c r="AF890" s="16"/>
      <c r="AG890" s="367" t="s">
        <v>1992</v>
      </c>
    </row>
    <row r="891" spans="1:33" ht="15.75" thickBot="1" x14ac:dyDescent="0.3">
      <c r="A891" s="356">
        <v>143</v>
      </c>
      <c r="B891" s="357">
        <v>46210</v>
      </c>
      <c r="C891" s="358" t="s">
        <v>87</v>
      </c>
      <c r="D891" s="359"/>
      <c r="E891" s="360"/>
      <c r="F891" s="361"/>
      <c r="G891" s="213" t="str">
        <f>IFERROR(VLOOKUP(Tabla3[[#This Row],[NUM ECONOMICO]],MAQUINARIA!B:H,7,0), " MAQ")</f>
        <v>INACTIVA</v>
      </c>
      <c r="H891" s="362" t="s">
        <v>1356</v>
      </c>
      <c r="I891" s="363" t="s">
        <v>1909</v>
      </c>
      <c r="J891" s="358" t="s">
        <v>546</v>
      </c>
      <c r="K891" s="358">
        <v>7</v>
      </c>
      <c r="L891" s="364">
        <v>54.77</v>
      </c>
      <c r="M891" s="364">
        <f t="shared" si="16"/>
        <v>383.39000000000004</v>
      </c>
      <c r="N891" s="41" t="s">
        <v>1990</v>
      </c>
      <c r="O891" s="358"/>
      <c r="P891" s="365">
        <f>Tabla3[[#This Row],[COSTO UNITARIO DOLARES EN HAWTHORNE]]*Tabla3[[#This Row],[CANTIDAD SOLICTADA]]</f>
        <v>0</v>
      </c>
      <c r="Q891" s="41"/>
      <c r="R891" s="229"/>
      <c r="S891" s="229">
        <f>+Tabla3[[#This Row],[COSTO UNITARIO DOLARES CTP]]*Tabla3[[#This Row],[CANTIDAD SOLICTADA]]</f>
        <v>0</v>
      </c>
      <c r="T891" s="41"/>
      <c r="U891" s="358" t="s">
        <v>5</v>
      </c>
      <c r="V891" s="360" t="s">
        <v>1991</v>
      </c>
      <c r="W891" s="366"/>
      <c r="X891" s="359"/>
      <c r="Y891" s="358"/>
      <c r="Z891" s="360"/>
      <c r="AA891" s="360"/>
      <c r="AB891" s="360"/>
      <c r="AC891" s="360"/>
      <c r="AD891" s="360"/>
      <c r="AE891" s="360"/>
      <c r="AF891" s="16"/>
      <c r="AG891" s="367" t="s">
        <v>1992</v>
      </c>
    </row>
    <row r="892" spans="1:33" ht="15.75" thickBot="1" x14ac:dyDescent="0.3">
      <c r="A892" s="356">
        <v>143</v>
      </c>
      <c r="B892" s="357">
        <v>46210</v>
      </c>
      <c r="C892" s="358" t="s">
        <v>87</v>
      </c>
      <c r="D892" s="359"/>
      <c r="E892" s="360"/>
      <c r="F892" s="361"/>
      <c r="G892" s="213" t="str">
        <f>IFERROR(VLOOKUP(Tabla3[[#This Row],[NUM ECONOMICO]],MAQUINARIA!B:H,7,0), " MAQ")</f>
        <v>INACTIVA</v>
      </c>
      <c r="H892" s="362" t="s">
        <v>1356</v>
      </c>
      <c r="I892" s="363" t="s">
        <v>1910</v>
      </c>
      <c r="J892" s="358" t="s">
        <v>546</v>
      </c>
      <c r="K892" s="358">
        <v>8</v>
      </c>
      <c r="L892" s="364">
        <v>43.14</v>
      </c>
      <c r="M892" s="364">
        <f t="shared" si="16"/>
        <v>345.12</v>
      </c>
      <c r="N892" s="41" t="s">
        <v>1990</v>
      </c>
      <c r="O892" s="358"/>
      <c r="P892" s="365">
        <f>Tabla3[[#This Row],[COSTO UNITARIO DOLARES EN HAWTHORNE]]*Tabla3[[#This Row],[CANTIDAD SOLICTADA]]</f>
        <v>0</v>
      </c>
      <c r="Q892" s="41"/>
      <c r="R892" s="229"/>
      <c r="S892" s="229">
        <f>+Tabla3[[#This Row],[COSTO UNITARIO DOLARES CTP]]*Tabla3[[#This Row],[CANTIDAD SOLICTADA]]</f>
        <v>0</v>
      </c>
      <c r="T892" s="41"/>
      <c r="U892" s="358" t="s">
        <v>5</v>
      </c>
      <c r="V892" s="360" t="s">
        <v>1991</v>
      </c>
      <c r="W892" s="366"/>
      <c r="X892" s="359"/>
      <c r="Y892" s="358"/>
      <c r="Z892" s="360"/>
      <c r="AA892" s="360"/>
      <c r="AB892" s="360"/>
      <c r="AC892" s="360"/>
      <c r="AD892" s="360"/>
      <c r="AE892" s="360"/>
      <c r="AF892" s="16"/>
      <c r="AG892" s="367" t="s">
        <v>1992</v>
      </c>
    </row>
    <row r="893" spans="1:33" ht="15.75" thickBot="1" x14ac:dyDescent="0.3">
      <c r="A893" s="356">
        <v>143</v>
      </c>
      <c r="B893" s="357">
        <v>46210</v>
      </c>
      <c r="C893" s="358" t="s">
        <v>87</v>
      </c>
      <c r="D893" s="359"/>
      <c r="E893" s="360"/>
      <c r="F893" s="361"/>
      <c r="G893" s="213" t="str">
        <f>IFERROR(VLOOKUP(Tabla3[[#This Row],[NUM ECONOMICO]],MAQUINARIA!B:H,7,0), " MAQ")</f>
        <v>INACTIVA</v>
      </c>
      <c r="H893" s="362" t="s">
        <v>1356</v>
      </c>
      <c r="I893" s="363" t="s">
        <v>1911</v>
      </c>
      <c r="J893" s="358" t="s">
        <v>1962</v>
      </c>
      <c r="K893" s="358">
        <v>6</v>
      </c>
      <c r="L893" s="364">
        <v>76.069999999999993</v>
      </c>
      <c r="M893" s="364">
        <f t="shared" si="16"/>
        <v>456.41999999999996</v>
      </c>
      <c r="N893" s="41" t="s">
        <v>1990</v>
      </c>
      <c r="O893" s="358"/>
      <c r="P893" s="365">
        <f>Tabla3[[#This Row],[COSTO UNITARIO DOLARES EN HAWTHORNE]]*Tabla3[[#This Row],[CANTIDAD SOLICTADA]]</f>
        <v>0</v>
      </c>
      <c r="Q893" s="41"/>
      <c r="R893" s="229"/>
      <c r="S893" s="229">
        <f>+Tabla3[[#This Row],[COSTO UNITARIO DOLARES CTP]]*Tabla3[[#This Row],[CANTIDAD SOLICTADA]]</f>
        <v>0</v>
      </c>
      <c r="T893" s="41"/>
      <c r="U893" s="358" t="s">
        <v>5</v>
      </c>
      <c r="V893" s="360" t="s">
        <v>1991</v>
      </c>
      <c r="W893" s="366"/>
      <c r="X893" s="359"/>
      <c r="Y893" s="358"/>
      <c r="Z893" s="360"/>
      <c r="AA893" s="360"/>
      <c r="AB893" s="360"/>
      <c r="AC893" s="360"/>
      <c r="AD893" s="360"/>
      <c r="AE893" s="360"/>
      <c r="AF893" s="16"/>
      <c r="AG893" s="367" t="s">
        <v>1992</v>
      </c>
    </row>
    <row r="894" spans="1:33" ht="15.75" thickBot="1" x14ac:dyDescent="0.3">
      <c r="A894" s="356">
        <v>143</v>
      </c>
      <c r="B894" s="357">
        <v>46210</v>
      </c>
      <c r="C894" s="358" t="s">
        <v>87</v>
      </c>
      <c r="D894" s="359"/>
      <c r="E894" s="360"/>
      <c r="F894" s="361"/>
      <c r="G894" s="213" t="str">
        <f>IFERROR(VLOOKUP(Tabla3[[#This Row],[NUM ECONOMICO]],MAQUINARIA!B:H,7,0), " MAQ")</f>
        <v>INACTIVA</v>
      </c>
      <c r="H894" s="362" t="s">
        <v>1356</v>
      </c>
      <c r="I894" s="363" t="s">
        <v>1912</v>
      </c>
      <c r="J894" s="358" t="s">
        <v>1961</v>
      </c>
      <c r="K894" s="358">
        <v>1</v>
      </c>
      <c r="L894" s="364">
        <v>96.3</v>
      </c>
      <c r="M894" s="364">
        <f t="shared" si="16"/>
        <v>96.3</v>
      </c>
      <c r="N894" s="41" t="s">
        <v>1990</v>
      </c>
      <c r="O894" s="358"/>
      <c r="P894" s="365">
        <f>Tabla3[[#This Row],[COSTO UNITARIO DOLARES EN HAWTHORNE]]*Tabla3[[#This Row],[CANTIDAD SOLICTADA]]</f>
        <v>0</v>
      </c>
      <c r="Q894" s="41"/>
      <c r="R894" s="229"/>
      <c r="S894" s="229">
        <f>+Tabla3[[#This Row],[COSTO UNITARIO DOLARES CTP]]*Tabla3[[#This Row],[CANTIDAD SOLICTADA]]</f>
        <v>0</v>
      </c>
      <c r="T894" s="41"/>
      <c r="U894" s="358" t="s">
        <v>5</v>
      </c>
      <c r="V894" s="360" t="s">
        <v>1991</v>
      </c>
      <c r="W894" s="366"/>
      <c r="X894" s="359"/>
      <c r="Y894" s="358"/>
      <c r="Z894" s="360"/>
      <c r="AA894" s="360"/>
      <c r="AB894" s="360"/>
      <c r="AC894" s="360"/>
      <c r="AD894" s="360"/>
      <c r="AE894" s="360"/>
      <c r="AF894" s="16"/>
      <c r="AG894" s="367" t="s">
        <v>1992</v>
      </c>
    </row>
    <row r="895" spans="1:33" ht="15.75" thickBot="1" x14ac:dyDescent="0.3">
      <c r="A895" s="356">
        <v>143</v>
      </c>
      <c r="B895" s="357">
        <v>46210</v>
      </c>
      <c r="C895" s="358" t="s">
        <v>87</v>
      </c>
      <c r="D895" s="359"/>
      <c r="E895" s="360"/>
      <c r="F895" s="361"/>
      <c r="G895" s="213" t="str">
        <f>IFERROR(VLOOKUP(Tabla3[[#This Row],[NUM ECONOMICO]],MAQUINARIA!B:H,7,0), " MAQ")</f>
        <v>INACTIVA</v>
      </c>
      <c r="H895" s="362" t="s">
        <v>1356</v>
      </c>
      <c r="I895" s="363" t="s">
        <v>1913</v>
      </c>
      <c r="J895" s="358" t="s">
        <v>220</v>
      </c>
      <c r="K895" s="358">
        <v>2</v>
      </c>
      <c r="L895" s="364">
        <v>27.57</v>
      </c>
      <c r="M895" s="364">
        <f t="shared" si="16"/>
        <v>55.14</v>
      </c>
      <c r="N895" s="41" t="s">
        <v>1990</v>
      </c>
      <c r="O895" s="358"/>
      <c r="P895" s="365">
        <f>Tabla3[[#This Row],[COSTO UNITARIO DOLARES EN HAWTHORNE]]*Tabla3[[#This Row],[CANTIDAD SOLICTADA]]</f>
        <v>0</v>
      </c>
      <c r="Q895" s="41"/>
      <c r="R895" s="229"/>
      <c r="S895" s="229">
        <f>+Tabla3[[#This Row],[COSTO UNITARIO DOLARES CTP]]*Tabla3[[#This Row],[CANTIDAD SOLICTADA]]</f>
        <v>0</v>
      </c>
      <c r="T895" s="41"/>
      <c r="U895" s="358" t="s">
        <v>5</v>
      </c>
      <c r="V895" s="360" t="s">
        <v>1991</v>
      </c>
      <c r="W895" s="366"/>
      <c r="X895" s="359"/>
      <c r="Y895" s="358"/>
      <c r="Z895" s="360"/>
      <c r="AA895" s="360"/>
      <c r="AB895" s="360"/>
      <c r="AC895" s="360"/>
      <c r="AD895" s="360"/>
      <c r="AE895" s="360"/>
      <c r="AF895" s="16"/>
      <c r="AG895" s="367" t="s">
        <v>1992</v>
      </c>
    </row>
    <row r="896" spans="1:33" ht="15.75" thickBot="1" x14ac:dyDescent="0.3">
      <c r="A896" s="356">
        <v>143</v>
      </c>
      <c r="B896" s="357">
        <v>46210</v>
      </c>
      <c r="C896" s="358" t="s">
        <v>87</v>
      </c>
      <c r="D896" s="359"/>
      <c r="E896" s="360"/>
      <c r="F896" s="361"/>
      <c r="G896" s="213" t="str">
        <f>IFERROR(VLOOKUP(Tabla3[[#This Row],[NUM ECONOMICO]],MAQUINARIA!B:H,7,0), " MAQ")</f>
        <v>INACTIVA</v>
      </c>
      <c r="H896" s="362" t="s">
        <v>1356</v>
      </c>
      <c r="I896" s="363" t="s">
        <v>1057</v>
      </c>
      <c r="J896" s="358" t="s">
        <v>1975</v>
      </c>
      <c r="K896" s="358">
        <v>1</v>
      </c>
      <c r="L896" s="364">
        <v>152.87</v>
      </c>
      <c r="M896" s="364">
        <f t="shared" si="16"/>
        <v>152.87</v>
      </c>
      <c r="N896" s="41" t="s">
        <v>1990</v>
      </c>
      <c r="O896" s="358"/>
      <c r="P896" s="365">
        <f>Tabla3[[#This Row],[COSTO UNITARIO DOLARES EN HAWTHORNE]]*Tabla3[[#This Row],[CANTIDAD SOLICTADA]]</f>
        <v>0</v>
      </c>
      <c r="Q896" s="41"/>
      <c r="R896" s="229"/>
      <c r="S896" s="229">
        <f>+Tabla3[[#This Row],[COSTO UNITARIO DOLARES CTP]]*Tabla3[[#This Row],[CANTIDAD SOLICTADA]]</f>
        <v>0</v>
      </c>
      <c r="T896" s="41"/>
      <c r="U896" s="358" t="s">
        <v>5</v>
      </c>
      <c r="V896" s="360" t="s">
        <v>1991</v>
      </c>
      <c r="W896" s="366"/>
      <c r="X896" s="359"/>
      <c r="Y896" s="358"/>
      <c r="Z896" s="360"/>
      <c r="AA896" s="360"/>
      <c r="AB896" s="360"/>
      <c r="AC896" s="360"/>
      <c r="AD896" s="360"/>
      <c r="AE896" s="360"/>
      <c r="AF896" s="16"/>
      <c r="AG896" s="367" t="s">
        <v>1992</v>
      </c>
    </row>
    <row r="897" spans="1:33" ht="15.75" thickBot="1" x14ac:dyDescent="0.3">
      <c r="A897" s="356">
        <v>143</v>
      </c>
      <c r="B897" s="357">
        <v>46210</v>
      </c>
      <c r="C897" s="358" t="s">
        <v>87</v>
      </c>
      <c r="D897" s="359"/>
      <c r="E897" s="360"/>
      <c r="F897" s="361"/>
      <c r="G897" s="213" t="str">
        <f>IFERROR(VLOOKUP(Tabla3[[#This Row],[NUM ECONOMICO]],MAQUINARIA!B:H,7,0), " MAQ")</f>
        <v>INACTIVA</v>
      </c>
      <c r="H897" s="362" t="s">
        <v>1356</v>
      </c>
      <c r="I897" s="363" t="s">
        <v>1914</v>
      </c>
      <c r="J897" s="358" t="s">
        <v>546</v>
      </c>
      <c r="K897" s="358">
        <v>6</v>
      </c>
      <c r="L897" s="364">
        <v>238.07</v>
      </c>
      <c r="M897" s="364">
        <f t="shared" si="16"/>
        <v>1428.42</v>
      </c>
      <c r="N897" s="41" t="s">
        <v>1990</v>
      </c>
      <c r="O897" s="358"/>
      <c r="P897" s="365">
        <f>Tabla3[[#This Row],[COSTO UNITARIO DOLARES EN HAWTHORNE]]*Tabla3[[#This Row],[CANTIDAD SOLICTADA]]</f>
        <v>0</v>
      </c>
      <c r="Q897" s="41"/>
      <c r="R897" s="229"/>
      <c r="S897" s="229">
        <f>+Tabla3[[#This Row],[COSTO UNITARIO DOLARES CTP]]*Tabla3[[#This Row],[CANTIDAD SOLICTADA]]</f>
        <v>0</v>
      </c>
      <c r="T897" s="41"/>
      <c r="U897" s="358" t="s">
        <v>5</v>
      </c>
      <c r="V897" s="360" t="s">
        <v>1991</v>
      </c>
      <c r="W897" s="366"/>
      <c r="X897" s="359"/>
      <c r="Y897" s="358"/>
      <c r="Z897" s="360"/>
      <c r="AA897" s="360"/>
      <c r="AB897" s="360"/>
      <c r="AC897" s="360"/>
      <c r="AD897" s="360"/>
      <c r="AE897" s="360"/>
      <c r="AF897" s="16"/>
      <c r="AG897" s="367" t="s">
        <v>1992</v>
      </c>
    </row>
    <row r="898" spans="1:33" ht="15.75" thickBot="1" x14ac:dyDescent="0.3">
      <c r="A898" s="356">
        <v>143</v>
      </c>
      <c r="B898" s="357">
        <v>46210</v>
      </c>
      <c r="C898" s="358" t="s">
        <v>87</v>
      </c>
      <c r="D898" s="359"/>
      <c r="E898" s="360"/>
      <c r="F898" s="361"/>
      <c r="G898" s="213" t="str">
        <f>IFERROR(VLOOKUP(Tabla3[[#This Row],[NUM ECONOMICO]],MAQUINARIA!B:H,7,0), " MAQ")</f>
        <v>INACTIVA</v>
      </c>
      <c r="H898" s="362" t="s">
        <v>1356</v>
      </c>
      <c r="I898" s="363" t="s">
        <v>1900</v>
      </c>
      <c r="J898" s="358" t="s">
        <v>1961</v>
      </c>
      <c r="K898" s="358">
        <v>2</v>
      </c>
      <c r="L898" s="364">
        <v>29.71</v>
      </c>
      <c r="M898" s="364">
        <f t="shared" si="16"/>
        <v>59.42</v>
      </c>
      <c r="N898" s="41" t="s">
        <v>1990</v>
      </c>
      <c r="O898" s="358"/>
      <c r="P898" s="365">
        <f>Tabla3[[#This Row],[COSTO UNITARIO DOLARES EN HAWTHORNE]]*Tabla3[[#This Row],[CANTIDAD SOLICTADA]]</f>
        <v>0</v>
      </c>
      <c r="Q898" s="41"/>
      <c r="R898" s="229"/>
      <c r="S898" s="229">
        <f>+Tabla3[[#This Row],[COSTO UNITARIO DOLARES CTP]]*Tabla3[[#This Row],[CANTIDAD SOLICTADA]]</f>
        <v>0</v>
      </c>
      <c r="T898" s="41"/>
      <c r="U898" s="358" t="s">
        <v>5</v>
      </c>
      <c r="V898" s="360" t="s">
        <v>1991</v>
      </c>
      <c r="W898" s="366"/>
      <c r="X898" s="359"/>
      <c r="Y898" s="358"/>
      <c r="Z898" s="360"/>
      <c r="AA898" s="360"/>
      <c r="AB898" s="360"/>
      <c r="AC898" s="360"/>
      <c r="AD898" s="360"/>
      <c r="AE898" s="360"/>
      <c r="AF898" s="16"/>
      <c r="AG898" s="367" t="s">
        <v>1992</v>
      </c>
    </row>
    <row r="899" spans="1:33" ht="15.75" thickBot="1" x14ac:dyDescent="0.3">
      <c r="A899" s="356">
        <v>143</v>
      </c>
      <c r="B899" s="357">
        <v>46210</v>
      </c>
      <c r="C899" s="358" t="s">
        <v>87</v>
      </c>
      <c r="D899" s="359"/>
      <c r="E899" s="360"/>
      <c r="F899" s="361"/>
      <c r="G899" s="213" t="str">
        <f>IFERROR(VLOOKUP(Tabla3[[#This Row],[NUM ECONOMICO]],MAQUINARIA!B:H,7,0), " MAQ")</f>
        <v>INACTIVA</v>
      </c>
      <c r="H899" s="362" t="s">
        <v>1356</v>
      </c>
      <c r="I899" s="363" t="s">
        <v>558</v>
      </c>
      <c r="J899" s="358" t="s">
        <v>546</v>
      </c>
      <c r="K899" s="358">
        <v>6</v>
      </c>
      <c r="L899" s="364">
        <v>76.430000000000007</v>
      </c>
      <c r="M899" s="364">
        <f t="shared" si="16"/>
        <v>458.58000000000004</v>
      </c>
      <c r="N899" s="41" t="s">
        <v>1990</v>
      </c>
      <c r="O899" s="358"/>
      <c r="P899" s="365">
        <f>Tabla3[[#This Row],[COSTO UNITARIO DOLARES EN HAWTHORNE]]*Tabla3[[#This Row],[CANTIDAD SOLICTADA]]</f>
        <v>0</v>
      </c>
      <c r="Q899" s="41"/>
      <c r="R899" s="229"/>
      <c r="S899" s="229">
        <f>+Tabla3[[#This Row],[COSTO UNITARIO DOLARES CTP]]*Tabla3[[#This Row],[CANTIDAD SOLICTADA]]</f>
        <v>0</v>
      </c>
      <c r="T899" s="41"/>
      <c r="U899" s="358" t="s">
        <v>5</v>
      </c>
      <c r="V899" s="360" t="s">
        <v>1991</v>
      </c>
      <c r="W899" s="366"/>
      <c r="X899" s="359"/>
      <c r="Y899" s="358"/>
      <c r="Z899" s="360"/>
      <c r="AA899" s="360"/>
      <c r="AB899" s="360"/>
      <c r="AC899" s="360"/>
      <c r="AD899" s="360"/>
      <c r="AE899" s="360"/>
      <c r="AF899" s="16"/>
      <c r="AG899" s="367" t="s">
        <v>1992</v>
      </c>
    </row>
    <row r="900" spans="1:33" ht="15.75" thickBot="1" x14ac:dyDescent="0.3">
      <c r="A900" s="356">
        <v>143</v>
      </c>
      <c r="B900" s="357">
        <v>46210</v>
      </c>
      <c r="C900" s="358" t="s">
        <v>87</v>
      </c>
      <c r="D900" s="359"/>
      <c r="E900" s="360"/>
      <c r="F900" s="361"/>
      <c r="G900" s="213" t="str">
        <f>IFERROR(VLOOKUP(Tabla3[[#This Row],[NUM ECONOMICO]],MAQUINARIA!B:H,7,0), " MAQ")</f>
        <v>INACTIVA</v>
      </c>
      <c r="H900" s="362" t="s">
        <v>1356</v>
      </c>
      <c r="I900" s="363" t="s">
        <v>548</v>
      </c>
      <c r="J900" s="358" t="s">
        <v>1961</v>
      </c>
      <c r="K900" s="358">
        <v>2</v>
      </c>
      <c r="L900" s="364">
        <v>38.479999999999997</v>
      </c>
      <c r="M900" s="364">
        <f t="shared" si="16"/>
        <v>76.959999999999994</v>
      </c>
      <c r="N900" s="41" t="s">
        <v>1990</v>
      </c>
      <c r="O900" s="358"/>
      <c r="P900" s="365">
        <f>Tabla3[[#This Row],[COSTO UNITARIO DOLARES EN HAWTHORNE]]*Tabla3[[#This Row],[CANTIDAD SOLICTADA]]</f>
        <v>0</v>
      </c>
      <c r="Q900" s="41"/>
      <c r="R900" s="229"/>
      <c r="S900" s="229">
        <f>+Tabla3[[#This Row],[COSTO UNITARIO DOLARES CTP]]*Tabla3[[#This Row],[CANTIDAD SOLICTADA]]</f>
        <v>0</v>
      </c>
      <c r="T900" s="41"/>
      <c r="U900" s="358" t="s">
        <v>5</v>
      </c>
      <c r="V900" s="360" t="s">
        <v>1991</v>
      </c>
      <c r="W900" s="366"/>
      <c r="X900" s="359"/>
      <c r="Y900" s="358"/>
      <c r="Z900" s="360"/>
      <c r="AA900" s="360"/>
      <c r="AB900" s="360"/>
      <c r="AC900" s="360"/>
      <c r="AD900" s="360"/>
      <c r="AE900" s="360"/>
      <c r="AF900" s="16"/>
      <c r="AG900" s="367" t="s">
        <v>1992</v>
      </c>
    </row>
    <row r="901" spans="1:33" ht="15.75" thickBot="1" x14ac:dyDescent="0.3">
      <c r="A901" s="356">
        <v>143</v>
      </c>
      <c r="B901" s="357">
        <v>46210</v>
      </c>
      <c r="C901" s="358" t="s">
        <v>87</v>
      </c>
      <c r="D901" s="359"/>
      <c r="E901" s="360"/>
      <c r="F901" s="361"/>
      <c r="G901" s="213" t="str">
        <f>IFERROR(VLOOKUP(Tabla3[[#This Row],[NUM ECONOMICO]],MAQUINARIA!B:H,7,0), " MAQ")</f>
        <v>INACTIVA</v>
      </c>
      <c r="H901" s="362" t="s">
        <v>1356</v>
      </c>
      <c r="I901" s="363" t="s">
        <v>1901</v>
      </c>
      <c r="J901" s="358" t="s">
        <v>1972</v>
      </c>
      <c r="K901" s="358">
        <v>5</v>
      </c>
      <c r="L901" s="364">
        <v>123.69</v>
      </c>
      <c r="M901" s="364">
        <f t="shared" si="16"/>
        <v>618.45000000000005</v>
      </c>
      <c r="N901" s="41" t="s">
        <v>1990</v>
      </c>
      <c r="O901" s="358"/>
      <c r="P901" s="365">
        <f>Tabla3[[#This Row],[COSTO UNITARIO DOLARES EN HAWTHORNE]]*Tabla3[[#This Row],[CANTIDAD SOLICTADA]]</f>
        <v>0</v>
      </c>
      <c r="Q901" s="41"/>
      <c r="R901" s="229"/>
      <c r="S901" s="229">
        <f>+Tabla3[[#This Row],[COSTO UNITARIO DOLARES CTP]]*Tabla3[[#This Row],[CANTIDAD SOLICTADA]]</f>
        <v>0</v>
      </c>
      <c r="T901" s="41"/>
      <c r="U901" s="358" t="s">
        <v>5</v>
      </c>
      <c r="V901" s="360" t="s">
        <v>1991</v>
      </c>
      <c r="W901" s="366"/>
      <c r="X901" s="359"/>
      <c r="Y901" s="358"/>
      <c r="Z901" s="360"/>
      <c r="AA901" s="360"/>
      <c r="AB901" s="360"/>
      <c r="AC901" s="360"/>
      <c r="AD901" s="360"/>
      <c r="AE901" s="360"/>
      <c r="AF901" s="16"/>
      <c r="AG901" s="367" t="s">
        <v>1992</v>
      </c>
    </row>
    <row r="902" spans="1:33" ht="15.75" thickBot="1" x14ac:dyDescent="0.3">
      <c r="A902" s="356">
        <v>143</v>
      </c>
      <c r="B902" s="357">
        <v>46210</v>
      </c>
      <c r="C902" s="358" t="s">
        <v>87</v>
      </c>
      <c r="D902" s="359"/>
      <c r="E902" s="360"/>
      <c r="F902" s="361"/>
      <c r="G902" s="213" t="str">
        <f>IFERROR(VLOOKUP(Tabla3[[#This Row],[NUM ECONOMICO]],MAQUINARIA!B:H,7,0), " MAQ")</f>
        <v>INACTIVA</v>
      </c>
      <c r="H902" s="362" t="s">
        <v>1356</v>
      </c>
      <c r="I902" s="363" t="s">
        <v>1902</v>
      </c>
      <c r="J902" s="358" t="s">
        <v>1972</v>
      </c>
      <c r="K902" s="358">
        <v>1</v>
      </c>
      <c r="L902" s="364">
        <v>325.95999999999998</v>
      </c>
      <c r="M902" s="364">
        <f t="shared" si="16"/>
        <v>325.95999999999998</v>
      </c>
      <c r="N902" s="41" t="s">
        <v>1990</v>
      </c>
      <c r="O902" s="358"/>
      <c r="P902" s="365">
        <f>Tabla3[[#This Row],[COSTO UNITARIO DOLARES EN HAWTHORNE]]*Tabla3[[#This Row],[CANTIDAD SOLICTADA]]</f>
        <v>0</v>
      </c>
      <c r="Q902" s="41"/>
      <c r="R902" s="229"/>
      <c r="S902" s="229">
        <f>+Tabla3[[#This Row],[COSTO UNITARIO DOLARES CTP]]*Tabla3[[#This Row],[CANTIDAD SOLICTADA]]</f>
        <v>0</v>
      </c>
      <c r="T902" s="41"/>
      <c r="U902" s="358" t="s">
        <v>5</v>
      </c>
      <c r="V902" s="360" t="s">
        <v>1991</v>
      </c>
      <c r="W902" s="366"/>
      <c r="X902" s="359"/>
      <c r="Y902" s="358"/>
      <c r="Z902" s="360"/>
      <c r="AA902" s="360"/>
      <c r="AB902" s="360"/>
      <c r="AC902" s="360"/>
      <c r="AD902" s="360"/>
      <c r="AE902" s="360"/>
      <c r="AF902" s="16"/>
      <c r="AG902" s="367" t="s">
        <v>1992</v>
      </c>
    </row>
    <row r="903" spans="1:33" ht="15.75" thickBot="1" x14ac:dyDescent="0.3">
      <c r="A903" s="356">
        <v>143</v>
      </c>
      <c r="B903" s="357">
        <v>46210</v>
      </c>
      <c r="C903" s="358" t="s">
        <v>87</v>
      </c>
      <c r="D903" s="359"/>
      <c r="E903" s="360"/>
      <c r="F903" s="361"/>
      <c r="G903" s="213" t="str">
        <f>IFERROR(VLOOKUP(Tabla3[[#This Row],[NUM ECONOMICO]],MAQUINARIA!B:H,7,0), " MAQ")</f>
        <v>INACTIVA</v>
      </c>
      <c r="H903" s="362" t="s">
        <v>1356</v>
      </c>
      <c r="I903" s="363" t="s">
        <v>1903</v>
      </c>
      <c r="J903" s="358" t="s">
        <v>1973</v>
      </c>
      <c r="K903" s="358">
        <v>12</v>
      </c>
      <c r="L903" s="364">
        <v>194.04</v>
      </c>
      <c r="M903" s="364">
        <f t="shared" si="16"/>
        <v>2328.48</v>
      </c>
      <c r="N903" s="41" t="s">
        <v>1990</v>
      </c>
      <c r="O903" s="358"/>
      <c r="P903" s="365">
        <f>Tabla3[[#This Row],[COSTO UNITARIO DOLARES EN HAWTHORNE]]*Tabla3[[#This Row],[CANTIDAD SOLICTADA]]</f>
        <v>0</v>
      </c>
      <c r="Q903" s="41"/>
      <c r="R903" s="229"/>
      <c r="S903" s="229">
        <f>+Tabla3[[#This Row],[COSTO UNITARIO DOLARES CTP]]*Tabla3[[#This Row],[CANTIDAD SOLICTADA]]</f>
        <v>0</v>
      </c>
      <c r="T903" s="41"/>
      <c r="U903" s="358" t="s">
        <v>5</v>
      </c>
      <c r="V903" s="360" t="s">
        <v>1991</v>
      </c>
      <c r="W903" s="366"/>
      <c r="X903" s="359"/>
      <c r="Y903" s="358"/>
      <c r="Z903" s="360"/>
      <c r="AA903" s="360"/>
      <c r="AB903" s="360"/>
      <c r="AC903" s="360"/>
      <c r="AD903" s="360"/>
      <c r="AE903" s="360"/>
      <c r="AF903" s="16"/>
      <c r="AG903" s="367" t="s">
        <v>1992</v>
      </c>
    </row>
    <row r="904" spans="1:33" ht="15.75" thickBot="1" x14ac:dyDescent="0.3">
      <c r="A904" s="356">
        <v>143</v>
      </c>
      <c r="B904" s="357">
        <v>46210</v>
      </c>
      <c r="C904" s="358" t="s">
        <v>87</v>
      </c>
      <c r="D904" s="359"/>
      <c r="E904" s="360"/>
      <c r="F904" s="361"/>
      <c r="G904" s="213" t="str">
        <f>IFERROR(VLOOKUP(Tabla3[[#This Row],[NUM ECONOMICO]],MAQUINARIA!B:H,7,0), " MAQ")</f>
        <v>INACTIVA</v>
      </c>
      <c r="H904" s="362" t="s">
        <v>1356</v>
      </c>
      <c r="I904" s="363" t="s">
        <v>334</v>
      </c>
      <c r="J904" s="358" t="s">
        <v>506</v>
      </c>
      <c r="K904" s="358">
        <v>15</v>
      </c>
      <c r="L904" s="364">
        <v>31.5</v>
      </c>
      <c r="M904" s="364">
        <f t="shared" si="16"/>
        <v>472.5</v>
      </c>
      <c r="N904" s="41" t="s">
        <v>1990</v>
      </c>
      <c r="O904" s="358"/>
      <c r="P904" s="365">
        <f>Tabla3[[#This Row],[COSTO UNITARIO DOLARES EN HAWTHORNE]]*Tabla3[[#This Row],[CANTIDAD SOLICTADA]]</f>
        <v>0</v>
      </c>
      <c r="Q904" s="41"/>
      <c r="R904" s="229"/>
      <c r="S904" s="229">
        <f>+Tabla3[[#This Row],[COSTO UNITARIO DOLARES CTP]]*Tabla3[[#This Row],[CANTIDAD SOLICTADA]]</f>
        <v>0</v>
      </c>
      <c r="T904" s="41"/>
      <c r="U904" s="358" t="s">
        <v>5</v>
      </c>
      <c r="V904" s="360" t="s">
        <v>1991</v>
      </c>
      <c r="W904" s="366"/>
      <c r="X904" s="359"/>
      <c r="Y904" s="358"/>
      <c r="Z904" s="360"/>
      <c r="AA904" s="360"/>
      <c r="AB904" s="360"/>
      <c r="AC904" s="360"/>
      <c r="AD904" s="360"/>
      <c r="AE904" s="360"/>
      <c r="AF904" s="16"/>
      <c r="AG904" s="367" t="s">
        <v>1992</v>
      </c>
    </row>
    <row r="905" spans="1:33" ht="15.75" thickBot="1" x14ac:dyDescent="0.3">
      <c r="A905" s="356">
        <v>143</v>
      </c>
      <c r="B905" s="357">
        <v>46210</v>
      </c>
      <c r="C905" s="358" t="s">
        <v>87</v>
      </c>
      <c r="D905" s="359"/>
      <c r="E905" s="360"/>
      <c r="F905" s="361"/>
      <c r="G905" s="213" t="str">
        <f>IFERROR(VLOOKUP(Tabla3[[#This Row],[NUM ECONOMICO]],MAQUINARIA!B:H,7,0), " MAQ")</f>
        <v>INACTIVA</v>
      </c>
      <c r="H905" s="362" t="s">
        <v>1356</v>
      </c>
      <c r="I905" s="363" t="s">
        <v>336</v>
      </c>
      <c r="J905" s="358" t="s">
        <v>1971</v>
      </c>
      <c r="K905" s="358">
        <v>5</v>
      </c>
      <c r="L905" s="364">
        <v>34.9</v>
      </c>
      <c r="M905" s="364">
        <f t="shared" si="16"/>
        <v>174.5</v>
      </c>
      <c r="N905" s="41" t="s">
        <v>1990</v>
      </c>
      <c r="O905" s="358"/>
      <c r="P905" s="365">
        <f>Tabla3[[#This Row],[COSTO UNITARIO DOLARES EN HAWTHORNE]]*Tabla3[[#This Row],[CANTIDAD SOLICTADA]]</f>
        <v>0</v>
      </c>
      <c r="Q905" s="41"/>
      <c r="R905" s="229"/>
      <c r="S905" s="229">
        <f>+Tabla3[[#This Row],[COSTO UNITARIO DOLARES CTP]]*Tabla3[[#This Row],[CANTIDAD SOLICTADA]]</f>
        <v>0</v>
      </c>
      <c r="T905" s="41"/>
      <c r="U905" s="358" t="s">
        <v>5</v>
      </c>
      <c r="V905" s="360" t="s">
        <v>1991</v>
      </c>
      <c r="W905" s="366"/>
      <c r="X905" s="359"/>
      <c r="Y905" s="358"/>
      <c r="Z905" s="360"/>
      <c r="AA905" s="360"/>
      <c r="AB905" s="360"/>
      <c r="AC905" s="360"/>
      <c r="AD905" s="360"/>
      <c r="AE905" s="360"/>
      <c r="AF905" s="16"/>
      <c r="AG905" s="367" t="s">
        <v>1992</v>
      </c>
    </row>
    <row r="906" spans="1:33" ht="15.75" thickBot="1" x14ac:dyDescent="0.3">
      <c r="A906" s="356">
        <v>143</v>
      </c>
      <c r="B906" s="357">
        <v>46210</v>
      </c>
      <c r="C906" s="358" t="s">
        <v>87</v>
      </c>
      <c r="D906" s="359"/>
      <c r="E906" s="360"/>
      <c r="F906" s="361"/>
      <c r="G906" s="213" t="str">
        <f>IFERROR(VLOOKUP(Tabla3[[#This Row],[NUM ECONOMICO]],MAQUINARIA!B:H,7,0), " MAQ")</f>
        <v>INACTIVA</v>
      </c>
      <c r="H906" s="362" t="s">
        <v>1356</v>
      </c>
      <c r="I906" s="363" t="s">
        <v>1904</v>
      </c>
      <c r="J906" s="358" t="s">
        <v>1972</v>
      </c>
      <c r="K906" s="358">
        <v>8</v>
      </c>
      <c r="L906" s="364">
        <v>241.29</v>
      </c>
      <c r="M906" s="364">
        <f t="shared" si="16"/>
        <v>1930.32</v>
      </c>
      <c r="N906" s="41" t="s">
        <v>1990</v>
      </c>
      <c r="O906" s="358"/>
      <c r="P906" s="365">
        <f>Tabla3[[#This Row],[COSTO UNITARIO DOLARES EN HAWTHORNE]]*Tabla3[[#This Row],[CANTIDAD SOLICTADA]]</f>
        <v>0</v>
      </c>
      <c r="Q906" s="41"/>
      <c r="R906" s="229"/>
      <c r="S906" s="229">
        <f>+Tabla3[[#This Row],[COSTO UNITARIO DOLARES CTP]]*Tabla3[[#This Row],[CANTIDAD SOLICTADA]]</f>
        <v>0</v>
      </c>
      <c r="T906" s="41"/>
      <c r="U906" s="358" t="s">
        <v>5</v>
      </c>
      <c r="V906" s="360" t="s">
        <v>1991</v>
      </c>
      <c r="W906" s="366"/>
      <c r="X906" s="359"/>
      <c r="Y906" s="358"/>
      <c r="Z906" s="360"/>
      <c r="AA906" s="360"/>
      <c r="AB906" s="360"/>
      <c r="AC906" s="360"/>
      <c r="AD906" s="360"/>
      <c r="AE906" s="360"/>
      <c r="AF906" s="16"/>
      <c r="AG906" s="367" t="s">
        <v>1992</v>
      </c>
    </row>
    <row r="907" spans="1:33" ht="15.75" thickBot="1" x14ac:dyDescent="0.3">
      <c r="A907" s="356">
        <v>143</v>
      </c>
      <c r="B907" s="357">
        <v>46210</v>
      </c>
      <c r="C907" s="358" t="s">
        <v>87</v>
      </c>
      <c r="D907" s="359"/>
      <c r="E907" s="360"/>
      <c r="F907" s="361"/>
      <c r="G907" s="213" t="str">
        <f>IFERROR(VLOOKUP(Tabla3[[#This Row],[NUM ECONOMICO]],MAQUINARIA!B:H,7,0), " MAQ")</f>
        <v>INACTIVA</v>
      </c>
      <c r="H907" s="362" t="s">
        <v>1356</v>
      </c>
      <c r="I907" s="363" t="s">
        <v>551</v>
      </c>
      <c r="J907" s="358" t="s">
        <v>1962</v>
      </c>
      <c r="K907" s="358">
        <v>21</v>
      </c>
      <c r="L907" s="364">
        <v>25.24</v>
      </c>
      <c r="M907" s="364">
        <f t="shared" si="16"/>
        <v>530.04</v>
      </c>
      <c r="N907" s="41" t="s">
        <v>1990</v>
      </c>
      <c r="O907" s="358"/>
      <c r="P907" s="365">
        <f>Tabla3[[#This Row],[COSTO UNITARIO DOLARES EN HAWTHORNE]]*Tabla3[[#This Row],[CANTIDAD SOLICTADA]]</f>
        <v>0</v>
      </c>
      <c r="Q907" s="41"/>
      <c r="R907" s="229"/>
      <c r="S907" s="229">
        <f>+Tabla3[[#This Row],[COSTO UNITARIO DOLARES CTP]]*Tabla3[[#This Row],[CANTIDAD SOLICTADA]]</f>
        <v>0</v>
      </c>
      <c r="T907" s="41"/>
      <c r="U907" s="358" t="s">
        <v>5</v>
      </c>
      <c r="V907" s="360" t="s">
        <v>1991</v>
      </c>
      <c r="W907" s="366"/>
      <c r="X907" s="359"/>
      <c r="Y907" s="358"/>
      <c r="Z907" s="360"/>
      <c r="AA907" s="360"/>
      <c r="AB907" s="360"/>
      <c r="AC907" s="360"/>
      <c r="AD907" s="360"/>
      <c r="AE907" s="360"/>
      <c r="AF907" s="16"/>
      <c r="AG907" s="367" t="s">
        <v>1992</v>
      </c>
    </row>
    <row r="908" spans="1:33" ht="15.75" thickBot="1" x14ac:dyDescent="0.3">
      <c r="A908" s="356">
        <v>143</v>
      </c>
      <c r="B908" s="357">
        <v>46210</v>
      </c>
      <c r="C908" s="358" t="s">
        <v>87</v>
      </c>
      <c r="D908" s="359"/>
      <c r="E908" s="360"/>
      <c r="F908" s="361"/>
      <c r="G908" s="213" t="str">
        <f>IFERROR(VLOOKUP(Tabla3[[#This Row],[NUM ECONOMICO]],MAQUINARIA!B:H,7,0), " MAQ")</f>
        <v>INACTIVA</v>
      </c>
      <c r="H908" s="362" t="s">
        <v>1356</v>
      </c>
      <c r="I908" s="363" t="s">
        <v>553</v>
      </c>
      <c r="J908" s="358" t="s">
        <v>546</v>
      </c>
      <c r="K908" s="358">
        <v>2</v>
      </c>
      <c r="L908" s="364">
        <v>31.5</v>
      </c>
      <c r="M908" s="364">
        <f t="shared" si="16"/>
        <v>63</v>
      </c>
      <c r="N908" s="41" t="s">
        <v>1990</v>
      </c>
      <c r="O908" s="358"/>
      <c r="P908" s="365">
        <f>Tabla3[[#This Row],[COSTO UNITARIO DOLARES EN HAWTHORNE]]*Tabla3[[#This Row],[CANTIDAD SOLICTADA]]</f>
        <v>0</v>
      </c>
      <c r="Q908" s="41"/>
      <c r="R908" s="229"/>
      <c r="S908" s="229">
        <f>+Tabla3[[#This Row],[COSTO UNITARIO DOLARES CTP]]*Tabla3[[#This Row],[CANTIDAD SOLICTADA]]</f>
        <v>0</v>
      </c>
      <c r="T908" s="41"/>
      <c r="U908" s="358" t="s">
        <v>5</v>
      </c>
      <c r="V908" s="360" t="s">
        <v>1991</v>
      </c>
      <c r="W908" s="366"/>
      <c r="X908" s="359"/>
      <c r="Y908" s="358"/>
      <c r="Z908" s="360"/>
      <c r="AA908" s="360"/>
      <c r="AB908" s="360"/>
      <c r="AC908" s="360"/>
      <c r="AD908" s="360"/>
      <c r="AE908" s="360"/>
      <c r="AF908" s="16"/>
      <c r="AG908" s="367" t="s">
        <v>1992</v>
      </c>
    </row>
    <row r="909" spans="1:33" ht="15.75" thickBot="1" x14ac:dyDescent="0.3">
      <c r="A909" s="356">
        <v>143</v>
      </c>
      <c r="B909" s="357">
        <v>46210</v>
      </c>
      <c r="C909" s="358" t="s">
        <v>87</v>
      </c>
      <c r="D909" s="359"/>
      <c r="E909" s="360"/>
      <c r="F909" s="361"/>
      <c r="G909" s="213" t="str">
        <f>IFERROR(VLOOKUP(Tabla3[[#This Row],[NUM ECONOMICO]],MAQUINARIA!B:H,7,0), " MAQ")</f>
        <v>INACTIVA</v>
      </c>
      <c r="H909" s="362" t="s">
        <v>1356</v>
      </c>
      <c r="I909" s="363" t="s">
        <v>1905</v>
      </c>
      <c r="J909" s="358" t="s">
        <v>1974</v>
      </c>
      <c r="K909" s="358">
        <v>5</v>
      </c>
      <c r="L909" s="364">
        <v>184.55</v>
      </c>
      <c r="M909" s="364">
        <f t="shared" si="16"/>
        <v>922.75</v>
      </c>
      <c r="N909" s="41" t="s">
        <v>1990</v>
      </c>
      <c r="O909" s="358"/>
      <c r="P909" s="365">
        <f>Tabla3[[#This Row],[COSTO UNITARIO DOLARES EN HAWTHORNE]]*Tabla3[[#This Row],[CANTIDAD SOLICTADA]]</f>
        <v>0</v>
      </c>
      <c r="Q909" s="41"/>
      <c r="R909" s="229"/>
      <c r="S909" s="229">
        <f>+Tabla3[[#This Row],[COSTO UNITARIO DOLARES CTP]]*Tabla3[[#This Row],[CANTIDAD SOLICTADA]]</f>
        <v>0</v>
      </c>
      <c r="T909" s="41"/>
      <c r="U909" s="358" t="s">
        <v>5</v>
      </c>
      <c r="V909" s="360" t="s">
        <v>1991</v>
      </c>
      <c r="W909" s="366"/>
      <c r="X909" s="359"/>
      <c r="Y909" s="358"/>
      <c r="Z909" s="360"/>
      <c r="AA909" s="360"/>
      <c r="AB909" s="360"/>
      <c r="AC909" s="360"/>
      <c r="AD909" s="360"/>
      <c r="AE909" s="360"/>
      <c r="AF909" s="16"/>
      <c r="AG909" s="367" t="s">
        <v>1992</v>
      </c>
    </row>
    <row r="910" spans="1:33" ht="15.75" thickBot="1" x14ac:dyDescent="0.3">
      <c r="A910" s="356">
        <v>143</v>
      </c>
      <c r="B910" s="357">
        <v>46210</v>
      </c>
      <c r="C910" s="358" t="s">
        <v>87</v>
      </c>
      <c r="D910" s="359"/>
      <c r="E910" s="360"/>
      <c r="F910" s="361"/>
      <c r="G910" s="213" t="str">
        <f>IFERROR(VLOOKUP(Tabla3[[#This Row],[NUM ECONOMICO]],MAQUINARIA!B:H,7,0), " MAQ")</f>
        <v>INACTIVA</v>
      </c>
      <c r="H910" s="362" t="s">
        <v>1356</v>
      </c>
      <c r="I910" s="363" t="s">
        <v>1906</v>
      </c>
      <c r="J910" s="358" t="s">
        <v>220</v>
      </c>
      <c r="K910" s="358">
        <v>1</v>
      </c>
      <c r="L910" s="364">
        <v>100.42</v>
      </c>
      <c r="M910" s="364">
        <f t="shared" si="16"/>
        <v>100.42</v>
      </c>
      <c r="N910" s="41" t="s">
        <v>1990</v>
      </c>
      <c r="O910" s="358"/>
      <c r="P910" s="365">
        <f>Tabla3[[#This Row],[COSTO UNITARIO DOLARES EN HAWTHORNE]]*Tabla3[[#This Row],[CANTIDAD SOLICTADA]]</f>
        <v>0</v>
      </c>
      <c r="Q910" s="41"/>
      <c r="R910" s="229"/>
      <c r="S910" s="229">
        <f>+Tabla3[[#This Row],[COSTO UNITARIO DOLARES CTP]]*Tabla3[[#This Row],[CANTIDAD SOLICTADA]]</f>
        <v>0</v>
      </c>
      <c r="T910" s="41"/>
      <c r="U910" s="358" t="s">
        <v>5</v>
      </c>
      <c r="V910" s="360" t="s">
        <v>1991</v>
      </c>
      <c r="W910" s="366"/>
      <c r="X910" s="359"/>
      <c r="Y910" s="358"/>
      <c r="Z910" s="360"/>
      <c r="AA910" s="360"/>
      <c r="AB910" s="360"/>
      <c r="AC910" s="360"/>
      <c r="AD910" s="360"/>
      <c r="AE910" s="360"/>
      <c r="AF910" s="16"/>
      <c r="AG910" s="367" t="s">
        <v>1992</v>
      </c>
    </row>
    <row r="911" spans="1:33" ht="15.75" thickBot="1" x14ac:dyDescent="0.3">
      <c r="A911" s="356">
        <v>143</v>
      </c>
      <c r="B911" s="357">
        <v>46210</v>
      </c>
      <c r="C911" s="358" t="s">
        <v>87</v>
      </c>
      <c r="D911" s="359"/>
      <c r="E911" s="360"/>
      <c r="F911" s="361"/>
      <c r="G911" s="213" t="str">
        <f>IFERROR(VLOOKUP(Tabla3[[#This Row],[NUM ECONOMICO]],MAQUINARIA!B:H,7,0), " MAQ")</f>
        <v>INACTIVA</v>
      </c>
      <c r="H911" s="362" t="s">
        <v>1356</v>
      </c>
      <c r="I911" s="363" t="s">
        <v>1907</v>
      </c>
      <c r="J911" s="358" t="s">
        <v>1961</v>
      </c>
      <c r="K911" s="358">
        <v>1</v>
      </c>
      <c r="L911" s="364">
        <v>210.33</v>
      </c>
      <c r="M911" s="364">
        <f t="shared" si="16"/>
        <v>210.33</v>
      </c>
      <c r="N911" s="41" t="s">
        <v>1990</v>
      </c>
      <c r="O911" s="358"/>
      <c r="P911" s="365">
        <f>Tabla3[[#This Row],[COSTO UNITARIO DOLARES EN HAWTHORNE]]*Tabla3[[#This Row],[CANTIDAD SOLICTADA]]</f>
        <v>0</v>
      </c>
      <c r="Q911" s="41"/>
      <c r="R911" s="229"/>
      <c r="S911" s="229">
        <f>+Tabla3[[#This Row],[COSTO UNITARIO DOLARES CTP]]*Tabla3[[#This Row],[CANTIDAD SOLICTADA]]</f>
        <v>0</v>
      </c>
      <c r="T911" s="41"/>
      <c r="U911" s="358" t="s">
        <v>5</v>
      </c>
      <c r="V911" s="360" t="s">
        <v>1991</v>
      </c>
      <c r="W911" s="366"/>
      <c r="X911" s="359"/>
      <c r="Y911" s="358"/>
      <c r="Z911" s="360"/>
      <c r="AA911" s="360"/>
      <c r="AB911" s="360"/>
      <c r="AC911" s="360"/>
      <c r="AD911" s="360"/>
      <c r="AE911" s="360"/>
      <c r="AF911" s="16"/>
      <c r="AG911" s="367" t="s">
        <v>1992</v>
      </c>
    </row>
    <row r="912" spans="1:33" ht="15.75" thickBot="1" x14ac:dyDescent="0.3">
      <c r="A912" s="356">
        <v>143</v>
      </c>
      <c r="B912" s="357">
        <v>46210</v>
      </c>
      <c r="C912" s="358" t="s">
        <v>87</v>
      </c>
      <c r="D912" s="359"/>
      <c r="E912" s="360"/>
      <c r="F912" s="361"/>
      <c r="G912" s="213" t="str">
        <f>IFERROR(VLOOKUP(Tabla3[[#This Row],[NUM ECONOMICO]],MAQUINARIA!B:H,7,0), " MAQ")</f>
        <v>INACTIVA</v>
      </c>
      <c r="H912" s="362" t="s">
        <v>1356</v>
      </c>
      <c r="I912" s="363" t="s">
        <v>1054</v>
      </c>
      <c r="J912" s="358" t="s">
        <v>1961</v>
      </c>
      <c r="K912" s="358">
        <v>2</v>
      </c>
      <c r="L912" s="364">
        <v>60.14</v>
      </c>
      <c r="M912" s="364">
        <f t="shared" si="16"/>
        <v>120.28</v>
      </c>
      <c r="N912" s="41" t="s">
        <v>1990</v>
      </c>
      <c r="O912" s="358"/>
      <c r="P912" s="365">
        <f>Tabla3[[#This Row],[COSTO UNITARIO DOLARES EN HAWTHORNE]]*Tabla3[[#This Row],[CANTIDAD SOLICTADA]]</f>
        <v>0</v>
      </c>
      <c r="Q912" s="41"/>
      <c r="R912" s="229"/>
      <c r="S912" s="229">
        <f>+Tabla3[[#This Row],[COSTO UNITARIO DOLARES CTP]]*Tabla3[[#This Row],[CANTIDAD SOLICTADA]]</f>
        <v>0</v>
      </c>
      <c r="T912" s="41"/>
      <c r="U912" s="358" t="s">
        <v>5</v>
      </c>
      <c r="V912" s="360" t="s">
        <v>1991</v>
      </c>
      <c r="W912" s="366"/>
      <c r="X912" s="359"/>
      <c r="Y912" s="358"/>
      <c r="Z912" s="360"/>
      <c r="AA912" s="360"/>
      <c r="AB912" s="360"/>
      <c r="AC912" s="360"/>
      <c r="AD912" s="360"/>
      <c r="AE912" s="360"/>
      <c r="AF912" s="16"/>
      <c r="AG912" s="367" t="s">
        <v>1992</v>
      </c>
    </row>
    <row r="913" spans="1:33" ht="15.75" thickBot="1" x14ac:dyDescent="0.3">
      <c r="A913" s="356">
        <v>143</v>
      </c>
      <c r="B913" s="357">
        <v>46210</v>
      </c>
      <c r="C913" s="358" t="s">
        <v>87</v>
      </c>
      <c r="D913" s="359"/>
      <c r="E913" s="360"/>
      <c r="F913" s="361"/>
      <c r="G913" s="213" t="str">
        <f>IFERROR(VLOOKUP(Tabla3[[#This Row],[NUM ECONOMICO]],MAQUINARIA!B:H,7,0), " MAQ")</f>
        <v>INACTIVA</v>
      </c>
      <c r="H913" s="362" t="s">
        <v>1356</v>
      </c>
      <c r="I913" s="363" t="s">
        <v>1908</v>
      </c>
      <c r="J913" s="358" t="s">
        <v>1961</v>
      </c>
      <c r="K913" s="358">
        <v>3</v>
      </c>
      <c r="L913" s="364">
        <v>97.73</v>
      </c>
      <c r="M913" s="364">
        <f t="shared" ref="M913:M944" si="17">+L913*K913</f>
        <v>293.19</v>
      </c>
      <c r="N913" s="41" t="s">
        <v>1990</v>
      </c>
      <c r="O913" s="358"/>
      <c r="P913" s="365">
        <f>Tabla3[[#This Row],[COSTO UNITARIO DOLARES EN HAWTHORNE]]*Tabla3[[#This Row],[CANTIDAD SOLICTADA]]</f>
        <v>0</v>
      </c>
      <c r="Q913" s="41"/>
      <c r="R913" s="229"/>
      <c r="S913" s="229">
        <f>+Tabla3[[#This Row],[COSTO UNITARIO DOLARES CTP]]*Tabla3[[#This Row],[CANTIDAD SOLICTADA]]</f>
        <v>0</v>
      </c>
      <c r="T913" s="41"/>
      <c r="U913" s="358" t="s">
        <v>5</v>
      </c>
      <c r="V913" s="360" t="s">
        <v>1991</v>
      </c>
      <c r="W913" s="366"/>
      <c r="X913" s="359"/>
      <c r="Y913" s="358"/>
      <c r="Z913" s="360"/>
      <c r="AA913" s="360"/>
      <c r="AB913" s="360"/>
      <c r="AC913" s="360"/>
      <c r="AD913" s="360"/>
      <c r="AE913" s="360"/>
      <c r="AF913" s="16"/>
      <c r="AG913" s="367" t="s">
        <v>1992</v>
      </c>
    </row>
    <row r="914" spans="1:33" ht="15.75" thickBot="1" x14ac:dyDescent="0.3">
      <c r="A914" s="356">
        <v>143</v>
      </c>
      <c r="B914" s="357">
        <v>46210</v>
      </c>
      <c r="C914" s="358" t="s">
        <v>87</v>
      </c>
      <c r="D914" s="359"/>
      <c r="E914" s="360"/>
      <c r="F914" s="361"/>
      <c r="G914" s="213" t="str">
        <f>IFERROR(VLOOKUP(Tabla3[[#This Row],[NUM ECONOMICO]],MAQUINARIA!B:H,7,0), " MAQ")</f>
        <v>INACTIVA</v>
      </c>
      <c r="H914" s="362" t="s">
        <v>1356</v>
      </c>
      <c r="I914" s="363" t="s">
        <v>1909</v>
      </c>
      <c r="J914" s="358" t="s">
        <v>546</v>
      </c>
      <c r="K914" s="358">
        <v>7</v>
      </c>
      <c r="L914" s="364">
        <v>54.77</v>
      </c>
      <c r="M914" s="364">
        <f t="shared" si="17"/>
        <v>383.39000000000004</v>
      </c>
      <c r="N914" s="41" t="s">
        <v>1990</v>
      </c>
      <c r="O914" s="358"/>
      <c r="P914" s="365">
        <f>Tabla3[[#This Row],[COSTO UNITARIO DOLARES EN HAWTHORNE]]*Tabla3[[#This Row],[CANTIDAD SOLICTADA]]</f>
        <v>0</v>
      </c>
      <c r="Q914" s="41"/>
      <c r="R914" s="229"/>
      <c r="S914" s="229">
        <f>+Tabla3[[#This Row],[COSTO UNITARIO DOLARES CTP]]*Tabla3[[#This Row],[CANTIDAD SOLICTADA]]</f>
        <v>0</v>
      </c>
      <c r="T914" s="41"/>
      <c r="U914" s="358" t="s">
        <v>5</v>
      </c>
      <c r="V914" s="360" t="s">
        <v>1991</v>
      </c>
      <c r="W914" s="366"/>
      <c r="X914" s="359"/>
      <c r="Y914" s="358"/>
      <c r="Z914" s="360"/>
      <c r="AA914" s="360"/>
      <c r="AB914" s="360"/>
      <c r="AC914" s="360"/>
      <c r="AD914" s="360"/>
      <c r="AE914" s="360"/>
      <c r="AF914" s="16"/>
      <c r="AG914" s="367" t="s">
        <v>1992</v>
      </c>
    </row>
    <row r="915" spans="1:33" ht="15.75" thickBot="1" x14ac:dyDescent="0.3">
      <c r="A915" s="356">
        <v>143</v>
      </c>
      <c r="B915" s="357">
        <v>46210</v>
      </c>
      <c r="C915" s="358" t="s">
        <v>87</v>
      </c>
      <c r="D915" s="359"/>
      <c r="E915" s="360"/>
      <c r="F915" s="361"/>
      <c r="G915" s="213" t="str">
        <f>IFERROR(VLOOKUP(Tabla3[[#This Row],[NUM ECONOMICO]],MAQUINARIA!B:H,7,0), " MAQ")</f>
        <v>INACTIVA</v>
      </c>
      <c r="H915" s="362" t="s">
        <v>1356</v>
      </c>
      <c r="I915" s="363" t="s">
        <v>1910</v>
      </c>
      <c r="J915" s="358" t="s">
        <v>546</v>
      </c>
      <c r="K915" s="358">
        <v>8</v>
      </c>
      <c r="L915" s="364">
        <v>43.14</v>
      </c>
      <c r="M915" s="364">
        <f t="shared" si="17"/>
        <v>345.12</v>
      </c>
      <c r="N915" s="41" t="s">
        <v>1990</v>
      </c>
      <c r="O915" s="358"/>
      <c r="P915" s="365">
        <f>Tabla3[[#This Row],[COSTO UNITARIO DOLARES EN HAWTHORNE]]*Tabla3[[#This Row],[CANTIDAD SOLICTADA]]</f>
        <v>0</v>
      </c>
      <c r="Q915" s="41"/>
      <c r="R915" s="229"/>
      <c r="S915" s="229">
        <f>+Tabla3[[#This Row],[COSTO UNITARIO DOLARES CTP]]*Tabla3[[#This Row],[CANTIDAD SOLICTADA]]</f>
        <v>0</v>
      </c>
      <c r="T915" s="41"/>
      <c r="U915" s="358" t="s">
        <v>5</v>
      </c>
      <c r="V915" s="360" t="s">
        <v>1991</v>
      </c>
      <c r="W915" s="366"/>
      <c r="X915" s="359"/>
      <c r="Y915" s="358"/>
      <c r="Z915" s="360"/>
      <c r="AA915" s="360"/>
      <c r="AB915" s="360"/>
      <c r="AC915" s="360"/>
      <c r="AD915" s="360"/>
      <c r="AE915" s="360"/>
      <c r="AF915" s="16"/>
      <c r="AG915" s="367" t="s">
        <v>1992</v>
      </c>
    </row>
    <row r="916" spans="1:33" ht="15.75" thickBot="1" x14ac:dyDescent="0.3">
      <c r="A916" s="356">
        <v>143</v>
      </c>
      <c r="B916" s="357">
        <v>46210</v>
      </c>
      <c r="C916" s="358" t="s">
        <v>87</v>
      </c>
      <c r="D916" s="359"/>
      <c r="E916" s="360"/>
      <c r="F916" s="361"/>
      <c r="G916" s="213" t="str">
        <f>IFERROR(VLOOKUP(Tabla3[[#This Row],[NUM ECONOMICO]],MAQUINARIA!B:H,7,0), " MAQ")</f>
        <v>INACTIVA</v>
      </c>
      <c r="H916" s="362" t="s">
        <v>1356</v>
      </c>
      <c r="I916" s="363" t="s">
        <v>1911</v>
      </c>
      <c r="J916" s="358" t="s">
        <v>1962</v>
      </c>
      <c r="K916" s="358">
        <v>6</v>
      </c>
      <c r="L916" s="364">
        <v>76.069999999999993</v>
      </c>
      <c r="M916" s="364">
        <f t="shared" si="17"/>
        <v>456.41999999999996</v>
      </c>
      <c r="N916" s="41" t="s">
        <v>1990</v>
      </c>
      <c r="O916" s="358"/>
      <c r="P916" s="365">
        <f>Tabla3[[#This Row],[COSTO UNITARIO DOLARES EN HAWTHORNE]]*Tabla3[[#This Row],[CANTIDAD SOLICTADA]]</f>
        <v>0</v>
      </c>
      <c r="Q916" s="41"/>
      <c r="R916" s="229"/>
      <c r="S916" s="229">
        <f>+Tabla3[[#This Row],[COSTO UNITARIO DOLARES CTP]]*Tabla3[[#This Row],[CANTIDAD SOLICTADA]]</f>
        <v>0</v>
      </c>
      <c r="T916" s="41"/>
      <c r="U916" s="358" t="s">
        <v>5</v>
      </c>
      <c r="V916" s="360" t="s">
        <v>1991</v>
      </c>
      <c r="W916" s="366"/>
      <c r="X916" s="359"/>
      <c r="Y916" s="358"/>
      <c r="Z916" s="360"/>
      <c r="AA916" s="360"/>
      <c r="AB916" s="360"/>
      <c r="AC916" s="360"/>
      <c r="AD916" s="360"/>
      <c r="AE916" s="360"/>
      <c r="AF916" s="16"/>
      <c r="AG916" s="367" t="s">
        <v>1992</v>
      </c>
    </row>
    <row r="917" spans="1:33" ht="15.75" thickBot="1" x14ac:dyDescent="0.3">
      <c r="A917" s="356">
        <v>143</v>
      </c>
      <c r="B917" s="357">
        <v>46210</v>
      </c>
      <c r="C917" s="358" t="s">
        <v>87</v>
      </c>
      <c r="D917" s="359"/>
      <c r="E917" s="360"/>
      <c r="F917" s="361"/>
      <c r="G917" s="213" t="str">
        <f>IFERROR(VLOOKUP(Tabla3[[#This Row],[NUM ECONOMICO]],MAQUINARIA!B:H,7,0), " MAQ")</f>
        <v>INACTIVA</v>
      </c>
      <c r="H917" s="362" t="s">
        <v>1356</v>
      </c>
      <c r="I917" s="363" t="s">
        <v>1912</v>
      </c>
      <c r="J917" s="358" t="s">
        <v>1961</v>
      </c>
      <c r="K917" s="358">
        <v>1</v>
      </c>
      <c r="L917" s="364">
        <v>96.3</v>
      </c>
      <c r="M917" s="364">
        <f t="shared" si="17"/>
        <v>96.3</v>
      </c>
      <c r="N917" s="41" t="s">
        <v>1990</v>
      </c>
      <c r="O917" s="358"/>
      <c r="P917" s="365">
        <f>Tabla3[[#This Row],[COSTO UNITARIO DOLARES EN HAWTHORNE]]*Tabla3[[#This Row],[CANTIDAD SOLICTADA]]</f>
        <v>0</v>
      </c>
      <c r="Q917" s="41"/>
      <c r="R917" s="229"/>
      <c r="S917" s="229">
        <f>+Tabla3[[#This Row],[COSTO UNITARIO DOLARES CTP]]*Tabla3[[#This Row],[CANTIDAD SOLICTADA]]</f>
        <v>0</v>
      </c>
      <c r="T917" s="41"/>
      <c r="U917" s="358" t="s">
        <v>5</v>
      </c>
      <c r="V917" s="360" t="s">
        <v>1991</v>
      </c>
      <c r="W917" s="366"/>
      <c r="X917" s="359"/>
      <c r="Y917" s="358"/>
      <c r="Z917" s="360"/>
      <c r="AA917" s="360"/>
      <c r="AB917" s="360"/>
      <c r="AC917" s="360"/>
      <c r="AD917" s="360"/>
      <c r="AE917" s="360"/>
      <c r="AF917" s="16"/>
      <c r="AG917" s="367" t="s">
        <v>1992</v>
      </c>
    </row>
    <row r="918" spans="1:33" ht="15.75" thickBot="1" x14ac:dyDescent="0.3">
      <c r="A918" s="356">
        <v>143</v>
      </c>
      <c r="B918" s="357">
        <v>46210</v>
      </c>
      <c r="C918" s="358" t="s">
        <v>87</v>
      </c>
      <c r="D918" s="359"/>
      <c r="E918" s="360"/>
      <c r="F918" s="361"/>
      <c r="G918" s="213" t="str">
        <f>IFERROR(VLOOKUP(Tabla3[[#This Row],[NUM ECONOMICO]],MAQUINARIA!B:H,7,0), " MAQ")</f>
        <v>INACTIVA</v>
      </c>
      <c r="H918" s="362" t="s">
        <v>1356</v>
      </c>
      <c r="I918" s="363" t="s">
        <v>1913</v>
      </c>
      <c r="J918" s="358" t="s">
        <v>220</v>
      </c>
      <c r="K918" s="358">
        <v>2</v>
      </c>
      <c r="L918" s="364">
        <v>27.57</v>
      </c>
      <c r="M918" s="364">
        <f t="shared" si="17"/>
        <v>55.14</v>
      </c>
      <c r="N918" s="41" t="s">
        <v>1990</v>
      </c>
      <c r="O918" s="358"/>
      <c r="P918" s="365">
        <f>Tabla3[[#This Row],[COSTO UNITARIO DOLARES EN HAWTHORNE]]*Tabla3[[#This Row],[CANTIDAD SOLICTADA]]</f>
        <v>0</v>
      </c>
      <c r="Q918" s="41"/>
      <c r="R918" s="229"/>
      <c r="S918" s="229">
        <f>+Tabla3[[#This Row],[COSTO UNITARIO DOLARES CTP]]*Tabla3[[#This Row],[CANTIDAD SOLICTADA]]</f>
        <v>0</v>
      </c>
      <c r="T918" s="41"/>
      <c r="U918" s="358" t="s">
        <v>5</v>
      </c>
      <c r="V918" s="360" t="s">
        <v>1991</v>
      </c>
      <c r="W918" s="366"/>
      <c r="X918" s="359"/>
      <c r="Y918" s="358"/>
      <c r="Z918" s="360"/>
      <c r="AA918" s="360"/>
      <c r="AB918" s="360"/>
      <c r="AC918" s="360"/>
      <c r="AD918" s="360"/>
      <c r="AE918" s="360"/>
      <c r="AF918" s="16"/>
      <c r="AG918" s="367" t="s">
        <v>1992</v>
      </c>
    </row>
    <row r="919" spans="1:33" ht="15.75" thickBot="1" x14ac:dyDescent="0.3">
      <c r="A919" s="356">
        <v>143</v>
      </c>
      <c r="B919" s="357">
        <v>46210</v>
      </c>
      <c r="C919" s="358" t="s">
        <v>87</v>
      </c>
      <c r="D919" s="359"/>
      <c r="E919" s="360"/>
      <c r="F919" s="361"/>
      <c r="G919" s="213" t="str">
        <f>IFERROR(VLOOKUP(Tabla3[[#This Row],[NUM ECONOMICO]],MAQUINARIA!B:H,7,0), " MAQ")</f>
        <v>INACTIVA</v>
      </c>
      <c r="H919" s="362" t="s">
        <v>1356</v>
      </c>
      <c r="I919" s="363" t="s">
        <v>1057</v>
      </c>
      <c r="J919" s="358" t="s">
        <v>1975</v>
      </c>
      <c r="K919" s="358">
        <v>1</v>
      </c>
      <c r="L919" s="364">
        <v>152.87</v>
      </c>
      <c r="M919" s="364">
        <f t="shared" si="17"/>
        <v>152.87</v>
      </c>
      <c r="N919" s="41" t="s">
        <v>1990</v>
      </c>
      <c r="O919" s="358"/>
      <c r="P919" s="365">
        <f>Tabla3[[#This Row],[COSTO UNITARIO DOLARES EN HAWTHORNE]]*Tabla3[[#This Row],[CANTIDAD SOLICTADA]]</f>
        <v>0</v>
      </c>
      <c r="Q919" s="41"/>
      <c r="R919" s="229"/>
      <c r="S919" s="229">
        <f>+Tabla3[[#This Row],[COSTO UNITARIO DOLARES CTP]]*Tabla3[[#This Row],[CANTIDAD SOLICTADA]]</f>
        <v>0</v>
      </c>
      <c r="T919" s="41"/>
      <c r="U919" s="358" t="s">
        <v>5</v>
      </c>
      <c r="V919" s="360" t="s">
        <v>1991</v>
      </c>
      <c r="W919" s="366"/>
      <c r="X919" s="359"/>
      <c r="Y919" s="358"/>
      <c r="Z919" s="360"/>
      <c r="AA919" s="360"/>
      <c r="AB919" s="360"/>
      <c r="AC919" s="360"/>
      <c r="AD919" s="360"/>
      <c r="AE919" s="360"/>
      <c r="AF919" s="16"/>
      <c r="AG919" s="367" t="s">
        <v>1992</v>
      </c>
    </row>
    <row r="920" spans="1:33" ht="15.75" thickBot="1" x14ac:dyDescent="0.3">
      <c r="A920" s="356">
        <v>143</v>
      </c>
      <c r="B920" s="357">
        <v>46210</v>
      </c>
      <c r="C920" s="358" t="s">
        <v>87</v>
      </c>
      <c r="D920" s="359"/>
      <c r="E920" s="360"/>
      <c r="F920" s="361"/>
      <c r="G920" s="213" t="str">
        <f>IFERROR(VLOOKUP(Tabla3[[#This Row],[NUM ECONOMICO]],MAQUINARIA!B:H,7,0), " MAQ")</f>
        <v>INACTIVA</v>
      </c>
      <c r="H920" s="362" t="s">
        <v>1356</v>
      </c>
      <c r="I920" s="363" t="s">
        <v>1915</v>
      </c>
      <c r="J920" s="358" t="s">
        <v>1961</v>
      </c>
      <c r="K920" s="358">
        <v>1</v>
      </c>
      <c r="L920" s="364">
        <v>279.24</v>
      </c>
      <c r="M920" s="364">
        <f t="shared" si="17"/>
        <v>279.24</v>
      </c>
      <c r="N920" s="41" t="s">
        <v>1990</v>
      </c>
      <c r="O920" s="358"/>
      <c r="P920" s="365">
        <f>Tabla3[[#This Row],[COSTO UNITARIO DOLARES EN HAWTHORNE]]*Tabla3[[#This Row],[CANTIDAD SOLICTADA]]</f>
        <v>0</v>
      </c>
      <c r="Q920" s="41"/>
      <c r="R920" s="229"/>
      <c r="S920" s="229">
        <f>+Tabla3[[#This Row],[COSTO UNITARIO DOLARES CTP]]*Tabla3[[#This Row],[CANTIDAD SOLICTADA]]</f>
        <v>0</v>
      </c>
      <c r="T920" s="41"/>
      <c r="U920" s="358" t="s">
        <v>5</v>
      </c>
      <c r="V920" s="360" t="s">
        <v>1991</v>
      </c>
      <c r="W920" s="366"/>
      <c r="X920" s="359"/>
      <c r="Y920" s="358"/>
      <c r="Z920" s="360"/>
      <c r="AA920" s="360"/>
      <c r="AB920" s="360"/>
      <c r="AC920" s="360"/>
      <c r="AD920" s="360"/>
      <c r="AE920" s="360"/>
      <c r="AF920" s="16"/>
      <c r="AG920" s="367" t="s">
        <v>1992</v>
      </c>
    </row>
    <row r="921" spans="1:33" ht="15.75" thickBot="1" x14ac:dyDescent="0.3">
      <c r="A921" s="356">
        <v>143</v>
      </c>
      <c r="B921" s="357">
        <v>46210</v>
      </c>
      <c r="C921" s="358" t="s">
        <v>87</v>
      </c>
      <c r="D921" s="359"/>
      <c r="E921" s="360"/>
      <c r="F921" s="361"/>
      <c r="G921" s="213" t="str">
        <f>IFERROR(VLOOKUP(Tabla3[[#This Row],[NUM ECONOMICO]],MAQUINARIA!B:H,7,0), " MAQ")</f>
        <v>INACTIVA</v>
      </c>
      <c r="H921" s="362" t="s">
        <v>1356</v>
      </c>
      <c r="I921" s="363" t="s">
        <v>1916</v>
      </c>
      <c r="J921" s="358" t="s">
        <v>1962</v>
      </c>
      <c r="K921" s="358">
        <v>3</v>
      </c>
      <c r="L921" s="364">
        <v>151.97</v>
      </c>
      <c r="M921" s="364">
        <f t="shared" si="17"/>
        <v>455.90999999999997</v>
      </c>
      <c r="N921" s="41" t="s">
        <v>1990</v>
      </c>
      <c r="O921" s="358"/>
      <c r="P921" s="365">
        <f>Tabla3[[#This Row],[COSTO UNITARIO DOLARES EN HAWTHORNE]]*Tabla3[[#This Row],[CANTIDAD SOLICTADA]]</f>
        <v>0</v>
      </c>
      <c r="Q921" s="41"/>
      <c r="R921" s="229"/>
      <c r="S921" s="229">
        <f>+Tabla3[[#This Row],[COSTO UNITARIO DOLARES CTP]]*Tabla3[[#This Row],[CANTIDAD SOLICTADA]]</f>
        <v>0</v>
      </c>
      <c r="T921" s="41"/>
      <c r="U921" s="358" t="s">
        <v>5</v>
      </c>
      <c r="V921" s="360" t="s">
        <v>1991</v>
      </c>
      <c r="W921" s="366"/>
      <c r="X921" s="359"/>
      <c r="Y921" s="358"/>
      <c r="Z921" s="360"/>
      <c r="AA921" s="360"/>
      <c r="AB921" s="360"/>
      <c r="AC921" s="360"/>
      <c r="AD921" s="360"/>
      <c r="AE921" s="360"/>
      <c r="AF921" s="16"/>
      <c r="AG921" s="367" t="s">
        <v>1992</v>
      </c>
    </row>
    <row r="922" spans="1:33" ht="15.75" thickBot="1" x14ac:dyDescent="0.3">
      <c r="A922" s="356">
        <v>143</v>
      </c>
      <c r="B922" s="357">
        <v>46210</v>
      </c>
      <c r="C922" s="358" t="s">
        <v>87</v>
      </c>
      <c r="D922" s="359"/>
      <c r="E922" s="360"/>
      <c r="F922" s="361"/>
      <c r="G922" s="213" t="str">
        <f>IFERROR(VLOOKUP(Tabla3[[#This Row],[NUM ECONOMICO]],MAQUINARIA!B:H,7,0), " MAQ")</f>
        <v>INACTIVA</v>
      </c>
      <c r="H922" s="362" t="s">
        <v>1356</v>
      </c>
      <c r="I922" s="363" t="s">
        <v>1917</v>
      </c>
      <c r="J922" s="358" t="s">
        <v>1961</v>
      </c>
      <c r="K922" s="358">
        <v>1</v>
      </c>
      <c r="L922" s="364">
        <v>177.39</v>
      </c>
      <c r="M922" s="364">
        <f t="shared" si="17"/>
        <v>177.39</v>
      </c>
      <c r="N922" s="41" t="s">
        <v>1990</v>
      </c>
      <c r="O922" s="358"/>
      <c r="P922" s="365">
        <f>Tabla3[[#This Row],[COSTO UNITARIO DOLARES EN HAWTHORNE]]*Tabla3[[#This Row],[CANTIDAD SOLICTADA]]</f>
        <v>0</v>
      </c>
      <c r="Q922" s="41"/>
      <c r="R922" s="229"/>
      <c r="S922" s="229">
        <f>+Tabla3[[#This Row],[COSTO UNITARIO DOLARES CTP]]*Tabla3[[#This Row],[CANTIDAD SOLICTADA]]</f>
        <v>0</v>
      </c>
      <c r="T922" s="41"/>
      <c r="U922" s="358" t="s">
        <v>5</v>
      </c>
      <c r="V922" s="360" t="s">
        <v>1991</v>
      </c>
      <c r="W922" s="366"/>
      <c r="X922" s="359"/>
      <c r="Y922" s="358"/>
      <c r="Z922" s="360"/>
      <c r="AA922" s="360"/>
      <c r="AB922" s="360"/>
      <c r="AC922" s="360"/>
      <c r="AD922" s="360"/>
      <c r="AE922" s="360"/>
      <c r="AF922" s="16"/>
      <c r="AG922" s="367" t="s">
        <v>1992</v>
      </c>
    </row>
    <row r="923" spans="1:33" ht="15.75" thickBot="1" x14ac:dyDescent="0.3">
      <c r="A923" s="356">
        <v>143</v>
      </c>
      <c r="B923" s="357">
        <v>46210</v>
      </c>
      <c r="C923" s="358" t="s">
        <v>87</v>
      </c>
      <c r="D923" s="359"/>
      <c r="E923" s="360"/>
      <c r="F923" s="361"/>
      <c r="G923" s="213" t="str">
        <f>IFERROR(VLOOKUP(Tabla3[[#This Row],[NUM ECONOMICO]],MAQUINARIA!B:H,7,0), " MAQ")</f>
        <v>INACTIVA</v>
      </c>
      <c r="H923" s="362" t="s">
        <v>1356</v>
      </c>
      <c r="I923" s="363" t="s">
        <v>555</v>
      </c>
      <c r="J923" s="358" t="s">
        <v>1961</v>
      </c>
      <c r="K923" s="358">
        <v>1</v>
      </c>
      <c r="L923" s="364">
        <v>51.91</v>
      </c>
      <c r="M923" s="364">
        <f t="shared" si="17"/>
        <v>51.91</v>
      </c>
      <c r="N923" s="41" t="s">
        <v>1990</v>
      </c>
      <c r="O923" s="358"/>
      <c r="P923" s="365">
        <f>Tabla3[[#This Row],[COSTO UNITARIO DOLARES EN HAWTHORNE]]*Tabla3[[#This Row],[CANTIDAD SOLICTADA]]</f>
        <v>0</v>
      </c>
      <c r="Q923" s="41"/>
      <c r="R923" s="229"/>
      <c r="S923" s="229">
        <f>+Tabla3[[#This Row],[COSTO UNITARIO DOLARES CTP]]*Tabla3[[#This Row],[CANTIDAD SOLICTADA]]</f>
        <v>0</v>
      </c>
      <c r="T923" s="41"/>
      <c r="U923" s="358" t="s">
        <v>5</v>
      </c>
      <c r="V923" s="360" t="s">
        <v>1991</v>
      </c>
      <c r="W923" s="366"/>
      <c r="X923" s="359"/>
      <c r="Y923" s="358"/>
      <c r="Z923" s="360"/>
      <c r="AA923" s="360"/>
      <c r="AB923" s="360"/>
      <c r="AC923" s="360"/>
      <c r="AD923" s="360"/>
      <c r="AE923" s="360"/>
      <c r="AF923" s="16"/>
      <c r="AG923" s="367" t="s">
        <v>1992</v>
      </c>
    </row>
    <row r="924" spans="1:33" ht="15.75" thickBot="1" x14ac:dyDescent="0.3">
      <c r="A924" s="356">
        <v>143</v>
      </c>
      <c r="B924" s="357">
        <v>46210</v>
      </c>
      <c r="C924" s="358" t="s">
        <v>87</v>
      </c>
      <c r="D924" s="359"/>
      <c r="E924" s="360"/>
      <c r="F924" s="361"/>
      <c r="G924" s="213" t="str">
        <f>IFERROR(VLOOKUP(Tabla3[[#This Row],[NUM ECONOMICO]],MAQUINARIA!B:H,7,0), " MAQ")</f>
        <v>INACTIVA</v>
      </c>
      <c r="H924" s="362" t="s">
        <v>1356</v>
      </c>
      <c r="I924" s="363" t="s">
        <v>1918</v>
      </c>
      <c r="J924" s="358" t="s">
        <v>1962</v>
      </c>
      <c r="K924" s="358">
        <v>1</v>
      </c>
      <c r="L924" s="364">
        <v>56.03</v>
      </c>
      <c r="M924" s="364">
        <f t="shared" si="17"/>
        <v>56.03</v>
      </c>
      <c r="N924" s="41" t="s">
        <v>1990</v>
      </c>
      <c r="O924" s="358"/>
      <c r="P924" s="365">
        <f>Tabla3[[#This Row],[COSTO UNITARIO DOLARES EN HAWTHORNE]]*Tabla3[[#This Row],[CANTIDAD SOLICTADA]]</f>
        <v>0</v>
      </c>
      <c r="Q924" s="41"/>
      <c r="R924" s="229"/>
      <c r="S924" s="229">
        <f>+Tabla3[[#This Row],[COSTO UNITARIO DOLARES CTP]]*Tabla3[[#This Row],[CANTIDAD SOLICTADA]]</f>
        <v>0</v>
      </c>
      <c r="T924" s="41"/>
      <c r="U924" s="358" t="s">
        <v>5</v>
      </c>
      <c r="V924" s="360" t="s">
        <v>1991</v>
      </c>
      <c r="W924" s="366"/>
      <c r="X924" s="359"/>
      <c r="Y924" s="358"/>
      <c r="Z924" s="360"/>
      <c r="AA924" s="360"/>
      <c r="AB924" s="360"/>
      <c r="AC924" s="360"/>
      <c r="AD924" s="360"/>
      <c r="AE924" s="360"/>
      <c r="AF924" s="16"/>
      <c r="AG924" s="367" t="s">
        <v>1992</v>
      </c>
    </row>
    <row r="925" spans="1:33" ht="15.75" thickBot="1" x14ac:dyDescent="0.3">
      <c r="A925" s="356">
        <v>143</v>
      </c>
      <c r="B925" s="357">
        <v>46210</v>
      </c>
      <c r="C925" s="358" t="s">
        <v>87</v>
      </c>
      <c r="D925" s="359"/>
      <c r="E925" s="360"/>
      <c r="F925" s="361"/>
      <c r="G925" s="213" t="str">
        <f>IFERROR(VLOOKUP(Tabla3[[#This Row],[NUM ECONOMICO]],MAQUINARIA!B:H,7,0), " MAQ")</f>
        <v>INACTIVA</v>
      </c>
      <c r="H925" s="362" t="s">
        <v>1356</v>
      </c>
      <c r="I925" s="363" t="s">
        <v>1919</v>
      </c>
      <c r="J925" s="358" t="s">
        <v>1961</v>
      </c>
      <c r="K925" s="358">
        <v>4</v>
      </c>
      <c r="L925" s="364">
        <v>70.709999999999994</v>
      </c>
      <c r="M925" s="364">
        <f t="shared" si="17"/>
        <v>282.83999999999997</v>
      </c>
      <c r="N925" s="41" t="s">
        <v>1990</v>
      </c>
      <c r="O925" s="358"/>
      <c r="P925" s="365">
        <f>Tabla3[[#This Row],[COSTO UNITARIO DOLARES EN HAWTHORNE]]*Tabla3[[#This Row],[CANTIDAD SOLICTADA]]</f>
        <v>0</v>
      </c>
      <c r="Q925" s="41"/>
      <c r="R925" s="229"/>
      <c r="S925" s="229">
        <f>+Tabla3[[#This Row],[COSTO UNITARIO DOLARES CTP]]*Tabla3[[#This Row],[CANTIDAD SOLICTADA]]</f>
        <v>0</v>
      </c>
      <c r="T925" s="41"/>
      <c r="U925" s="358" t="s">
        <v>5</v>
      </c>
      <c r="V925" s="360" t="s">
        <v>1991</v>
      </c>
      <c r="W925" s="366"/>
      <c r="X925" s="359"/>
      <c r="Y925" s="358"/>
      <c r="Z925" s="360"/>
      <c r="AA925" s="360"/>
      <c r="AB925" s="360"/>
      <c r="AC925" s="360"/>
      <c r="AD925" s="360"/>
      <c r="AE925" s="360"/>
      <c r="AF925" s="16"/>
      <c r="AG925" s="367" t="s">
        <v>1992</v>
      </c>
    </row>
    <row r="926" spans="1:33" ht="15.75" thickBot="1" x14ac:dyDescent="0.3">
      <c r="A926" s="356">
        <v>143</v>
      </c>
      <c r="B926" s="357">
        <v>46210</v>
      </c>
      <c r="C926" s="358" t="s">
        <v>87</v>
      </c>
      <c r="D926" s="359"/>
      <c r="E926" s="360"/>
      <c r="F926" s="361"/>
      <c r="G926" s="213" t="str">
        <f>IFERROR(VLOOKUP(Tabla3[[#This Row],[NUM ECONOMICO]],MAQUINARIA!B:H,7,0), " MAQ")</f>
        <v>INACTIVA</v>
      </c>
      <c r="H926" s="362" t="s">
        <v>1356</v>
      </c>
      <c r="I926" s="363" t="s">
        <v>1920</v>
      </c>
      <c r="J926" s="358" t="s">
        <v>220</v>
      </c>
      <c r="K926" s="358">
        <v>5</v>
      </c>
      <c r="L926" s="364">
        <v>108.47</v>
      </c>
      <c r="M926" s="364">
        <f t="shared" si="17"/>
        <v>542.35</v>
      </c>
      <c r="N926" s="41" t="s">
        <v>1990</v>
      </c>
      <c r="O926" s="358"/>
      <c r="P926" s="365">
        <f>Tabla3[[#This Row],[COSTO UNITARIO DOLARES EN HAWTHORNE]]*Tabla3[[#This Row],[CANTIDAD SOLICTADA]]</f>
        <v>0</v>
      </c>
      <c r="Q926" s="41"/>
      <c r="R926" s="229"/>
      <c r="S926" s="229">
        <f>+Tabla3[[#This Row],[COSTO UNITARIO DOLARES CTP]]*Tabla3[[#This Row],[CANTIDAD SOLICTADA]]</f>
        <v>0</v>
      </c>
      <c r="T926" s="41"/>
      <c r="U926" s="358" t="s">
        <v>5</v>
      </c>
      <c r="V926" s="360" t="s">
        <v>1991</v>
      </c>
      <c r="W926" s="366"/>
      <c r="X926" s="359"/>
      <c r="Y926" s="358"/>
      <c r="Z926" s="360"/>
      <c r="AA926" s="360"/>
      <c r="AB926" s="360"/>
      <c r="AC926" s="360"/>
      <c r="AD926" s="360"/>
      <c r="AE926" s="360"/>
      <c r="AF926" s="16"/>
      <c r="AG926" s="367" t="s">
        <v>1992</v>
      </c>
    </row>
    <row r="927" spans="1:33" ht="15.75" thickBot="1" x14ac:dyDescent="0.3">
      <c r="A927" s="356">
        <v>143</v>
      </c>
      <c r="B927" s="357">
        <v>46210</v>
      </c>
      <c r="C927" s="358" t="s">
        <v>87</v>
      </c>
      <c r="D927" s="359"/>
      <c r="E927" s="360"/>
      <c r="F927" s="361"/>
      <c r="G927" s="213" t="str">
        <f>IFERROR(VLOOKUP(Tabla3[[#This Row],[NUM ECONOMICO]],MAQUINARIA!B:H,7,0), " MAQ")</f>
        <v>INACTIVA</v>
      </c>
      <c r="H927" s="362" t="s">
        <v>1356</v>
      </c>
      <c r="I927" s="363" t="s">
        <v>1921</v>
      </c>
      <c r="J927" s="358" t="s">
        <v>546</v>
      </c>
      <c r="K927" s="358">
        <v>1</v>
      </c>
      <c r="L927" s="364">
        <v>1229.55</v>
      </c>
      <c r="M927" s="364">
        <f t="shared" si="17"/>
        <v>1229.55</v>
      </c>
      <c r="N927" s="41" t="s">
        <v>1990</v>
      </c>
      <c r="O927" s="358"/>
      <c r="P927" s="365">
        <f>Tabla3[[#This Row],[COSTO UNITARIO DOLARES EN HAWTHORNE]]*Tabla3[[#This Row],[CANTIDAD SOLICTADA]]</f>
        <v>0</v>
      </c>
      <c r="Q927" s="41"/>
      <c r="R927" s="229"/>
      <c r="S927" s="229">
        <f>+Tabla3[[#This Row],[COSTO UNITARIO DOLARES CTP]]*Tabla3[[#This Row],[CANTIDAD SOLICTADA]]</f>
        <v>0</v>
      </c>
      <c r="T927" s="41"/>
      <c r="U927" s="358" t="s">
        <v>5</v>
      </c>
      <c r="V927" s="360" t="s">
        <v>1991</v>
      </c>
      <c r="W927" s="366"/>
      <c r="X927" s="359"/>
      <c r="Y927" s="358"/>
      <c r="Z927" s="360"/>
      <c r="AA927" s="360"/>
      <c r="AB927" s="360"/>
      <c r="AC927" s="360"/>
      <c r="AD927" s="360"/>
      <c r="AE927" s="360"/>
      <c r="AF927" s="16"/>
      <c r="AG927" s="367" t="s">
        <v>1992</v>
      </c>
    </row>
    <row r="928" spans="1:33" ht="15.75" thickBot="1" x14ac:dyDescent="0.3">
      <c r="A928" s="356">
        <v>143</v>
      </c>
      <c r="B928" s="357">
        <v>46210</v>
      </c>
      <c r="C928" s="358" t="s">
        <v>87</v>
      </c>
      <c r="D928" s="359"/>
      <c r="E928" s="360"/>
      <c r="F928" s="361"/>
      <c r="G928" s="213" t="str">
        <f>IFERROR(VLOOKUP(Tabla3[[#This Row],[NUM ECONOMICO]],MAQUINARIA!B:H,7,0), " MAQ")</f>
        <v>INACTIVA</v>
      </c>
      <c r="H928" s="362" t="s">
        <v>1356</v>
      </c>
      <c r="I928" s="363" t="s">
        <v>1922</v>
      </c>
      <c r="J928" s="358" t="s">
        <v>506</v>
      </c>
      <c r="K928" s="358">
        <v>1</v>
      </c>
      <c r="L928" s="364">
        <v>8452.2000000000007</v>
      </c>
      <c r="M928" s="364">
        <f t="shared" si="17"/>
        <v>8452.2000000000007</v>
      </c>
      <c r="N928" s="41" t="s">
        <v>1990</v>
      </c>
      <c r="O928" s="358"/>
      <c r="P928" s="365">
        <f>Tabla3[[#This Row],[COSTO UNITARIO DOLARES EN HAWTHORNE]]*Tabla3[[#This Row],[CANTIDAD SOLICTADA]]</f>
        <v>0</v>
      </c>
      <c r="Q928" s="41"/>
      <c r="R928" s="229"/>
      <c r="S928" s="229">
        <f>+Tabla3[[#This Row],[COSTO UNITARIO DOLARES CTP]]*Tabla3[[#This Row],[CANTIDAD SOLICTADA]]</f>
        <v>0</v>
      </c>
      <c r="T928" s="41"/>
      <c r="U928" s="358" t="s">
        <v>5</v>
      </c>
      <c r="V928" s="360" t="s">
        <v>1991</v>
      </c>
      <c r="W928" s="366"/>
      <c r="X928" s="359"/>
      <c r="Y928" s="358"/>
      <c r="Z928" s="360"/>
      <c r="AA928" s="360"/>
      <c r="AB928" s="360"/>
      <c r="AC928" s="360"/>
      <c r="AD928" s="360"/>
      <c r="AE928" s="360"/>
      <c r="AF928" s="16"/>
      <c r="AG928" s="367" t="s">
        <v>1992</v>
      </c>
    </row>
    <row r="929" spans="1:33" ht="15.75" thickBot="1" x14ac:dyDescent="0.3">
      <c r="A929" s="356">
        <v>143</v>
      </c>
      <c r="B929" s="357">
        <v>46210</v>
      </c>
      <c r="C929" s="358" t="s">
        <v>87</v>
      </c>
      <c r="D929" s="359"/>
      <c r="E929" s="360"/>
      <c r="F929" s="361"/>
      <c r="G929" s="213" t="str">
        <f>IFERROR(VLOOKUP(Tabla3[[#This Row],[NUM ECONOMICO]],MAQUINARIA!B:H,7,0), " MAQ")</f>
        <v>INACTIVA</v>
      </c>
      <c r="H929" s="362" t="s">
        <v>1356</v>
      </c>
      <c r="I929" s="363" t="s">
        <v>1923</v>
      </c>
      <c r="J929" s="358" t="s">
        <v>1976</v>
      </c>
      <c r="K929" s="358">
        <v>1</v>
      </c>
      <c r="L929" s="364">
        <v>1310.46</v>
      </c>
      <c r="M929" s="364">
        <f t="shared" si="17"/>
        <v>1310.46</v>
      </c>
      <c r="N929" s="41" t="s">
        <v>1990</v>
      </c>
      <c r="O929" s="358"/>
      <c r="P929" s="365">
        <f>Tabla3[[#This Row],[COSTO UNITARIO DOLARES EN HAWTHORNE]]*Tabla3[[#This Row],[CANTIDAD SOLICTADA]]</f>
        <v>0</v>
      </c>
      <c r="Q929" s="41"/>
      <c r="R929" s="229"/>
      <c r="S929" s="229">
        <f>+Tabla3[[#This Row],[COSTO UNITARIO DOLARES CTP]]*Tabla3[[#This Row],[CANTIDAD SOLICTADA]]</f>
        <v>0</v>
      </c>
      <c r="T929" s="41"/>
      <c r="U929" s="358" t="s">
        <v>5</v>
      </c>
      <c r="V929" s="360" t="s">
        <v>1991</v>
      </c>
      <c r="W929" s="366"/>
      <c r="X929" s="359"/>
      <c r="Y929" s="358"/>
      <c r="Z929" s="360"/>
      <c r="AA929" s="360"/>
      <c r="AB929" s="360"/>
      <c r="AC929" s="360"/>
      <c r="AD929" s="360"/>
      <c r="AE929" s="360"/>
      <c r="AF929" s="16"/>
      <c r="AG929" s="367" t="s">
        <v>1992</v>
      </c>
    </row>
    <row r="930" spans="1:33" ht="15.75" thickBot="1" x14ac:dyDescent="0.3">
      <c r="A930" s="356">
        <v>143</v>
      </c>
      <c r="B930" s="357">
        <v>46210</v>
      </c>
      <c r="C930" s="358" t="s">
        <v>87</v>
      </c>
      <c r="D930" s="359"/>
      <c r="E930" s="360"/>
      <c r="F930" s="361"/>
      <c r="G930" s="213" t="str">
        <f>IFERROR(VLOOKUP(Tabla3[[#This Row],[NUM ECONOMICO]],MAQUINARIA!B:H,7,0), " MAQ")</f>
        <v>INACTIVA</v>
      </c>
      <c r="H930" s="362" t="s">
        <v>1356</v>
      </c>
      <c r="I930" s="363" t="s">
        <v>1924</v>
      </c>
      <c r="J930" s="358" t="s">
        <v>1962</v>
      </c>
      <c r="K930" s="358">
        <v>1</v>
      </c>
      <c r="L930" s="364">
        <v>857.23</v>
      </c>
      <c r="M930" s="364">
        <f t="shared" si="17"/>
        <v>857.23</v>
      </c>
      <c r="N930" s="41" t="s">
        <v>1990</v>
      </c>
      <c r="O930" s="358"/>
      <c r="P930" s="365">
        <f>Tabla3[[#This Row],[COSTO UNITARIO DOLARES EN HAWTHORNE]]*Tabla3[[#This Row],[CANTIDAD SOLICTADA]]</f>
        <v>0</v>
      </c>
      <c r="Q930" s="41"/>
      <c r="R930" s="229"/>
      <c r="S930" s="229">
        <f>+Tabla3[[#This Row],[COSTO UNITARIO DOLARES CTP]]*Tabla3[[#This Row],[CANTIDAD SOLICTADA]]</f>
        <v>0</v>
      </c>
      <c r="T930" s="41"/>
      <c r="U930" s="358" t="s">
        <v>5</v>
      </c>
      <c r="V930" s="360" t="s">
        <v>1991</v>
      </c>
      <c r="W930" s="366"/>
      <c r="X930" s="359"/>
      <c r="Y930" s="358"/>
      <c r="Z930" s="360"/>
      <c r="AA930" s="360"/>
      <c r="AB930" s="360"/>
      <c r="AC930" s="360"/>
      <c r="AD930" s="360"/>
      <c r="AE930" s="360"/>
      <c r="AF930" s="16"/>
      <c r="AG930" s="367" t="s">
        <v>1992</v>
      </c>
    </row>
    <row r="931" spans="1:33" ht="15.75" thickBot="1" x14ac:dyDescent="0.3">
      <c r="A931" s="356">
        <v>143</v>
      </c>
      <c r="B931" s="357">
        <v>46210</v>
      </c>
      <c r="C931" s="358" t="s">
        <v>87</v>
      </c>
      <c r="D931" s="359"/>
      <c r="E931" s="360"/>
      <c r="F931" s="361"/>
      <c r="G931" s="213" t="str">
        <f>IFERROR(VLOOKUP(Tabla3[[#This Row],[NUM ECONOMICO]],MAQUINARIA!B:H,7,0), " MAQ")</f>
        <v>INACTIVA</v>
      </c>
      <c r="H931" s="362" t="s">
        <v>1356</v>
      </c>
      <c r="I931" s="363" t="s">
        <v>1925</v>
      </c>
      <c r="J931" s="358" t="s">
        <v>1962</v>
      </c>
      <c r="K931" s="358">
        <v>1</v>
      </c>
      <c r="L931" s="364">
        <v>1394.95</v>
      </c>
      <c r="M931" s="364">
        <f t="shared" si="17"/>
        <v>1394.95</v>
      </c>
      <c r="N931" s="41" t="s">
        <v>1990</v>
      </c>
      <c r="O931" s="358"/>
      <c r="P931" s="365">
        <f>Tabla3[[#This Row],[COSTO UNITARIO DOLARES EN HAWTHORNE]]*Tabla3[[#This Row],[CANTIDAD SOLICTADA]]</f>
        <v>0</v>
      </c>
      <c r="Q931" s="41"/>
      <c r="R931" s="229"/>
      <c r="S931" s="229">
        <f>+Tabla3[[#This Row],[COSTO UNITARIO DOLARES CTP]]*Tabla3[[#This Row],[CANTIDAD SOLICTADA]]</f>
        <v>0</v>
      </c>
      <c r="T931" s="41"/>
      <c r="U931" s="358" t="s">
        <v>5</v>
      </c>
      <c r="V931" s="360" t="s">
        <v>1991</v>
      </c>
      <c r="W931" s="366"/>
      <c r="X931" s="359"/>
      <c r="Y931" s="358"/>
      <c r="Z931" s="360"/>
      <c r="AA931" s="360"/>
      <c r="AB931" s="360"/>
      <c r="AC931" s="360"/>
      <c r="AD931" s="360"/>
      <c r="AE931" s="360"/>
      <c r="AF931" s="16"/>
      <c r="AG931" s="367" t="s">
        <v>1992</v>
      </c>
    </row>
    <row r="932" spans="1:33" ht="15.75" thickBot="1" x14ac:dyDescent="0.3">
      <c r="A932" s="356">
        <v>143</v>
      </c>
      <c r="B932" s="357">
        <v>46210</v>
      </c>
      <c r="C932" s="358" t="s">
        <v>87</v>
      </c>
      <c r="D932" s="359"/>
      <c r="E932" s="360"/>
      <c r="F932" s="361"/>
      <c r="G932" s="213" t="str">
        <f>IFERROR(VLOOKUP(Tabla3[[#This Row],[NUM ECONOMICO]],MAQUINARIA!B:H,7,0), " MAQ")</f>
        <v>INACTIVA</v>
      </c>
      <c r="H932" s="362" t="s">
        <v>1356</v>
      </c>
      <c r="I932" s="363" t="s">
        <v>1926</v>
      </c>
      <c r="J932" s="358" t="s">
        <v>1962</v>
      </c>
      <c r="K932" s="358">
        <v>1</v>
      </c>
      <c r="L932" s="364">
        <v>2172.34</v>
      </c>
      <c r="M932" s="364">
        <f t="shared" si="17"/>
        <v>2172.34</v>
      </c>
      <c r="N932" s="41" t="s">
        <v>1990</v>
      </c>
      <c r="O932" s="358"/>
      <c r="P932" s="365">
        <f>Tabla3[[#This Row],[COSTO UNITARIO DOLARES EN HAWTHORNE]]*Tabla3[[#This Row],[CANTIDAD SOLICTADA]]</f>
        <v>0</v>
      </c>
      <c r="Q932" s="41"/>
      <c r="R932" s="229"/>
      <c r="S932" s="229">
        <f>+Tabla3[[#This Row],[COSTO UNITARIO DOLARES CTP]]*Tabla3[[#This Row],[CANTIDAD SOLICTADA]]</f>
        <v>0</v>
      </c>
      <c r="T932" s="41"/>
      <c r="U932" s="358" t="s">
        <v>5</v>
      </c>
      <c r="V932" s="360" t="s">
        <v>1991</v>
      </c>
      <c r="W932" s="366"/>
      <c r="X932" s="359"/>
      <c r="Y932" s="358"/>
      <c r="Z932" s="360"/>
      <c r="AA932" s="360"/>
      <c r="AB932" s="360"/>
      <c r="AC932" s="360"/>
      <c r="AD932" s="360"/>
      <c r="AE932" s="360"/>
      <c r="AF932" s="16"/>
      <c r="AG932" s="367" t="s">
        <v>1992</v>
      </c>
    </row>
    <row r="933" spans="1:33" ht="15.75" thickBot="1" x14ac:dyDescent="0.3">
      <c r="A933" s="356">
        <v>143</v>
      </c>
      <c r="B933" s="357">
        <v>46210</v>
      </c>
      <c r="C933" s="358" t="s">
        <v>87</v>
      </c>
      <c r="D933" s="359"/>
      <c r="E933" s="360"/>
      <c r="F933" s="361"/>
      <c r="G933" s="213" t="str">
        <f>IFERROR(VLOOKUP(Tabla3[[#This Row],[NUM ECONOMICO]],MAQUINARIA!B:H,7,0), " MAQ")</f>
        <v>INACTIVA</v>
      </c>
      <c r="H933" s="362" t="s">
        <v>1356</v>
      </c>
      <c r="I933" s="363" t="s">
        <v>1927</v>
      </c>
      <c r="J933" s="358" t="s">
        <v>220</v>
      </c>
      <c r="K933" s="358">
        <v>2</v>
      </c>
      <c r="L933" s="364">
        <v>2152.12</v>
      </c>
      <c r="M933" s="364">
        <f t="shared" si="17"/>
        <v>4304.24</v>
      </c>
      <c r="N933" s="41" t="s">
        <v>1990</v>
      </c>
      <c r="O933" s="358"/>
      <c r="P933" s="365">
        <f>Tabla3[[#This Row],[COSTO UNITARIO DOLARES EN HAWTHORNE]]*Tabla3[[#This Row],[CANTIDAD SOLICTADA]]</f>
        <v>0</v>
      </c>
      <c r="Q933" s="41"/>
      <c r="R933" s="229"/>
      <c r="S933" s="229">
        <f>+Tabla3[[#This Row],[COSTO UNITARIO DOLARES CTP]]*Tabla3[[#This Row],[CANTIDAD SOLICTADA]]</f>
        <v>0</v>
      </c>
      <c r="T933" s="41"/>
      <c r="U933" s="358" t="s">
        <v>5</v>
      </c>
      <c r="V933" s="360" t="s">
        <v>1991</v>
      </c>
      <c r="W933" s="366"/>
      <c r="X933" s="359"/>
      <c r="Y933" s="358"/>
      <c r="Z933" s="360"/>
      <c r="AA933" s="360"/>
      <c r="AB933" s="360"/>
      <c r="AC933" s="360"/>
      <c r="AD933" s="360"/>
      <c r="AE933" s="360"/>
      <c r="AF933" s="16"/>
      <c r="AG933" s="367" t="s">
        <v>1992</v>
      </c>
    </row>
    <row r="934" spans="1:33" ht="15.75" thickBot="1" x14ac:dyDescent="0.3">
      <c r="A934" s="356">
        <v>143</v>
      </c>
      <c r="B934" s="357">
        <v>46210</v>
      </c>
      <c r="C934" s="358" t="s">
        <v>87</v>
      </c>
      <c r="D934" s="359"/>
      <c r="E934" s="360"/>
      <c r="F934" s="361"/>
      <c r="G934" s="213" t="str">
        <f>IFERROR(VLOOKUP(Tabla3[[#This Row],[NUM ECONOMICO]],MAQUINARIA!B:H,7,0), " MAQ")</f>
        <v>INACTIVA</v>
      </c>
      <c r="H934" s="362" t="s">
        <v>1356</v>
      </c>
      <c r="I934" s="363" t="s">
        <v>1928</v>
      </c>
      <c r="J934" s="358" t="s">
        <v>1961</v>
      </c>
      <c r="K934" s="358">
        <v>1</v>
      </c>
      <c r="L934" s="364">
        <v>931.87</v>
      </c>
      <c r="M934" s="364">
        <f t="shared" si="17"/>
        <v>931.87</v>
      </c>
      <c r="N934" s="41" t="s">
        <v>1990</v>
      </c>
      <c r="O934" s="358"/>
      <c r="P934" s="365">
        <f>Tabla3[[#This Row],[COSTO UNITARIO DOLARES EN HAWTHORNE]]*Tabla3[[#This Row],[CANTIDAD SOLICTADA]]</f>
        <v>0</v>
      </c>
      <c r="Q934" s="41"/>
      <c r="R934" s="229"/>
      <c r="S934" s="229">
        <f>+Tabla3[[#This Row],[COSTO UNITARIO DOLARES CTP]]*Tabla3[[#This Row],[CANTIDAD SOLICTADA]]</f>
        <v>0</v>
      </c>
      <c r="T934" s="41"/>
      <c r="U934" s="358" t="s">
        <v>5</v>
      </c>
      <c r="V934" s="360" t="s">
        <v>1991</v>
      </c>
      <c r="W934" s="366"/>
      <c r="X934" s="359"/>
      <c r="Y934" s="358"/>
      <c r="Z934" s="360"/>
      <c r="AA934" s="360"/>
      <c r="AB934" s="360"/>
      <c r="AC934" s="360"/>
      <c r="AD934" s="360"/>
      <c r="AE934" s="360"/>
      <c r="AF934" s="16"/>
      <c r="AG934" s="367" t="s">
        <v>1992</v>
      </c>
    </row>
    <row r="935" spans="1:33" ht="15.75" thickBot="1" x14ac:dyDescent="0.3">
      <c r="A935" s="356">
        <v>143</v>
      </c>
      <c r="B935" s="357">
        <v>46210</v>
      </c>
      <c r="C935" s="358" t="s">
        <v>87</v>
      </c>
      <c r="D935" s="359"/>
      <c r="E935" s="360"/>
      <c r="F935" s="361"/>
      <c r="G935" s="213" t="str">
        <f>IFERROR(VLOOKUP(Tabla3[[#This Row],[NUM ECONOMICO]],MAQUINARIA!B:H,7,0), " MAQ")</f>
        <v>INACTIVA</v>
      </c>
      <c r="H935" s="362" t="s">
        <v>1356</v>
      </c>
      <c r="I935" s="363" t="s">
        <v>1929</v>
      </c>
      <c r="J935" s="358" t="s">
        <v>546</v>
      </c>
      <c r="K935" s="358">
        <v>1</v>
      </c>
      <c r="L935" s="364">
        <v>857.23</v>
      </c>
      <c r="M935" s="364">
        <f t="shared" si="17"/>
        <v>857.23</v>
      </c>
      <c r="N935" s="41" t="s">
        <v>1990</v>
      </c>
      <c r="O935" s="358"/>
      <c r="P935" s="365">
        <f>Tabla3[[#This Row],[COSTO UNITARIO DOLARES EN HAWTHORNE]]*Tabla3[[#This Row],[CANTIDAD SOLICTADA]]</f>
        <v>0</v>
      </c>
      <c r="Q935" s="41"/>
      <c r="R935" s="229"/>
      <c r="S935" s="229">
        <f>+Tabla3[[#This Row],[COSTO UNITARIO DOLARES CTP]]*Tabla3[[#This Row],[CANTIDAD SOLICTADA]]</f>
        <v>0</v>
      </c>
      <c r="T935" s="41"/>
      <c r="U935" s="358" t="s">
        <v>5</v>
      </c>
      <c r="V935" s="360" t="s">
        <v>1991</v>
      </c>
      <c r="W935" s="366"/>
      <c r="X935" s="359"/>
      <c r="Y935" s="358"/>
      <c r="Z935" s="360"/>
      <c r="AA935" s="360"/>
      <c r="AB935" s="360"/>
      <c r="AC935" s="360"/>
      <c r="AD935" s="360"/>
      <c r="AE935" s="360"/>
      <c r="AF935" s="16"/>
      <c r="AG935" s="367" t="s">
        <v>1992</v>
      </c>
    </row>
    <row r="936" spans="1:33" ht="15.75" thickBot="1" x14ac:dyDescent="0.3">
      <c r="A936" s="356">
        <v>143</v>
      </c>
      <c r="B936" s="357">
        <v>46210</v>
      </c>
      <c r="C936" s="358" t="s">
        <v>87</v>
      </c>
      <c r="D936" s="359"/>
      <c r="E936" s="360"/>
      <c r="F936" s="361"/>
      <c r="G936" s="213" t="str">
        <f>IFERROR(VLOOKUP(Tabla3[[#This Row],[NUM ECONOMICO]],MAQUINARIA!B:H,7,0), " MAQ")</f>
        <v>INACTIVA</v>
      </c>
      <c r="H936" s="362" t="s">
        <v>1356</v>
      </c>
      <c r="I936" s="363" t="s">
        <v>1930</v>
      </c>
      <c r="J936" s="358" t="s">
        <v>546</v>
      </c>
      <c r="K936" s="358">
        <v>1</v>
      </c>
      <c r="L936" s="364">
        <v>1394.95</v>
      </c>
      <c r="M936" s="364">
        <f t="shared" si="17"/>
        <v>1394.95</v>
      </c>
      <c r="N936" s="41" t="s">
        <v>1990</v>
      </c>
      <c r="O936" s="358"/>
      <c r="P936" s="365">
        <f>Tabla3[[#This Row],[COSTO UNITARIO DOLARES EN HAWTHORNE]]*Tabla3[[#This Row],[CANTIDAD SOLICTADA]]</f>
        <v>0</v>
      </c>
      <c r="Q936" s="41"/>
      <c r="R936" s="229"/>
      <c r="S936" s="229">
        <f>+Tabla3[[#This Row],[COSTO UNITARIO DOLARES CTP]]*Tabla3[[#This Row],[CANTIDAD SOLICTADA]]</f>
        <v>0</v>
      </c>
      <c r="T936" s="41"/>
      <c r="U936" s="358" t="s">
        <v>5</v>
      </c>
      <c r="V936" s="360" t="s">
        <v>1991</v>
      </c>
      <c r="W936" s="366"/>
      <c r="X936" s="359"/>
      <c r="Y936" s="358"/>
      <c r="Z936" s="360"/>
      <c r="AA936" s="360"/>
      <c r="AB936" s="360"/>
      <c r="AC936" s="360"/>
      <c r="AD936" s="360"/>
      <c r="AE936" s="360"/>
      <c r="AF936" s="16"/>
      <c r="AG936" s="367" t="s">
        <v>1992</v>
      </c>
    </row>
    <row r="937" spans="1:33" ht="15.75" thickBot="1" x14ac:dyDescent="0.3">
      <c r="A937" s="356">
        <v>143</v>
      </c>
      <c r="B937" s="357">
        <v>46210</v>
      </c>
      <c r="C937" s="358" t="s">
        <v>87</v>
      </c>
      <c r="D937" s="359"/>
      <c r="E937" s="360"/>
      <c r="F937" s="361"/>
      <c r="G937" s="213" t="str">
        <f>IFERROR(VLOOKUP(Tabla3[[#This Row],[NUM ECONOMICO]],MAQUINARIA!B:H,7,0), " MAQ")</f>
        <v>INACTIVA</v>
      </c>
      <c r="H937" s="362" t="s">
        <v>1356</v>
      </c>
      <c r="I937" s="363" t="s">
        <v>558</v>
      </c>
      <c r="J937" s="358" t="s">
        <v>1977</v>
      </c>
      <c r="K937" s="358">
        <v>1</v>
      </c>
      <c r="L937" s="364">
        <v>2172.34</v>
      </c>
      <c r="M937" s="364">
        <f t="shared" si="17"/>
        <v>2172.34</v>
      </c>
      <c r="N937" s="41" t="s">
        <v>1990</v>
      </c>
      <c r="O937" s="358"/>
      <c r="P937" s="365">
        <f>Tabla3[[#This Row],[COSTO UNITARIO DOLARES EN HAWTHORNE]]*Tabla3[[#This Row],[CANTIDAD SOLICTADA]]</f>
        <v>0</v>
      </c>
      <c r="Q937" s="41"/>
      <c r="R937" s="229"/>
      <c r="S937" s="229">
        <f>+Tabla3[[#This Row],[COSTO UNITARIO DOLARES CTP]]*Tabla3[[#This Row],[CANTIDAD SOLICTADA]]</f>
        <v>0</v>
      </c>
      <c r="T937" s="41"/>
      <c r="U937" s="358" t="s">
        <v>5</v>
      </c>
      <c r="V937" s="360" t="s">
        <v>1991</v>
      </c>
      <c r="W937" s="366"/>
      <c r="X937" s="359"/>
      <c r="Y937" s="358"/>
      <c r="Z937" s="360"/>
      <c r="AA937" s="360"/>
      <c r="AB937" s="360"/>
      <c r="AC937" s="360"/>
      <c r="AD937" s="360"/>
      <c r="AE937" s="360"/>
      <c r="AF937" s="16"/>
      <c r="AG937" s="367" t="s">
        <v>1992</v>
      </c>
    </row>
    <row r="938" spans="1:33" ht="15.75" thickBot="1" x14ac:dyDescent="0.3">
      <c r="A938" s="356">
        <v>143</v>
      </c>
      <c r="B938" s="357">
        <v>46210</v>
      </c>
      <c r="C938" s="358" t="s">
        <v>87</v>
      </c>
      <c r="D938" s="359"/>
      <c r="E938" s="360"/>
      <c r="F938" s="361"/>
      <c r="G938" s="213" t="str">
        <f>IFERROR(VLOOKUP(Tabla3[[#This Row],[NUM ECONOMICO]],MAQUINARIA!B:H,7,0), " MAQ")</f>
        <v>INACTIVA</v>
      </c>
      <c r="H938" s="362" t="s">
        <v>1356</v>
      </c>
      <c r="I938" s="363" t="s">
        <v>323</v>
      </c>
      <c r="J938" s="358" t="s">
        <v>220</v>
      </c>
      <c r="K938" s="358">
        <v>1</v>
      </c>
      <c r="L938" s="364">
        <v>2152.12</v>
      </c>
      <c r="M938" s="364">
        <f t="shared" si="17"/>
        <v>2152.12</v>
      </c>
      <c r="N938" s="41" t="s">
        <v>1990</v>
      </c>
      <c r="O938" s="358"/>
      <c r="P938" s="365">
        <f>Tabla3[[#This Row],[COSTO UNITARIO DOLARES EN HAWTHORNE]]*Tabla3[[#This Row],[CANTIDAD SOLICTADA]]</f>
        <v>0</v>
      </c>
      <c r="Q938" s="41"/>
      <c r="R938" s="229"/>
      <c r="S938" s="229">
        <f>+Tabla3[[#This Row],[COSTO UNITARIO DOLARES CTP]]*Tabla3[[#This Row],[CANTIDAD SOLICTADA]]</f>
        <v>0</v>
      </c>
      <c r="T938" s="41"/>
      <c r="U938" s="358" t="s">
        <v>5</v>
      </c>
      <c r="V938" s="360" t="s">
        <v>1991</v>
      </c>
      <c r="W938" s="366"/>
      <c r="X938" s="359"/>
      <c r="Y938" s="358"/>
      <c r="Z938" s="360"/>
      <c r="AA938" s="360"/>
      <c r="AB938" s="360"/>
      <c r="AC938" s="360"/>
      <c r="AD938" s="360"/>
      <c r="AE938" s="360"/>
      <c r="AF938" s="16"/>
      <c r="AG938" s="367" t="s">
        <v>1992</v>
      </c>
    </row>
    <row r="939" spans="1:33" ht="15.75" thickBot="1" x14ac:dyDescent="0.3">
      <c r="A939" s="356">
        <v>143</v>
      </c>
      <c r="B939" s="357">
        <v>46210</v>
      </c>
      <c r="C939" s="358" t="s">
        <v>87</v>
      </c>
      <c r="D939" s="359"/>
      <c r="E939" s="360"/>
      <c r="F939" s="361"/>
      <c r="G939" s="213" t="str">
        <f>IFERROR(VLOOKUP(Tabla3[[#This Row],[NUM ECONOMICO]],MAQUINARIA!B:H,7,0), " MAQ")</f>
        <v>INACTIVA</v>
      </c>
      <c r="H939" s="362" t="s">
        <v>1356</v>
      </c>
      <c r="I939" s="363" t="s">
        <v>334</v>
      </c>
      <c r="J939" s="358" t="s">
        <v>1961</v>
      </c>
      <c r="K939" s="358">
        <v>1</v>
      </c>
      <c r="L939" s="364">
        <v>931.87</v>
      </c>
      <c r="M939" s="364">
        <f t="shared" si="17"/>
        <v>931.87</v>
      </c>
      <c r="N939" s="41" t="s">
        <v>1990</v>
      </c>
      <c r="O939" s="358"/>
      <c r="P939" s="365">
        <f>Tabla3[[#This Row],[COSTO UNITARIO DOLARES EN HAWTHORNE]]*Tabla3[[#This Row],[CANTIDAD SOLICTADA]]</f>
        <v>0</v>
      </c>
      <c r="Q939" s="41"/>
      <c r="R939" s="229"/>
      <c r="S939" s="229">
        <f>+Tabla3[[#This Row],[COSTO UNITARIO DOLARES CTP]]*Tabla3[[#This Row],[CANTIDAD SOLICTADA]]</f>
        <v>0</v>
      </c>
      <c r="T939" s="41"/>
      <c r="U939" s="358" t="s">
        <v>5</v>
      </c>
      <c r="V939" s="360" t="s">
        <v>1991</v>
      </c>
      <c r="W939" s="366"/>
      <c r="X939" s="359"/>
      <c r="Y939" s="358"/>
      <c r="Z939" s="360"/>
      <c r="AA939" s="360"/>
      <c r="AB939" s="360"/>
      <c r="AC939" s="360"/>
      <c r="AD939" s="360"/>
      <c r="AE939" s="360"/>
      <c r="AF939" s="16"/>
      <c r="AG939" s="367" t="s">
        <v>1992</v>
      </c>
    </row>
    <row r="940" spans="1:33" ht="15.75" thickBot="1" x14ac:dyDescent="0.3">
      <c r="A940" s="356">
        <v>143</v>
      </c>
      <c r="B940" s="357">
        <v>46210</v>
      </c>
      <c r="C940" s="358" t="s">
        <v>87</v>
      </c>
      <c r="D940" s="359"/>
      <c r="E940" s="360"/>
      <c r="F940" s="361"/>
      <c r="G940" s="213" t="str">
        <f>IFERROR(VLOOKUP(Tabla3[[#This Row],[NUM ECONOMICO]],MAQUINARIA!B:H,7,0), " MAQ")</f>
        <v>INACTIVA</v>
      </c>
      <c r="H940" s="362" t="s">
        <v>1356</v>
      </c>
      <c r="I940" s="363" t="s">
        <v>333</v>
      </c>
      <c r="J940" s="358" t="s">
        <v>546</v>
      </c>
      <c r="K940" s="358">
        <v>3</v>
      </c>
      <c r="L940" s="364">
        <v>76.430000000000007</v>
      </c>
      <c r="M940" s="364">
        <f t="shared" si="17"/>
        <v>229.29000000000002</v>
      </c>
      <c r="N940" s="41" t="s">
        <v>1990</v>
      </c>
      <c r="O940" s="358"/>
      <c r="P940" s="365">
        <f>Tabla3[[#This Row],[COSTO UNITARIO DOLARES EN HAWTHORNE]]*Tabla3[[#This Row],[CANTIDAD SOLICTADA]]</f>
        <v>0</v>
      </c>
      <c r="Q940" s="41"/>
      <c r="R940" s="229"/>
      <c r="S940" s="229">
        <f>+Tabla3[[#This Row],[COSTO UNITARIO DOLARES CTP]]*Tabla3[[#This Row],[CANTIDAD SOLICTADA]]</f>
        <v>0</v>
      </c>
      <c r="T940" s="41"/>
      <c r="U940" s="358" t="s">
        <v>5</v>
      </c>
      <c r="V940" s="360" t="s">
        <v>1991</v>
      </c>
      <c r="W940" s="366"/>
      <c r="X940" s="359"/>
      <c r="Y940" s="358"/>
      <c r="Z940" s="360"/>
      <c r="AA940" s="360"/>
      <c r="AB940" s="360"/>
      <c r="AC940" s="360"/>
      <c r="AD940" s="360"/>
      <c r="AE940" s="360"/>
      <c r="AF940" s="16"/>
      <c r="AG940" s="367" t="s">
        <v>1992</v>
      </c>
    </row>
    <row r="941" spans="1:33" ht="15.75" thickBot="1" x14ac:dyDescent="0.3">
      <c r="A941" s="356">
        <v>143</v>
      </c>
      <c r="B941" s="357">
        <v>46210</v>
      </c>
      <c r="C941" s="358" t="s">
        <v>87</v>
      </c>
      <c r="D941" s="359"/>
      <c r="E941" s="360"/>
      <c r="F941" s="361"/>
      <c r="G941" s="213" t="str">
        <f>IFERROR(VLOOKUP(Tabla3[[#This Row],[NUM ECONOMICO]],MAQUINARIA!B:H,7,0), " MAQ")</f>
        <v>INACTIVA</v>
      </c>
      <c r="H941" s="362" t="s">
        <v>1356</v>
      </c>
      <c r="I941" s="363" t="s">
        <v>1931</v>
      </c>
      <c r="J941" s="358" t="s">
        <v>1977</v>
      </c>
      <c r="K941" s="358">
        <v>4</v>
      </c>
      <c r="L941" s="364">
        <v>48.33</v>
      </c>
      <c r="M941" s="364">
        <f t="shared" si="17"/>
        <v>193.32</v>
      </c>
      <c r="N941" s="41" t="s">
        <v>1990</v>
      </c>
      <c r="O941" s="358"/>
      <c r="P941" s="365">
        <f>Tabla3[[#This Row],[COSTO UNITARIO DOLARES EN HAWTHORNE]]*Tabla3[[#This Row],[CANTIDAD SOLICTADA]]</f>
        <v>0</v>
      </c>
      <c r="Q941" s="41"/>
      <c r="R941" s="229"/>
      <c r="S941" s="229">
        <f>+Tabla3[[#This Row],[COSTO UNITARIO DOLARES CTP]]*Tabla3[[#This Row],[CANTIDAD SOLICTADA]]</f>
        <v>0</v>
      </c>
      <c r="T941" s="41"/>
      <c r="U941" s="358" t="s">
        <v>5</v>
      </c>
      <c r="V941" s="360" t="s">
        <v>1991</v>
      </c>
      <c r="W941" s="366"/>
      <c r="X941" s="359"/>
      <c r="Y941" s="358"/>
      <c r="Z941" s="360"/>
      <c r="AA941" s="360"/>
      <c r="AB941" s="360"/>
      <c r="AC941" s="360"/>
      <c r="AD941" s="360"/>
      <c r="AE941" s="360"/>
      <c r="AF941" s="16"/>
      <c r="AG941" s="367" t="s">
        <v>1992</v>
      </c>
    </row>
    <row r="942" spans="1:33" ht="15.75" thickBot="1" x14ac:dyDescent="0.3">
      <c r="A942" s="356">
        <v>143</v>
      </c>
      <c r="B942" s="357">
        <v>46210</v>
      </c>
      <c r="C942" s="358" t="s">
        <v>87</v>
      </c>
      <c r="D942" s="359"/>
      <c r="E942" s="360"/>
      <c r="F942" s="361"/>
      <c r="G942" s="213" t="str">
        <f>IFERROR(VLOOKUP(Tabla3[[#This Row],[NUM ECONOMICO]],MAQUINARIA!B:H,7,0), " MAQ")</f>
        <v>INACTIVA</v>
      </c>
      <c r="H942" s="362" t="s">
        <v>1356</v>
      </c>
      <c r="I942" s="363" t="s">
        <v>1932</v>
      </c>
      <c r="J942" s="358" t="s">
        <v>1962</v>
      </c>
      <c r="K942" s="358">
        <v>1</v>
      </c>
      <c r="L942" s="364">
        <v>31.5</v>
      </c>
      <c r="M942" s="364">
        <f t="shared" si="17"/>
        <v>31.5</v>
      </c>
      <c r="N942" s="41" t="s">
        <v>1990</v>
      </c>
      <c r="O942" s="358"/>
      <c r="P942" s="365">
        <f>Tabla3[[#This Row],[COSTO UNITARIO DOLARES EN HAWTHORNE]]*Tabla3[[#This Row],[CANTIDAD SOLICTADA]]</f>
        <v>0</v>
      </c>
      <c r="Q942" s="41"/>
      <c r="R942" s="229"/>
      <c r="S942" s="229">
        <f>+Tabla3[[#This Row],[COSTO UNITARIO DOLARES CTP]]*Tabla3[[#This Row],[CANTIDAD SOLICTADA]]</f>
        <v>0</v>
      </c>
      <c r="T942" s="41"/>
      <c r="U942" s="358" t="s">
        <v>5</v>
      </c>
      <c r="V942" s="360" t="s">
        <v>1991</v>
      </c>
      <c r="W942" s="366"/>
      <c r="X942" s="359"/>
      <c r="Y942" s="358"/>
      <c r="Z942" s="360"/>
      <c r="AA942" s="360"/>
      <c r="AB942" s="360"/>
      <c r="AC942" s="360"/>
      <c r="AD942" s="360"/>
      <c r="AE942" s="360"/>
      <c r="AF942" s="16"/>
      <c r="AG942" s="367" t="s">
        <v>1992</v>
      </c>
    </row>
    <row r="943" spans="1:33" ht="15.75" thickBot="1" x14ac:dyDescent="0.3">
      <c r="A943" s="356">
        <v>143</v>
      </c>
      <c r="B943" s="357">
        <v>46210</v>
      </c>
      <c r="C943" s="358" t="s">
        <v>87</v>
      </c>
      <c r="D943" s="359"/>
      <c r="E943" s="360"/>
      <c r="F943" s="361"/>
      <c r="G943" s="213" t="str">
        <f>IFERROR(VLOOKUP(Tabla3[[#This Row],[NUM ECONOMICO]],MAQUINARIA!B:H,7,0), " MAQ")</f>
        <v>INACTIVA</v>
      </c>
      <c r="H943" s="362" t="s">
        <v>1356</v>
      </c>
      <c r="I943" s="363" t="s">
        <v>333</v>
      </c>
      <c r="J943" s="358" t="s">
        <v>1971</v>
      </c>
      <c r="K943" s="358">
        <v>1</v>
      </c>
      <c r="L943" s="364">
        <v>28.28</v>
      </c>
      <c r="M943" s="364">
        <f t="shared" si="17"/>
        <v>28.28</v>
      </c>
      <c r="N943" s="41" t="s">
        <v>1990</v>
      </c>
      <c r="O943" s="358"/>
      <c r="P943" s="365">
        <f>Tabla3[[#This Row],[COSTO UNITARIO DOLARES EN HAWTHORNE]]*Tabla3[[#This Row],[CANTIDAD SOLICTADA]]</f>
        <v>0</v>
      </c>
      <c r="Q943" s="41"/>
      <c r="R943" s="229"/>
      <c r="S943" s="229">
        <f>+Tabla3[[#This Row],[COSTO UNITARIO DOLARES CTP]]*Tabla3[[#This Row],[CANTIDAD SOLICTADA]]</f>
        <v>0</v>
      </c>
      <c r="T943" s="41"/>
      <c r="U943" s="358" t="s">
        <v>5</v>
      </c>
      <c r="V943" s="360" t="s">
        <v>1991</v>
      </c>
      <c r="W943" s="366"/>
      <c r="X943" s="359"/>
      <c r="Y943" s="358"/>
      <c r="Z943" s="360"/>
      <c r="AA943" s="360"/>
      <c r="AB943" s="360"/>
      <c r="AC943" s="360"/>
      <c r="AD943" s="360"/>
      <c r="AE943" s="360"/>
      <c r="AF943" s="16"/>
      <c r="AG943" s="367" t="s">
        <v>1992</v>
      </c>
    </row>
    <row r="944" spans="1:33" ht="15.75" thickBot="1" x14ac:dyDescent="0.3">
      <c r="A944" s="356">
        <v>143</v>
      </c>
      <c r="B944" s="357">
        <v>46210</v>
      </c>
      <c r="C944" s="358" t="s">
        <v>87</v>
      </c>
      <c r="D944" s="359"/>
      <c r="E944" s="360"/>
      <c r="F944" s="361"/>
      <c r="G944" s="213" t="str">
        <f>IFERROR(VLOOKUP(Tabla3[[#This Row],[NUM ECONOMICO]],MAQUINARIA!B:H,7,0), " MAQ")</f>
        <v>INACTIVA</v>
      </c>
      <c r="H944" s="362" t="s">
        <v>1356</v>
      </c>
      <c r="I944" s="363" t="s">
        <v>1931</v>
      </c>
      <c r="J944" s="358" t="s">
        <v>1978</v>
      </c>
      <c r="K944" s="358">
        <v>1</v>
      </c>
      <c r="L944" s="364">
        <v>85.38</v>
      </c>
      <c r="M944" s="364">
        <f t="shared" si="17"/>
        <v>85.38</v>
      </c>
      <c r="N944" s="41" t="s">
        <v>1990</v>
      </c>
      <c r="O944" s="358"/>
      <c r="P944" s="365">
        <f>Tabla3[[#This Row],[COSTO UNITARIO DOLARES EN HAWTHORNE]]*Tabla3[[#This Row],[CANTIDAD SOLICTADA]]</f>
        <v>0</v>
      </c>
      <c r="Q944" s="41"/>
      <c r="R944" s="229"/>
      <c r="S944" s="229">
        <f>+Tabla3[[#This Row],[COSTO UNITARIO DOLARES CTP]]*Tabla3[[#This Row],[CANTIDAD SOLICTADA]]</f>
        <v>0</v>
      </c>
      <c r="T944" s="41"/>
      <c r="U944" s="358" t="s">
        <v>5</v>
      </c>
      <c r="V944" s="360" t="s">
        <v>1991</v>
      </c>
      <c r="W944" s="366"/>
      <c r="X944" s="359"/>
      <c r="Y944" s="358"/>
      <c r="Z944" s="360"/>
      <c r="AA944" s="360"/>
      <c r="AB944" s="360"/>
      <c r="AC944" s="360"/>
      <c r="AD944" s="360"/>
      <c r="AE944" s="360"/>
      <c r="AF944" s="16"/>
      <c r="AG944" s="367" t="s">
        <v>1992</v>
      </c>
    </row>
    <row r="945" spans="1:33" ht="15.75" thickBot="1" x14ac:dyDescent="0.3">
      <c r="A945" s="356">
        <v>143</v>
      </c>
      <c r="B945" s="357">
        <v>46210</v>
      </c>
      <c r="C945" s="358" t="s">
        <v>87</v>
      </c>
      <c r="D945" s="359"/>
      <c r="E945" s="360"/>
      <c r="F945" s="361"/>
      <c r="G945" s="213" t="str">
        <f>IFERROR(VLOOKUP(Tabla3[[#This Row],[NUM ECONOMICO]],MAQUINARIA!B:H,7,0), " MAQ")</f>
        <v>INACTIVA</v>
      </c>
      <c r="H945" s="362" t="s">
        <v>1356</v>
      </c>
      <c r="I945" s="363" t="s">
        <v>1932</v>
      </c>
      <c r="J945" s="358" t="s">
        <v>1979</v>
      </c>
      <c r="K945" s="358">
        <v>1</v>
      </c>
      <c r="L945" s="364">
        <v>84.49</v>
      </c>
      <c r="M945" s="364">
        <f t="shared" ref="M945:M976" si="18">+L945*K945</f>
        <v>84.49</v>
      </c>
      <c r="N945" s="41" t="s">
        <v>1990</v>
      </c>
      <c r="O945" s="358"/>
      <c r="P945" s="365">
        <f>Tabla3[[#This Row],[COSTO UNITARIO DOLARES EN HAWTHORNE]]*Tabla3[[#This Row],[CANTIDAD SOLICTADA]]</f>
        <v>0</v>
      </c>
      <c r="Q945" s="41"/>
      <c r="R945" s="229"/>
      <c r="S945" s="229">
        <f>+Tabla3[[#This Row],[COSTO UNITARIO DOLARES CTP]]*Tabla3[[#This Row],[CANTIDAD SOLICTADA]]</f>
        <v>0</v>
      </c>
      <c r="T945" s="41"/>
      <c r="U945" s="358" t="s">
        <v>5</v>
      </c>
      <c r="V945" s="360" t="s">
        <v>1991</v>
      </c>
      <c r="W945" s="366"/>
      <c r="X945" s="359"/>
      <c r="Y945" s="358"/>
      <c r="Z945" s="360"/>
      <c r="AA945" s="360"/>
      <c r="AB945" s="360"/>
      <c r="AC945" s="360"/>
      <c r="AD945" s="360"/>
      <c r="AE945" s="360"/>
      <c r="AF945" s="16"/>
      <c r="AG945" s="367" t="s">
        <v>1992</v>
      </c>
    </row>
    <row r="946" spans="1:33" ht="15.75" thickBot="1" x14ac:dyDescent="0.3">
      <c r="A946" s="356">
        <v>143</v>
      </c>
      <c r="B946" s="357">
        <v>46210</v>
      </c>
      <c r="C946" s="358" t="s">
        <v>87</v>
      </c>
      <c r="D946" s="359"/>
      <c r="E946" s="360"/>
      <c r="F946" s="361"/>
      <c r="G946" s="213" t="str">
        <f>IFERROR(VLOOKUP(Tabla3[[#This Row],[NUM ECONOMICO]],MAQUINARIA!B:H,7,0), " MAQ")</f>
        <v>INACTIVA</v>
      </c>
      <c r="H946" s="362" t="s">
        <v>1356</v>
      </c>
      <c r="I946" s="363" t="s">
        <v>338</v>
      </c>
      <c r="J946" s="358" t="s">
        <v>1961</v>
      </c>
      <c r="K946" s="358">
        <v>4</v>
      </c>
      <c r="L946" s="364">
        <v>130.49</v>
      </c>
      <c r="M946" s="364">
        <f t="shared" si="18"/>
        <v>521.96</v>
      </c>
      <c r="N946" s="41" t="s">
        <v>1990</v>
      </c>
      <c r="O946" s="358"/>
      <c r="P946" s="365">
        <f>Tabla3[[#This Row],[COSTO UNITARIO DOLARES EN HAWTHORNE]]*Tabla3[[#This Row],[CANTIDAD SOLICTADA]]</f>
        <v>0</v>
      </c>
      <c r="Q946" s="41"/>
      <c r="R946" s="229"/>
      <c r="S946" s="229">
        <f>+Tabla3[[#This Row],[COSTO UNITARIO DOLARES CTP]]*Tabla3[[#This Row],[CANTIDAD SOLICTADA]]</f>
        <v>0</v>
      </c>
      <c r="T946" s="41"/>
      <c r="U946" s="358" t="s">
        <v>5</v>
      </c>
      <c r="V946" s="360" t="s">
        <v>1991</v>
      </c>
      <c r="W946" s="366"/>
      <c r="X946" s="359"/>
      <c r="Y946" s="358"/>
      <c r="Z946" s="360"/>
      <c r="AA946" s="360"/>
      <c r="AB946" s="360"/>
      <c r="AC946" s="360"/>
      <c r="AD946" s="360"/>
      <c r="AE946" s="360"/>
      <c r="AF946" s="16"/>
      <c r="AG946" s="367" t="s">
        <v>1992</v>
      </c>
    </row>
    <row r="947" spans="1:33" ht="15.75" thickBot="1" x14ac:dyDescent="0.3">
      <c r="A947" s="356">
        <v>143</v>
      </c>
      <c r="B947" s="357">
        <v>46210</v>
      </c>
      <c r="C947" s="358" t="s">
        <v>87</v>
      </c>
      <c r="D947" s="359"/>
      <c r="E947" s="360"/>
      <c r="F947" s="361"/>
      <c r="G947" s="213" t="str">
        <f>IFERROR(VLOOKUP(Tabla3[[#This Row],[NUM ECONOMICO]],MAQUINARIA!B:H,7,0), " MAQ")</f>
        <v>INACTIVA</v>
      </c>
      <c r="H947" s="362" t="s">
        <v>1356</v>
      </c>
      <c r="I947" s="363" t="s">
        <v>1933</v>
      </c>
      <c r="J947" s="358" t="s">
        <v>1961</v>
      </c>
      <c r="K947" s="358">
        <v>4</v>
      </c>
      <c r="L947" s="364">
        <v>116.89</v>
      </c>
      <c r="M947" s="364">
        <f t="shared" si="18"/>
        <v>467.56</v>
      </c>
      <c r="N947" s="41" t="s">
        <v>1990</v>
      </c>
      <c r="O947" s="358"/>
      <c r="P947" s="365">
        <f>Tabla3[[#This Row],[COSTO UNITARIO DOLARES EN HAWTHORNE]]*Tabla3[[#This Row],[CANTIDAD SOLICTADA]]</f>
        <v>0</v>
      </c>
      <c r="Q947" s="41"/>
      <c r="R947" s="229"/>
      <c r="S947" s="229">
        <f>+Tabla3[[#This Row],[COSTO UNITARIO DOLARES CTP]]*Tabla3[[#This Row],[CANTIDAD SOLICTADA]]</f>
        <v>0</v>
      </c>
      <c r="T947" s="41"/>
      <c r="U947" s="358" t="s">
        <v>5</v>
      </c>
      <c r="V947" s="360" t="s">
        <v>1991</v>
      </c>
      <c r="W947" s="366"/>
      <c r="X947" s="359"/>
      <c r="Y947" s="358"/>
      <c r="Z947" s="360"/>
      <c r="AA947" s="360"/>
      <c r="AB947" s="360"/>
      <c r="AC947" s="360"/>
      <c r="AD947" s="360"/>
      <c r="AE947" s="360"/>
      <c r="AF947" s="16"/>
      <c r="AG947" s="367" t="s">
        <v>1992</v>
      </c>
    </row>
    <row r="948" spans="1:33" ht="15.75" thickBot="1" x14ac:dyDescent="0.3">
      <c r="A948" s="356">
        <v>143</v>
      </c>
      <c r="B948" s="357">
        <v>46210</v>
      </c>
      <c r="C948" s="358" t="s">
        <v>87</v>
      </c>
      <c r="D948" s="359"/>
      <c r="E948" s="360"/>
      <c r="F948" s="361"/>
      <c r="G948" s="213" t="str">
        <f>IFERROR(VLOOKUP(Tabla3[[#This Row],[NUM ECONOMICO]],MAQUINARIA!B:H,7,0), " MAQ")</f>
        <v>INACTIVA</v>
      </c>
      <c r="H948" s="362" t="s">
        <v>1356</v>
      </c>
      <c r="I948" s="363" t="s">
        <v>1908</v>
      </c>
      <c r="J948" s="358" t="s">
        <v>1961</v>
      </c>
      <c r="K948" s="358">
        <v>2</v>
      </c>
      <c r="L948" s="364">
        <v>97.73</v>
      </c>
      <c r="M948" s="364">
        <f t="shared" si="18"/>
        <v>195.46</v>
      </c>
      <c r="N948" s="41" t="s">
        <v>1990</v>
      </c>
      <c r="O948" s="358"/>
      <c r="P948" s="365">
        <f>Tabla3[[#This Row],[COSTO UNITARIO DOLARES EN HAWTHORNE]]*Tabla3[[#This Row],[CANTIDAD SOLICTADA]]</f>
        <v>0</v>
      </c>
      <c r="Q948" s="41"/>
      <c r="R948" s="229"/>
      <c r="S948" s="229">
        <f>+Tabla3[[#This Row],[COSTO UNITARIO DOLARES CTP]]*Tabla3[[#This Row],[CANTIDAD SOLICTADA]]</f>
        <v>0</v>
      </c>
      <c r="T948" s="41"/>
      <c r="U948" s="358" t="s">
        <v>5</v>
      </c>
      <c r="V948" s="360" t="s">
        <v>1991</v>
      </c>
      <c r="W948" s="366"/>
      <c r="X948" s="359"/>
      <c r="Y948" s="358"/>
      <c r="Z948" s="360"/>
      <c r="AA948" s="360"/>
      <c r="AB948" s="360"/>
      <c r="AC948" s="360"/>
      <c r="AD948" s="360"/>
      <c r="AE948" s="360"/>
      <c r="AF948" s="16"/>
      <c r="AG948" s="367" t="s">
        <v>1992</v>
      </c>
    </row>
    <row r="949" spans="1:33" ht="15.75" thickBot="1" x14ac:dyDescent="0.3">
      <c r="A949" s="356">
        <v>143</v>
      </c>
      <c r="B949" s="357">
        <v>46210</v>
      </c>
      <c r="C949" s="358" t="s">
        <v>87</v>
      </c>
      <c r="D949" s="359"/>
      <c r="E949" s="360"/>
      <c r="F949" s="361"/>
      <c r="G949" s="213" t="str">
        <f>IFERROR(VLOOKUP(Tabla3[[#This Row],[NUM ECONOMICO]],MAQUINARIA!B:H,7,0), " MAQ")</f>
        <v>INACTIVA</v>
      </c>
      <c r="H949" s="362" t="s">
        <v>1356</v>
      </c>
      <c r="I949" s="363" t="s">
        <v>1934</v>
      </c>
      <c r="J949" s="358" t="s">
        <v>546</v>
      </c>
      <c r="K949" s="358">
        <v>1</v>
      </c>
      <c r="L949" s="364">
        <v>171.3</v>
      </c>
      <c r="M949" s="364">
        <f t="shared" si="18"/>
        <v>171.3</v>
      </c>
      <c r="N949" s="41" t="s">
        <v>1990</v>
      </c>
      <c r="O949" s="358"/>
      <c r="P949" s="365">
        <f>Tabla3[[#This Row],[COSTO UNITARIO DOLARES EN HAWTHORNE]]*Tabla3[[#This Row],[CANTIDAD SOLICTADA]]</f>
        <v>0</v>
      </c>
      <c r="Q949" s="41"/>
      <c r="R949" s="229"/>
      <c r="S949" s="229">
        <f>+Tabla3[[#This Row],[COSTO UNITARIO DOLARES CTP]]*Tabla3[[#This Row],[CANTIDAD SOLICTADA]]</f>
        <v>0</v>
      </c>
      <c r="T949" s="41"/>
      <c r="U949" s="358" t="s">
        <v>5</v>
      </c>
      <c r="V949" s="360" t="s">
        <v>1991</v>
      </c>
      <c r="W949" s="366"/>
      <c r="X949" s="359"/>
      <c r="Y949" s="358"/>
      <c r="Z949" s="360"/>
      <c r="AA949" s="360"/>
      <c r="AB949" s="360"/>
      <c r="AC949" s="360"/>
      <c r="AD949" s="360"/>
      <c r="AE949" s="360"/>
      <c r="AF949" s="16"/>
      <c r="AG949" s="367" t="s">
        <v>1992</v>
      </c>
    </row>
    <row r="950" spans="1:33" ht="15.75" thickBot="1" x14ac:dyDescent="0.3">
      <c r="A950" s="356">
        <v>143</v>
      </c>
      <c r="B950" s="357">
        <v>46210</v>
      </c>
      <c r="C950" s="358" t="s">
        <v>87</v>
      </c>
      <c r="D950" s="359"/>
      <c r="E950" s="360"/>
      <c r="F950" s="361"/>
      <c r="G950" s="213" t="str">
        <f>IFERROR(VLOOKUP(Tabla3[[#This Row],[NUM ECONOMICO]],MAQUINARIA!B:H,7,0), " MAQ")</f>
        <v>INACTIVA</v>
      </c>
      <c r="H950" s="362" t="s">
        <v>1356</v>
      </c>
      <c r="I950" s="363" t="s">
        <v>1935</v>
      </c>
      <c r="J950" s="358" t="s">
        <v>546</v>
      </c>
      <c r="K950" s="358">
        <v>1</v>
      </c>
      <c r="L950" s="364">
        <v>113.13</v>
      </c>
      <c r="M950" s="364">
        <f t="shared" si="18"/>
        <v>113.13</v>
      </c>
      <c r="N950" s="41" t="s">
        <v>1990</v>
      </c>
      <c r="O950" s="358"/>
      <c r="P950" s="365">
        <f>Tabla3[[#This Row],[COSTO UNITARIO DOLARES EN HAWTHORNE]]*Tabla3[[#This Row],[CANTIDAD SOLICTADA]]</f>
        <v>0</v>
      </c>
      <c r="Q950" s="41"/>
      <c r="R950" s="229"/>
      <c r="S950" s="229">
        <f>+Tabla3[[#This Row],[COSTO UNITARIO DOLARES CTP]]*Tabla3[[#This Row],[CANTIDAD SOLICTADA]]</f>
        <v>0</v>
      </c>
      <c r="T950" s="41"/>
      <c r="U950" s="358" t="s">
        <v>5</v>
      </c>
      <c r="V950" s="360" t="s">
        <v>1991</v>
      </c>
      <c r="W950" s="366"/>
      <c r="X950" s="359"/>
      <c r="Y950" s="358"/>
      <c r="Z950" s="360"/>
      <c r="AA950" s="360"/>
      <c r="AB950" s="360"/>
      <c r="AC950" s="360"/>
      <c r="AD950" s="360"/>
      <c r="AE950" s="360"/>
      <c r="AF950" s="16"/>
      <c r="AG950" s="367" t="s">
        <v>1992</v>
      </c>
    </row>
    <row r="951" spans="1:33" ht="15.75" thickBot="1" x14ac:dyDescent="0.3">
      <c r="A951" s="356">
        <v>143</v>
      </c>
      <c r="B951" s="357">
        <v>46210</v>
      </c>
      <c r="C951" s="358" t="s">
        <v>87</v>
      </c>
      <c r="D951" s="359"/>
      <c r="E951" s="360"/>
      <c r="F951" s="361"/>
      <c r="G951" s="213" t="str">
        <f>IFERROR(VLOOKUP(Tabla3[[#This Row],[NUM ECONOMICO]],MAQUINARIA!B:H,7,0), " MAQ")</f>
        <v>INACTIVA</v>
      </c>
      <c r="H951" s="362" t="s">
        <v>1356</v>
      </c>
      <c r="I951" s="363" t="s">
        <v>266</v>
      </c>
      <c r="J951" s="358" t="s">
        <v>1961</v>
      </c>
      <c r="K951" s="358">
        <v>6</v>
      </c>
      <c r="L951" s="364">
        <v>153.76</v>
      </c>
      <c r="M951" s="364">
        <f t="shared" si="18"/>
        <v>922.56</v>
      </c>
      <c r="N951" s="41" t="s">
        <v>1990</v>
      </c>
      <c r="O951" s="358"/>
      <c r="P951" s="365">
        <f>Tabla3[[#This Row],[COSTO UNITARIO DOLARES EN HAWTHORNE]]*Tabla3[[#This Row],[CANTIDAD SOLICTADA]]</f>
        <v>0</v>
      </c>
      <c r="Q951" s="41"/>
      <c r="R951" s="229"/>
      <c r="S951" s="229">
        <f>+Tabla3[[#This Row],[COSTO UNITARIO DOLARES CTP]]*Tabla3[[#This Row],[CANTIDAD SOLICTADA]]</f>
        <v>0</v>
      </c>
      <c r="T951" s="41"/>
      <c r="U951" s="358" t="s">
        <v>5</v>
      </c>
      <c r="V951" s="360" t="s">
        <v>1991</v>
      </c>
      <c r="W951" s="366"/>
      <c r="X951" s="359"/>
      <c r="Y951" s="358"/>
      <c r="Z951" s="360"/>
      <c r="AA951" s="360"/>
      <c r="AB951" s="360"/>
      <c r="AC951" s="360"/>
      <c r="AD951" s="360"/>
      <c r="AE951" s="360"/>
      <c r="AF951" s="16"/>
      <c r="AG951" s="367" t="s">
        <v>1992</v>
      </c>
    </row>
    <row r="952" spans="1:33" ht="15.75" thickBot="1" x14ac:dyDescent="0.3">
      <c r="A952" s="356">
        <v>143</v>
      </c>
      <c r="B952" s="357">
        <v>46210</v>
      </c>
      <c r="C952" s="358" t="s">
        <v>87</v>
      </c>
      <c r="D952" s="359"/>
      <c r="E952" s="360"/>
      <c r="F952" s="361"/>
      <c r="G952" s="213" t="str">
        <f>IFERROR(VLOOKUP(Tabla3[[#This Row],[NUM ECONOMICO]],MAQUINARIA!B:H,7,0), " MAQ")</f>
        <v>INACTIVA</v>
      </c>
      <c r="H952" s="362" t="s">
        <v>1356</v>
      </c>
      <c r="I952" s="363" t="s">
        <v>1936</v>
      </c>
      <c r="J952" s="358" t="s">
        <v>1974</v>
      </c>
      <c r="K952" s="358">
        <v>1</v>
      </c>
      <c r="L952" s="364">
        <v>50.48</v>
      </c>
      <c r="M952" s="364">
        <f t="shared" si="18"/>
        <v>50.48</v>
      </c>
      <c r="N952" s="41" t="s">
        <v>1990</v>
      </c>
      <c r="O952" s="358"/>
      <c r="P952" s="365">
        <f>Tabla3[[#This Row],[COSTO UNITARIO DOLARES EN HAWTHORNE]]*Tabla3[[#This Row],[CANTIDAD SOLICTADA]]</f>
        <v>0</v>
      </c>
      <c r="Q952" s="41"/>
      <c r="R952" s="229"/>
      <c r="S952" s="229">
        <f>+Tabla3[[#This Row],[COSTO UNITARIO DOLARES CTP]]*Tabla3[[#This Row],[CANTIDAD SOLICTADA]]</f>
        <v>0</v>
      </c>
      <c r="T952" s="41"/>
      <c r="U952" s="358" t="s">
        <v>5</v>
      </c>
      <c r="V952" s="360" t="s">
        <v>1991</v>
      </c>
      <c r="W952" s="366"/>
      <c r="X952" s="359"/>
      <c r="Y952" s="358"/>
      <c r="Z952" s="360"/>
      <c r="AA952" s="360"/>
      <c r="AB952" s="360"/>
      <c r="AC952" s="360"/>
      <c r="AD952" s="360"/>
      <c r="AE952" s="360"/>
      <c r="AF952" s="16"/>
      <c r="AG952" s="367" t="s">
        <v>1992</v>
      </c>
    </row>
    <row r="953" spans="1:33" ht="15.75" thickBot="1" x14ac:dyDescent="0.3">
      <c r="A953" s="356">
        <v>143</v>
      </c>
      <c r="B953" s="357">
        <v>46210</v>
      </c>
      <c r="C953" s="358" t="s">
        <v>87</v>
      </c>
      <c r="D953" s="359"/>
      <c r="E953" s="360"/>
      <c r="F953" s="361"/>
      <c r="G953" s="213" t="str">
        <f>IFERROR(VLOOKUP(Tabla3[[#This Row],[NUM ECONOMICO]],MAQUINARIA!B:H,7,0), " MAQ")</f>
        <v>INACTIVA</v>
      </c>
      <c r="H953" s="362" t="s">
        <v>1356</v>
      </c>
      <c r="I953" s="363" t="s">
        <v>329</v>
      </c>
      <c r="J953" s="358" t="s">
        <v>1961</v>
      </c>
      <c r="K953" s="358">
        <v>1</v>
      </c>
      <c r="L953" s="364">
        <v>209.61</v>
      </c>
      <c r="M953" s="364">
        <f t="shared" si="18"/>
        <v>209.61</v>
      </c>
      <c r="N953" s="41" t="s">
        <v>1990</v>
      </c>
      <c r="O953" s="358"/>
      <c r="P953" s="365">
        <f>Tabla3[[#This Row],[COSTO UNITARIO DOLARES EN HAWTHORNE]]*Tabla3[[#This Row],[CANTIDAD SOLICTADA]]</f>
        <v>0</v>
      </c>
      <c r="Q953" s="41"/>
      <c r="R953" s="229"/>
      <c r="S953" s="229">
        <f>+Tabla3[[#This Row],[COSTO UNITARIO DOLARES CTP]]*Tabla3[[#This Row],[CANTIDAD SOLICTADA]]</f>
        <v>0</v>
      </c>
      <c r="T953" s="41"/>
      <c r="U953" s="358" t="s">
        <v>5</v>
      </c>
      <c r="V953" s="360" t="s">
        <v>1991</v>
      </c>
      <c r="W953" s="366"/>
      <c r="X953" s="359"/>
      <c r="Y953" s="358"/>
      <c r="Z953" s="360"/>
      <c r="AA953" s="360"/>
      <c r="AB953" s="360"/>
      <c r="AC953" s="360"/>
      <c r="AD953" s="360"/>
      <c r="AE953" s="360"/>
      <c r="AF953" s="16"/>
      <c r="AG953" s="367" t="s">
        <v>1992</v>
      </c>
    </row>
    <row r="954" spans="1:33" ht="15.75" thickBot="1" x14ac:dyDescent="0.3">
      <c r="A954" s="356">
        <v>143</v>
      </c>
      <c r="B954" s="357">
        <v>46210</v>
      </c>
      <c r="C954" s="358" t="s">
        <v>87</v>
      </c>
      <c r="D954" s="359"/>
      <c r="E954" s="360"/>
      <c r="F954" s="361"/>
      <c r="G954" s="213" t="str">
        <f>IFERROR(VLOOKUP(Tabla3[[#This Row],[NUM ECONOMICO]],MAQUINARIA!B:H,7,0), " MAQ")</f>
        <v>INACTIVA</v>
      </c>
      <c r="H954" s="362" t="s">
        <v>1356</v>
      </c>
      <c r="I954" s="363" t="s">
        <v>333</v>
      </c>
      <c r="J954" s="358" t="s">
        <v>1971</v>
      </c>
      <c r="K954" s="358">
        <v>1</v>
      </c>
      <c r="L954" s="364">
        <v>28.28</v>
      </c>
      <c r="M954" s="364">
        <f t="shared" si="18"/>
        <v>28.28</v>
      </c>
      <c r="N954" s="41" t="s">
        <v>1990</v>
      </c>
      <c r="O954" s="358"/>
      <c r="P954" s="365">
        <f>Tabla3[[#This Row],[COSTO UNITARIO DOLARES EN HAWTHORNE]]*Tabla3[[#This Row],[CANTIDAD SOLICTADA]]</f>
        <v>0</v>
      </c>
      <c r="Q954" s="41"/>
      <c r="R954" s="229"/>
      <c r="S954" s="229">
        <f>+Tabla3[[#This Row],[COSTO UNITARIO DOLARES CTP]]*Tabla3[[#This Row],[CANTIDAD SOLICTADA]]</f>
        <v>0</v>
      </c>
      <c r="T954" s="41"/>
      <c r="U954" s="358" t="s">
        <v>5</v>
      </c>
      <c r="V954" s="360" t="s">
        <v>1991</v>
      </c>
      <c r="W954" s="366"/>
      <c r="X954" s="359"/>
      <c r="Y954" s="358"/>
      <c r="Z954" s="360"/>
      <c r="AA954" s="360"/>
      <c r="AB954" s="360"/>
      <c r="AC954" s="360"/>
      <c r="AD954" s="360"/>
      <c r="AE954" s="360"/>
      <c r="AF954" s="16"/>
      <c r="AG954" s="367" t="s">
        <v>1992</v>
      </c>
    </row>
    <row r="955" spans="1:33" ht="15.75" thickBot="1" x14ac:dyDescent="0.3">
      <c r="A955" s="356">
        <v>143</v>
      </c>
      <c r="B955" s="357">
        <v>46210</v>
      </c>
      <c r="C955" s="358" t="s">
        <v>87</v>
      </c>
      <c r="D955" s="359"/>
      <c r="E955" s="360"/>
      <c r="F955" s="361"/>
      <c r="G955" s="213" t="str">
        <f>IFERROR(VLOOKUP(Tabla3[[#This Row],[NUM ECONOMICO]],MAQUINARIA!B:H,7,0), " MAQ")</f>
        <v>INACTIVA</v>
      </c>
      <c r="H955" s="362" t="s">
        <v>1356</v>
      </c>
      <c r="I955" s="363" t="s">
        <v>1931</v>
      </c>
      <c r="J955" s="358" t="s">
        <v>1978</v>
      </c>
      <c r="K955" s="358">
        <v>1</v>
      </c>
      <c r="L955" s="364">
        <v>85.38</v>
      </c>
      <c r="M955" s="364">
        <f t="shared" si="18"/>
        <v>85.38</v>
      </c>
      <c r="N955" s="41" t="s">
        <v>1990</v>
      </c>
      <c r="O955" s="358"/>
      <c r="P955" s="365">
        <f>Tabla3[[#This Row],[COSTO UNITARIO DOLARES EN HAWTHORNE]]*Tabla3[[#This Row],[CANTIDAD SOLICTADA]]</f>
        <v>0</v>
      </c>
      <c r="Q955" s="41"/>
      <c r="R955" s="229"/>
      <c r="S955" s="229">
        <f>+Tabla3[[#This Row],[COSTO UNITARIO DOLARES CTP]]*Tabla3[[#This Row],[CANTIDAD SOLICTADA]]</f>
        <v>0</v>
      </c>
      <c r="T955" s="41"/>
      <c r="U955" s="358" t="s">
        <v>5</v>
      </c>
      <c r="V955" s="360" t="s">
        <v>1991</v>
      </c>
      <c r="W955" s="366"/>
      <c r="X955" s="359"/>
      <c r="Y955" s="358"/>
      <c r="Z955" s="360"/>
      <c r="AA955" s="360"/>
      <c r="AB955" s="360"/>
      <c r="AC955" s="360"/>
      <c r="AD955" s="360"/>
      <c r="AE955" s="360"/>
      <c r="AF955" s="16"/>
      <c r="AG955" s="367" t="s">
        <v>1992</v>
      </c>
    </row>
    <row r="956" spans="1:33" ht="15.75" thickBot="1" x14ac:dyDescent="0.3">
      <c r="A956" s="356">
        <v>143</v>
      </c>
      <c r="B956" s="357">
        <v>46210</v>
      </c>
      <c r="C956" s="358" t="s">
        <v>87</v>
      </c>
      <c r="D956" s="359"/>
      <c r="E956" s="360"/>
      <c r="F956" s="361"/>
      <c r="G956" s="213" t="str">
        <f>IFERROR(VLOOKUP(Tabla3[[#This Row],[NUM ECONOMICO]],MAQUINARIA!B:H,7,0), " MAQ")</f>
        <v>INACTIVA</v>
      </c>
      <c r="H956" s="362" t="s">
        <v>1356</v>
      </c>
      <c r="I956" s="363" t="s">
        <v>1932</v>
      </c>
      <c r="J956" s="358" t="s">
        <v>1979</v>
      </c>
      <c r="K956" s="358">
        <v>1</v>
      </c>
      <c r="L956" s="364">
        <v>84.49</v>
      </c>
      <c r="M956" s="364">
        <f t="shared" si="18"/>
        <v>84.49</v>
      </c>
      <c r="N956" s="41" t="s">
        <v>1990</v>
      </c>
      <c r="O956" s="358"/>
      <c r="P956" s="365">
        <f>Tabla3[[#This Row],[COSTO UNITARIO DOLARES EN HAWTHORNE]]*Tabla3[[#This Row],[CANTIDAD SOLICTADA]]</f>
        <v>0</v>
      </c>
      <c r="Q956" s="41"/>
      <c r="R956" s="229"/>
      <c r="S956" s="229">
        <f>+Tabla3[[#This Row],[COSTO UNITARIO DOLARES CTP]]*Tabla3[[#This Row],[CANTIDAD SOLICTADA]]</f>
        <v>0</v>
      </c>
      <c r="T956" s="41"/>
      <c r="U956" s="358" t="s">
        <v>5</v>
      </c>
      <c r="V956" s="360" t="s">
        <v>1991</v>
      </c>
      <c r="W956" s="366"/>
      <c r="X956" s="359"/>
      <c r="Y956" s="358"/>
      <c r="Z956" s="360"/>
      <c r="AA956" s="360"/>
      <c r="AB956" s="360"/>
      <c r="AC956" s="360"/>
      <c r="AD956" s="360"/>
      <c r="AE956" s="360"/>
      <c r="AF956" s="16"/>
      <c r="AG956" s="367" t="s">
        <v>1992</v>
      </c>
    </row>
    <row r="957" spans="1:33" ht="15.75" thickBot="1" x14ac:dyDescent="0.3">
      <c r="A957" s="356">
        <v>143</v>
      </c>
      <c r="B957" s="357">
        <v>46210</v>
      </c>
      <c r="C957" s="358" t="s">
        <v>87</v>
      </c>
      <c r="D957" s="359"/>
      <c r="E957" s="360"/>
      <c r="F957" s="361"/>
      <c r="G957" s="213" t="str">
        <f>IFERROR(VLOOKUP(Tabla3[[#This Row],[NUM ECONOMICO]],MAQUINARIA!B:H,7,0), " MAQ")</f>
        <v>INACTIVA</v>
      </c>
      <c r="H957" s="362" t="s">
        <v>1356</v>
      </c>
      <c r="I957" s="363" t="s">
        <v>338</v>
      </c>
      <c r="J957" s="358" t="s">
        <v>1961</v>
      </c>
      <c r="K957" s="358">
        <v>4</v>
      </c>
      <c r="L957" s="364">
        <v>130.49</v>
      </c>
      <c r="M957" s="364">
        <f t="shared" si="18"/>
        <v>521.96</v>
      </c>
      <c r="N957" s="41" t="s">
        <v>1990</v>
      </c>
      <c r="O957" s="358"/>
      <c r="P957" s="365">
        <f>Tabla3[[#This Row],[COSTO UNITARIO DOLARES EN HAWTHORNE]]*Tabla3[[#This Row],[CANTIDAD SOLICTADA]]</f>
        <v>0</v>
      </c>
      <c r="Q957" s="41"/>
      <c r="R957" s="229"/>
      <c r="S957" s="229">
        <f>+Tabla3[[#This Row],[COSTO UNITARIO DOLARES CTP]]*Tabla3[[#This Row],[CANTIDAD SOLICTADA]]</f>
        <v>0</v>
      </c>
      <c r="T957" s="41"/>
      <c r="U957" s="358" t="s">
        <v>5</v>
      </c>
      <c r="V957" s="360" t="s">
        <v>1991</v>
      </c>
      <c r="W957" s="366"/>
      <c r="X957" s="359"/>
      <c r="Y957" s="358"/>
      <c r="Z957" s="360"/>
      <c r="AA957" s="360"/>
      <c r="AB957" s="360"/>
      <c r="AC957" s="360"/>
      <c r="AD957" s="360"/>
      <c r="AE957" s="360"/>
      <c r="AF957" s="16"/>
      <c r="AG957" s="367" t="s">
        <v>1992</v>
      </c>
    </row>
    <row r="958" spans="1:33" ht="15.75" thickBot="1" x14ac:dyDescent="0.3">
      <c r="A958" s="356">
        <v>143</v>
      </c>
      <c r="B958" s="357">
        <v>46210</v>
      </c>
      <c r="C958" s="358" t="s">
        <v>87</v>
      </c>
      <c r="D958" s="359"/>
      <c r="E958" s="360"/>
      <c r="F958" s="361"/>
      <c r="G958" s="213" t="str">
        <f>IFERROR(VLOOKUP(Tabla3[[#This Row],[NUM ECONOMICO]],MAQUINARIA!B:H,7,0), " MAQ")</f>
        <v>INACTIVA</v>
      </c>
      <c r="H958" s="362" t="s">
        <v>1356</v>
      </c>
      <c r="I958" s="363" t="s">
        <v>1933</v>
      </c>
      <c r="J958" s="358" t="s">
        <v>1961</v>
      </c>
      <c r="K958" s="358">
        <v>4</v>
      </c>
      <c r="L958" s="364">
        <v>116.89</v>
      </c>
      <c r="M958" s="364">
        <f t="shared" si="18"/>
        <v>467.56</v>
      </c>
      <c r="N958" s="41" t="s">
        <v>1990</v>
      </c>
      <c r="O958" s="358"/>
      <c r="P958" s="365">
        <f>Tabla3[[#This Row],[COSTO UNITARIO DOLARES EN HAWTHORNE]]*Tabla3[[#This Row],[CANTIDAD SOLICTADA]]</f>
        <v>0</v>
      </c>
      <c r="Q958" s="41"/>
      <c r="R958" s="229"/>
      <c r="S958" s="229">
        <f>+Tabla3[[#This Row],[COSTO UNITARIO DOLARES CTP]]*Tabla3[[#This Row],[CANTIDAD SOLICTADA]]</f>
        <v>0</v>
      </c>
      <c r="T958" s="41"/>
      <c r="U958" s="358" t="s">
        <v>5</v>
      </c>
      <c r="V958" s="360" t="s">
        <v>1991</v>
      </c>
      <c r="W958" s="366"/>
      <c r="X958" s="359"/>
      <c r="Y958" s="358"/>
      <c r="Z958" s="360"/>
      <c r="AA958" s="360"/>
      <c r="AB958" s="360"/>
      <c r="AC958" s="360"/>
      <c r="AD958" s="360"/>
      <c r="AE958" s="360"/>
      <c r="AF958" s="16"/>
      <c r="AG958" s="367" t="s">
        <v>1992</v>
      </c>
    </row>
    <row r="959" spans="1:33" ht="15.75" thickBot="1" x14ac:dyDescent="0.3">
      <c r="A959" s="356">
        <v>143</v>
      </c>
      <c r="B959" s="357">
        <v>46210</v>
      </c>
      <c r="C959" s="358" t="s">
        <v>87</v>
      </c>
      <c r="D959" s="359"/>
      <c r="E959" s="360"/>
      <c r="F959" s="361"/>
      <c r="G959" s="213" t="str">
        <f>IFERROR(VLOOKUP(Tabla3[[#This Row],[NUM ECONOMICO]],MAQUINARIA!B:H,7,0), " MAQ")</f>
        <v>INACTIVA</v>
      </c>
      <c r="H959" s="362" t="s">
        <v>1356</v>
      </c>
      <c r="I959" s="363" t="s">
        <v>1934</v>
      </c>
      <c r="J959" s="358" t="s">
        <v>546</v>
      </c>
      <c r="K959" s="358">
        <v>1</v>
      </c>
      <c r="L959" s="364">
        <v>171.3</v>
      </c>
      <c r="M959" s="364">
        <f t="shared" si="18"/>
        <v>171.3</v>
      </c>
      <c r="N959" s="41" t="s">
        <v>1990</v>
      </c>
      <c r="O959" s="358"/>
      <c r="P959" s="365">
        <f>Tabla3[[#This Row],[COSTO UNITARIO DOLARES EN HAWTHORNE]]*Tabla3[[#This Row],[CANTIDAD SOLICTADA]]</f>
        <v>0</v>
      </c>
      <c r="Q959" s="41"/>
      <c r="R959" s="229"/>
      <c r="S959" s="229">
        <f>+Tabla3[[#This Row],[COSTO UNITARIO DOLARES CTP]]*Tabla3[[#This Row],[CANTIDAD SOLICTADA]]</f>
        <v>0</v>
      </c>
      <c r="T959" s="41"/>
      <c r="U959" s="358" t="s">
        <v>5</v>
      </c>
      <c r="V959" s="360" t="s">
        <v>1991</v>
      </c>
      <c r="W959" s="366"/>
      <c r="X959" s="359"/>
      <c r="Y959" s="358"/>
      <c r="Z959" s="360"/>
      <c r="AA959" s="360"/>
      <c r="AB959" s="360"/>
      <c r="AC959" s="360"/>
      <c r="AD959" s="360"/>
      <c r="AE959" s="360"/>
      <c r="AF959" s="16"/>
      <c r="AG959" s="367" t="s">
        <v>1992</v>
      </c>
    </row>
    <row r="960" spans="1:33" ht="15.75" thickBot="1" x14ac:dyDescent="0.3">
      <c r="A960" s="356">
        <v>143</v>
      </c>
      <c r="B960" s="357">
        <v>46210</v>
      </c>
      <c r="C960" s="358" t="s">
        <v>87</v>
      </c>
      <c r="D960" s="359"/>
      <c r="E960" s="360"/>
      <c r="F960" s="361"/>
      <c r="G960" s="213" t="str">
        <f>IFERROR(VLOOKUP(Tabla3[[#This Row],[NUM ECONOMICO]],MAQUINARIA!B:H,7,0), " MAQ")</f>
        <v>INACTIVA</v>
      </c>
      <c r="H960" s="362" t="s">
        <v>1356</v>
      </c>
      <c r="I960" s="363" t="s">
        <v>1935</v>
      </c>
      <c r="J960" s="358" t="s">
        <v>546</v>
      </c>
      <c r="K960" s="358">
        <v>1</v>
      </c>
      <c r="L960" s="364">
        <v>113.13</v>
      </c>
      <c r="M960" s="364">
        <f t="shared" si="18"/>
        <v>113.13</v>
      </c>
      <c r="N960" s="41" t="s">
        <v>1990</v>
      </c>
      <c r="O960" s="358"/>
      <c r="P960" s="365">
        <f>Tabla3[[#This Row],[COSTO UNITARIO DOLARES EN HAWTHORNE]]*Tabla3[[#This Row],[CANTIDAD SOLICTADA]]</f>
        <v>0</v>
      </c>
      <c r="Q960" s="41"/>
      <c r="R960" s="229"/>
      <c r="S960" s="229">
        <f>+Tabla3[[#This Row],[COSTO UNITARIO DOLARES CTP]]*Tabla3[[#This Row],[CANTIDAD SOLICTADA]]</f>
        <v>0</v>
      </c>
      <c r="T960" s="41"/>
      <c r="U960" s="358" t="s">
        <v>5</v>
      </c>
      <c r="V960" s="360" t="s">
        <v>1991</v>
      </c>
      <c r="W960" s="366"/>
      <c r="X960" s="359"/>
      <c r="Y960" s="358"/>
      <c r="Z960" s="360"/>
      <c r="AA960" s="360"/>
      <c r="AB960" s="360"/>
      <c r="AC960" s="360"/>
      <c r="AD960" s="360"/>
      <c r="AE960" s="360"/>
      <c r="AF960" s="16"/>
      <c r="AG960" s="367" t="s">
        <v>1992</v>
      </c>
    </row>
    <row r="961" spans="1:33" ht="15.75" thickBot="1" x14ac:dyDescent="0.3">
      <c r="A961" s="356">
        <v>143</v>
      </c>
      <c r="B961" s="357">
        <v>46210</v>
      </c>
      <c r="C961" s="358" t="s">
        <v>87</v>
      </c>
      <c r="D961" s="359"/>
      <c r="E961" s="360"/>
      <c r="F961" s="361"/>
      <c r="G961" s="213" t="str">
        <f>IFERROR(VLOOKUP(Tabla3[[#This Row],[NUM ECONOMICO]],MAQUINARIA!B:H,7,0), " MAQ")</f>
        <v>INACTIVA</v>
      </c>
      <c r="H961" s="362" t="s">
        <v>1356</v>
      </c>
      <c r="I961" s="363" t="s">
        <v>266</v>
      </c>
      <c r="J961" s="358" t="s">
        <v>1961</v>
      </c>
      <c r="K961" s="358">
        <v>6</v>
      </c>
      <c r="L961" s="364">
        <v>153.76</v>
      </c>
      <c r="M961" s="364">
        <f t="shared" si="18"/>
        <v>922.56</v>
      </c>
      <c r="N961" s="41" t="s">
        <v>1990</v>
      </c>
      <c r="O961" s="358"/>
      <c r="P961" s="365">
        <f>Tabla3[[#This Row],[COSTO UNITARIO DOLARES EN HAWTHORNE]]*Tabla3[[#This Row],[CANTIDAD SOLICTADA]]</f>
        <v>0</v>
      </c>
      <c r="Q961" s="41"/>
      <c r="R961" s="229"/>
      <c r="S961" s="229">
        <f>+Tabla3[[#This Row],[COSTO UNITARIO DOLARES CTP]]*Tabla3[[#This Row],[CANTIDAD SOLICTADA]]</f>
        <v>0</v>
      </c>
      <c r="T961" s="41"/>
      <c r="U961" s="358" t="s">
        <v>5</v>
      </c>
      <c r="V961" s="360" t="s">
        <v>1991</v>
      </c>
      <c r="W961" s="366"/>
      <c r="X961" s="359"/>
      <c r="Y961" s="358"/>
      <c r="Z961" s="360"/>
      <c r="AA961" s="360"/>
      <c r="AB961" s="360"/>
      <c r="AC961" s="360"/>
      <c r="AD961" s="360"/>
      <c r="AE961" s="360"/>
      <c r="AF961" s="16"/>
      <c r="AG961" s="367" t="s">
        <v>1992</v>
      </c>
    </row>
    <row r="962" spans="1:33" ht="15.75" thickBot="1" x14ac:dyDescent="0.3">
      <c r="A962" s="356">
        <v>143</v>
      </c>
      <c r="B962" s="357">
        <v>46210</v>
      </c>
      <c r="C962" s="358" t="s">
        <v>87</v>
      </c>
      <c r="D962" s="359"/>
      <c r="E962" s="360"/>
      <c r="F962" s="361"/>
      <c r="G962" s="213" t="str">
        <f>IFERROR(VLOOKUP(Tabla3[[#This Row],[NUM ECONOMICO]],MAQUINARIA!B:H,7,0), " MAQ")</f>
        <v>INACTIVA</v>
      </c>
      <c r="H962" s="362" t="s">
        <v>1356</v>
      </c>
      <c r="I962" s="363" t="s">
        <v>1936</v>
      </c>
      <c r="J962" s="358" t="s">
        <v>1974</v>
      </c>
      <c r="K962" s="358">
        <v>1</v>
      </c>
      <c r="L962" s="364">
        <v>50.48</v>
      </c>
      <c r="M962" s="364">
        <f t="shared" si="18"/>
        <v>50.48</v>
      </c>
      <c r="N962" s="41" t="s">
        <v>1990</v>
      </c>
      <c r="O962" s="358"/>
      <c r="P962" s="365">
        <f>Tabla3[[#This Row],[COSTO UNITARIO DOLARES EN HAWTHORNE]]*Tabla3[[#This Row],[CANTIDAD SOLICTADA]]</f>
        <v>0</v>
      </c>
      <c r="Q962" s="41"/>
      <c r="R962" s="229"/>
      <c r="S962" s="229">
        <f>+Tabla3[[#This Row],[COSTO UNITARIO DOLARES CTP]]*Tabla3[[#This Row],[CANTIDAD SOLICTADA]]</f>
        <v>0</v>
      </c>
      <c r="T962" s="41"/>
      <c r="U962" s="358" t="s">
        <v>5</v>
      </c>
      <c r="V962" s="360" t="s">
        <v>1991</v>
      </c>
      <c r="W962" s="366"/>
      <c r="X962" s="359"/>
      <c r="Y962" s="358"/>
      <c r="Z962" s="360"/>
      <c r="AA962" s="360"/>
      <c r="AB962" s="360"/>
      <c r="AC962" s="360"/>
      <c r="AD962" s="360"/>
      <c r="AE962" s="360"/>
      <c r="AF962" s="16"/>
      <c r="AG962" s="367" t="s">
        <v>1992</v>
      </c>
    </row>
    <row r="963" spans="1:33" ht="15.75" thickBot="1" x14ac:dyDescent="0.3">
      <c r="A963" s="356">
        <v>143</v>
      </c>
      <c r="B963" s="357">
        <v>46210</v>
      </c>
      <c r="C963" s="358" t="s">
        <v>87</v>
      </c>
      <c r="D963" s="359"/>
      <c r="E963" s="360"/>
      <c r="F963" s="361"/>
      <c r="G963" s="213" t="str">
        <f>IFERROR(VLOOKUP(Tabla3[[#This Row],[NUM ECONOMICO]],MAQUINARIA!B:H,7,0), " MAQ")</f>
        <v>INACTIVA</v>
      </c>
      <c r="H963" s="362" t="s">
        <v>1356</v>
      </c>
      <c r="I963" s="363" t="s">
        <v>329</v>
      </c>
      <c r="J963" s="358" t="s">
        <v>1961</v>
      </c>
      <c r="K963" s="358">
        <v>1</v>
      </c>
      <c r="L963" s="364">
        <v>209.61</v>
      </c>
      <c r="M963" s="364">
        <f t="shared" si="18"/>
        <v>209.61</v>
      </c>
      <c r="N963" s="41" t="s">
        <v>1990</v>
      </c>
      <c r="O963" s="358"/>
      <c r="P963" s="365">
        <f>Tabla3[[#This Row],[COSTO UNITARIO DOLARES EN HAWTHORNE]]*Tabla3[[#This Row],[CANTIDAD SOLICTADA]]</f>
        <v>0</v>
      </c>
      <c r="Q963" s="41"/>
      <c r="R963" s="229"/>
      <c r="S963" s="229">
        <f>+Tabla3[[#This Row],[COSTO UNITARIO DOLARES CTP]]*Tabla3[[#This Row],[CANTIDAD SOLICTADA]]</f>
        <v>0</v>
      </c>
      <c r="T963" s="41"/>
      <c r="U963" s="358" t="s">
        <v>5</v>
      </c>
      <c r="V963" s="360" t="s">
        <v>1991</v>
      </c>
      <c r="W963" s="366"/>
      <c r="X963" s="359"/>
      <c r="Y963" s="358"/>
      <c r="Z963" s="360"/>
      <c r="AA963" s="360"/>
      <c r="AB963" s="360"/>
      <c r="AC963" s="360"/>
      <c r="AD963" s="360"/>
      <c r="AE963" s="360"/>
      <c r="AF963" s="16"/>
      <c r="AG963" s="367" t="s">
        <v>1992</v>
      </c>
    </row>
    <row r="964" spans="1:33" ht="15.75" thickBot="1" x14ac:dyDescent="0.3">
      <c r="A964" s="356">
        <v>143</v>
      </c>
      <c r="B964" s="357">
        <v>46210</v>
      </c>
      <c r="C964" s="358" t="s">
        <v>87</v>
      </c>
      <c r="D964" s="359"/>
      <c r="E964" s="360"/>
      <c r="F964" s="361"/>
      <c r="G964" s="213" t="str">
        <f>IFERROR(VLOOKUP(Tabla3[[#This Row],[NUM ECONOMICO]],MAQUINARIA!B:H,7,0), " MAQ")</f>
        <v>INACTIVA</v>
      </c>
      <c r="H964" s="362" t="s">
        <v>1356</v>
      </c>
      <c r="I964" s="363" t="s">
        <v>1937</v>
      </c>
      <c r="J964" s="358" t="s">
        <v>1980</v>
      </c>
      <c r="K964" s="358">
        <v>1</v>
      </c>
      <c r="L964" s="364">
        <v>42353.91</v>
      </c>
      <c r="M964" s="364">
        <f t="shared" si="18"/>
        <v>42353.91</v>
      </c>
      <c r="N964" s="41" t="s">
        <v>1990</v>
      </c>
      <c r="O964" s="358"/>
      <c r="P964" s="365">
        <f>Tabla3[[#This Row],[COSTO UNITARIO DOLARES EN HAWTHORNE]]*Tabla3[[#This Row],[CANTIDAD SOLICTADA]]</f>
        <v>0</v>
      </c>
      <c r="Q964" s="41"/>
      <c r="R964" s="229"/>
      <c r="S964" s="229">
        <f>+Tabla3[[#This Row],[COSTO UNITARIO DOLARES CTP]]*Tabla3[[#This Row],[CANTIDAD SOLICTADA]]</f>
        <v>0</v>
      </c>
      <c r="T964" s="41"/>
      <c r="U964" s="358" t="s">
        <v>5</v>
      </c>
      <c r="V964" s="360" t="s">
        <v>1991</v>
      </c>
      <c r="W964" s="366"/>
      <c r="X964" s="359"/>
      <c r="Y964" s="358"/>
      <c r="Z964" s="360"/>
      <c r="AA964" s="360"/>
      <c r="AB964" s="360"/>
      <c r="AC964" s="360"/>
      <c r="AD964" s="360"/>
      <c r="AE964" s="360"/>
      <c r="AF964" s="16"/>
      <c r="AG964" s="367" t="s">
        <v>1992</v>
      </c>
    </row>
    <row r="965" spans="1:33" ht="15.75" thickBot="1" x14ac:dyDescent="0.3">
      <c r="A965" s="356">
        <v>143</v>
      </c>
      <c r="B965" s="357">
        <v>46210</v>
      </c>
      <c r="C965" s="358" t="s">
        <v>87</v>
      </c>
      <c r="D965" s="359"/>
      <c r="E965" s="360"/>
      <c r="F965" s="361"/>
      <c r="G965" s="213" t="str">
        <f>IFERROR(VLOOKUP(Tabla3[[#This Row],[NUM ECONOMICO]],MAQUINARIA!B:H,7,0), " MAQ")</f>
        <v>INACTIVA</v>
      </c>
      <c r="H965" s="362" t="s">
        <v>1356</v>
      </c>
      <c r="I965" s="363" t="s">
        <v>1938</v>
      </c>
      <c r="J965" s="358" t="s">
        <v>1979</v>
      </c>
      <c r="K965" s="358">
        <v>1</v>
      </c>
      <c r="L965" s="364">
        <v>464.15</v>
      </c>
      <c r="M965" s="364">
        <f t="shared" si="18"/>
        <v>464.15</v>
      </c>
      <c r="N965" s="41" t="s">
        <v>1990</v>
      </c>
      <c r="O965" s="358"/>
      <c r="P965" s="365">
        <f>Tabla3[[#This Row],[COSTO UNITARIO DOLARES EN HAWTHORNE]]*Tabla3[[#This Row],[CANTIDAD SOLICTADA]]</f>
        <v>0</v>
      </c>
      <c r="Q965" s="41"/>
      <c r="R965" s="229"/>
      <c r="S965" s="229">
        <f>+Tabla3[[#This Row],[COSTO UNITARIO DOLARES CTP]]*Tabla3[[#This Row],[CANTIDAD SOLICTADA]]</f>
        <v>0</v>
      </c>
      <c r="T965" s="41"/>
      <c r="U965" s="358" t="s">
        <v>5</v>
      </c>
      <c r="V965" s="360" t="s">
        <v>1991</v>
      </c>
      <c r="W965" s="366"/>
      <c r="X965" s="359"/>
      <c r="Y965" s="358"/>
      <c r="Z965" s="360"/>
      <c r="AA965" s="360"/>
      <c r="AB965" s="360"/>
      <c r="AC965" s="360"/>
      <c r="AD965" s="360"/>
      <c r="AE965" s="360"/>
      <c r="AF965" s="16"/>
      <c r="AG965" s="367" t="s">
        <v>1992</v>
      </c>
    </row>
    <row r="966" spans="1:33" ht="15.75" thickBot="1" x14ac:dyDescent="0.3">
      <c r="A966" s="356">
        <v>143</v>
      </c>
      <c r="B966" s="357">
        <v>46210</v>
      </c>
      <c r="C966" s="358" t="s">
        <v>87</v>
      </c>
      <c r="D966" s="359"/>
      <c r="E966" s="360"/>
      <c r="F966" s="361"/>
      <c r="G966" s="213" t="str">
        <f>IFERROR(VLOOKUP(Tabla3[[#This Row],[NUM ECONOMICO]],MAQUINARIA!B:H,7,0), " MAQ")</f>
        <v>INACTIVA</v>
      </c>
      <c r="H966" s="362" t="s">
        <v>1356</v>
      </c>
      <c r="I966" s="363" t="s">
        <v>1939</v>
      </c>
      <c r="J966" s="358" t="s">
        <v>1979</v>
      </c>
      <c r="K966" s="358">
        <v>1</v>
      </c>
      <c r="L966" s="364">
        <v>85.38</v>
      </c>
      <c r="M966" s="364">
        <f t="shared" si="18"/>
        <v>85.38</v>
      </c>
      <c r="N966" s="41" t="s">
        <v>1990</v>
      </c>
      <c r="O966" s="358"/>
      <c r="P966" s="365">
        <f>Tabla3[[#This Row],[COSTO UNITARIO DOLARES EN HAWTHORNE]]*Tabla3[[#This Row],[CANTIDAD SOLICTADA]]</f>
        <v>0</v>
      </c>
      <c r="Q966" s="41"/>
      <c r="R966" s="229"/>
      <c r="S966" s="229">
        <f>+Tabla3[[#This Row],[COSTO UNITARIO DOLARES CTP]]*Tabla3[[#This Row],[CANTIDAD SOLICTADA]]</f>
        <v>0</v>
      </c>
      <c r="T966" s="41"/>
      <c r="U966" s="358" t="s">
        <v>5</v>
      </c>
      <c r="V966" s="360" t="s">
        <v>1991</v>
      </c>
      <c r="W966" s="366"/>
      <c r="X966" s="359"/>
      <c r="Y966" s="358"/>
      <c r="Z966" s="360"/>
      <c r="AA966" s="360"/>
      <c r="AB966" s="360"/>
      <c r="AC966" s="360"/>
      <c r="AD966" s="360"/>
      <c r="AE966" s="360"/>
      <c r="AF966" s="16"/>
      <c r="AG966" s="367" t="s">
        <v>1992</v>
      </c>
    </row>
    <row r="967" spans="1:33" ht="15.75" thickBot="1" x14ac:dyDescent="0.3">
      <c r="A967" s="356">
        <v>143</v>
      </c>
      <c r="B967" s="357">
        <v>46210</v>
      </c>
      <c r="C967" s="358" t="s">
        <v>87</v>
      </c>
      <c r="D967" s="359"/>
      <c r="E967" s="360"/>
      <c r="F967" s="361"/>
      <c r="G967" s="213" t="str">
        <f>IFERROR(VLOOKUP(Tabla3[[#This Row],[NUM ECONOMICO]],MAQUINARIA!B:H,7,0), " MAQ")</f>
        <v>INACTIVA</v>
      </c>
      <c r="H967" s="362" t="s">
        <v>1356</v>
      </c>
      <c r="I967" s="363" t="s">
        <v>1940</v>
      </c>
      <c r="J967" s="358" t="s">
        <v>1979</v>
      </c>
      <c r="K967" s="358">
        <v>1</v>
      </c>
      <c r="L967" s="364">
        <v>56.74</v>
      </c>
      <c r="M967" s="364">
        <f t="shared" si="18"/>
        <v>56.74</v>
      </c>
      <c r="N967" s="41" t="s">
        <v>1990</v>
      </c>
      <c r="O967" s="358"/>
      <c r="P967" s="365">
        <f>Tabla3[[#This Row],[COSTO UNITARIO DOLARES EN HAWTHORNE]]*Tabla3[[#This Row],[CANTIDAD SOLICTADA]]</f>
        <v>0</v>
      </c>
      <c r="Q967" s="41"/>
      <c r="R967" s="229"/>
      <c r="S967" s="229">
        <f>+Tabla3[[#This Row],[COSTO UNITARIO DOLARES CTP]]*Tabla3[[#This Row],[CANTIDAD SOLICTADA]]</f>
        <v>0</v>
      </c>
      <c r="T967" s="41"/>
      <c r="U967" s="358" t="s">
        <v>5</v>
      </c>
      <c r="V967" s="360" t="s">
        <v>1991</v>
      </c>
      <c r="W967" s="366"/>
      <c r="X967" s="359"/>
      <c r="Y967" s="358"/>
      <c r="Z967" s="360"/>
      <c r="AA967" s="360"/>
      <c r="AB967" s="360"/>
      <c r="AC967" s="360"/>
      <c r="AD967" s="360"/>
      <c r="AE967" s="360"/>
      <c r="AF967" s="16"/>
      <c r="AG967" s="367" t="s">
        <v>1992</v>
      </c>
    </row>
    <row r="968" spans="1:33" ht="15.75" thickBot="1" x14ac:dyDescent="0.3">
      <c r="A968" s="356">
        <v>143</v>
      </c>
      <c r="B968" s="357">
        <v>46210</v>
      </c>
      <c r="C968" s="358" t="s">
        <v>87</v>
      </c>
      <c r="D968" s="359"/>
      <c r="E968" s="360"/>
      <c r="F968" s="361"/>
      <c r="G968" s="213" t="str">
        <f>IFERROR(VLOOKUP(Tabla3[[#This Row],[NUM ECONOMICO]],MAQUINARIA!B:H,7,0), " MAQ")</f>
        <v>INACTIVA</v>
      </c>
      <c r="H968" s="362" t="s">
        <v>1356</v>
      </c>
      <c r="I968" s="363" t="s">
        <v>1941</v>
      </c>
      <c r="J968" s="358" t="s">
        <v>1979</v>
      </c>
      <c r="K968" s="358">
        <v>1</v>
      </c>
      <c r="L968" s="364">
        <v>280.85000000000002</v>
      </c>
      <c r="M968" s="364">
        <f t="shared" si="18"/>
        <v>280.85000000000002</v>
      </c>
      <c r="N968" s="41" t="s">
        <v>1990</v>
      </c>
      <c r="O968" s="358"/>
      <c r="P968" s="365">
        <f>Tabla3[[#This Row],[COSTO UNITARIO DOLARES EN HAWTHORNE]]*Tabla3[[#This Row],[CANTIDAD SOLICTADA]]</f>
        <v>0</v>
      </c>
      <c r="Q968" s="41"/>
      <c r="R968" s="229"/>
      <c r="S968" s="229">
        <f>+Tabla3[[#This Row],[COSTO UNITARIO DOLARES CTP]]*Tabla3[[#This Row],[CANTIDAD SOLICTADA]]</f>
        <v>0</v>
      </c>
      <c r="T968" s="41"/>
      <c r="U968" s="358" t="s">
        <v>5</v>
      </c>
      <c r="V968" s="360" t="s">
        <v>1991</v>
      </c>
      <c r="W968" s="366"/>
      <c r="X968" s="359"/>
      <c r="Y968" s="358"/>
      <c r="Z968" s="360"/>
      <c r="AA968" s="360"/>
      <c r="AB968" s="360"/>
      <c r="AC968" s="360"/>
      <c r="AD968" s="360"/>
      <c r="AE968" s="360"/>
      <c r="AF968" s="16"/>
      <c r="AG968" s="367" t="s">
        <v>1992</v>
      </c>
    </row>
    <row r="969" spans="1:33" ht="15.75" thickBot="1" x14ac:dyDescent="0.3">
      <c r="A969" s="356">
        <v>143</v>
      </c>
      <c r="B969" s="357">
        <v>46210</v>
      </c>
      <c r="C969" s="358" t="s">
        <v>87</v>
      </c>
      <c r="D969" s="359"/>
      <c r="E969" s="360"/>
      <c r="F969" s="361"/>
      <c r="G969" s="213" t="str">
        <f>IFERROR(VLOOKUP(Tabla3[[#This Row],[NUM ECONOMICO]],MAQUINARIA!B:H,7,0), " MAQ")</f>
        <v>INACTIVA</v>
      </c>
      <c r="H969" s="362" t="s">
        <v>1356</v>
      </c>
      <c r="I969" s="363" t="s">
        <v>1942</v>
      </c>
      <c r="J969" s="358" t="s">
        <v>1809</v>
      </c>
      <c r="K969" s="358">
        <v>2</v>
      </c>
      <c r="L969" s="364">
        <v>1160.0999999999999</v>
      </c>
      <c r="M969" s="364">
        <f t="shared" si="18"/>
        <v>2320.1999999999998</v>
      </c>
      <c r="N969" s="41" t="s">
        <v>1990</v>
      </c>
      <c r="O969" s="358"/>
      <c r="P969" s="365">
        <f>Tabla3[[#This Row],[COSTO UNITARIO DOLARES EN HAWTHORNE]]*Tabla3[[#This Row],[CANTIDAD SOLICTADA]]</f>
        <v>0</v>
      </c>
      <c r="Q969" s="41"/>
      <c r="R969" s="229"/>
      <c r="S969" s="229">
        <f>+Tabla3[[#This Row],[COSTO UNITARIO DOLARES CTP]]*Tabla3[[#This Row],[CANTIDAD SOLICTADA]]</f>
        <v>0</v>
      </c>
      <c r="T969" s="41"/>
      <c r="U969" s="358" t="s">
        <v>5</v>
      </c>
      <c r="V969" s="360" t="s">
        <v>1991</v>
      </c>
      <c r="W969" s="366"/>
      <c r="X969" s="359"/>
      <c r="Y969" s="358"/>
      <c r="Z969" s="360"/>
      <c r="AA969" s="360"/>
      <c r="AB969" s="360"/>
      <c r="AC969" s="360"/>
      <c r="AD969" s="360"/>
      <c r="AE969" s="360"/>
      <c r="AF969" s="16"/>
      <c r="AG969" s="367" t="s">
        <v>1992</v>
      </c>
    </row>
    <row r="970" spans="1:33" ht="15.75" thickBot="1" x14ac:dyDescent="0.3">
      <c r="A970" s="356">
        <v>143</v>
      </c>
      <c r="B970" s="357">
        <v>46210</v>
      </c>
      <c r="C970" s="358" t="s">
        <v>87</v>
      </c>
      <c r="D970" s="359"/>
      <c r="E970" s="360"/>
      <c r="F970" s="361"/>
      <c r="G970" s="213" t="str">
        <f>IFERROR(VLOOKUP(Tabla3[[#This Row],[NUM ECONOMICO]],MAQUINARIA!B:H,7,0), " MAQ")</f>
        <v>INACTIVA</v>
      </c>
      <c r="H970" s="362" t="s">
        <v>1356</v>
      </c>
      <c r="I970" s="363" t="s">
        <v>1943</v>
      </c>
      <c r="J970" s="358" t="s">
        <v>1981</v>
      </c>
      <c r="K970" s="358">
        <v>1</v>
      </c>
      <c r="L970" s="364">
        <v>16391.21</v>
      </c>
      <c r="M970" s="364">
        <f t="shared" si="18"/>
        <v>16391.21</v>
      </c>
      <c r="N970" s="41" t="s">
        <v>1990</v>
      </c>
      <c r="O970" s="358"/>
      <c r="P970" s="365">
        <f>Tabla3[[#This Row],[COSTO UNITARIO DOLARES EN HAWTHORNE]]*Tabla3[[#This Row],[CANTIDAD SOLICTADA]]</f>
        <v>0</v>
      </c>
      <c r="Q970" s="41"/>
      <c r="R970" s="229"/>
      <c r="S970" s="229">
        <f>+Tabla3[[#This Row],[COSTO UNITARIO DOLARES CTP]]*Tabla3[[#This Row],[CANTIDAD SOLICTADA]]</f>
        <v>0</v>
      </c>
      <c r="T970" s="41"/>
      <c r="U970" s="358" t="s">
        <v>5</v>
      </c>
      <c r="V970" s="360" t="s">
        <v>1991</v>
      </c>
      <c r="W970" s="366"/>
      <c r="X970" s="359"/>
      <c r="Y970" s="358"/>
      <c r="Z970" s="360"/>
      <c r="AA970" s="360"/>
      <c r="AB970" s="360"/>
      <c r="AC970" s="360"/>
      <c r="AD970" s="360"/>
      <c r="AE970" s="360"/>
      <c r="AF970" s="16"/>
      <c r="AG970" s="367" t="s">
        <v>1992</v>
      </c>
    </row>
    <row r="971" spans="1:33" ht="15.75" thickBot="1" x14ac:dyDescent="0.3">
      <c r="A971" s="356">
        <v>143</v>
      </c>
      <c r="B971" s="357">
        <v>46210</v>
      </c>
      <c r="C971" s="358" t="s">
        <v>87</v>
      </c>
      <c r="D971" s="359"/>
      <c r="E971" s="360"/>
      <c r="F971" s="361"/>
      <c r="G971" s="213" t="str">
        <f>IFERROR(VLOOKUP(Tabla3[[#This Row],[NUM ECONOMICO]],MAQUINARIA!B:H,7,0), " MAQ")</f>
        <v>INACTIVA</v>
      </c>
      <c r="H971" s="362" t="s">
        <v>1356</v>
      </c>
      <c r="I971" s="363" t="s">
        <v>1944</v>
      </c>
      <c r="J971" s="358" t="s">
        <v>650</v>
      </c>
      <c r="K971" s="358">
        <v>1</v>
      </c>
      <c r="L971" s="364">
        <v>721.19</v>
      </c>
      <c r="M971" s="364">
        <f t="shared" si="18"/>
        <v>721.19</v>
      </c>
      <c r="N971" s="41" t="s">
        <v>1990</v>
      </c>
      <c r="O971" s="358"/>
      <c r="P971" s="365">
        <f>Tabla3[[#This Row],[COSTO UNITARIO DOLARES EN HAWTHORNE]]*Tabla3[[#This Row],[CANTIDAD SOLICTADA]]</f>
        <v>0</v>
      </c>
      <c r="Q971" s="41"/>
      <c r="R971" s="229"/>
      <c r="S971" s="229">
        <f>+Tabla3[[#This Row],[COSTO UNITARIO DOLARES CTP]]*Tabla3[[#This Row],[CANTIDAD SOLICTADA]]</f>
        <v>0</v>
      </c>
      <c r="T971" s="41"/>
      <c r="U971" s="358" t="s">
        <v>5</v>
      </c>
      <c r="V971" s="360" t="s">
        <v>1991</v>
      </c>
      <c r="W971" s="366"/>
      <c r="X971" s="359"/>
      <c r="Y971" s="358"/>
      <c r="Z971" s="360"/>
      <c r="AA971" s="360"/>
      <c r="AB971" s="360"/>
      <c r="AC971" s="360"/>
      <c r="AD971" s="360"/>
      <c r="AE971" s="360"/>
      <c r="AF971" s="16"/>
      <c r="AG971" s="367" t="s">
        <v>1992</v>
      </c>
    </row>
    <row r="972" spans="1:33" ht="15.75" thickBot="1" x14ac:dyDescent="0.3">
      <c r="A972" s="356">
        <v>143</v>
      </c>
      <c r="B972" s="357">
        <v>46210</v>
      </c>
      <c r="C972" s="358" t="s">
        <v>87</v>
      </c>
      <c r="D972" s="359"/>
      <c r="E972" s="360"/>
      <c r="F972" s="361"/>
      <c r="G972" s="213" t="str">
        <f>IFERROR(VLOOKUP(Tabla3[[#This Row],[NUM ECONOMICO]],MAQUINARIA!B:H,7,0), " MAQ")</f>
        <v>INACTIVA</v>
      </c>
      <c r="H972" s="362" t="s">
        <v>1356</v>
      </c>
      <c r="I972" s="363" t="s">
        <v>1945</v>
      </c>
      <c r="J972" s="358" t="s">
        <v>1982</v>
      </c>
      <c r="K972" s="358">
        <v>1</v>
      </c>
      <c r="L972" s="364">
        <v>202.09</v>
      </c>
      <c r="M972" s="364">
        <f t="shared" si="18"/>
        <v>202.09</v>
      </c>
      <c r="N972" s="41" t="s">
        <v>1990</v>
      </c>
      <c r="O972" s="358"/>
      <c r="P972" s="365">
        <f>Tabla3[[#This Row],[COSTO UNITARIO DOLARES EN HAWTHORNE]]*Tabla3[[#This Row],[CANTIDAD SOLICTADA]]</f>
        <v>0</v>
      </c>
      <c r="Q972" s="41"/>
      <c r="R972" s="229"/>
      <c r="S972" s="229">
        <f>+Tabla3[[#This Row],[COSTO UNITARIO DOLARES CTP]]*Tabla3[[#This Row],[CANTIDAD SOLICTADA]]</f>
        <v>0</v>
      </c>
      <c r="T972" s="41"/>
      <c r="U972" s="358" t="s">
        <v>5</v>
      </c>
      <c r="V972" s="360" t="s">
        <v>1991</v>
      </c>
      <c r="W972" s="366"/>
      <c r="X972" s="359"/>
      <c r="Y972" s="358"/>
      <c r="Z972" s="360"/>
      <c r="AA972" s="360"/>
      <c r="AB972" s="360"/>
      <c r="AC972" s="360"/>
      <c r="AD972" s="360"/>
      <c r="AE972" s="360"/>
      <c r="AF972" s="16"/>
      <c r="AG972" s="367" t="s">
        <v>1992</v>
      </c>
    </row>
    <row r="973" spans="1:33" ht="15.75" thickBot="1" x14ac:dyDescent="0.3">
      <c r="A973" s="356">
        <v>143</v>
      </c>
      <c r="B973" s="357">
        <v>46210</v>
      </c>
      <c r="C973" s="358" t="s">
        <v>87</v>
      </c>
      <c r="D973" s="359"/>
      <c r="E973" s="360"/>
      <c r="F973" s="361"/>
      <c r="G973" s="213" t="str">
        <f>IFERROR(VLOOKUP(Tabla3[[#This Row],[NUM ECONOMICO]],MAQUINARIA!B:H,7,0), " MAQ")</f>
        <v>INACTIVA</v>
      </c>
      <c r="H973" s="362" t="s">
        <v>1356</v>
      </c>
      <c r="I973" s="363" t="s">
        <v>1946</v>
      </c>
      <c r="J973" s="358" t="s">
        <v>1979</v>
      </c>
      <c r="K973" s="358">
        <v>1</v>
      </c>
      <c r="L973" s="364">
        <v>398.45</v>
      </c>
      <c r="M973" s="364">
        <f t="shared" si="18"/>
        <v>398.45</v>
      </c>
      <c r="N973" s="41" t="s">
        <v>1990</v>
      </c>
      <c r="O973" s="358"/>
      <c r="P973" s="365">
        <f>Tabla3[[#This Row],[COSTO UNITARIO DOLARES EN HAWTHORNE]]*Tabla3[[#This Row],[CANTIDAD SOLICTADA]]</f>
        <v>0</v>
      </c>
      <c r="Q973" s="41"/>
      <c r="R973" s="229"/>
      <c r="S973" s="229">
        <f>+Tabla3[[#This Row],[COSTO UNITARIO DOLARES CTP]]*Tabla3[[#This Row],[CANTIDAD SOLICTADA]]</f>
        <v>0</v>
      </c>
      <c r="T973" s="41"/>
      <c r="U973" s="358" t="s">
        <v>5</v>
      </c>
      <c r="V973" s="360" t="s">
        <v>1991</v>
      </c>
      <c r="W973" s="366"/>
      <c r="X973" s="359"/>
      <c r="Y973" s="358"/>
      <c r="Z973" s="360"/>
      <c r="AA973" s="360"/>
      <c r="AB973" s="360"/>
      <c r="AC973" s="360"/>
      <c r="AD973" s="360"/>
      <c r="AE973" s="360"/>
      <c r="AF973" s="16"/>
      <c r="AG973" s="367" t="s">
        <v>1992</v>
      </c>
    </row>
    <row r="974" spans="1:33" ht="15.75" thickBot="1" x14ac:dyDescent="0.3">
      <c r="A974" s="356">
        <v>143</v>
      </c>
      <c r="B974" s="357">
        <v>46210</v>
      </c>
      <c r="C974" s="358" t="s">
        <v>87</v>
      </c>
      <c r="D974" s="359"/>
      <c r="E974" s="360"/>
      <c r="F974" s="361"/>
      <c r="G974" s="213" t="str">
        <f>IFERROR(VLOOKUP(Tabla3[[#This Row],[NUM ECONOMICO]],MAQUINARIA!B:H,7,0), " MAQ")</f>
        <v>INACTIVA</v>
      </c>
      <c r="H974" s="362" t="s">
        <v>1356</v>
      </c>
      <c r="I974" s="363" t="s">
        <v>1947</v>
      </c>
      <c r="J974" s="358" t="s">
        <v>650</v>
      </c>
      <c r="K974" s="358">
        <v>1</v>
      </c>
      <c r="L974" s="364">
        <v>1605.63</v>
      </c>
      <c r="M974" s="364">
        <f t="shared" si="18"/>
        <v>1605.63</v>
      </c>
      <c r="N974" s="41" t="s">
        <v>1990</v>
      </c>
      <c r="O974" s="358"/>
      <c r="P974" s="365">
        <f>Tabla3[[#This Row],[COSTO UNITARIO DOLARES EN HAWTHORNE]]*Tabla3[[#This Row],[CANTIDAD SOLICTADA]]</f>
        <v>0</v>
      </c>
      <c r="Q974" s="41"/>
      <c r="R974" s="229"/>
      <c r="S974" s="229">
        <f>+Tabla3[[#This Row],[COSTO UNITARIO DOLARES CTP]]*Tabla3[[#This Row],[CANTIDAD SOLICTADA]]</f>
        <v>0</v>
      </c>
      <c r="T974" s="41"/>
      <c r="U974" s="358" t="s">
        <v>5</v>
      </c>
      <c r="V974" s="360" t="s">
        <v>1991</v>
      </c>
      <c r="W974" s="366"/>
      <c r="X974" s="359"/>
      <c r="Y974" s="358"/>
      <c r="Z974" s="360"/>
      <c r="AA974" s="360"/>
      <c r="AB974" s="360"/>
      <c r="AC974" s="360"/>
      <c r="AD974" s="360"/>
      <c r="AE974" s="360"/>
      <c r="AF974" s="16"/>
      <c r="AG974" s="367" t="s">
        <v>1992</v>
      </c>
    </row>
    <row r="975" spans="1:33" ht="15.75" thickBot="1" x14ac:dyDescent="0.3">
      <c r="A975" s="356">
        <v>143</v>
      </c>
      <c r="B975" s="357">
        <v>46210</v>
      </c>
      <c r="C975" s="358" t="s">
        <v>87</v>
      </c>
      <c r="D975" s="359"/>
      <c r="E975" s="360"/>
      <c r="F975" s="361"/>
      <c r="G975" s="213" t="str">
        <f>IFERROR(VLOOKUP(Tabla3[[#This Row],[NUM ECONOMICO]],MAQUINARIA!B:H,7,0), " MAQ")</f>
        <v>INACTIVA</v>
      </c>
      <c r="H975" s="362" t="s">
        <v>1356</v>
      </c>
      <c r="I975" s="363" t="s">
        <v>1948</v>
      </c>
      <c r="J975" s="358" t="s">
        <v>1983</v>
      </c>
      <c r="K975" s="358">
        <v>1</v>
      </c>
      <c r="L975" s="364">
        <v>1397.99</v>
      </c>
      <c r="M975" s="364">
        <f t="shared" si="18"/>
        <v>1397.99</v>
      </c>
      <c r="N975" s="41" t="s">
        <v>1990</v>
      </c>
      <c r="O975" s="358"/>
      <c r="P975" s="365">
        <f>Tabla3[[#This Row],[COSTO UNITARIO DOLARES EN HAWTHORNE]]*Tabla3[[#This Row],[CANTIDAD SOLICTADA]]</f>
        <v>0</v>
      </c>
      <c r="Q975" s="41"/>
      <c r="R975" s="229"/>
      <c r="S975" s="229">
        <f>+Tabla3[[#This Row],[COSTO UNITARIO DOLARES CTP]]*Tabla3[[#This Row],[CANTIDAD SOLICTADA]]</f>
        <v>0</v>
      </c>
      <c r="T975" s="41"/>
      <c r="U975" s="358" t="s">
        <v>5</v>
      </c>
      <c r="V975" s="360" t="s">
        <v>1991</v>
      </c>
      <c r="W975" s="366"/>
      <c r="X975" s="359"/>
      <c r="Y975" s="358"/>
      <c r="Z975" s="360"/>
      <c r="AA975" s="360"/>
      <c r="AB975" s="360"/>
      <c r="AC975" s="360"/>
      <c r="AD975" s="360"/>
      <c r="AE975" s="360"/>
      <c r="AF975" s="16"/>
      <c r="AG975" s="367" t="s">
        <v>1992</v>
      </c>
    </row>
    <row r="976" spans="1:33" ht="15.75" thickBot="1" x14ac:dyDescent="0.3">
      <c r="A976" s="356">
        <v>143</v>
      </c>
      <c r="B976" s="357">
        <v>46210</v>
      </c>
      <c r="C976" s="358" t="s">
        <v>87</v>
      </c>
      <c r="D976" s="359"/>
      <c r="E976" s="360"/>
      <c r="F976" s="361"/>
      <c r="G976" s="213" t="str">
        <f>IFERROR(VLOOKUP(Tabla3[[#This Row],[NUM ECONOMICO]],MAQUINARIA!B:H,7,0), " MAQ")</f>
        <v>INACTIVA</v>
      </c>
      <c r="H976" s="362" t="s">
        <v>1356</v>
      </c>
      <c r="I976" s="363" t="s">
        <v>1949</v>
      </c>
      <c r="J976" s="358" t="s">
        <v>1984</v>
      </c>
      <c r="K976" s="358">
        <v>1</v>
      </c>
      <c r="L976" s="364">
        <v>45101.2</v>
      </c>
      <c r="M976" s="364">
        <f t="shared" si="18"/>
        <v>45101.2</v>
      </c>
      <c r="N976" s="41" t="s">
        <v>1990</v>
      </c>
      <c r="O976" s="358"/>
      <c r="P976" s="365">
        <f>Tabla3[[#This Row],[COSTO UNITARIO DOLARES EN HAWTHORNE]]*Tabla3[[#This Row],[CANTIDAD SOLICTADA]]</f>
        <v>0</v>
      </c>
      <c r="Q976" s="41"/>
      <c r="R976" s="229"/>
      <c r="S976" s="229">
        <f>+Tabla3[[#This Row],[COSTO UNITARIO DOLARES CTP]]*Tabla3[[#This Row],[CANTIDAD SOLICTADA]]</f>
        <v>0</v>
      </c>
      <c r="T976" s="41"/>
      <c r="U976" s="358" t="s">
        <v>5</v>
      </c>
      <c r="V976" s="360" t="s">
        <v>1991</v>
      </c>
      <c r="W976" s="366"/>
      <c r="X976" s="359"/>
      <c r="Y976" s="358"/>
      <c r="Z976" s="360"/>
      <c r="AA976" s="360"/>
      <c r="AB976" s="360"/>
      <c r="AC976" s="360"/>
      <c r="AD976" s="360"/>
      <c r="AE976" s="360"/>
      <c r="AF976" s="16"/>
      <c r="AG976" s="367" t="s">
        <v>1992</v>
      </c>
    </row>
    <row r="977" spans="1:33" ht="15.75" thickBot="1" x14ac:dyDescent="0.3">
      <c r="A977" s="356">
        <v>143</v>
      </c>
      <c r="B977" s="357">
        <v>46210</v>
      </c>
      <c r="C977" s="358" t="s">
        <v>87</v>
      </c>
      <c r="D977" s="359"/>
      <c r="E977" s="360"/>
      <c r="F977" s="361"/>
      <c r="G977" s="213" t="str">
        <f>IFERROR(VLOOKUP(Tabla3[[#This Row],[NUM ECONOMICO]],MAQUINARIA!B:H,7,0), " MAQ")</f>
        <v>INACTIVA</v>
      </c>
      <c r="H977" s="362" t="s">
        <v>1356</v>
      </c>
      <c r="I977" s="363" t="s">
        <v>1950</v>
      </c>
      <c r="J977" s="358" t="s">
        <v>670</v>
      </c>
      <c r="K977" s="358">
        <v>11</v>
      </c>
      <c r="L977" s="364">
        <v>171.48</v>
      </c>
      <c r="M977" s="364">
        <f t="shared" ref="M977:M1040" si="19">+L977*K977</f>
        <v>1886.28</v>
      </c>
      <c r="N977" s="41" t="s">
        <v>1990</v>
      </c>
      <c r="O977" s="358"/>
      <c r="P977" s="365">
        <f>Tabla3[[#This Row],[COSTO UNITARIO DOLARES EN HAWTHORNE]]*Tabla3[[#This Row],[CANTIDAD SOLICTADA]]</f>
        <v>0</v>
      </c>
      <c r="Q977" s="41"/>
      <c r="R977" s="229"/>
      <c r="S977" s="229">
        <f>+Tabla3[[#This Row],[COSTO UNITARIO DOLARES CTP]]*Tabla3[[#This Row],[CANTIDAD SOLICTADA]]</f>
        <v>0</v>
      </c>
      <c r="T977" s="41"/>
      <c r="U977" s="358" t="s">
        <v>5</v>
      </c>
      <c r="V977" s="360" t="s">
        <v>1991</v>
      </c>
      <c r="W977" s="366"/>
      <c r="X977" s="359"/>
      <c r="Y977" s="358"/>
      <c r="Z977" s="360"/>
      <c r="AA977" s="360"/>
      <c r="AB977" s="360"/>
      <c r="AC977" s="360"/>
      <c r="AD977" s="360"/>
      <c r="AE977" s="360"/>
      <c r="AF977" s="16"/>
      <c r="AG977" s="367" t="s">
        <v>1992</v>
      </c>
    </row>
    <row r="978" spans="1:33" ht="15.75" thickBot="1" x14ac:dyDescent="0.3">
      <c r="A978" s="356">
        <v>143</v>
      </c>
      <c r="B978" s="357">
        <v>46210</v>
      </c>
      <c r="C978" s="358" t="s">
        <v>87</v>
      </c>
      <c r="D978" s="359"/>
      <c r="E978" s="360"/>
      <c r="F978" s="361"/>
      <c r="G978" s="213" t="str">
        <f>IFERROR(VLOOKUP(Tabla3[[#This Row],[NUM ECONOMICO]],MAQUINARIA!B:H,7,0), " MAQ")</f>
        <v>INACTIVA</v>
      </c>
      <c r="H978" s="362" t="s">
        <v>1356</v>
      </c>
      <c r="I978" s="363" t="s">
        <v>1951</v>
      </c>
      <c r="J978" s="358" t="s">
        <v>1985</v>
      </c>
      <c r="K978" s="358">
        <v>11</v>
      </c>
      <c r="L978" s="364">
        <v>182.4</v>
      </c>
      <c r="M978" s="364">
        <f t="shared" si="19"/>
        <v>2006.4</v>
      </c>
      <c r="N978" s="41" t="s">
        <v>1990</v>
      </c>
      <c r="O978" s="358"/>
      <c r="P978" s="365">
        <f>Tabla3[[#This Row],[COSTO UNITARIO DOLARES EN HAWTHORNE]]*Tabla3[[#This Row],[CANTIDAD SOLICTADA]]</f>
        <v>0</v>
      </c>
      <c r="Q978" s="41"/>
      <c r="R978" s="229"/>
      <c r="S978" s="229">
        <f>+Tabla3[[#This Row],[COSTO UNITARIO DOLARES CTP]]*Tabla3[[#This Row],[CANTIDAD SOLICTADA]]</f>
        <v>0</v>
      </c>
      <c r="T978" s="41"/>
      <c r="U978" s="358" t="s">
        <v>5</v>
      </c>
      <c r="V978" s="360" t="s">
        <v>1991</v>
      </c>
      <c r="W978" s="366"/>
      <c r="X978" s="359"/>
      <c r="Y978" s="358"/>
      <c r="Z978" s="360"/>
      <c r="AA978" s="360"/>
      <c r="AB978" s="360"/>
      <c r="AC978" s="360"/>
      <c r="AD978" s="360"/>
      <c r="AE978" s="360"/>
      <c r="AF978" s="16"/>
      <c r="AG978" s="367" t="s">
        <v>1992</v>
      </c>
    </row>
    <row r="979" spans="1:33" ht="15.75" thickBot="1" x14ac:dyDescent="0.3">
      <c r="A979" s="356">
        <v>143</v>
      </c>
      <c r="B979" s="357">
        <v>46210</v>
      </c>
      <c r="C979" s="358" t="s">
        <v>87</v>
      </c>
      <c r="D979" s="359"/>
      <c r="E979" s="360"/>
      <c r="F979" s="361"/>
      <c r="G979" s="213" t="str">
        <f>IFERROR(VLOOKUP(Tabla3[[#This Row],[NUM ECONOMICO]],MAQUINARIA!B:H,7,0), " MAQ")</f>
        <v>INACTIVA</v>
      </c>
      <c r="H979" s="362" t="s">
        <v>1356</v>
      </c>
      <c r="I979" s="363" t="s">
        <v>1952</v>
      </c>
      <c r="J979" s="358" t="s">
        <v>1986</v>
      </c>
      <c r="K979" s="358">
        <v>1</v>
      </c>
      <c r="L979" s="364">
        <v>34357.440000000002</v>
      </c>
      <c r="M979" s="364">
        <f t="shared" si="19"/>
        <v>34357.440000000002</v>
      </c>
      <c r="N979" s="41" t="s">
        <v>1990</v>
      </c>
      <c r="O979" s="358"/>
      <c r="P979" s="365">
        <f>Tabla3[[#This Row],[COSTO UNITARIO DOLARES EN HAWTHORNE]]*Tabla3[[#This Row],[CANTIDAD SOLICTADA]]</f>
        <v>0</v>
      </c>
      <c r="Q979" s="41"/>
      <c r="R979" s="229"/>
      <c r="S979" s="229">
        <f>+Tabla3[[#This Row],[COSTO UNITARIO DOLARES CTP]]*Tabla3[[#This Row],[CANTIDAD SOLICTADA]]</f>
        <v>0</v>
      </c>
      <c r="T979" s="41"/>
      <c r="U979" s="358" t="s">
        <v>5</v>
      </c>
      <c r="V979" s="360" t="s">
        <v>1991</v>
      </c>
      <c r="W979" s="366"/>
      <c r="X979" s="359"/>
      <c r="Y979" s="358"/>
      <c r="Z979" s="360"/>
      <c r="AA979" s="360"/>
      <c r="AB979" s="360"/>
      <c r="AC979" s="360"/>
      <c r="AD979" s="360"/>
      <c r="AE979" s="360"/>
      <c r="AF979" s="16"/>
      <c r="AG979" s="367" t="s">
        <v>1992</v>
      </c>
    </row>
    <row r="980" spans="1:33" ht="15.75" thickBot="1" x14ac:dyDescent="0.3">
      <c r="A980" s="356">
        <v>143</v>
      </c>
      <c r="B980" s="357">
        <v>46210</v>
      </c>
      <c r="C980" s="358" t="s">
        <v>87</v>
      </c>
      <c r="D980" s="359"/>
      <c r="E980" s="360"/>
      <c r="F980" s="361"/>
      <c r="G980" s="213" t="str">
        <f>IFERROR(VLOOKUP(Tabla3[[#This Row],[NUM ECONOMICO]],MAQUINARIA!B:H,7,0), " MAQ")</f>
        <v>INACTIVA</v>
      </c>
      <c r="H980" s="362" t="s">
        <v>1356</v>
      </c>
      <c r="I980" s="363" t="s">
        <v>1953</v>
      </c>
      <c r="J980" s="358" t="s">
        <v>1979</v>
      </c>
      <c r="K980" s="358">
        <v>1</v>
      </c>
      <c r="L980" s="364">
        <v>11675.1</v>
      </c>
      <c r="M980" s="364">
        <f t="shared" si="19"/>
        <v>11675.1</v>
      </c>
      <c r="N980" s="41" t="s">
        <v>1990</v>
      </c>
      <c r="O980" s="358"/>
      <c r="P980" s="365">
        <f>Tabla3[[#This Row],[COSTO UNITARIO DOLARES EN HAWTHORNE]]*Tabla3[[#This Row],[CANTIDAD SOLICTADA]]</f>
        <v>0</v>
      </c>
      <c r="Q980" s="41"/>
      <c r="R980" s="229"/>
      <c r="S980" s="229">
        <f>+Tabla3[[#This Row],[COSTO UNITARIO DOLARES CTP]]*Tabla3[[#This Row],[CANTIDAD SOLICTADA]]</f>
        <v>0</v>
      </c>
      <c r="T980" s="41"/>
      <c r="U980" s="358" t="s">
        <v>5</v>
      </c>
      <c r="V980" s="360" t="s">
        <v>1991</v>
      </c>
      <c r="W980" s="366"/>
      <c r="X980" s="359"/>
      <c r="Y980" s="358"/>
      <c r="Z980" s="360"/>
      <c r="AA980" s="360"/>
      <c r="AB980" s="360"/>
      <c r="AC980" s="360"/>
      <c r="AD980" s="360"/>
      <c r="AE980" s="360"/>
      <c r="AF980" s="16"/>
      <c r="AG980" s="367" t="s">
        <v>1992</v>
      </c>
    </row>
    <row r="981" spans="1:33" ht="15.75" thickBot="1" x14ac:dyDescent="0.3">
      <c r="A981" s="356">
        <v>143</v>
      </c>
      <c r="B981" s="357">
        <v>46210</v>
      </c>
      <c r="C981" s="358" t="s">
        <v>87</v>
      </c>
      <c r="D981" s="359"/>
      <c r="E981" s="360"/>
      <c r="F981" s="361"/>
      <c r="G981" s="213" t="str">
        <f>IFERROR(VLOOKUP(Tabla3[[#This Row],[NUM ECONOMICO]],MAQUINARIA!B:H,7,0), " MAQ")</f>
        <v>INACTIVA</v>
      </c>
      <c r="H981" s="362" t="s">
        <v>1356</v>
      </c>
      <c r="I981" s="363" t="s">
        <v>1954</v>
      </c>
      <c r="J981" s="358" t="s">
        <v>1987</v>
      </c>
      <c r="K981" s="358">
        <v>1</v>
      </c>
      <c r="L981" s="364">
        <v>1236.71</v>
      </c>
      <c r="M981" s="364">
        <f t="shared" si="19"/>
        <v>1236.71</v>
      </c>
      <c r="N981" s="41" t="s">
        <v>1990</v>
      </c>
      <c r="O981" s="358"/>
      <c r="P981" s="365">
        <f>Tabla3[[#This Row],[COSTO UNITARIO DOLARES EN HAWTHORNE]]*Tabla3[[#This Row],[CANTIDAD SOLICTADA]]</f>
        <v>0</v>
      </c>
      <c r="Q981" s="41"/>
      <c r="R981" s="229"/>
      <c r="S981" s="229">
        <f>+Tabla3[[#This Row],[COSTO UNITARIO DOLARES CTP]]*Tabla3[[#This Row],[CANTIDAD SOLICTADA]]</f>
        <v>0</v>
      </c>
      <c r="T981" s="41"/>
      <c r="U981" s="358" t="s">
        <v>5</v>
      </c>
      <c r="V981" s="360" t="s">
        <v>1991</v>
      </c>
      <c r="W981" s="366"/>
      <c r="X981" s="359"/>
      <c r="Y981" s="358"/>
      <c r="Z981" s="360"/>
      <c r="AA981" s="360"/>
      <c r="AB981" s="360"/>
      <c r="AC981" s="360"/>
      <c r="AD981" s="360"/>
      <c r="AE981" s="360"/>
      <c r="AF981" s="16"/>
      <c r="AG981" s="367" t="s">
        <v>1992</v>
      </c>
    </row>
    <row r="982" spans="1:33" ht="15.75" thickBot="1" x14ac:dyDescent="0.3">
      <c r="A982" s="356">
        <v>143</v>
      </c>
      <c r="B982" s="357">
        <v>46210</v>
      </c>
      <c r="C982" s="358" t="s">
        <v>87</v>
      </c>
      <c r="D982" s="359"/>
      <c r="E982" s="360"/>
      <c r="F982" s="361"/>
      <c r="G982" s="213" t="str">
        <f>IFERROR(VLOOKUP(Tabla3[[#This Row],[NUM ECONOMICO]],MAQUINARIA!B:H,7,0), " MAQ")</f>
        <v>INACTIVA</v>
      </c>
      <c r="H982" s="362" t="s">
        <v>1356</v>
      </c>
      <c r="I982" s="363" t="s">
        <v>1955</v>
      </c>
      <c r="J982" s="358" t="s">
        <v>1828</v>
      </c>
      <c r="K982" s="358">
        <v>1</v>
      </c>
      <c r="L982" s="364">
        <v>700.43</v>
      </c>
      <c r="M982" s="364">
        <f t="shared" si="19"/>
        <v>700.43</v>
      </c>
      <c r="N982" s="41" t="s">
        <v>1990</v>
      </c>
      <c r="O982" s="358"/>
      <c r="P982" s="365">
        <f>Tabla3[[#This Row],[COSTO UNITARIO DOLARES EN HAWTHORNE]]*Tabla3[[#This Row],[CANTIDAD SOLICTADA]]</f>
        <v>0</v>
      </c>
      <c r="Q982" s="41"/>
      <c r="R982" s="229"/>
      <c r="S982" s="229">
        <f>+Tabla3[[#This Row],[COSTO UNITARIO DOLARES CTP]]*Tabla3[[#This Row],[CANTIDAD SOLICTADA]]</f>
        <v>0</v>
      </c>
      <c r="T982" s="41"/>
      <c r="U982" s="358" t="s">
        <v>5</v>
      </c>
      <c r="V982" s="360" t="s">
        <v>1991</v>
      </c>
      <c r="W982" s="366"/>
      <c r="X982" s="359"/>
      <c r="Y982" s="358"/>
      <c r="Z982" s="360"/>
      <c r="AA982" s="360"/>
      <c r="AB982" s="360"/>
      <c r="AC982" s="360"/>
      <c r="AD982" s="360"/>
      <c r="AE982" s="360"/>
      <c r="AF982" s="16"/>
      <c r="AG982" s="367" t="s">
        <v>1992</v>
      </c>
    </row>
    <row r="983" spans="1:33" ht="15.75" thickBot="1" x14ac:dyDescent="0.3">
      <c r="A983" s="356">
        <v>143</v>
      </c>
      <c r="B983" s="357">
        <v>46210</v>
      </c>
      <c r="C983" s="358" t="s">
        <v>87</v>
      </c>
      <c r="D983" s="359"/>
      <c r="E983" s="360"/>
      <c r="F983" s="361"/>
      <c r="G983" s="213" t="str">
        <f>IFERROR(VLOOKUP(Tabla3[[#This Row],[NUM ECONOMICO]],MAQUINARIA!B:H,7,0), " MAQ")</f>
        <v>INACTIVA</v>
      </c>
      <c r="H983" s="362" t="s">
        <v>1356</v>
      </c>
      <c r="I983" s="363" t="s">
        <v>1956</v>
      </c>
      <c r="J983" s="358" t="s">
        <v>1987</v>
      </c>
      <c r="K983" s="358">
        <v>3</v>
      </c>
      <c r="L983" s="364">
        <v>1295.24</v>
      </c>
      <c r="M983" s="364">
        <f t="shared" si="19"/>
        <v>3885.7200000000003</v>
      </c>
      <c r="N983" s="41" t="s">
        <v>1990</v>
      </c>
      <c r="O983" s="358"/>
      <c r="P983" s="365">
        <f>Tabla3[[#This Row],[COSTO UNITARIO DOLARES EN HAWTHORNE]]*Tabla3[[#This Row],[CANTIDAD SOLICTADA]]</f>
        <v>0</v>
      </c>
      <c r="Q983" s="41"/>
      <c r="R983" s="229"/>
      <c r="S983" s="229">
        <f>+Tabla3[[#This Row],[COSTO UNITARIO DOLARES CTP]]*Tabla3[[#This Row],[CANTIDAD SOLICTADA]]</f>
        <v>0</v>
      </c>
      <c r="T983" s="41"/>
      <c r="U983" s="358" t="s">
        <v>5</v>
      </c>
      <c r="V983" s="360" t="s">
        <v>1991</v>
      </c>
      <c r="W983" s="366"/>
      <c r="X983" s="359"/>
      <c r="Y983" s="358"/>
      <c r="Z983" s="360"/>
      <c r="AA983" s="360"/>
      <c r="AB983" s="360"/>
      <c r="AC983" s="360"/>
      <c r="AD983" s="360"/>
      <c r="AE983" s="360"/>
      <c r="AF983" s="16"/>
      <c r="AG983" s="367" t="s">
        <v>1992</v>
      </c>
    </row>
    <row r="984" spans="1:33" ht="15.75" thickBot="1" x14ac:dyDescent="0.3">
      <c r="A984" s="356">
        <v>143</v>
      </c>
      <c r="B984" s="357">
        <v>46210</v>
      </c>
      <c r="C984" s="358" t="s">
        <v>87</v>
      </c>
      <c r="D984" s="359"/>
      <c r="E984" s="360"/>
      <c r="F984" s="361"/>
      <c r="G984" s="213" t="str">
        <f>IFERROR(VLOOKUP(Tabla3[[#This Row],[NUM ECONOMICO]],MAQUINARIA!B:H,7,0), " MAQ")</f>
        <v>INACTIVA</v>
      </c>
      <c r="H984" s="362" t="s">
        <v>1356</v>
      </c>
      <c r="I984" s="363" t="s">
        <v>1957</v>
      </c>
      <c r="J984" s="358" t="s">
        <v>1809</v>
      </c>
      <c r="K984" s="358">
        <v>2</v>
      </c>
      <c r="L984" s="364">
        <v>3990.63</v>
      </c>
      <c r="M984" s="364">
        <f t="shared" si="19"/>
        <v>7981.26</v>
      </c>
      <c r="N984" s="41" t="s">
        <v>1990</v>
      </c>
      <c r="O984" s="358"/>
      <c r="P984" s="365">
        <f>Tabla3[[#This Row],[COSTO UNITARIO DOLARES EN HAWTHORNE]]*Tabla3[[#This Row],[CANTIDAD SOLICTADA]]</f>
        <v>0</v>
      </c>
      <c r="Q984" s="41"/>
      <c r="R984" s="229"/>
      <c r="S984" s="229">
        <f>+Tabla3[[#This Row],[COSTO UNITARIO DOLARES CTP]]*Tabla3[[#This Row],[CANTIDAD SOLICTADA]]</f>
        <v>0</v>
      </c>
      <c r="T984" s="41"/>
      <c r="U984" s="358" t="s">
        <v>5</v>
      </c>
      <c r="V984" s="360" t="s">
        <v>1991</v>
      </c>
      <c r="W984" s="366"/>
      <c r="X984" s="359"/>
      <c r="Y984" s="358"/>
      <c r="Z984" s="360"/>
      <c r="AA984" s="360"/>
      <c r="AB984" s="360"/>
      <c r="AC984" s="360"/>
      <c r="AD984" s="360"/>
      <c r="AE984" s="360"/>
      <c r="AF984" s="16"/>
      <c r="AG984" s="367" t="s">
        <v>1992</v>
      </c>
    </row>
    <row r="985" spans="1:33" ht="15.75" thickBot="1" x14ac:dyDescent="0.3">
      <c r="A985" s="356">
        <v>143</v>
      </c>
      <c r="B985" s="357">
        <v>46210</v>
      </c>
      <c r="C985" s="358" t="s">
        <v>87</v>
      </c>
      <c r="D985" s="359"/>
      <c r="E985" s="360"/>
      <c r="F985" s="361"/>
      <c r="G985" s="213" t="str">
        <f>IFERROR(VLOOKUP(Tabla3[[#This Row],[NUM ECONOMICO]],MAQUINARIA!B:H,7,0), " MAQ")</f>
        <v>INACTIVA</v>
      </c>
      <c r="H985" s="362" t="s">
        <v>1356</v>
      </c>
      <c r="I985" s="363" t="s">
        <v>1958</v>
      </c>
      <c r="J985" s="358" t="s">
        <v>1988</v>
      </c>
      <c r="K985" s="358">
        <v>1</v>
      </c>
      <c r="L985" s="364">
        <v>46311.95</v>
      </c>
      <c r="M985" s="364">
        <f t="shared" si="19"/>
        <v>46311.95</v>
      </c>
      <c r="N985" s="41" t="s">
        <v>1990</v>
      </c>
      <c r="O985" s="358"/>
      <c r="P985" s="365">
        <f>Tabla3[[#This Row],[COSTO UNITARIO DOLARES EN HAWTHORNE]]*Tabla3[[#This Row],[CANTIDAD SOLICTADA]]</f>
        <v>0</v>
      </c>
      <c r="Q985" s="41"/>
      <c r="R985" s="229"/>
      <c r="S985" s="229">
        <f>+Tabla3[[#This Row],[COSTO UNITARIO DOLARES CTP]]*Tabla3[[#This Row],[CANTIDAD SOLICTADA]]</f>
        <v>0</v>
      </c>
      <c r="T985" s="41"/>
      <c r="U985" s="358" t="s">
        <v>5</v>
      </c>
      <c r="V985" s="360" t="s">
        <v>1991</v>
      </c>
      <c r="W985" s="366"/>
      <c r="X985" s="359"/>
      <c r="Y985" s="358"/>
      <c r="Z985" s="360"/>
      <c r="AA985" s="360"/>
      <c r="AB985" s="360"/>
      <c r="AC985" s="360"/>
      <c r="AD985" s="360"/>
      <c r="AE985" s="360"/>
      <c r="AF985" s="16"/>
      <c r="AG985" s="367" t="s">
        <v>1992</v>
      </c>
    </row>
    <row r="986" spans="1:33" ht="15.75" thickBot="1" x14ac:dyDescent="0.3">
      <c r="A986" s="356">
        <v>143</v>
      </c>
      <c r="B986" s="357">
        <v>46210</v>
      </c>
      <c r="C986" s="358" t="s">
        <v>87</v>
      </c>
      <c r="D986" s="371"/>
      <c r="E986" s="372"/>
      <c r="F986" s="373"/>
      <c r="G986" s="213" t="str">
        <f>IFERROR(VLOOKUP(Tabla3[[#This Row],[NUM ECONOMICO]],MAQUINARIA!B:H,7,0), " MAQ")</f>
        <v>INACTIVA</v>
      </c>
      <c r="H986" s="362" t="s">
        <v>1356</v>
      </c>
      <c r="I986" s="375" t="s">
        <v>1959</v>
      </c>
      <c r="J986" s="370" t="s">
        <v>1989</v>
      </c>
      <c r="K986" s="370">
        <v>1</v>
      </c>
      <c r="L986" s="376">
        <v>368.2</v>
      </c>
      <c r="M986" s="376">
        <f t="shared" si="19"/>
        <v>368.2</v>
      </c>
      <c r="N986" s="41" t="s">
        <v>1990</v>
      </c>
      <c r="O986" s="370"/>
      <c r="P986" s="377">
        <f>Tabla3[[#This Row],[COSTO UNITARIO DOLARES EN HAWTHORNE]]*Tabla3[[#This Row],[CANTIDAD SOLICTADA]]</f>
        <v>0</v>
      </c>
      <c r="Q986" s="43"/>
      <c r="R986" s="230"/>
      <c r="S986" s="230">
        <f>+Tabla3[[#This Row],[COSTO UNITARIO DOLARES CTP]]*Tabla3[[#This Row],[CANTIDAD SOLICTADA]]</f>
        <v>0</v>
      </c>
      <c r="T986" s="43"/>
      <c r="U986" s="370" t="s">
        <v>5</v>
      </c>
      <c r="V986" s="360" t="s">
        <v>1991</v>
      </c>
      <c r="W986" s="378"/>
      <c r="X986" s="371"/>
      <c r="Y986" s="370"/>
      <c r="Z986" s="372"/>
      <c r="AA986" s="372"/>
      <c r="AB986" s="372"/>
      <c r="AC986" s="372"/>
      <c r="AD986" s="372"/>
      <c r="AE986" s="372"/>
      <c r="AF986" s="204"/>
      <c r="AG986" s="367" t="s">
        <v>1992</v>
      </c>
    </row>
    <row r="987" spans="1:33" ht="15.75" thickBot="1" x14ac:dyDescent="0.3">
      <c r="A987" s="356">
        <v>144</v>
      </c>
      <c r="B987" s="357">
        <v>46210</v>
      </c>
      <c r="C987" s="358" t="s">
        <v>87</v>
      </c>
      <c r="D987" s="359"/>
      <c r="E987" s="360"/>
      <c r="F987" s="361"/>
      <c r="G987" s="213" t="str">
        <f>IFERROR(VLOOKUP(Tabla3[[#This Row],[NUM ECONOMICO]],MAQUINARIA!B:H,7,0), " MAQ")</f>
        <v>INACTIVA</v>
      </c>
      <c r="H987" s="362" t="s">
        <v>1331</v>
      </c>
      <c r="I987" s="363" t="s">
        <v>452</v>
      </c>
      <c r="J987" s="358" t="s">
        <v>1960</v>
      </c>
      <c r="K987" s="358">
        <v>1</v>
      </c>
      <c r="L987" s="364">
        <v>533.78</v>
      </c>
      <c r="M987" s="364">
        <f t="shared" si="19"/>
        <v>533.78</v>
      </c>
      <c r="N987" s="41" t="s">
        <v>1990</v>
      </c>
      <c r="O987" s="358"/>
      <c r="P987" s="365">
        <f>Tabla3[[#This Row],[COSTO UNITARIO DOLARES EN HAWTHORNE]]*Tabla3[[#This Row],[CANTIDAD SOLICTADA]]</f>
        <v>0</v>
      </c>
      <c r="Q987" s="41"/>
      <c r="R987" s="229"/>
      <c r="S987" s="229">
        <f>+Tabla3[[#This Row],[COSTO UNITARIO DOLARES CTP]]*Tabla3[[#This Row],[CANTIDAD SOLICTADA]]</f>
        <v>0</v>
      </c>
      <c r="T987" s="41"/>
      <c r="U987" s="370" t="s">
        <v>5</v>
      </c>
      <c r="V987" s="360" t="s">
        <v>1993</v>
      </c>
      <c r="W987" s="366"/>
      <c r="X987" s="359"/>
      <c r="Y987" s="358"/>
      <c r="Z987" s="360"/>
      <c r="AA987" s="360"/>
      <c r="AB987" s="360"/>
      <c r="AC987" s="360"/>
      <c r="AD987" s="360"/>
      <c r="AE987" s="360"/>
      <c r="AF987" s="16"/>
      <c r="AG987" s="367" t="s">
        <v>1992</v>
      </c>
    </row>
    <row r="988" spans="1:33" ht="15.75" thickBot="1" x14ac:dyDescent="0.3">
      <c r="A988" s="356">
        <v>144</v>
      </c>
      <c r="B988" s="357">
        <v>46210</v>
      </c>
      <c r="C988" s="358" t="s">
        <v>87</v>
      </c>
      <c r="D988" s="359"/>
      <c r="E988" s="360"/>
      <c r="F988" s="361"/>
      <c r="G988" s="213" t="str">
        <f>IFERROR(VLOOKUP(Tabla3[[#This Row],[NUM ECONOMICO]],MAQUINARIA!B:H,7,0), " MAQ")</f>
        <v>INACTIVA</v>
      </c>
      <c r="H988" s="362" t="s">
        <v>1331</v>
      </c>
      <c r="I988" s="363" t="s">
        <v>1872</v>
      </c>
      <c r="J988" s="358" t="s">
        <v>1961</v>
      </c>
      <c r="K988" s="358">
        <v>2</v>
      </c>
      <c r="L988" s="364">
        <v>267.95999999999998</v>
      </c>
      <c r="M988" s="364">
        <f t="shared" si="19"/>
        <v>535.91999999999996</v>
      </c>
      <c r="N988" s="41" t="s">
        <v>1990</v>
      </c>
      <c r="O988" s="358"/>
      <c r="P988" s="365">
        <f>Tabla3[[#This Row],[COSTO UNITARIO DOLARES EN HAWTHORNE]]*Tabla3[[#This Row],[CANTIDAD SOLICTADA]]</f>
        <v>0</v>
      </c>
      <c r="Q988" s="41"/>
      <c r="R988" s="229"/>
      <c r="S988" s="229">
        <f>+Tabla3[[#This Row],[COSTO UNITARIO DOLARES CTP]]*Tabla3[[#This Row],[CANTIDAD SOLICTADA]]</f>
        <v>0</v>
      </c>
      <c r="T988" s="41"/>
      <c r="U988" s="370" t="s">
        <v>5</v>
      </c>
      <c r="V988" s="360" t="s">
        <v>1993</v>
      </c>
      <c r="W988" s="366"/>
      <c r="X988" s="359"/>
      <c r="Y988" s="358"/>
      <c r="Z988" s="360"/>
      <c r="AA988" s="360"/>
      <c r="AB988" s="360"/>
      <c r="AC988" s="360"/>
      <c r="AD988" s="360"/>
      <c r="AE988" s="360"/>
      <c r="AF988" s="16"/>
      <c r="AG988" s="367" t="s">
        <v>1992</v>
      </c>
    </row>
    <row r="989" spans="1:33" ht="15.75" thickBot="1" x14ac:dyDescent="0.3">
      <c r="A989" s="356">
        <v>144</v>
      </c>
      <c r="B989" s="357">
        <v>46210</v>
      </c>
      <c r="C989" s="358" t="s">
        <v>87</v>
      </c>
      <c r="D989" s="359"/>
      <c r="E989" s="360"/>
      <c r="F989" s="361"/>
      <c r="G989" s="213" t="str">
        <f>IFERROR(VLOOKUP(Tabla3[[#This Row],[NUM ECONOMICO]],MAQUINARIA!B:H,7,0), " MAQ")</f>
        <v>INACTIVA</v>
      </c>
      <c r="H989" s="362" t="s">
        <v>1331</v>
      </c>
      <c r="I989" s="363" t="s">
        <v>1873</v>
      </c>
      <c r="J989" s="358" t="s">
        <v>1962</v>
      </c>
      <c r="K989" s="358">
        <v>1</v>
      </c>
      <c r="L989" s="364">
        <v>143.56</v>
      </c>
      <c r="M989" s="364">
        <f t="shared" si="19"/>
        <v>143.56</v>
      </c>
      <c r="N989" s="41" t="s">
        <v>1990</v>
      </c>
      <c r="O989" s="358"/>
      <c r="P989" s="365">
        <f>Tabla3[[#This Row],[COSTO UNITARIO DOLARES EN HAWTHORNE]]*Tabla3[[#This Row],[CANTIDAD SOLICTADA]]</f>
        <v>0</v>
      </c>
      <c r="Q989" s="41"/>
      <c r="R989" s="229"/>
      <c r="S989" s="229">
        <f>+Tabla3[[#This Row],[COSTO UNITARIO DOLARES CTP]]*Tabla3[[#This Row],[CANTIDAD SOLICTADA]]</f>
        <v>0</v>
      </c>
      <c r="T989" s="41"/>
      <c r="U989" s="370" t="s">
        <v>5</v>
      </c>
      <c r="V989" s="360" t="s">
        <v>1993</v>
      </c>
      <c r="W989" s="366"/>
      <c r="X989" s="359"/>
      <c r="Y989" s="358"/>
      <c r="Z989" s="360"/>
      <c r="AA989" s="360"/>
      <c r="AB989" s="360"/>
      <c r="AC989" s="360"/>
      <c r="AD989" s="360"/>
      <c r="AE989" s="360"/>
      <c r="AF989" s="16"/>
      <c r="AG989" s="367" t="s">
        <v>1992</v>
      </c>
    </row>
    <row r="990" spans="1:33" ht="15.75" thickBot="1" x14ac:dyDescent="0.3">
      <c r="A990" s="356">
        <v>144</v>
      </c>
      <c r="B990" s="357">
        <v>46210</v>
      </c>
      <c r="C990" s="358" t="s">
        <v>87</v>
      </c>
      <c r="D990" s="359"/>
      <c r="E990" s="360"/>
      <c r="F990" s="361"/>
      <c r="G990" s="213" t="str">
        <f>IFERROR(VLOOKUP(Tabla3[[#This Row],[NUM ECONOMICO]],MAQUINARIA!B:H,7,0), " MAQ")</f>
        <v>INACTIVA</v>
      </c>
      <c r="H990" s="362" t="s">
        <v>1331</v>
      </c>
      <c r="I990" s="363" t="s">
        <v>1874</v>
      </c>
      <c r="J990" s="358" t="s">
        <v>1963</v>
      </c>
      <c r="K990" s="358">
        <v>9</v>
      </c>
      <c r="L990" s="364">
        <v>5089.87</v>
      </c>
      <c r="M990" s="364">
        <f t="shared" si="19"/>
        <v>45808.83</v>
      </c>
      <c r="N990" s="41" t="s">
        <v>1990</v>
      </c>
      <c r="O990" s="358"/>
      <c r="P990" s="365">
        <f>Tabla3[[#This Row],[COSTO UNITARIO DOLARES EN HAWTHORNE]]*Tabla3[[#This Row],[CANTIDAD SOLICTADA]]</f>
        <v>0</v>
      </c>
      <c r="Q990" s="41"/>
      <c r="R990" s="229"/>
      <c r="S990" s="229">
        <f>+Tabla3[[#This Row],[COSTO UNITARIO DOLARES CTP]]*Tabla3[[#This Row],[CANTIDAD SOLICTADA]]</f>
        <v>0</v>
      </c>
      <c r="T990" s="41"/>
      <c r="U990" s="370" t="s">
        <v>5</v>
      </c>
      <c r="V990" s="360" t="s">
        <v>1993</v>
      </c>
      <c r="W990" s="366"/>
      <c r="X990" s="359"/>
      <c r="Y990" s="358"/>
      <c r="Z990" s="360"/>
      <c r="AA990" s="360"/>
      <c r="AB990" s="360"/>
      <c r="AC990" s="360"/>
      <c r="AD990" s="360"/>
      <c r="AE990" s="360"/>
      <c r="AF990" s="16"/>
      <c r="AG990" s="367" t="s">
        <v>1992</v>
      </c>
    </row>
    <row r="991" spans="1:33" ht="15.75" thickBot="1" x14ac:dyDescent="0.3">
      <c r="A991" s="356">
        <v>144</v>
      </c>
      <c r="B991" s="357">
        <v>46210</v>
      </c>
      <c r="C991" s="358" t="s">
        <v>87</v>
      </c>
      <c r="D991" s="359"/>
      <c r="E991" s="360"/>
      <c r="F991" s="361"/>
      <c r="G991" s="213" t="str">
        <f>IFERROR(VLOOKUP(Tabla3[[#This Row],[NUM ECONOMICO]],MAQUINARIA!B:H,7,0), " MAQ")</f>
        <v>INACTIVA</v>
      </c>
      <c r="H991" s="362" t="s">
        <v>1331</v>
      </c>
      <c r="I991" s="363" t="s">
        <v>1875</v>
      </c>
      <c r="J991" s="358" t="s">
        <v>308</v>
      </c>
      <c r="K991" s="358">
        <v>1</v>
      </c>
      <c r="L991" s="364">
        <v>8928.34</v>
      </c>
      <c r="M991" s="364">
        <f t="shared" si="19"/>
        <v>8928.34</v>
      </c>
      <c r="N991" s="41" t="s">
        <v>1990</v>
      </c>
      <c r="O991" s="358"/>
      <c r="P991" s="365">
        <f>Tabla3[[#This Row],[COSTO UNITARIO DOLARES EN HAWTHORNE]]*Tabla3[[#This Row],[CANTIDAD SOLICTADA]]</f>
        <v>0</v>
      </c>
      <c r="Q991" s="41"/>
      <c r="R991" s="229"/>
      <c r="S991" s="229">
        <f>+Tabla3[[#This Row],[COSTO UNITARIO DOLARES CTP]]*Tabla3[[#This Row],[CANTIDAD SOLICTADA]]</f>
        <v>0</v>
      </c>
      <c r="T991" s="41"/>
      <c r="U991" s="370" t="s">
        <v>5</v>
      </c>
      <c r="V991" s="360" t="s">
        <v>1993</v>
      </c>
      <c r="W991" s="366"/>
      <c r="X991" s="359"/>
      <c r="Y991" s="358"/>
      <c r="Z991" s="360"/>
      <c r="AA991" s="360"/>
      <c r="AB991" s="360"/>
      <c r="AC991" s="360"/>
      <c r="AD991" s="360"/>
      <c r="AE991" s="360"/>
      <c r="AF991" s="16"/>
      <c r="AG991" s="367" t="s">
        <v>1992</v>
      </c>
    </row>
    <row r="992" spans="1:33" ht="15.75" thickBot="1" x14ac:dyDescent="0.3">
      <c r="A992" s="356">
        <v>144</v>
      </c>
      <c r="B992" s="357">
        <v>46210</v>
      </c>
      <c r="C992" s="358" t="s">
        <v>87</v>
      </c>
      <c r="D992" s="359"/>
      <c r="E992" s="360"/>
      <c r="F992" s="361"/>
      <c r="G992" s="213" t="str">
        <f>IFERROR(VLOOKUP(Tabla3[[#This Row],[NUM ECONOMICO]],MAQUINARIA!B:H,7,0), " MAQ")</f>
        <v>INACTIVA</v>
      </c>
      <c r="H992" s="362" t="s">
        <v>1331</v>
      </c>
      <c r="I992" s="363" t="s">
        <v>1876</v>
      </c>
      <c r="J992" s="358" t="s">
        <v>308</v>
      </c>
      <c r="K992" s="358">
        <v>3</v>
      </c>
      <c r="L992" s="364">
        <v>4319.09</v>
      </c>
      <c r="M992" s="364">
        <f t="shared" si="19"/>
        <v>12957.27</v>
      </c>
      <c r="N992" s="41" t="s">
        <v>1990</v>
      </c>
      <c r="O992" s="358"/>
      <c r="P992" s="365">
        <f>Tabla3[[#This Row],[COSTO UNITARIO DOLARES EN HAWTHORNE]]*Tabla3[[#This Row],[CANTIDAD SOLICTADA]]</f>
        <v>0</v>
      </c>
      <c r="Q992" s="41"/>
      <c r="R992" s="229"/>
      <c r="S992" s="229">
        <f>+Tabla3[[#This Row],[COSTO UNITARIO DOLARES CTP]]*Tabla3[[#This Row],[CANTIDAD SOLICTADA]]</f>
        <v>0</v>
      </c>
      <c r="T992" s="41"/>
      <c r="U992" s="370" t="s">
        <v>5</v>
      </c>
      <c r="V992" s="360" t="s">
        <v>1993</v>
      </c>
      <c r="W992" s="366"/>
      <c r="X992" s="359"/>
      <c r="Y992" s="358"/>
      <c r="Z992" s="360"/>
      <c r="AA992" s="360"/>
      <c r="AB992" s="360"/>
      <c r="AC992" s="360"/>
      <c r="AD992" s="360"/>
      <c r="AE992" s="360"/>
      <c r="AF992" s="16"/>
      <c r="AG992" s="367" t="s">
        <v>1992</v>
      </c>
    </row>
    <row r="993" spans="1:33" ht="15.75" thickBot="1" x14ac:dyDescent="0.3">
      <c r="A993" s="356">
        <v>144</v>
      </c>
      <c r="B993" s="357">
        <v>46210</v>
      </c>
      <c r="C993" s="358" t="s">
        <v>87</v>
      </c>
      <c r="D993" s="359"/>
      <c r="E993" s="360"/>
      <c r="F993" s="361"/>
      <c r="G993" s="213" t="str">
        <f>IFERROR(VLOOKUP(Tabla3[[#This Row],[NUM ECONOMICO]],MAQUINARIA!B:H,7,0), " MAQ")</f>
        <v>INACTIVA</v>
      </c>
      <c r="H993" s="362" t="s">
        <v>1331</v>
      </c>
      <c r="I993" s="363" t="s">
        <v>1877</v>
      </c>
      <c r="J993" s="358" t="s">
        <v>670</v>
      </c>
      <c r="K993" s="358">
        <v>75</v>
      </c>
      <c r="L993" s="364">
        <v>92.01</v>
      </c>
      <c r="M993" s="364">
        <f t="shared" si="19"/>
        <v>6900.75</v>
      </c>
      <c r="N993" s="41" t="s">
        <v>1990</v>
      </c>
      <c r="O993" s="358"/>
      <c r="P993" s="365">
        <f>Tabla3[[#This Row],[COSTO UNITARIO DOLARES EN HAWTHORNE]]*Tabla3[[#This Row],[CANTIDAD SOLICTADA]]</f>
        <v>0</v>
      </c>
      <c r="Q993" s="41"/>
      <c r="R993" s="229"/>
      <c r="S993" s="229">
        <f>+Tabla3[[#This Row],[COSTO UNITARIO DOLARES CTP]]*Tabla3[[#This Row],[CANTIDAD SOLICTADA]]</f>
        <v>0</v>
      </c>
      <c r="T993" s="41"/>
      <c r="U993" s="370" t="s">
        <v>5</v>
      </c>
      <c r="V993" s="360" t="s">
        <v>1993</v>
      </c>
      <c r="W993" s="366"/>
      <c r="X993" s="359"/>
      <c r="Y993" s="358"/>
      <c r="Z993" s="360"/>
      <c r="AA993" s="360"/>
      <c r="AB993" s="360"/>
      <c r="AC993" s="360"/>
      <c r="AD993" s="360"/>
      <c r="AE993" s="360"/>
      <c r="AF993" s="16"/>
      <c r="AG993" s="367" t="s">
        <v>1992</v>
      </c>
    </row>
    <row r="994" spans="1:33" ht="15.75" thickBot="1" x14ac:dyDescent="0.3">
      <c r="A994" s="356">
        <v>144</v>
      </c>
      <c r="B994" s="357">
        <v>46210</v>
      </c>
      <c r="C994" s="358" t="s">
        <v>87</v>
      </c>
      <c r="D994" s="359"/>
      <c r="E994" s="360"/>
      <c r="F994" s="361"/>
      <c r="G994" s="213" t="str">
        <f>IFERROR(VLOOKUP(Tabla3[[#This Row],[NUM ECONOMICO]],MAQUINARIA!B:H,7,0), " MAQ")</f>
        <v>INACTIVA</v>
      </c>
      <c r="H994" s="362" t="s">
        <v>1331</v>
      </c>
      <c r="I994" s="363" t="s">
        <v>1878</v>
      </c>
      <c r="J994" s="358" t="s">
        <v>1964</v>
      </c>
      <c r="K994" s="358">
        <v>4</v>
      </c>
      <c r="L994" s="364">
        <v>7737.82</v>
      </c>
      <c r="M994" s="364">
        <f t="shared" si="19"/>
        <v>30951.279999999999</v>
      </c>
      <c r="N994" s="41" t="s">
        <v>1990</v>
      </c>
      <c r="O994" s="358"/>
      <c r="P994" s="365">
        <f>Tabla3[[#This Row],[COSTO UNITARIO DOLARES EN HAWTHORNE]]*Tabla3[[#This Row],[CANTIDAD SOLICTADA]]</f>
        <v>0</v>
      </c>
      <c r="Q994" s="41"/>
      <c r="R994" s="229"/>
      <c r="S994" s="229">
        <f>+Tabla3[[#This Row],[COSTO UNITARIO DOLARES CTP]]*Tabla3[[#This Row],[CANTIDAD SOLICTADA]]</f>
        <v>0</v>
      </c>
      <c r="T994" s="41"/>
      <c r="U994" s="370" t="s">
        <v>5</v>
      </c>
      <c r="V994" s="360" t="s">
        <v>1993</v>
      </c>
      <c r="W994" s="366"/>
      <c r="X994" s="359"/>
      <c r="Y994" s="358"/>
      <c r="Z994" s="360"/>
      <c r="AA994" s="360"/>
      <c r="AB994" s="360"/>
      <c r="AC994" s="360"/>
      <c r="AD994" s="360"/>
      <c r="AE994" s="360"/>
      <c r="AF994" s="16"/>
      <c r="AG994" s="367" t="s">
        <v>1992</v>
      </c>
    </row>
    <row r="995" spans="1:33" ht="15.75" thickBot="1" x14ac:dyDescent="0.3">
      <c r="A995" s="356">
        <v>144</v>
      </c>
      <c r="B995" s="357">
        <v>46210</v>
      </c>
      <c r="C995" s="358" t="s">
        <v>87</v>
      </c>
      <c r="D995" s="359"/>
      <c r="E995" s="360"/>
      <c r="F995" s="361"/>
      <c r="G995" s="213" t="str">
        <f>IFERROR(VLOOKUP(Tabla3[[#This Row],[NUM ECONOMICO]],MAQUINARIA!B:H,7,0), " MAQ")</f>
        <v>INACTIVA</v>
      </c>
      <c r="H995" s="362" t="s">
        <v>1331</v>
      </c>
      <c r="I995" s="363" t="s">
        <v>1879</v>
      </c>
      <c r="J995" s="358" t="s">
        <v>1965</v>
      </c>
      <c r="K995" s="358">
        <v>4</v>
      </c>
      <c r="L995" s="364">
        <v>3675.46</v>
      </c>
      <c r="M995" s="364">
        <f t="shared" si="19"/>
        <v>14701.84</v>
      </c>
      <c r="N995" s="41" t="s">
        <v>1990</v>
      </c>
      <c r="O995" s="358"/>
      <c r="P995" s="365">
        <f>Tabla3[[#This Row],[COSTO UNITARIO DOLARES EN HAWTHORNE]]*Tabla3[[#This Row],[CANTIDAD SOLICTADA]]</f>
        <v>0</v>
      </c>
      <c r="Q995" s="41"/>
      <c r="R995" s="229"/>
      <c r="S995" s="229">
        <f>+Tabla3[[#This Row],[COSTO UNITARIO DOLARES CTP]]*Tabla3[[#This Row],[CANTIDAD SOLICTADA]]</f>
        <v>0</v>
      </c>
      <c r="T995" s="41"/>
      <c r="U995" s="370" t="s">
        <v>5</v>
      </c>
      <c r="V995" s="360" t="s">
        <v>1993</v>
      </c>
      <c r="W995" s="366"/>
      <c r="X995" s="359"/>
      <c r="Y995" s="358"/>
      <c r="Z995" s="360"/>
      <c r="AA995" s="360"/>
      <c r="AB995" s="360"/>
      <c r="AC995" s="360"/>
      <c r="AD995" s="360"/>
      <c r="AE995" s="360"/>
      <c r="AF995" s="16"/>
      <c r="AG995" s="367" t="s">
        <v>1992</v>
      </c>
    </row>
    <row r="996" spans="1:33" ht="15.75" thickBot="1" x14ac:dyDescent="0.3">
      <c r="A996" s="356">
        <v>144</v>
      </c>
      <c r="B996" s="357">
        <v>46210</v>
      </c>
      <c r="C996" s="358" t="s">
        <v>87</v>
      </c>
      <c r="D996" s="359"/>
      <c r="E996" s="360"/>
      <c r="F996" s="361"/>
      <c r="G996" s="213" t="str">
        <f>IFERROR(VLOOKUP(Tabla3[[#This Row],[NUM ECONOMICO]],MAQUINARIA!B:H,7,0), " MAQ")</f>
        <v>INACTIVA</v>
      </c>
      <c r="H996" s="362" t="s">
        <v>1331</v>
      </c>
      <c r="I996" s="363" t="s">
        <v>1880</v>
      </c>
      <c r="J996" s="358" t="s">
        <v>1964</v>
      </c>
      <c r="K996" s="358">
        <v>9</v>
      </c>
      <c r="L996" s="364">
        <v>9028.76</v>
      </c>
      <c r="M996" s="364">
        <f t="shared" si="19"/>
        <v>81258.84</v>
      </c>
      <c r="N996" s="41" t="s">
        <v>1990</v>
      </c>
      <c r="O996" s="358"/>
      <c r="P996" s="365">
        <f>Tabla3[[#This Row],[COSTO UNITARIO DOLARES EN HAWTHORNE]]*Tabla3[[#This Row],[CANTIDAD SOLICTADA]]</f>
        <v>0</v>
      </c>
      <c r="Q996" s="41"/>
      <c r="R996" s="229"/>
      <c r="S996" s="229">
        <f>+Tabla3[[#This Row],[COSTO UNITARIO DOLARES CTP]]*Tabla3[[#This Row],[CANTIDAD SOLICTADA]]</f>
        <v>0</v>
      </c>
      <c r="T996" s="41"/>
      <c r="U996" s="370" t="s">
        <v>5</v>
      </c>
      <c r="V996" s="360" t="s">
        <v>1993</v>
      </c>
      <c r="W996" s="366"/>
      <c r="X996" s="359"/>
      <c r="Y996" s="358"/>
      <c r="Z996" s="360"/>
      <c r="AA996" s="360"/>
      <c r="AB996" s="360"/>
      <c r="AC996" s="360"/>
      <c r="AD996" s="360"/>
      <c r="AE996" s="360"/>
      <c r="AF996" s="16"/>
      <c r="AG996" s="367" t="s">
        <v>1992</v>
      </c>
    </row>
    <row r="997" spans="1:33" ht="15.75" thickBot="1" x14ac:dyDescent="0.3">
      <c r="A997" s="356">
        <v>144</v>
      </c>
      <c r="B997" s="357">
        <v>46210</v>
      </c>
      <c r="C997" s="358" t="s">
        <v>87</v>
      </c>
      <c r="D997" s="359"/>
      <c r="E997" s="360"/>
      <c r="F997" s="361"/>
      <c r="G997" s="213" t="str">
        <f>IFERROR(VLOOKUP(Tabla3[[#This Row],[NUM ECONOMICO]],MAQUINARIA!B:H,7,0), " MAQ")</f>
        <v>INACTIVA</v>
      </c>
      <c r="H997" s="362" t="s">
        <v>1331</v>
      </c>
      <c r="I997" s="363" t="s">
        <v>1879</v>
      </c>
      <c r="J997" s="358" t="s">
        <v>1966</v>
      </c>
      <c r="K997" s="358">
        <v>9</v>
      </c>
      <c r="L997" s="364">
        <v>4288.66</v>
      </c>
      <c r="M997" s="364">
        <f t="shared" si="19"/>
        <v>38597.94</v>
      </c>
      <c r="N997" s="41" t="s">
        <v>1990</v>
      </c>
      <c r="O997" s="358"/>
      <c r="P997" s="365">
        <f>Tabla3[[#This Row],[COSTO UNITARIO DOLARES EN HAWTHORNE]]*Tabla3[[#This Row],[CANTIDAD SOLICTADA]]</f>
        <v>0</v>
      </c>
      <c r="Q997" s="41"/>
      <c r="R997" s="229"/>
      <c r="S997" s="229">
        <f>+Tabla3[[#This Row],[COSTO UNITARIO DOLARES CTP]]*Tabla3[[#This Row],[CANTIDAD SOLICTADA]]</f>
        <v>0</v>
      </c>
      <c r="T997" s="41"/>
      <c r="U997" s="370" t="s">
        <v>5</v>
      </c>
      <c r="V997" s="360" t="s">
        <v>1993</v>
      </c>
      <c r="W997" s="366"/>
      <c r="X997" s="359"/>
      <c r="Y997" s="358"/>
      <c r="Z997" s="360"/>
      <c r="AA997" s="360"/>
      <c r="AB997" s="360"/>
      <c r="AC997" s="360"/>
      <c r="AD997" s="360"/>
      <c r="AE997" s="360"/>
      <c r="AF997" s="16"/>
      <c r="AG997" s="367" t="s">
        <v>1992</v>
      </c>
    </row>
    <row r="998" spans="1:33" ht="15.75" thickBot="1" x14ac:dyDescent="0.3">
      <c r="A998" s="356">
        <v>144</v>
      </c>
      <c r="B998" s="357">
        <v>46210</v>
      </c>
      <c r="C998" s="358" t="s">
        <v>87</v>
      </c>
      <c r="D998" s="359"/>
      <c r="E998" s="360"/>
      <c r="F998" s="361"/>
      <c r="G998" s="213" t="str">
        <f>IFERROR(VLOOKUP(Tabla3[[#This Row],[NUM ECONOMICO]],MAQUINARIA!B:H,7,0), " MAQ")</f>
        <v>INACTIVA</v>
      </c>
      <c r="H998" s="362" t="s">
        <v>1331</v>
      </c>
      <c r="I998" s="363" t="s">
        <v>1881</v>
      </c>
      <c r="J998" s="358" t="s">
        <v>670</v>
      </c>
      <c r="K998" s="358">
        <v>20</v>
      </c>
      <c r="L998" s="364">
        <v>184.37</v>
      </c>
      <c r="M998" s="364">
        <f t="shared" si="19"/>
        <v>3687.4</v>
      </c>
      <c r="N998" s="41" t="s">
        <v>1990</v>
      </c>
      <c r="O998" s="358"/>
      <c r="P998" s="365">
        <f>Tabla3[[#This Row],[COSTO UNITARIO DOLARES EN HAWTHORNE]]*Tabla3[[#This Row],[CANTIDAD SOLICTADA]]</f>
        <v>0</v>
      </c>
      <c r="Q998" s="41"/>
      <c r="R998" s="229"/>
      <c r="S998" s="229">
        <f>+Tabla3[[#This Row],[COSTO UNITARIO DOLARES CTP]]*Tabla3[[#This Row],[CANTIDAD SOLICTADA]]</f>
        <v>0</v>
      </c>
      <c r="T998" s="41"/>
      <c r="U998" s="370" t="s">
        <v>5</v>
      </c>
      <c r="V998" s="360" t="s">
        <v>1993</v>
      </c>
      <c r="W998" s="366"/>
      <c r="X998" s="359"/>
      <c r="Y998" s="358"/>
      <c r="Z998" s="360"/>
      <c r="AA998" s="360"/>
      <c r="AB998" s="360"/>
      <c r="AC998" s="360"/>
      <c r="AD998" s="360"/>
      <c r="AE998" s="360"/>
      <c r="AF998" s="16"/>
      <c r="AG998" s="367" t="s">
        <v>1992</v>
      </c>
    </row>
    <row r="999" spans="1:33" ht="15.75" thickBot="1" x14ac:dyDescent="0.3">
      <c r="A999" s="356">
        <v>144</v>
      </c>
      <c r="B999" s="357">
        <v>46210</v>
      </c>
      <c r="C999" s="358" t="s">
        <v>87</v>
      </c>
      <c r="D999" s="359"/>
      <c r="E999" s="360"/>
      <c r="F999" s="361"/>
      <c r="G999" s="213" t="str">
        <f>IFERROR(VLOOKUP(Tabla3[[#This Row],[NUM ECONOMICO]],MAQUINARIA!B:H,7,0), " MAQ")</f>
        <v>INACTIVA</v>
      </c>
      <c r="H999" s="362" t="s">
        <v>1331</v>
      </c>
      <c r="I999" s="363" t="s">
        <v>1882</v>
      </c>
      <c r="J999" s="358" t="s">
        <v>670</v>
      </c>
      <c r="K999" s="358">
        <v>5</v>
      </c>
      <c r="L999" s="364">
        <v>270.47000000000003</v>
      </c>
      <c r="M999" s="364">
        <f t="shared" si="19"/>
        <v>1352.3500000000001</v>
      </c>
      <c r="N999" s="41" t="s">
        <v>1990</v>
      </c>
      <c r="O999" s="358"/>
      <c r="P999" s="365">
        <f>Tabla3[[#This Row],[COSTO UNITARIO DOLARES EN HAWTHORNE]]*Tabla3[[#This Row],[CANTIDAD SOLICTADA]]</f>
        <v>0</v>
      </c>
      <c r="Q999" s="41"/>
      <c r="R999" s="229"/>
      <c r="S999" s="229">
        <f>+Tabla3[[#This Row],[COSTO UNITARIO DOLARES CTP]]*Tabla3[[#This Row],[CANTIDAD SOLICTADA]]</f>
        <v>0</v>
      </c>
      <c r="T999" s="41"/>
      <c r="U999" s="370" t="s">
        <v>5</v>
      </c>
      <c r="V999" s="360" t="s">
        <v>1993</v>
      </c>
      <c r="W999" s="366"/>
      <c r="X999" s="359"/>
      <c r="Y999" s="358"/>
      <c r="Z999" s="360"/>
      <c r="AA999" s="360"/>
      <c r="AB999" s="360"/>
      <c r="AC999" s="360"/>
      <c r="AD999" s="360"/>
      <c r="AE999" s="360"/>
      <c r="AF999" s="16"/>
      <c r="AG999" s="367" t="s">
        <v>1992</v>
      </c>
    </row>
    <row r="1000" spans="1:33" ht="15.75" thickBot="1" x14ac:dyDescent="0.3">
      <c r="A1000" s="356">
        <v>144</v>
      </c>
      <c r="B1000" s="357">
        <v>46210</v>
      </c>
      <c r="C1000" s="358" t="s">
        <v>87</v>
      </c>
      <c r="D1000" s="359"/>
      <c r="E1000" s="360"/>
      <c r="F1000" s="361"/>
      <c r="G1000" s="213" t="str">
        <f>IFERROR(VLOOKUP(Tabla3[[#This Row],[NUM ECONOMICO]],MAQUINARIA!B:H,7,0), " MAQ")</f>
        <v>INACTIVA</v>
      </c>
      <c r="H1000" s="362" t="s">
        <v>1331</v>
      </c>
      <c r="I1000" s="363" t="s">
        <v>1883</v>
      </c>
      <c r="J1000" s="358" t="s">
        <v>308</v>
      </c>
      <c r="K1000" s="358">
        <v>3</v>
      </c>
      <c r="L1000" s="364">
        <v>2814.6</v>
      </c>
      <c r="M1000" s="364">
        <f t="shared" si="19"/>
        <v>8443.7999999999993</v>
      </c>
      <c r="N1000" s="41" t="s">
        <v>1990</v>
      </c>
      <c r="O1000" s="358"/>
      <c r="P1000" s="365">
        <f>Tabla3[[#This Row],[COSTO UNITARIO DOLARES EN HAWTHORNE]]*Tabla3[[#This Row],[CANTIDAD SOLICTADA]]</f>
        <v>0</v>
      </c>
      <c r="Q1000" s="41"/>
      <c r="R1000" s="229"/>
      <c r="S1000" s="229">
        <f>+Tabla3[[#This Row],[COSTO UNITARIO DOLARES CTP]]*Tabla3[[#This Row],[CANTIDAD SOLICTADA]]</f>
        <v>0</v>
      </c>
      <c r="T1000" s="41"/>
      <c r="U1000" s="370" t="s">
        <v>5</v>
      </c>
      <c r="V1000" s="360" t="s">
        <v>1993</v>
      </c>
      <c r="W1000" s="366"/>
      <c r="X1000" s="359"/>
      <c r="Y1000" s="358"/>
      <c r="Z1000" s="360"/>
      <c r="AA1000" s="360"/>
      <c r="AB1000" s="360"/>
      <c r="AC1000" s="360"/>
      <c r="AD1000" s="360"/>
      <c r="AE1000" s="360"/>
      <c r="AF1000" s="16"/>
      <c r="AG1000" s="367" t="s">
        <v>1992</v>
      </c>
    </row>
    <row r="1001" spans="1:33" ht="15.75" thickBot="1" x14ac:dyDescent="0.3">
      <c r="A1001" s="356">
        <v>144</v>
      </c>
      <c r="B1001" s="357">
        <v>46210</v>
      </c>
      <c r="C1001" s="358" t="s">
        <v>87</v>
      </c>
      <c r="D1001" s="359"/>
      <c r="E1001" s="360"/>
      <c r="F1001" s="361"/>
      <c r="G1001" s="213" t="str">
        <f>IFERROR(VLOOKUP(Tabla3[[#This Row],[NUM ECONOMICO]],MAQUINARIA!B:H,7,0), " MAQ")</f>
        <v>INACTIVA</v>
      </c>
      <c r="H1001" s="362" t="s">
        <v>1331</v>
      </c>
      <c r="I1001" s="363" t="s">
        <v>1884</v>
      </c>
      <c r="J1001" s="358" t="s">
        <v>1967</v>
      </c>
      <c r="K1001" s="358">
        <v>5</v>
      </c>
      <c r="L1001" s="364">
        <v>4319.09</v>
      </c>
      <c r="M1001" s="364">
        <f t="shared" si="19"/>
        <v>21595.45</v>
      </c>
      <c r="N1001" s="41" t="s">
        <v>1990</v>
      </c>
      <c r="O1001" s="358"/>
      <c r="P1001" s="365">
        <f>Tabla3[[#This Row],[COSTO UNITARIO DOLARES EN HAWTHORNE]]*Tabla3[[#This Row],[CANTIDAD SOLICTADA]]</f>
        <v>0</v>
      </c>
      <c r="Q1001" s="41"/>
      <c r="R1001" s="229"/>
      <c r="S1001" s="229">
        <f>+Tabla3[[#This Row],[COSTO UNITARIO DOLARES CTP]]*Tabla3[[#This Row],[CANTIDAD SOLICTADA]]</f>
        <v>0</v>
      </c>
      <c r="T1001" s="41"/>
      <c r="U1001" s="370" t="s">
        <v>5</v>
      </c>
      <c r="V1001" s="360" t="s">
        <v>1993</v>
      </c>
      <c r="W1001" s="366"/>
      <c r="X1001" s="359"/>
      <c r="Y1001" s="358"/>
      <c r="Z1001" s="360"/>
      <c r="AA1001" s="360"/>
      <c r="AB1001" s="360"/>
      <c r="AC1001" s="360"/>
      <c r="AD1001" s="360"/>
      <c r="AE1001" s="360"/>
      <c r="AF1001" s="16"/>
      <c r="AG1001" s="367" t="s">
        <v>1992</v>
      </c>
    </row>
    <row r="1002" spans="1:33" ht="15.75" thickBot="1" x14ac:dyDescent="0.3">
      <c r="A1002" s="356">
        <v>144</v>
      </c>
      <c r="B1002" s="357">
        <v>46210</v>
      </c>
      <c r="C1002" s="358" t="s">
        <v>87</v>
      </c>
      <c r="D1002" s="359"/>
      <c r="E1002" s="360"/>
      <c r="F1002" s="361"/>
      <c r="G1002" s="213" t="str">
        <f>IFERROR(VLOOKUP(Tabla3[[#This Row],[NUM ECONOMICO]],MAQUINARIA!B:H,7,0), " MAQ")</f>
        <v>INACTIVA</v>
      </c>
      <c r="H1002" s="362" t="s">
        <v>1331</v>
      </c>
      <c r="I1002" s="363" t="s">
        <v>1885</v>
      </c>
      <c r="J1002" s="358" t="s">
        <v>1858</v>
      </c>
      <c r="K1002" s="358">
        <v>8</v>
      </c>
      <c r="L1002" s="364">
        <v>175.24</v>
      </c>
      <c r="M1002" s="364">
        <f t="shared" si="19"/>
        <v>1401.92</v>
      </c>
      <c r="N1002" s="41" t="s">
        <v>1990</v>
      </c>
      <c r="O1002" s="358"/>
      <c r="P1002" s="365">
        <f>Tabla3[[#This Row],[COSTO UNITARIO DOLARES EN HAWTHORNE]]*Tabla3[[#This Row],[CANTIDAD SOLICTADA]]</f>
        <v>0</v>
      </c>
      <c r="Q1002" s="41"/>
      <c r="R1002" s="229"/>
      <c r="S1002" s="229">
        <f>+Tabla3[[#This Row],[COSTO UNITARIO DOLARES CTP]]*Tabla3[[#This Row],[CANTIDAD SOLICTADA]]</f>
        <v>0</v>
      </c>
      <c r="T1002" s="41"/>
      <c r="U1002" s="370" t="s">
        <v>5</v>
      </c>
      <c r="V1002" s="360" t="s">
        <v>1993</v>
      </c>
      <c r="W1002" s="366"/>
      <c r="X1002" s="359"/>
      <c r="Y1002" s="358"/>
      <c r="Z1002" s="360"/>
      <c r="AA1002" s="360"/>
      <c r="AB1002" s="360"/>
      <c r="AC1002" s="360"/>
      <c r="AD1002" s="360"/>
      <c r="AE1002" s="360"/>
      <c r="AF1002" s="16"/>
      <c r="AG1002" s="367" t="s">
        <v>1992</v>
      </c>
    </row>
    <row r="1003" spans="1:33" ht="15.75" thickBot="1" x14ac:dyDescent="0.3">
      <c r="A1003" s="356">
        <v>144</v>
      </c>
      <c r="B1003" s="357">
        <v>46210</v>
      </c>
      <c r="C1003" s="358" t="s">
        <v>87</v>
      </c>
      <c r="D1003" s="359"/>
      <c r="E1003" s="360"/>
      <c r="F1003" s="361"/>
      <c r="G1003" s="213" t="str">
        <f>IFERROR(VLOOKUP(Tabla3[[#This Row],[NUM ECONOMICO]],MAQUINARIA!B:H,7,0), " MAQ")</f>
        <v>INACTIVA</v>
      </c>
      <c r="H1003" s="362" t="s">
        <v>1331</v>
      </c>
      <c r="I1003" s="363" t="s">
        <v>286</v>
      </c>
      <c r="J1003" s="358" t="s">
        <v>308</v>
      </c>
      <c r="K1003" s="358">
        <v>22</v>
      </c>
      <c r="L1003" s="364">
        <v>197.62</v>
      </c>
      <c r="M1003" s="364">
        <f t="shared" si="19"/>
        <v>4347.6400000000003</v>
      </c>
      <c r="N1003" s="41" t="s">
        <v>1990</v>
      </c>
      <c r="O1003" s="358"/>
      <c r="P1003" s="365">
        <f>Tabla3[[#This Row],[COSTO UNITARIO DOLARES EN HAWTHORNE]]*Tabla3[[#This Row],[CANTIDAD SOLICTADA]]</f>
        <v>0</v>
      </c>
      <c r="Q1003" s="41"/>
      <c r="R1003" s="229"/>
      <c r="S1003" s="229">
        <f>+Tabla3[[#This Row],[COSTO UNITARIO DOLARES CTP]]*Tabla3[[#This Row],[CANTIDAD SOLICTADA]]</f>
        <v>0</v>
      </c>
      <c r="T1003" s="41"/>
      <c r="U1003" s="370" t="s">
        <v>5</v>
      </c>
      <c r="V1003" s="360" t="s">
        <v>1993</v>
      </c>
      <c r="W1003" s="366"/>
      <c r="X1003" s="359"/>
      <c r="Y1003" s="358"/>
      <c r="Z1003" s="360"/>
      <c r="AA1003" s="360"/>
      <c r="AB1003" s="360"/>
      <c r="AC1003" s="360"/>
      <c r="AD1003" s="360"/>
      <c r="AE1003" s="360"/>
      <c r="AF1003" s="16"/>
      <c r="AG1003" s="367" t="s">
        <v>1992</v>
      </c>
    </row>
    <row r="1004" spans="1:33" ht="15.75" thickBot="1" x14ac:dyDescent="0.3">
      <c r="A1004" s="356">
        <v>144</v>
      </c>
      <c r="B1004" s="357">
        <v>46210</v>
      </c>
      <c r="C1004" s="358" t="s">
        <v>87</v>
      </c>
      <c r="D1004" s="359"/>
      <c r="E1004" s="360"/>
      <c r="F1004" s="361"/>
      <c r="G1004" s="213" t="str">
        <f>IFERROR(VLOOKUP(Tabla3[[#This Row],[NUM ECONOMICO]],MAQUINARIA!B:H,7,0), " MAQ")</f>
        <v>INACTIVA</v>
      </c>
      <c r="H1004" s="362" t="s">
        <v>1331</v>
      </c>
      <c r="I1004" s="363" t="s">
        <v>1886</v>
      </c>
      <c r="J1004" s="358" t="s">
        <v>1968</v>
      </c>
      <c r="K1004" s="358">
        <v>16</v>
      </c>
      <c r="L1004" s="364">
        <v>217.13</v>
      </c>
      <c r="M1004" s="364">
        <f t="shared" si="19"/>
        <v>3474.08</v>
      </c>
      <c r="N1004" s="41" t="s">
        <v>1990</v>
      </c>
      <c r="O1004" s="358"/>
      <c r="P1004" s="365">
        <f>Tabla3[[#This Row],[COSTO UNITARIO DOLARES EN HAWTHORNE]]*Tabla3[[#This Row],[CANTIDAD SOLICTADA]]</f>
        <v>0</v>
      </c>
      <c r="Q1004" s="41"/>
      <c r="R1004" s="229"/>
      <c r="S1004" s="229">
        <f>+Tabla3[[#This Row],[COSTO UNITARIO DOLARES CTP]]*Tabla3[[#This Row],[CANTIDAD SOLICTADA]]</f>
        <v>0</v>
      </c>
      <c r="T1004" s="41"/>
      <c r="U1004" s="370" t="s">
        <v>5</v>
      </c>
      <c r="V1004" s="360" t="s">
        <v>1993</v>
      </c>
      <c r="W1004" s="366"/>
      <c r="X1004" s="359"/>
      <c r="Y1004" s="358"/>
      <c r="Z1004" s="360"/>
      <c r="AA1004" s="360"/>
      <c r="AB1004" s="360"/>
      <c r="AC1004" s="360"/>
      <c r="AD1004" s="360"/>
      <c r="AE1004" s="360"/>
      <c r="AF1004" s="16"/>
      <c r="AG1004" s="367" t="s">
        <v>1992</v>
      </c>
    </row>
    <row r="1005" spans="1:33" ht="15.75" thickBot="1" x14ac:dyDescent="0.3">
      <c r="A1005" s="356">
        <v>144</v>
      </c>
      <c r="B1005" s="357">
        <v>46210</v>
      </c>
      <c r="C1005" s="358" t="s">
        <v>87</v>
      </c>
      <c r="D1005" s="359"/>
      <c r="E1005" s="360"/>
      <c r="F1005" s="361"/>
      <c r="G1005" s="213" t="str">
        <f>IFERROR(VLOOKUP(Tabla3[[#This Row],[NUM ECONOMICO]],MAQUINARIA!B:H,7,0), " MAQ")</f>
        <v>INACTIVA</v>
      </c>
      <c r="H1005" s="362" t="s">
        <v>1331</v>
      </c>
      <c r="I1005" s="363" t="s">
        <v>1887</v>
      </c>
      <c r="J1005" s="358" t="s">
        <v>308</v>
      </c>
      <c r="K1005" s="358">
        <v>3</v>
      </c>
      <c r="L1005" s="364">
        <v>2868.65</v>
      </c>
      <c r="M1005" s="364">
        <f t="shared" si="19"/>
        <v>8605.9500000000007</v>
      </c>
      <c r="N1005" s="41" t="s">
        <v>1990</v>
      </c>
      <c r="O1005" s="358"/>
      <c r="P1005" s="365">
        <f>Tabla3[[#This Row],[COSTO UNITARIO DOLARES EN HAWTHORNE]]*Tabla3[[#This Row],[CANTIDAD SOLICTADA]]</f>
        <v>0</v>
      </c>
      <c r="Q1005" s="41"/>
      <c r="R1005" s="229"/>
      <c r="S1005" s="229">
        <f>+Tabla3[[#This Row],[COSTO UNITARIO DOLARES CTP]]*Tabla3[[#This Row],[CANTIDAD SOLICTADA]]</f>
        <v>0</v>
      </c>
      <c r="T1005" s="41"/>
      <c r="U1005" s="370" t="s">
        <v>5</v>
      </c>
      <c r="V1005" s="360" t="s">
        <v>1993</v>
      </c>
      <c r="W1005" s="366"/>
      <c r="X1005" s="359"/>
      <c r="Y1005" s="358"/>
      <c r="Z1005" s="360"/>
      <c r="AA1005" s="360"/>
      <c r="AB1005" s="360"/>
      <c r="AC1005" s="360"/>
      <c r="AD1005" s="360"/>
      <c r="AE1005" s="360"/>
      <c r="AF1005" s="16"/>
      <c r="AG1005" s="367" t="s">
        <v>1992</v>
      </c>
    </row>
    <row r="1006" spans="1:33" ht="15.75" thickBot="1" x14ac:dyDescent="0.3">
      <c r="A1006" s="356">
        <v>144</v>
      </c>
      <c r="B1006" s="357">
        <v>46210</v>
      </c>
      <c r="C1006" s="358" t="s">
        <v>87</v>
      </c>
      <c r="D1006" s="359"/>
      <c r="E1006" s="360"/>
      <c r="F1006" s="361"/>
      <c r="G1006" s="213" t="str">
        <f>IFERROR(VLOOKUP(Tabla3[[#This Row],[NUM ECONOMICO]],MAQUINARIA!B:H,7,0), " MAQ")</f>
        <v>INACTIVA</v>
      </c>
      <c r="H1006" s="362" t="s">
        <v>1331</v>
      </c>
      <c r="I1006" s="363" t="s">
        <v>1888</v>
      </c>
      <c r="J1006" s="358" t="s">
        <v>1969</v>
      </c>
      <c r="K1006" s="358">
        <v>1</v>
      </c>
      <c r="L1006" s="364">
        <v>87438.82</v>
      </c>
      <c r="M1006" s="364">
        <f t="shared" si="19"/>
        <v>87438.82</v>
      </c>
      <c r="N1006" s="41" t="s">
        <v>1990</v>
      </c>
      <c r="O1006" s="358"/>
      <c r="P1006" s="365">
        <f>Tabla3[[#This Row],[COSTO UNITARIO DOLARES EN HAWTHORNE]]*Tabla3[[#This Row],[CANTIDAD SOLICTADA]]</f>
        <v>0</v>
      </c>
      <c r="Q1006" s="41"/>
      <c r="R1006" s="229"/>
      <c r="S1006" s="229">
        <f>+Tabla3[[#This Row],[COSTO UNITARIO DOLARES CTP]]*Tabla3[[#This Row],[CANTIDAD SOLICTADA]]</f>
        <v>0</v>
      </c>
      <c r="T1006" s="41"/>
      <c r="U1006" s="370" t="s">
        <v>5</v>
      </c>
      <c r="V1006" s="360" t="s">
        <v>1993</v>
      </c>
      <c r="W1006" s="366"/>
      <c r="X1006" s="359"/>
      <c r="Y1006" s="358"/>
      <c r="Z1006" s="360"/>
      <c r="AA1006" s="360"/>
      <c r="AB1006" s="360"/>
      <c r="AC1006" s="360"/>
      <c r="AD1006" s="360"/>
      <c r="AE1006" s="360"/>
      <c r="AF1006" s="16"/>
      <c r="AG1006" s="367" t="s">
        <v>1992</v>
      </c>
    </row>
    <row r="1007" spans="1:33" ht="15.75" thickBot="1" x14ac:dyDescent="0.3">
      <c r="A1007" s="356">
        <v>144</v>
      </c>
      <c r="B1007" s="357">
        <v>46210</v>
      </c>
      <c r="C1007" s="358" t="s">
        <v>87</v>
      </c>
      <c r="D1007" s="359"/>
      <c r="E1007" s="360"/>
      <c r="F1007" s="361"/>
      <c r="G1007" s="213" t="str">
        <f>IFERROR(VLOOKUP(Tabla3[[#This Row],[NUM ECONOMICO]],MAQUINARIA!B:H,7,0), " MAQ")</f>
        <v>INACTIVA</v>
      </c>
      <c r="H1007" s="362" t="s">
        <v>1331</v>
      </c>
      <c r="I1007" s="363" t="s">
        <v>1889</v>
      </c>
      <c r="J1007" s="358" t="s">
        <v>1962</v>
      </c>
      <c r="K1007" s="358">
        <v>1</v>
      </c>
      <c r="L1007" s="364">
        <v>2340.7800000000002</v>
      </c>
      <c r="M1007" s="364">
        <f t="shared" si="19"/>
        <v>2340.7800000000002</v>
      </c>
      <c r="N1007" s="41" t="s">
        <v>1990</v>
      </c>
      <c r="O1007" s="358"/>
      <c r="P1007" s="365">
        <f>Tabla3[[#This Row],[COSTO UNITARIO DOLARES EN HAWTHORNE]]*Tabla3[[#This Row],[CANTIDAD SOLICTADA]]</f>
        <v>0</v>
      </c>
      <c r="Q1007" s="41"/>
      <c r="R1007" s="229"/>
      <c r="S1007" s="229">
        <f>+Tabla3[[#This Row],[COSTO UNITARIO DOLARES CTP]]*Tabla3[[#This Row],[CANTIDAD SOLICTADA]]</f>
        <v>0</v>
      </c>
      <c r="T1007" s="41"/>
      <c r="U1007" s="370" t="s">
        <v>5</v>
      </c>
      <c r="V1007" s="360" t="s">
        <v>1993</v>
      </c>
      <c r="W1007" s="366"/>
      <c r="X1007" s="359"/>
      <c r="Y1007" s="358"/>
      <c r="Z1007" s="360"/>
      <c r="AA1007" s="360"/>
      <c r="AB1007" s="360"/>
      <c r="AC1007" s="360"/>
      <c r="AD1007" s="360"/>
      <c r="AE1007" s="360"/>
      <c r="AF1007" s="16"/>
      <c r="AG1007" s="367" t="s">
        <v>1992</v>
      </c>
    </row>
    <row r="1008" spans="1:33" ht="15.75" thickBot="1" x14ac:dyDescent="0.3">
      <c r="A1008" s="356">
        <v>144</v>
      </c>
      <c r="B1008" s="357">
        <v>46210</v>
      </c>
      <c r="C1008" s="358" t="s">
        <v>87</v>
      </c>
      <c r="D1008" s="359"/>
      <c r="E1008" s="360"/>
      <c r="F1008" s="361"/>
      <c r="G1008" s="213" t="str">
        <f>IFERROR(VLOOKUP(Tabla3[[#This Row],[NUM ECONOMICO]],MAQUINARIA!B:H,7,0), " MAQ")</f>
        <v>INACTIVA</v>
      </c>
      <c r="H1008" s="362" t="s">
        <v>1331</v>
      </c>
      <c r="I1008" s="363" t="s">
        <v>1890</v>
      </c>
      <c r="J1008" s="358" t="s">
        <v>1970</v>
      </c>
      <c r="K1008" s="358">
        <v>1</v>
      </c>
      <c r="L1008" s="364">
        <v>0</v>
      </c>
      <c r="M1008" s="364">
        <f t="shared" si="19"/>
        <v>0</v>
      </c>
      <c r="N1008" s="41" t="s">
        <v>1990</v>
      </c>
      <c r="O1008" s="358"/>
      <c r="P1008" s="365">
        <f>Tabla3[[#This Row],[COSTO UNITARIO DOLARES EN HAWTHORNE]]*Tabla3[[#This Row],[CANTIDAD SOLICTADA]]</f>
        <v>0</v>
      </c>
      <c r="Q1008" s="41"/>
      <c r="R1008" s="229"/>
      <c r="S1008" s="229">
        <f>+Tabla3[[#This Row],[COSTO UNITARIO DOLARES CTP]]*Tabla3[[#This Row],[CANTIDAD SOLICTADA]]</f>
        <v>0</v>
      </c>
      <c r="T1008" s="41"/>
      <c r="U1008" s="370" t="s">
        <v>5</v>
      </c>
      <c r="V1008" s="360" t="s">
        <v>1993</v>
      </c>
      <c r="W1008" s="366"/>
      <c r="X1008" s="359"/>
      <c r="Y1008" s="358"/>
      <c r="Z1008" s="360"/>
      <c r="AA1008" s="360"/>
      <c r="AB1008" s="360"/>
      <c r="AC1008" s="360"/>
      <c r="AD1008" s="360"/>
      <c r="AE1008" s="360"/>
      <c r="AF1008" s="16"/>
      <c r="AG1008" s="367" t="s">
        <v>1992</v>
      </c>
    </row>
    <row r="1009" spans="1:33" ht="15.75" thickBot="1" x14ac:dyDescent="0.3">
      <c r="A1009" s="356">
        <v>144</v>
      </c>
      <c r="B1009" s="357">
        <v>46210</v>
      </c>
      <c r="C1009" s="358" t="s">
        <v>87</v>
      </c>
      <c r="D1009" s="359"/>
      <c r="E1009" s="360"/>
      <c r="F1009" s="361"/>
      <c r="G1009" s="213" t="str">
        <f>IFERROR(VLOOKUP(Tabla3[[#This Row],[NUM ECONOMICO]],MAQUINARIA!B:H,7,0), " MAQ")</f>
        <v>INACTIVA</v>
      </c>
      <c r="H1009" s="362" t="s">
        <v>1331</v>
      </c>
      <c r="I1009" s="363" t="s">
        <v>1891</v>
      </c>
      <c r="J1009" s="358" t="s">
        <v>546</v>
      </c>
      <c r="K1009" s="358">
        <v>2</v>
      </c>
      <c r="L1009" s="364">
        <v>125.84</v>
      </c>
      <c r="M1009" s="364">
        <f t="shared" si="19"/>
        <v>251.68</v>
      </c>
      <c r="N1009" s="41" t="s">
        <v>1990</v>
      </c>
      <c r="O1009" s="358"/>
      <c r="P1009" s="365">
        <f>Tabla3[[#This Row],[COSTO UNITARIO DOLARES EN HAWTHORNE]]*Tabla3[[#This Row],[CANTIDAD SOLICTADA]]</f>
        <v>0</v>
      </c>
      <c r="Q1009" s="41"/>
      <c r="R1009" s="229"/>
      <c r="S1009" s="229">
        <f>+Tabla3[[#This Row],[COSTO UNITARIO DOLARES CTP]]*Tabla3[[#This Row],[CANTIDAD SOLICTADA]]</f>
        <v>0</v>
      </c>
      <c r="T1009" s="41"/>
      <c r="U1009" s="370" t="s">
        <v>5</v>
      </c>
      <c r="V1009" s="360" t="s">
        <v>1993</v>
      </c>
      <c r="W1009" s="366"/>
      <c r="X1009" s="359"/>
      <c r="Y1009" s="358"/>
      <c r="Z1009" s="360"/>
      <c r="AA1009" s="360"/>
      <c r="AB1009" s="360"/>
      <c r="AC1009" s="360"/>
      <c r="AD1009" s="360"/>
      <c r="AE1009" s="360"/>
      <c r="AF1009" s="16"/>
      <c r="AG1009" s="367" t="s">
        <v>1992</v>
      </c>
    </row>
    <row r="1010" spans="1:33" ht="15.75" thickBot="1" x14ac:dyDescent="0.3">
      <c r="A1010" s="356">
        <v>144</v>
      </c>
      <c r="B1010" s="357">
        <v>46210</v>
      </c>
      <c r="C1010" s="358" t="s">
        <v>87</v>
      </c>
      <c r="D1010" s="359"/>
      <c r="E1010" s="360"/>
      <c r="F1010" s="361"/>
      <c r="G1010" s="213" t="str">
        <f>IFERROR(VLOOKUP(Tabla3[[#This Row],[NUM ECONOMICO]],MAQUINARIA!B:H,7,0), " MAQ")</f>
        <v>INACTIVA</v>
      </c>
      <c r="H1010" s="362" t="s">
        <v>1331</v>
      </c>
      <c r="I1010" s="363" t="s">
        <v>679</v>
      </c>
      <c r="J1010" s="358" t="s">
        <v>220</v>
      </c>
      <c r="K1010" s="358">
        <v>2</v>
      </c>
      <c r="L1010" s="364">
        <v>295.17</v>
      </c>
      <c r="M1010" s="364">
        <f t="shared" si="19"/>
        <v>590.34</v>
      </c>
      <c r="N1010" s="41" t="s">
        <v>1990</v>
      </c>
      <c r="O1010" s="358"/>
      <c r="P1010" s="365">
        <f>Tabla3[[#This Row],[COSTO UNITARIO DOLARES EN HAWTHORNE]]*Tabla3[[#This Row],[CANTIDAD SOLICTADA]]</f>
        <v>0</v>
      </c>
      <c r="Q1010" s="41"/>
      <c r="R1010" s="229"/>
      <c r="S1010" s="229">
        <f>+Tabla3[[#This Row],[COSTO UNITARIO DOLARES CTP]]*Tabla3[[#This Row],[CANTIDAD SOLICTADA]]</f>
        <v>0</v>
      </c>
      <c r="T1010" s="41"/>
      <c r="U1010" s="370" t="s">
        <v>5</v>
      </c>
      <c r="V1010" s="360" t="s">
        <v>1993</v>
      </c>
      <c r="W1010" s="366"/>
      <c r="X1010" s="359"/>
      <c r="Y1010" s="358"/>
      <c r="Z1010" s="360"/>
      <c r="AA1010" s="360"/>
      <c r="AB1010" s="360"/>
      <c r="AC1010" s="360"/>
      <c r="AD1010" s="360"/>
      <c r="AE1010" s="360"/>
      <c r="AF1010" s="16"/>
      <c r="AG1010" s="367" t="s">
        <v>1992</v>
      </c>
    </row>
    <row r="1011" spans="1:33" ht="15.75" thickBot="1" x14ac:dyDescent="0.3">
      <c r="A1011" s="356">
        <v>144</v>
      </c>
      <c r="B1011" s="357">
        <v>46210</v>
      </c>
      <c r="C1011" s="358" t="s">
        <v>87</v>
      </c>
      <c r="D1011" s="359"/>
      <c r="E1011" s="360"/>
      <c r="F1011" s="361"/>
      <c r="G1011" s="213" t="str">
        <f>IFERROR(VLOOKUP(Tabla3[[#This Row],[NUM ECONOMICO]],MAQUINARIA!B:H,7,0), " MAQ")</f>
        <v>INACTIVA</v>
      </c>
      <c r="H1011" s="362" t="s">
        <v>1331</v>
      </c>
      <c r="I1011" s="363" t="s">
        <v>1892</v>
      </c>
      <c r="J1011" s="358" t="s">
        <v>1961</v>
      </c>
      <c r="K1011" s="358">
        <v>1</v>
      </c>
      <c r="L1011" s="364">
        <v>173.09</v>
      </c>
      <c r="M1011" s="364">
        <f t="shared" si="19"/>
        <v>173.09</v>
      </c>
      <c r="N1011" s="41" t="s">
        <v>1990</v>
      </c>
      <c r="O1011" s="358"/>
      <c r="P1011" s="365">
        <f>Tabla3[[#This Row],[COSTO UNITARIO DOLARES EN HAWTHORNE]]*Tabla3[[#This Row],[CANTIDAD SOLICTADA]]</f>
        <v>0</v>
      </c>
      <c r="Q1011" s="41"/>
      <c r="R1011" s="229"/>
      <c r="S1011" s="229">
        <f>+Tabla3[[#This Row],[COSTO UNITARIO DOLARES CTP]]*Tabla3[[#This Row],[CANTIDAD SOLICTADA]]</f>
        <v>0</v>
      </c>
      <c r="T1011" s="41"/>
      <c r="U1011" s="370" t="s">
        <v>5</v>
      </c>
      <c r="V1011" s="360" t="s">
        <v>1993</v>
      </c>
      <c r="W1011" s="366"/>
      <c r="X1011" s="359"/>
      <c r="Y1011" s="358"/>
      <c r="Z1011" s="360"/>
      <c r="AA1011" s="360"/>
      <c r="AB1011" s="360"/>
      <c r="AC1011" s="360"/>
      <c r="AD1011" s="360"/>
      <c r="AE1011" s="360"/>
      <c r="AF1011" s="16"/>
      <c r="AG1011" s="367" t="s">
        <v>1992</v>
      </c>
    </row>
    <row r="1012" spans="1:33" ht="15.75" thickBot="1" x14ac:dyDescent="0.3">
      <c r="A1012" s="356">
        <v>144</v>
      </c>
      <c r="B1012" s="357">
        <v>46210</v>
      </c>
      <c r="C1012" s="358" t="s">
        <v>87</v>
      </c>
      <c r="D1012" s="359"/>
      <c r="E1012" s="360"/>
      <c r="F1012" s="361"/>
      <c r="G1012" s="213" t="str">
        <f>IFERROR(VLOOKUP(Tabla3[[#This Row],[NUM ECONOMICO]],MAQUINARIA!B:H,7,0), " MAQ")</f>
        <v>INACTIVA</v>
      </c>
      <c r="H1012" s="362" t="s">
        <v>1331</v>
      </c>
      <c r="I1012" s="363" t="s">
        <v>323</v>
      </c>
      <c r="J1012" s="358" t="s">
        <v>1961</v>
      </c>
      <c r="K1012" s="358">
        <v>1</v>
      </c>
      <c r="L1012" s="364">
        <v>48.33</v>
      </c>
      <c r="M1012" s="364">
        <f t="shared" si="19"/>
        <v>48.33</v>
      </c>
      <c r="N1012" s="41" t="s">
        <v>1990</v>
      </c>
      <c r="O1012" s="358"/>
      <c r="P1012" s="365">
        <f>Tabla3[[#This Row],[COSTO UNITARIO DOLARES EN HAWTHORNE]]*Tabla3[[#This Row],[CANTIDAD SOLICTADA]]</f>
        <v>0</v>
      </c>
      <c r="Q1012" s="41"/>
      <c r="R1012" s="229"/>
      <c r="S1012" s="229">
        <f>+Tabla3[[#This Row],[COSTO UNITARIO DOLARES CTP]]*Tabla3[[#This Row],[CANTIDAD SOLICTADA]]</f>
        <v>0</v>
      </c>
      <c r="T1012" s="41"/>
      <c r="U1012" s="370" t="s">
        <v>5</v>
      </c>
      <c r="V1012" s="360" t="s">
        <v>1993</v>
      </c>
      <c r="W1012" s="366"/>
      <c r="X1012" s="359"/>
      <c r="Y1012" s="358"/>
      <c r="Z1012" s="360"/>
      <c r="AA1012" s="360"/>
      <c r="AB1012" s="360"/>
      <c r="AC1012" s="360"/>
      <c r="AD1012" s="360"/>
      <c r="AE1012" s="360"/>
      <c r="AF1012" s="16"/>
      <c r="AG1012" s="367" t="s">
        <v>1992</v>
      </c>
    </row>
    <row r="1013" spans="1:33" ht="15.75" thickBot="1" x14ac:dyDescent="0.3">
      <c r="A1013" s="356">
        <v>144</v>
      </c>
      <c r="B1013" s="357">
        <v>46210</v>
      </c>
      <c r="C1013" s="358" t="s">
        <v>87</v>
      </c>
      <c r="D1013" s="359"/>
      <c r="E1013" s="360"/>
      <c r="F1013" s="361"/>
      <c r="G1013" s="213" t="str">
        <f>IFERROR(VLOOKUP(Tabla3[[#This Row],[NUM ECONOMICO]],MAQUINARIA!B:H,7,0), " MAQ")</f>
        <v>INACTIVA</v>
      </c>
      <c r="H1013" s="362" t="s">
        <v>1331</v>
      </c>
      <c r="I1013" s="363" t="s">
        <v>334</v>
      </c>
      <c r="J1013" s="358" t="s">
        <v>506</v>
      </c>
      <c r="K1013" s="358">
        <v>2</v>
      </c>
      <c r="L1013" s="364">
        <v>31.5</v>
      </c>
      <c r="M1013" s="364">
        <f t="shared" si="19"/>
        <v>63</v>
      </c>
      <c r="N1013" s="41" t="s">
        <v>1990</v>
      </c>
      <c r="O1013" s="358"/>
      <c r="P1013" s="365">
        <f>Tabla3[[#This Row],[COSTO UNITARIO DOLARES EN HAWTHORNE]]*Tabla3[[#This Row],[CANTIDAD SOLICTADA]]</f>
        <v>0</v>
      </c>
      <c r="Q1013" s="41"/>
      <c r="R1013" s="229"/>
      <c r="S1013" s="229">
        <f>+Tabla3[[#This Row],[COSTO UNITARIO DOLARES CTP]]*Tabla3[[#This Row],[CANTIDAD SOLICTADA]]</f>
        <v>0</v>
      </c>
      <c r="T1013" s="41"/>
      <c r="U1013" s="370" t="s">
        <v>5</v>
      </c>
      <c r="V1013" s="360" t="s">
        <v>1993</v>
      </c>
      <c r="W1013" s="366"/>
      <c r="X1013" s="359"/>
      <c r="Y1013" s="358"/>
      <c r="Z1013" s="360"/>
      <c r="AA1013" s="360"/>
      <c r="AB1013" s="360"/>
      <c r="AC1013" s="360"/>
      <c r="AD1013" s="360"/>
      <c r="AE1013" s="360"/>
      <c r="AF1013" s="16"/>
      <c r="AG1013" s="367" t="s">
        <v>1992</v>
      </c>
    </row>
    <row r="1014" spans="1:33" ht="15.75" thickBot="1" x14ac:dyDescent="0.3">
      <c r="A1014" s="356">
        <v>144</v>
      </c>
      <c r="B1014" s="357">
        <v>46210</v>
      </c>
      <c r="C1014" s="358" t="s">
        <v>87</v>
      </c>
      <c r="D1014" s="359"/>
      <c r="E1014" s="360"/>
      <c r="F1014" s="361"/>
      <c r="G1014" s="213" t="str">
        <f>IFERROR(VLOOKUP(Tabla3[[#This Row],[NUM ECONOMICO]],MAQUINARIA!B:H,7,0), " MAQ")</f>
        <v>INACTIVA</v>
      </c>
      <c r="H1014" s="362" t="s">
        <v>1331</v>
      </c>
      <c r="I1014" s="363" t="s">
        <v>1893</v>
      </c>
      <c r="J1014" s="358" t="s">
        <v>1961</v>
      </c>
      <c r="K1014" s="358">
        <v>1</v>
      </c>
      <c r="L1014" s="364">
        <v>122.61</v>
      </c>
      <c r="M1014" s="364">
        <f t="shared" si="19"/>
        <v>122.61</v>
      </c>
      <c r="N1014" s="41" t="s">
        <v>1990</v>
      </c>
      <c r="O1014" s="358"/>
      <c r="P1014" s="365">
        <f>Tabla3[[#This Row],[COSTO UNITARIO DOLARES EN HAWTHORNE]]*Tabla3[[#This Row],[CANTIDAD SOLICTADA]]</f>
        <v>0</v>
      </c>
      <c r="Q1014" s="41"/>
      <c r="R1014" s="229"/>
      <c r="S1014" s="229">
        <f>+Tabla3[[#This Row],[COSTO UNITARIO DOLARES CTP]]*Tabla3[[#This Row],[CANTIDAD SOLICTADA]]</f>
        <v>0</v>
      </c>
      <c r="T1014" s="41"/>
      <c r="U1014" s="370" t="s">
        <v>5</v>
      </c>
      <c r="V1014" s="360" t="s">
        <v>1993</v>
      </c>
      <c r="W1014" s="366"/>
      <c r="X1014" s="359"/>
      <c r="Y1014" s="358"/>
      <c r="Z1014" s="360"/>
      <c r="AA1014" s="360"/>
      <c r="AB1014" s="360"/>
      <c r="AC1014" s="360"/>
      <c r="AD1014" s="360"/>
      <c r="AE1014" s="360"/>
      <c r="AF1014" s="16"/>
      <c r="AG1014" s="367" t="s">
        <v>1992</v>
      </c>
    </row>
    <row r="1015" spans="1:33" ht="15.75" thickBot="1" x14ac:dyDescent="0.3">
      <c r="A1015" s="356">
        <v>144</v>
      </c>
      <c r="B1015" s="357">
        <v>46210</v>
      </c>
      <c r="C1015" s="358" t="s">
        <v>87</v>
      </c>
      <c r="D1015" s="359"/>
      <c r="E1015" s="360"/>
      <c r="F1015" s="361"/>
      <c r="G1015" s="213" t="str">
        <f>IFERROR(VLOOKUP(Tabla3[[#This Row],[NUM ECONOMICO]],MAQUINARIA!B:H,7,0), " MAQ")</f>
        <v>INACTIVA</v>
      </c>
      <c r="H1015" s="362" t="s">
        <v>1331</v>
      </c>
      <c r="I1015" s="363" t="s">
        <v>1894</v>
      </c>
      <c r="J1015" s="358" t="s">
        <v>1971</v>
      </c>
      <c r="K1015" s="358">
        <v>1</v>
      </c>
      <c r="L1015" s="364">
        <v>55.85</v>
      </c>
      <c r="M1015" s="364">
        <f t="shared" si="19"/>
        <v>55.85</v>
      </c>
      <c r="N1015" s="41" t="s">
        <v>1990</v>
      </c>
      <c r="O1015" s="358"/>
      <c r="P1015" s="365">
        <f>Tabla3[[#This Row],[COSTO UNITARIO DOLARES EN HAWTHORNE]]*Tabla3[[#This Row],[CANTIDAD SOLICTADA]]</f>
        <v>0</v>
      </c>
      <c r="Q1015" s="41"/>
      <c r="R1015" s="229"/>
      <c r="S1015" s="229">
        <f>+Tabla3[[#This Row],[COSTO UNITARIO DOLARES CTP]]*Tabla3[[#This Row],[CANTIDAD SOLICTADA]]</f>
        <v>0</v>
      </c>
      <c r="T1015" s="41"/>
      <c r="U1015" s="370" t="s">
        <v>5</v>
      </c>
      <c r="V1015" s="360" t="s">
        <v>1993</v>
      </c>
      <c r="W1015" s="366"/>
      <c r="X1015" s="359"/>
      <c r="Y1015" s="358"/>
      <c r="Z1015" s="360"/>
      <c r="AA1015" s="360"/>
      <c r="AB1015" s="360"/>
      <c r="AC1015" s="360"/>
      <c r="AD1015" s="360"/>
      <c r="AE1015" s="360"/>
      <c r="AF1015" s="16"/>
      <c r="AG1015" s="367" t="s">
        <v>1992</v>
      </c>
    </row>
    <row r="1016" spans="1:33" ht="15.75" thickBot="1" x14ac:dyDescent="0.3">
      <c r="A1016" s="356">
        <v>144</v>
      </c>
      <c r="B1016" s="357">
        <v>46210</v>
      </c>
      <c r="C1016" s="358" t="s">
        <v>87</v>
      </c>
      <c r="D1016" s="359"/>
      <c r="E1016" s="360"/>
      <c r="F1016" s="361"/>
      <c r="G1016" s="213" t="str">
        <f>IFERROR(VLOOKUP(Tabla3[[#This Row],[NUM ECONOMICO]],MAQUINARIA!B:H,7,0), " MAQ")</f>
        <v>INACTIVA</v>
      </c>
      <c r="H1016" s="362" t="s">
        <v>1331</v>
      </c>
      <c r="I1016" s="363" t="s">
        <v>1895</v>
      </c>
      <c r="J1016" s="358" t="s">
        <v>220</v>
      </c>
      <c r="K1016" s="358">
        <v>1</v>
      </c>
      <c r="L1016" s="364">
        <v>475.42</v>
      </c>
      <c r="M1016" s="364">
        <f t="shared" si="19"/>
        <v>475.42</v>
      </c>
      <c r="N1016" s="41" t="s">
        <v>1990</v>
      </c>
      <c r="O1016" s="358"/>
      <c r="P1016" s="365">
        <f>Tabla3[[#This Row],[COSTO UNITARIO DOLARES EN HAWTHORNE]]*Tabla3[[#This Row],[CANTIDAD SOLICTADA]]</f>
        <v>0</v>
      </c>
      <c r="Q1016" s="41"/>
      <c r="R1016" s="229"/>
      <c r="S1016" s="229">
        <f>+Tabla3[[#This Row],[COSTO UNITARIO DOLARES CTP]]*Tabla3[[#This Row],[CANTIDAD SOLICTADA]]</f>
        <v>0</v>
      </c>
      <c r="T1016" s="41"/>
      <c r="U1016" s="370" t="s">
        <v>5</v>
      </c>
      <c r="V1016" s="360" t="s">
        <v>1993</v>
      </c>
      <c r="W1016" s="366"/>
      <c r="X1016" s="359"/>
      <c r="Y1016" s="358"/>
      <c r="Z1016" s="360"/>
      <c r="AA1016" s="360"/>
      <c r="AB1016" s="360"/>
      <c r="AC1016" s="360"/>
      <c r="AD1016" s="360"/>
      <c r="AE1016" s="360"/>
      <c r="AF1016" s="16"/>
      <c r="AG1016" s="367" t="s">
        <v>1992</v>
      </c>
    </row>
    <row r="1017" spans="1:33" ht="15.75" thickBot="1" x14ac:dyDescent="0.3">
      <c r="A1017" s="356">
        <v>144</v>
      </c>
      <c r="B1017" s="357">
        <v>46210</v>
      </c>
      <c r="C1017" s="358" t="s">
        <v>87</v>
      </c>
      <c r="D1017" s="359"/>
      <c r="E1017" s="360"/>
      <c r="F1017" s="361"/>
      <c r="G1017" s="213" t="str">
        <f>IFERROR(VLOOKUP(Tabla3[[#This Row],[NUM ECONOMICO]],MAQUINARIA!B:H,7,0), " MAQ")</f>
        <v>INACTIVA</v>
      </c>
      <c r="H1017" s="362" t="s">
        <v>1331</v>
      </c>
      <c r="I1017" s="363" t="s">
        <v>330</v>
      </c>
      <c r="J1017" s="358" t="s">
        <v>1961</v>
      </c>
      <c r="K1017" s="358">
        <v>1</v>
      </c>
      <c r="L1017" s="364">
        <v>153.4</v>
      </c>
      <c r="M1017" s="364">
        <f t="shared" si="19"/>
        <v>153.4</v>
      </c>
      <c r="N1017" s="41" t="s">
        <v>1990</v>
      </c>
      <c r="O1017" s="358"/>
      <c r="P1017" s="365">
        <f>Tabla3[[#This Row],[COSTO UNITARIO DOLARES EN HAWTHORNE]]*Tabla3[[#This Row],[CANTIDAD SOLICTADA]]</f>
        <v>0</v>
      </c>
      <c r="Q1017" s="41"/>
      <c r="R1017" s="229"/>
      <c r="S1017" s="229">
        <f>+Tabla3[[#This Row],[COSTO UNITARIO DOLARES CTP]]*Tabla3[[#This Row],[CANTIDAD SOLICTADA]]</f>
        <v>0</v>
      </c>
      <c r="T1017" s="41"/>
      <c r="U1017" s="370" t="s">
        <v>5</v>
      </c>
      <c r="V1017" s="360" t="s">
        <v>1993</v>
      </c>
      <c r="W1017" s="366"/>
      <c r="X1017" s="359"/>
      <c r="Y1017" s="358"/>
      <c r="Z1017" s="360"/>
      <c r="AA1017" s="360"/>
      <c r="AB1017" s="360"/>
      <c r="AC1017" s="360"/>
      <c r="AD1017" s="360"/>
      <c r="AE1017" s="360"/>
      <c r="AF1017" s="16"/>
      <c r="AG1017" s="367" t="s">
        <v>1992</v>
      </c>
    </row>
    <row r="1018" spans="1:33" ht="15.75" thickBot="1" x14ac:dyDescent="0.3">
      <c r="A1018" s="356">
        <v>144</v>
      </c>
      <c r="B1018" s="357">
        <v>46210</v>
      </c>
      <c r="C1018" s="358" t="s">
        <v>87</v>
      </c>
      <c r="D1018" s="359"/>
      <c r="E1018" s="360"/>
      <c r="F1018" s="361"/>
      <c r="G1018" s="213" t="str">
        <f>IFERROR(VLOOKUP(Tabla3[[#This Row],[NUM ECONOMICO]],MAQUINARIA!B:H,7,0), " MAQ")</f>
        <v>INACTIVA</v>
      </c>
      <c r="H1018" s="362" t="s">
        <v>1331</v>
      </c>
      <c r="I1018" s="363" t="s">
        <v>1896</v>
      </c>
      <c r="J1018" s="358" t="s">
        <v>220</v>
      </c>
      <c r="K1018" s="358">
        <v>1</v>
      </c>
      <c r="L1018" s="364">
        <v>198.33</v>
      </c>
      <c r="M1018" s="364">
        <f t="shared" si="19"/>
        <v>198.33</v>
      </c>
      <c r="N1018" s="41" t="s">
        <v>1990</v>
      </c>
      <c r="O1018" s="358"/>
      <c r="P1018" s="365">
        <f>Tabla3[[#This Row],[COSTO UNITARIO DOLARES EN HAWTHORNE]]*Tabla3[[#This Row],[CANTIDAD SOLICTADA]]</f>
        <v>0</v>
      </c>
      <c r="Q1018" s="41"/>
      <c r="R1018" s="229"/>
      <c r="S1018" s="229">
        <f>+Tabla3[[#This Row],[COSTO UNITARIO DOLARES CTP]]*Tabla3[[#This Row],[CANTIDAD SOLICTADA]]</f>
        <v>0</v>
      </c>
      <c r="T1018" s="41"/>
      <c r="U1018" s="370" t="s">
        <v>5</v>
      </c>
      <c r="V1018" s="360" t="s">
        <v>1993</v>
      </c>
      <c r="W1018" s="366"/>
      <c r="X1018" s="359"/>
      <c r="Y1018" s="358"/>
      <c r="Z1018" s="360"/>
      <c r="AA1018" s="360"/>
      <c r="AB1018" s="360"/>
      <c r="AC1018" s="360"/>
      <c r="AD1018" s="360"/>
      <c r="AE1018" s="360"/>
      <c r="AF1018" s="16"/>
      <c r="AG1018" s="367" t="s">
        <v>1992</v>
      </c>
    </row>
    <row r="1019" spans="1:33" ht="15.75" thickBot="1" x14ac:dyDescent="0.3">
      <c r="A1019" s="356">
        <v>144</v>
      </c>
      <c r="B1019" s="357">
        <v>46210</v>
      </c>
      <c r="C1019" s="358" t="s">
        <v>87</v>
      </c>
      <c r="D1019" s="359"/>
      <c r="E1019" s="360"/>
      <c r="F1019" s="361"/>
      <c r="G1019" s="213" t="str">
        <f>IFERROR(VLOOKUP(Tabla3[[#This Row],[NUM ECONOMICO]],MAQUINARIA!B:H,7,0), " MAQ")</f>
        <v>INACTIVA</v>
      </c>
      <c r="H1019" s="362" t="s">
        <v>1331</v>
      </c>
      <c r="I1019" s="363" t="s">
        <v>1897</v>
      </c>
      <c r="J1019" s="358" t="s">
        <v>220</v>
      </c>
      <c r="K1019" s="358">
        <v>1</v>
      </c>
      <c r="L1019" s="364">
        <v>608.05999999999995</v>
      </c>
      <c r="M1019" s="364">
        <f t="shared" si="19"/>
        <v>608.05999999999995</v>
      </c>
      <c r="N1019" s="41" t="s">
        <v>1990</v>
      </c>
      <c r="O1019" s="358"/>
      <c r="P1019" s="365">
        <f>Tabla3[[#This Row],[COSTO UNITARIO DOLARES EN HAWTHORNE]]*Tabla3[[#This Row],[CANTIDAD SOLICTADA]]</f>
        <v>0</v>
      </c>
      <c r="Q1019" s="41"/>
      <c r="R1019" s="229"/>
      <c r="S1019" s="229">
        <f>+Tabla3[[#This Row],[COSTO UNITARIO DOLARES CTP]]*Tabla3[[#This Row],[CANTIDAD SOLICTADA]]</f>
        <v>0</v>
      </c>
      <c r="T1019" s="41"/>
      <c r="U1019" s="370" t="s">
        <v>5</v>
      </c>
      <c r="V1019" s="360" t="s">
        <v>1993</v>
      </c>
      <c r="W1019" s="366"/>
      <c r="X1019" s="359"/>
      <c r="Y1019" s="358"/>
      <c r="Z1019" s="360"/>
      <c r="AA1019" s="360"/>
      <c r="AB1019" s="360"/>
      <c r="AC1019" s="360"/>
      <c r="AD1019" s="360"/>
      <c r="AE1019" s="360"/>
      <c r="AF1019" s="16"/>
      <c r="AG1019" s="367" t="s">
        <v>1992</v>
      </c>
    </row>
    <row r="1020" spans="1:33" ht="15.75" thickBot="1" x14ac:dyDescent="0.3">
      <c r="A1020" s="356">
        <v>144</v>
      </c>
      <c r="B1020" s="357">
        <v>46210</v>
      </c>
      <c r="C1020" s="358" t="s">
        <v>87</v>
      </c>
      <c r="D1020" s="359"/>
      <c r="E1020" s="360"/>
      <c r="F1020" s="361"/>
      <c r="G1020" s="213" t="str">
        <f>IFERROR(VLOOKUP(Tabla3[[#This Row],[NUM ECONOMICO]],MAQUINARIA!B:H,7,0), " MAQ")</f>
        <v>INACTIVA</v>
      </c>
      <c r="H1020" s="362" t="s">
        <v>1331</v>
      </c>
      <c r="I1020" s="363" t="s">
        <v>341</v>
      </c>
      <c r="J1020" s="358" t="s">
        <v>546</v>
      </c>
      <c r="K1020" s="358">
        <v>1</v>
      </c>
      <c r="L1020" s="364">
        <v>52.63</v>
      </c>
      <c r="M1020" s="364">
        <f t="shared" si="19"/>
        <v>52.63</v>
      </c>
      <c r="N1020" s="41" t="s">
        <v>1990</v>
      </c>
      <c r="O1020" s="358"/>
      <c r="P1020" s="365">
        <f>Tabla3[[#This Row],[COSTO UNITARIO DOLARES EN HAWTHORNE]]*Tabla3[[#This Row],[CANTIDAD SOLICTADA]]</f>
        <v>0</v>
      </c>
      <c r="Q1020" s="41"/>
      <c r="R1020" s="229"/>
      <c r="S1020" s="229">
        <f>+Tabla3[[#This Row],[COSTO UNITARIO DOLARES CTP]]*Tabla3[[#This Row],[CANTIDAD SOLICTADA]]</f>
        <v>0</v>
      </c>
      <c r="T1020" s="41"/>
      <c r="U1020" s="370" t="s">
        <v>5</v>
      </c>
      <c r="V1020" s="360" t="s">
        <v>1993</v>
      </c>
      <c r="W1020" s="366"/>
      <c r="X1020" s="359"/>
      <c r="Y1020" s="358"/>
      <c r="Z1020" s="360"/>
      <c r="AA1020" s="360"/>
      <c r="AB1020" s="360"/>
      <c r="AC1020" s="360"/>
      <c r="AD1020" s="360"/>
      <c r="AE1020" s="360"/>
      <c r="AF1020" s="16"/>
      <c r="AG1020" s="367" t="s">
        <v>1992</v>
      </c>
    </row>
    <row r="1021" spans="1:33" ht="15.75" thickBot="1" x14ac:dyDescent="0.3">
      <c r="A1021" s="356">
        <v>144</v>
      </c>
      <c r="B1021" s="357">
        <v>46210</v>
      </c>
      <c r="C1021" s="358" t="s">
        <v>87</v>
      </c>
      <c r="D1021" s="359"/>
      <c r="E1021" s="360"/>
      <c r="F1021" s="361"/>
      <c r="G1021" s="213" t="str">
        <f>IFERROR(VLOOKUP(Tabla3[[#This Row],[NUM ECONOMICO]],MAQUINARIA!B:H,7,0), " MAQ")</f>
        <v>INACTIVA</v>
      </c>
      <c r="H1021" s="362" t="s">
        <v>1331</v>
      </c>
      <c r="I1021" s="363" t="s">
        <v>297</v>
      </c>
      <c r="J1021" s="358" t="s">
        <v>1961</v>
      </c>
      <c r="K1021" s="358">
        <v>2</v>
      </c>
      <c r="L1021" s="364">
        <v>178.82</v>
      </c>
      <c r="M1021" s="364">
        <f t="shared" si="19"/>
        <v>357.64</v>
      </c>
      <c r="N1021" s="41" t="s">
        <v>1990</v>
      </c>
      <c r="O1021" s="358"/>
      <c r="P1021" s="365">
        <f>Tabla3[[#This Row],[COSTO UNITARIO DOLARES EN HAWTHORNE]]*Tabla3[[#This Row],[CANTIDAD SOLICTADA]]</f>
        <v>0</v>
      </c>
      <c r="Q1021" s="41"/>
      <c r="R1021" s="229"/>
      <c r="S1021" s="229">
        <f>+Tabla3[[#This Row],[COSTO UNITARIO DOLARES CTP]]*Tabla3[[#This Row],[CANTIDAD SOLICTADA]]</f>
        <v>0</v>
      </c>
      <c r="T1021" s="41"/>
      <c r="U1021" s="370" t="s">
        <v>5</v>
      </c>
      <c r="V1021" s="360" t="s">
        <v>1993</v>
      </c>
      <c r="W1021" s="366"/>
      <c r="X1021" s="359"/>
      <c r="Y1021" s="358"/>
      <c r="Z1021" s="360"/>
      <c r="AA1021" s="360"/>
      <c r="AB1021" s="360"/>
      <c r="AC1021" s="360"/>
      <c r="AD1021" s="360"/>
      <c r="AE1021" s="360"/>
      <c r="AF1021" s="16"/>
      <c r="AG1021" s="367" t="s">
        <v>1992</v>
      </c>
    </row>
    <row r="1022" spans="1:33" ht="15.75" thickBot="1" x14ac:dyDescent="0.3">
      <c r="A1022" s="356">
        <v>144</v>
      </c>
      <c r="B1022" s="357">
        <v>46210</v>
      </c>
      <c r="C1022" s="358" t="s">
        <v>87</v>
      </c>
      <c r="D1022" s="359"/>
      <c r="E1022" s="360"/>
      <c r="F1022" s="361"/>
      <c r="G1022" s="213" t="str">
        <f>IFERROR(VLOOKUP(Tabla3[[#This Row],[NUM ECONOMICO]],MAQUINARIA!B:H,7,0), " MAQ")</f>
        <v>INACTIVA</v>
      </c>
      <c r="H1022" s="362" t="s">
        <v>1331</v>
      </c>
      <c r="I1022" s="363" t="s">
        <v>339</v>
      </c>
      <c r="J1022" s="358" t="s">
        <v>546</v>
      </c>
      <c r="K1022" s="358">
        <v>2</v>
      </c>
      <c r="L1022" s="364">
        <v>137.83000000000001</v>
      </c>
      <c r="M1022" s="364">
        <f t="shared" si="19"/>
        <v>275.66000000000003</v>
      </c>
      <c r="N1022" s="41" t="s">
        <v>1990</v>
      </c>
      <c r="O1022" s="358"/>
      <c r="P1022" s="365">
        <f>Tabla3[[#This Row],[COSTO UNITARIO DOLARES EN HAWTHORNE]]*Tabla3[[#This Row],[CANTIDAD SOLICTADA]]</f>
        <v>0</v>
      </c>
      <c r="Q1022" s="41"/>
      <c r="R1022" s="229"/>
      <c r="S1022" s="229">
        <f>+Tabla3[[#This Row],[COSTO UNITARIO DOLARES CTP]]*Tabla3[[#This Row],[CANTIDAD SOLICTADA]]</f>
        <v>0</v>
      </c>
      <c r="T1022" s="41"/>
      <c r="U1022" s="370" t="s">
        <v>5</v>
      </c>
      <c r="V1022" s="360" t="s">
        <v>1993</v>
      </c>
      <c r="W1022" s="366"/>
      <c r="X1022" s="359"/>
      <c r="Y1022" s="358"/>
      <c r="Z1022" s="360"/>
      <c r="AA1022" s="360"/>
      <c r="AB1022" s="360"/>
      <c r="AC1022" s="360"/>
      <c r="AD1022" s="360"/>
      <c r="AE1022" s="360"/>
      <c r="AF1022" s="16"/>
      <c r="AG1022" s="367" t="s">
        <v>1992</v>
      </c>
    </row>
    <row r="1023" spans="1:33" ht="15.75" thickBot="1" x14ac:dyDescent="0.3">
      <c r="A1023" s="356">
        <v>144</v>
      </c>
      <c r="B1023" s="357">
        <v>46210</v>
      </c>
      <c r="C1023" s="358" t="s">
        <v>87</v>
      </c>
      <c r="D1023" s="359"/>
      <c r="E1023" s="360"/>
      <c r="F1023" s="361"/>
      <c r="G1023" s="213" t="str">
        <f>IFERROR(VLOOKUP(Tabla3[[#This Row],[NUM ECONOMICO]],MAQUINARIA!B:H,7,0), " MAQ")</f>
        <v>INACTIVA</v>
      </c>
      <c r="H1023" s="362" t="s">
        <v>1331</v>
      </c>
      <c r="I1023" s="363" t="s">
        <v>1898</v>
      </c>
      <c r="J1023" s="358" t="s">
        <v>546</v>
      </c>
      <c r="K1023" s="358">
        <v>1</v>
      </c>
      <c r="L1023" s="364">
        <v>427.81</v>
      </c>
      <c r="M1023" s="364">
        <f t="shared" si="19"/>
        <v>427.81</v>
      </c>
      <c r="N1023" s="41" t="s">
        <v>1990</v>
      </c>
      <c r="O1023" s="358"/>
      <c r="P1023" s="365">
        <f>Tabla3[[#This Row],[COSTO UNITARIO DOLARES EN HAWTHORNE]]*Tabla3[[#This Row],[CANTIDAD SOLICTADA]]</f>
        <v>0</v>
      </c>
      <c r="Q1023" s="41"/>
      <c r="R1023" s="229"/>
      <c r="S1023" s="229">
        <f>+Tabla3[[#This Row],[COSTO UNITARIO DOLARES CTP]]*Tabla3[[#This Row],[CANTIDAD SOLICTADA]]</f>
        <v>0</v>
      </c>
      <c r="T1023" s="41"/>
      <c r="U1023" s="370" t="s">
        <v>5</v>
      </c>
      <c r="V1023" s="360" t="s">
        <v>1993</v>
      </c>
      <c r="W1023" s="366"/>
      <c r="X1023" s="359"/>
      <c r="Y1023" s="358"/>
      <c r="Z1023" s="360"/>
      <c r="AA1023" s="360"/>
      <c r="AB1023" s="360"/>
      <c r="AC1023" s="360"/>
      <c r="AD1023" s="360"/>
      <c r="AE1023" s="360"/>
      <c r="AF1023" s="16"/>
      <c r="AG1023" s="367" t="s">
        <v>1992</v>
      </c>
    </row>
    <row r="1024" spans="1:33" ht="15.75" thickBot="1" x14ac:dyDescent="0.3">
      <c r="A1024" s="356">
        <v>144</v>
      </c>
      <c r="B1024" s="357">
        <v>46210</v>
      </c>
      <c r="C1024" s="358" t="s">
        <v>87</v>
      </c>
      <c r="D1024" s="359"/>
      <c r="E1024" s="360"/>
      <c r="F1024" s="361"/>
      <c r="G1024" s="213" t="str">
        <f>IFERROR(VLOOKUP(Tabla3[[#This Row],[NUM ECONOMICO]],MAQUINARIA!B:H,7,0), " MAQ")</f>
        <v>INACTIVA</v>
      </c>
      <c r="H1024" s="362" t="s">
        <v>1331</v>
      </c>
      <c r="I1024" s="363" t="s">
        <v>1082</v>
      </c>
      <c r="J1024" s="358" t="s">
        <v>1961</v>
      </c>
      <c r="K1024" s="358">
        <v>1</v>
      </c>
      <c r="L1024" s="364">
        <v>123.69</v>
      </c>
      <c r="M1024" s="364">
        <f t="shared" si="19"/>
        <v>123.69</v>
      </c>
      <c r="N1024" s="41" t="s">
        <v>1990</v>
      </c>
      <c r="O1024" s="358"/>
      <c r="P1024" s="365">
        <f>Tabla3[[#This Row],[COSTO UNITARIO DOLARES EN HAWTHORNE]]*Tabla3[[#This Row],[CANTIDAD SOLICTADA]]</f>
        <v>0</v>
      </c>
      <c r="Q1024" s="41"/>
      <c r="R1024" s="229"/>
      <c r="S1024" s="229">
        <f>+Tabla3[[#This Row],[COSTO UNITARIO DOLARES CTP]]*Tabla3[[#This Row],[CANTIDAD SOLICTADA]]</f>
        <v>0</v>
      </c>
      <c r="T1024" s="41"/>
      <c r="U1024" s="370" t="s">
        <v>5</v>
      </c>
      <c r="V1024" s="360" t="s">
        <v>1993</v>
      </c>
      <c r="W1024" s="366"/>
      <c r="X1024" s="359"/>
      <c r="Y1024" s="358"/>
      <c r="Z1024" s="360"/>
      <c r="AA1024" s="360"/>
      <c r="AB1024" s="360"/>
      <c r="AC1024" s="360"/>
      <c r="AD1024" s="360"/>
      <c r="AE1024" s="360"/>
      <c r="AF1024" s="16"/>
      <c r="AG1024" s="367" t="s">
        <v>1992</v>
      </c>
    </row>
    <row r="1025" spans="1:33" ht="15.75" thickBot="1" x14ac:dyDescent="0.3">
      <c r="A1025" s="356">
        <v>144</v>
      </c>
      <c r="B1025" s="357">
        <v>46210</v>
      </c>
      <c r="C1025" s="358" t="s">
        <v>87</v>
      </c>
      <c r="D1025" s="359"/>
      <c r="E1025" s="360"/>
      <c r="F1025" s="361"/>
      <c r="G1025" s="213" t="str">
        <f>IFERROR(VLOOKUP(Tabla3[[#This Row],[NUM ECONOMICO]],MAQUINARIA!B:H,7,0), " MAQ")</f>
        <v>INACTIVA</v>
      </c>
      <c r="H1025" s="362" t="s">
        <v>1331</v>
      </c>
      <c r="I1025" s="363" t="s">
        <v>1891</v>
      </c>
      <c r="J1025" s="358" t="s">
        <v>546</v>
      </c>
      <c r="K1025" s="358">
        <v>4</v>
      </c>
      <c r="L1025" s="364">
        <v>125.84</v>
      </c>
      <c r="M1025" s="364">
        <f t="shared" si="19"/>
        <v>503.36</v>
      </c>
      <c r="N1025" s="41" t="s">
        <v>1990</v>
      </c>
      <c r="O1025" s="358"/>
      <c r="P1025" s="365">
        <f>Tabla3[[#This Row],[COSTO UNITARIO DOLARES EN HAWTHORNE]]*Tabla3[[#This Row],[CANTIDAD SOLICTADA]]</f>
        <v>0</v>
      </c>
      <c r="Q1025" s="41"/>
      <c r="R1025" s="229"/>
      <c r="S1025" s="229">
        <f>+Tabla3[[#This Row],[COSTO UNITARIO DOLARES CTP]]*Tabla3[[#This Row],[CANTIDAD SOLICTADA]]</f>
        <v>0</v>
      </c>
      <c r="T1025" s="41"/>
      <c r="U1025" s="370" t="s">
        <v>5</v>
      </c>
      <c r="V1025" s="360" t="s">
        <v>1993</v>
      </c>
      <c r="W1025" s="366"/>
      <c r="X1025" s="359"/>
      <c r="Y1025" s="358"/>
      <c r="Z1025" s="360"/>
      <c r="AA1025" s="360"/>
      <c r="AB1025" s="360"/>
      <c r="AC1025" s="360"/>
      <c r="AD1025" s="360"/>
      <c r="AE1025" s="360"/>
      <c r="AF1025" s="16"/>
      <c r="AG1025" s="367" t="s">
        <v>1992</v>
      </c>
    </row>
    <row r="1026" spans="1:33" ht="15.75" thickBot="1" x14ac:dyDescent="0.3">
      <c r="A1026" s="356">
        <v>144</v>
      </c>
      <c r="B1026" s="357">
        <v>46210</v>
      </c>
      <c r="C1026" s="358" t="s">
        <v>87</v>
      </c>
      <c r="D1026" s="359"/>
      <c r="E1026" s="360"/>
      <c r="F1026" s="361"/>
      <c r="G1026" s="213" t="str">
        <f>IFERROR(VLOOKUP(Tabla3[[#This Row],[NUM ECONOMICO]],MAQUINARIA!B:H,7,0), " MAQ")</f>
        <v>INACTIVA</v>
      </c>
      <c r="H1026" s="362" t="s">
        <v>1331</v>
      </c>
      <c r="I1026" s="363" t="s">
        <v>679</v>
      </c>
      <c r="J1026" s="358" t="s">
        <v>220</v>
      </c>
      <c r="K1026" s="358">
        <v>2</v>
      </c>
      <c r="L1026" s="364">
        <v>295.17</v>
      </c>
      <c r="M1026" s="364">
        <f t="shared" si="19"/>
        <v>590.34</v>
      </c>
      <c r="N1026" s="41" t="s">
        <v>1990</v>
      </c>
      <c r="O1026" s="358"/>
      <c r="P1026" s="365">
        <f>Tabla3[[#This Row],[COSTO UNITARIO DOLARES EN HAWTHORNE]]*Tabla3[[#This Row],[CANTIDAD SOLICTADA]]</f>
        <v>0</v>
      </c>
      <c r="Q1026" s="41"/>
      <c r="R1026" s="229"/>
      <c r="S1026" s="229">
        <f>+Tabla3[[#This Row],[COSTO UNITARIO DOLARES CTP]]*Tabla3[[#This Row],[CANTIDAD SOLICTADA]]</f>
        <v>0</v>
      </c>
      <c r="T1026" s="41"/>
      <c r="U1026" s="370" t="s">
        <v>5</v>
      </c>
      <c r="V1026" s="360" t="s">
        <v>1993</v>
      </c>
      <c r="W1026" s="366"/>
      <c r="X1026" s="359"/>
      <c r="Y1026" s="358"/>
      <c r="Z1026" s="360"/>
      <c r="AA1026" s="360"/>
      <c r="AB1026" s="360"/>
      <c r="AC1026" s="360"/>
      <c r="AD1026" s="360"/>
      <c r="AE1026" s="360"/>
      <c r="AF1026" s="16"/>
      <c r="AG1026" s="367" t="s">
        <v>1992</v>
      </c>
    </row>
    <row r="1027" spans="1:33" ht="15.75" thickBot="1" x14ac:dyDescent="0.3">
      <c r="A1027" s="356">
        <v>144</v>
      </c>
      <c r="B1027" s="357">
        <v>46210</v>
      </c>
      <c r="C1027" s="358" t="s">
        <v>87</v>
      </c>
      <c r="D1027" s="359"/>
      <c r="E1027" s="360"/>
      <c r="F1027" s="361"/>
      <c r="G1027" s="213" t="str">
        <f>IFERROR(VLOOKUP(Tabla3[[#This Row],[NUM ECONOMICO]],MAQUINARIA!B:H,7,0), " MAQ")</f>
        <v>INACTIVA</v>
      </c>
      <c r="H1027" s="362" t="s">
        <v>1331</v>
      </c>
      <c r="I1027" s="363" t="s">
        <v>1892</v>
      </c>
      <c r="J1027" s="358" t="s">
        <v>1961</v>
      </c>
      <c r="K1027" s="358">
        <v>1</v>
      </c>
      <c r="L1027" s="364">
        <v>173.09</v>
      </c>
      <c r="M1027" s="364">
        <f t="shared" si="19"/>
        <v>173.09</v>
      </c>
      <c r="N1027" s="41" t="s">
        <v>1990</v>
      </c>
      <c r="O1027" s="358"/>
      <c r="P1027" s="365">
        <f>Tabla3[[#This Row],[COSTO UNITARIO DOLARES EN HAWTHORNE]]*Tabla3[[#This Row],[CANTIDAD SOLICTADA]]</f>
        <v>0</v>
      </c>
      <c r="Q1027" s="41"/>
      <c r="R1027" s="229"/>
      <c r="S1027" s="229">
        <f>+Tabla3[[#This Row],[COSTO UNITARIO DOLARES CTP]]*Tabla3[[#This Row],[CANTIDAD SOLICTADA]]</f>
        <v>0</v>
      </c>
      <c r="T1027" s="41"/>
      <c r="U1027" s="370" t="s">
        <v>5</v>
      </c>
      <c r="V1027" s="360" t="s">
        <v>1993</v>
      </c>
      <c r="W1027" s="366"/>
      <c r="X1027" s="359"/>
      <c r="Y1027" s="358"/>
      <c r="Z1027" s="360"/>
      <c r="AA1027" s="360"/>
      <c r="AB1027" s="360"/>
      <c r="AC1027" s="360"/>
      <c r="AD1027" s="360"/>
      <c r="AE1027" s="360"/>
      <c r="AF1027" s="16"/>
      <c r="AG1027" s="367" t="s">
        <v>1992</v>
      </c>
    </row>
    <row r="1028" spans="1:33" ht="15.75" thickBot="1" x14ac:dyDescent="0.3">
      <c r="A1028" s="356">
        <v>144</v>
      </c>
      <c r="B1028" s="357">
        <v>46210</v>
      </c>
      <c r="C1028" s="358" t="s">
        <v>87</v>
      </c>
      <c r="D1028" s="359"/>
      <c r="E1028" s="360"/>
      <c r="F1028" s="361"/>
      <c r="G1028" s="213" t="str">
        <f>IFERROR(VLOOKUP(Tabla3[[#This Row],[NUM ECONOMICO]],MAQUINARIA!B:H,7,0), " MAQ")</f>
        <v>INACTIVA</v>
      </c>
      <c r="H1028" s="362" t="s">
        <v>1331</v>
      </c>
      <c r="I1028" s="363" t="s">
        <v>323</v>
      </c>
      <c r="J1028" s="358" t="s">
        <v>1961</v>
      </c>
      <c r="K1028" s="358">
        <v>2</v>
      </c>
      <c r="L1028" s="364">
        <v>48.33</v>
      </c>
      <c r="M1028" s="364">
        <f t="shared" si="19"/>
        <v>96.66</v>
      </c>
      <c r="N1028" s="41" t="s">
        <v>1990</v>
      </c>
      <c r="O1028" s="358"/>
      <c r="P1028" s="365">
        <f>Tabla3[[#This Row],[COSTO UNITARIO DOLARES EN HAWTHORNE]]*Tabla3[[#This Row],[CANTIDAD SOLICTADA]]</f>
        <v>0</v>
      </c>
      <c r="Q1028" s="41"/>
      <c r="R1028" s="229"/>
      <c r="S1028" s="229">
        <f>+Tabla3[[#This Row],[COSTO UNITARIO DOLARES CTP]]*Tabla3[[#This Row],[CANTIDAD SOLICTADA]]</f>
        <v>0</v>
      </c>
      <c r="T1028" s="41"/>
      <c r="U1028" s="370" t="s">
        <v>5</v>
      </c>
      <c r="V1028" s="360" t="s">
        <v>1993</v>
      </c>
      <c r="W1028" s="366"/>
      <c r="X1028" s="359"/>
      <c r="Y1028" s="358"/>
      <c r="Z1028" s="360"/>
      <c r="AA1028" s="360"/>
      <c r="AB1028" s="360"/>
      <c r="AC1028" s="360"/>
      <c r="AD1028" s="360"/>
      <c r="AE1028" s="360"/>
      <c r="AF1028" s="16"/>
      <c r="AG1028" s="367" t="s">
        <v>1992</v>
      </c>
    </row>
    <row r="1029" spans="1:33" ht="15.75" thickBot="1" x14ac:dyDescent="0.3">
      <c r="A1029" s="356">
        <v>144</v>
      </c>
      <c r="B1029" s="357">
        <v>46210</v>
      </c>
      <c r="C1029" s="358" t="s">
        <v>87</v>
      </c>
      <c r="D1029" s="359"/>
      <c r="E1029" s="360"/>
      <c r="F1029" s="361"/>
      <c r="G1029" s="213" t="str">
        <f>IFERROR(VLOOKUP(Tabla3[[#This Row],[NUM ECONOMICO]],MAQUINARIA!B:H,7,0), " MAQ")</f>
        <v>INACTIVA</v>
      </c>
      <c r="H1029" s="362" t="s">
        <v>1331</v>
      </c>
      <c r="I1029" s="363" t="s">
        <v>334</v>
      </c>
      <c r="J1029" s="358" t="s">
        <v>506</v>
      </c>
      <c r="K1029" s="358">
        <v>2</v>
      </c>
      <c r="L1029" s="364">
        <v>31.5</v>
      </c>
      <c r="M1029" s="364">
        <f t="shared" si="19"/>
        <v>63</v>
      </c>
      <c r="N1029" s="41" t="s">
        <v>1990</v>
      </c>
      <c r="O1029" s="358"/>
      <c r="P1029" s="365">
        <f>Tabla3[[#This Row],[COSTO UNITARIO DOLARES EN HAWTHORNE]]*Tabla3[[#This Row],[CANTIDAD SOLICTADA]]</f>
        <v>0</v>
      </c>
      <c r="Q1029" s="41"/>
      <c r="R1029" s="229"/>
      <c r="S1029" s="229">
        <f>+Tabla3[[#This Row],[COSTO UNITARIO DOLARES CTP]]*Tabla3[[#This Row],[CANTIDAD SOLICTADA]]</f>
        <v>0</v>
      </c>
      <c r="T1029" s="41"/>
      <c r="U1029" s="370" t="s">
        <v>5</v>
      </c>
      <c r="V1029" s="360" t="s">
        <v>1993</v>
      </c>
      <c r="W1029" s="366"/>
      <c r="X1029" s="359"/>
      <c r="Y1029" s="358"/>
      <c r="Z1029" s="360"/>
      <c r="AA1029" s="360"/>
      <c r="AB1029" s="360"/>
      <c r="AC1029" s="360"/>
      <c r="AD1029" s="360"/>
      <c r="AE1029" s="360"/>
      <c r="AF1029" s="16"/>
      <c r="AG1029" s="367" t="s">
        <v>1992</v>
      </c>
    </row>
    <row r="1030" spans="1:33" ht="15.75" thickBot="1" x14ac:dyDescent="0.3">
      <c r="A1030" s="356">
        <v>144</v>
      </c>
      <c r="B1030" s="357">
        <v>46210</v>
      </c>
      <c r="C1030" s="358" t="s">
        <v>87</v>
      </c>
      <c r="D1030" s="359"/>
      <c r="E1030" s="360"/>
      <c r="F1030" s="361"/>
      <c r="G1030" s="213" t="str">
        <f>IFERROR(VLOOKUP(Tabla3[[#This Row],[NUM ECONOMICO]],MAQUINARIA!B:H,7,0), " MAQ")</f>
        <v>INACTIVA</v>
      </c>
      <c r="H1030" s="362" t="s">
        <v>1331</v>
      </c>
      <c r="I1030" s="363" t="s">
        <v>1893</v>
      </c>
      <c r="J1030" s="358" t="s">
        <v>1961</v>
      </c>
      <c r="K1030" s="358">
        <v>1</v>
      </c>
      <c r="L1030" s="364">
        <v>122.61</v>
      </c>
      <c r="M1030" s="364">
        <f t="shared" si="19"/>
        <v>122.61</v>
      </c>
      <c r="N1030" s="41" t="s">
        <v>1990</v>
      </c>
      <c r="O1030" s="358"/>
      <c r="P1030" s="365">
        <f>Tabla3[[#This Row],[COSTO UNITARIO DOLARES EN HAWTHORNE]]*Tabla3[[#This Row],[CANTIDAD SOLICTADA]]</f>
        <v>0</v>
      </c>
      <c r="Q1030" s="41"/>
      <c r="R1030" s="229"/>
      <c r="S1030" s="229">
        <f>+Tabla3[[#This Row],[COSTO UNITARIO DOLARES CTP]]*Tabla3[[#This Row],[CANTIDAD SOLICTADA]]</f>
        <v>0</v>
      </c>
      <c r="T1030" s="41"/>
      <c r="U1030" s="370" t="s">
        <v>5</v>
      </c>
      <c r="V1030" s="360" t="s">
        <v>1993</v>
      </c>
      <c r="W1030" s="366"/>
      <c r="X1030" s="359"/>
      <c r="Y1030" s="358"/>
      <c r="Z1030" s="360"/>
      <c r="AA1030" s="360"/>
      <c r="AB1030" s="360"/>
      <c r="AC1030" s="360"/>
      <c r="AD1030" s="360"/>
      <c r="AE1030" s="360"/>
      <c r="AF1030" s="16"/>
      <c r="AG1030" s="367" t="s">
        <v>1992</v>
      </c>
    </row>
    <row r="1031" spans="1:33" ht="15.75" thickBot="1" x14ac:dyDescent="0.3">
      <c r="A1031" s="356">
        <v>144</v>
      </c>
      <c r="B1031" s="357">
        <v>46210</v>
      </c>
      <c r="C1031" s="358" t="s">
        <v>87</v>
      </c>
      <c r="D1031" s="359"/>
      <c r="E1031" s="360"/>
      <c r="F1031" s="361"/>
      <c r="G1031" s="213" t="str">
        <f>IFERROR(VLOOKUP(Tabla3[[#This Row],[NUM ECONOMICO]],MAQUINARIA!B:H,7,0), " MAQ")</f>
        <v>INACTIVA</v>
      </c>
      <c r="H1031" s="362" t="s">
        <v>1331</v>
      </c>
      <c r="I1031" s="363" t="s">
        <v>1894</v>
      </c>
      <c r="J1031" s="358" t="s">
        <v>1971</v>
      </c>
      <c r="K1031" s="358">
        <v>1</v>
      </c>
      <c r="L1031" s="364">
        <v>55.85</v>
      </c>
      <c r="M1031" s="364">
        <f t="shared" si="19"/>
        <v>55.85</v>
      </c>
      <c r="N1031" s="41" t="s">
        <v>1990</v>
      </c>
      <c r="O1031" s="358"/>
      <c r="P1031" s="365">
        <f>Tabla3[[#This Row],[COSTO UNITARIO DOLARES EN HAWTHORNE]]*Tabla3[[#This Row],[CANTIDAD SOLICTADA]]</f>
        <v>0</v>
      </c>
      <c r="Q1031" s="41"/>
      <c r="R1031" s="229"/>
      <c r="S1031" s="229">
        <f>+Tabla3[[#This Row],[COSTO UNITARIO DOLARES CTP]]*Tabla3[[#This Row],[CANTIDAD SOLICTADA]]</f>
        <v>0</v>
      </c>
      <c r="T1031" s="41"/>
      <c r="U1031" s="370" t="s">
        <v>5</v>
      </c>
      <c r="V1031" s="360" t="s">
        <v>1993</v>
      </c>
      <c r="W1031" s="366"/>
      <c r="X1031" s="359"/>
      <c r="Y1031" s="358"/>
      <c r="Z1031" s="360"/>
      <c r="AA1031" s="360"/>
      <c r="AB1031" s="360"/>
      <c r="AC1031" s="360"/>
      <c r="AD1031" s="360"/>
      <c r="AE1031" s="360"/>
      <c r="AF1031" s="16"/>
      <c r="AG1031" s="367" t="s">
        <v>1992</v>
      </c>
    </row>
    <row r="1032" spans="1:33" ht="15.75" thickBot="1" x14ac:dyDescent="0.3">
      <c r="A1032" s="356">
        <v>144</v>
      </c>
      <c r="B1032" s="357">
        <v>46210</v>
      </c>
      <c r="C1032" s="358" t="s">
        <v>87</v>
      </c>
      <c r="D1032" s="359"/>
      <c r="E1032" s="360"/>
      <c r="F1032" s="361"/>
      <c r="G1032" s="213" t="str">
        <f>IFERROR(VLOOKUP(Tabla3[[#This Row],[NUM ECONOMICO]],MAQUINARIA!B:H,7,0), " MAQ")</f>
        <v>INACTIVA</v>
      </c>
      <c r="H1032" s="362" t="s">
        <v>1331</v>
      </c>
      <c r="I1032" s="363" t="s">
        <v>1895</v>
      </c>
      <c r="J1032" s="358" t="s">
        <v>220</v>
      </c>
      <c r="K1032" s="358">
        <v>1</v>
      </c>
      <c r="L1032" s="364">
        <v>475.42</v>
      </c>
      <c r="M1032" s="364">
        <f t="shared" si="19"/>
        <v>475.42</v>
      </c>
      <c r="N1032" s="41" t="s">
        <v>1990</v>
      </c>
      <c r="O1032" s="358"/>
      <c r="P1032" s="365">
        <f>Tabla3[[#This Row],[COSTO UNITARIO DOLARES EN HAWTHORNE]]*Tabla3[[#This Row],[CANTIDAD SOLICTADA]]</f>
        <v>0</v>
      </c>
      <c r="Q1032" s="41"/>
      <c r="R1032" s="229"/>
      <c r="S1032" s="229">
        <f>+Tabla3[[#This Row],[COSTO UNITARIO DOLARES CTP]]*Tabla3[[#This Row],[CANTIDAD SOLICTADA]]</f>
        <v>0</v>
      </c>
      <c r="T1032" s="41"/>
      <c r="U1032" s="370" t="s">
        <v>5</v>
      </c>
      <c r="V1032" s="360" t="s">
        <v>1993</v>
      </c>
      <c r="W1032" s="366"/>
      <c r="X1032" s="359"/>
      <c r="Y1032" s="358"/>
      <c r="Z1032" s="360"/>
      <c r="AA1032" s="360"/>
      <c r="AB1032" s="360"/>
      <c r="AC1032" s="360"/>
      <c r="AD1032" s="360"/>
      <c r="AE1032" s="360"/>
      <c r="AF1032" s="16"/>
      <c r="AG1032" s="367" t="s">
        <v>1992</v>
      </c>
    </row>
    <row r="1033" spans="1:33" ht="15.75" thickBot="1" x14ac:dyDescent="0.3">
      <c r="A1033" s="356">
        <v>144</v>
      </c>
      <c r="B1033" s="357">
        <v>46210</v>
      </c>
      <c r="C1033" s="358" t="s">
        <v>87</v>
      </c>
      <c r="D1033" s="359"/>
      <c r="E1033" s="360"/>
      <c r="F1033" s="361"/>
      <c r="G1033" s="213" t="str">
        <f>IFERROR(VLOOKUP(Tabla3[[#This Row],[NUM ECONOMICO]],MAQUINARIA!B:H,7,0), " MAQ")</f>
        <v>INACTIVA</v>
      </c>
      <c r="H1033" s="362" t="s">
        <v>1331</v>
      </c>
      <c r="I1033" s="363" t="s">
        <v>330</v>
      </c>
      <c r="J1033" s="358" t="s">
        <v>1961</v>
      </c>
      <c r="K1033" s="358">
        <v>1</v>
      </c>
      <c r="L1033" s="364">
        <v>153.4</v>
      </c>
      <c r="M1033" s="364">
        <f t="shared" si="19"/>
        <v>153.4</v>
      </c>
      <c r="N1033" s="41" t="s">
        <v>1990</v>
      </c>
      <c r="O1033" s="358"/>
      <c r="P1033" s="365">
        <f>Tabla3[[#This Row],[COSTO UNITARIO DOLARES EN HAWTHORNE]]*Tabla3[[#This Row],[CANTIDAD SOLICTADA]]</f>
        <v>0</v>
      </c>
      <c r="Q1033" s="41"/>
      <c r="R1033" s="229"/>
      <c r="S1033" s="229">
        <f>+Tabla3[[#This Row],[COSTO UNITARIO DOLARES CTP]]*Tabla3[[#This Row],[CANTIDAD SOLICTADA]]</f>
        <v>0</v>
      </c>
      <c r="T1033" s="41"/>
      <c r="U1033" s="370" t="s">
        <v>5</v>
      </c>
      <c r="V1033" s="360" t="s">
        <v>1993</v>
      </c>
      <c r="W1033" s="366"/>
      <c r="X1033" s="359"/>
      <c r="Y1033" s="358"/>
      <c r="Z1033" s="360"/>
      <c r="AA1033" s="360"/>
      <c r="AB1033" s="360"/>
      <c r="AC1033" s="360"/>
      <c r="AD1033" s="360"/>
      <c r="AE1033" s="360"/>
      <c r="AF1033" s="16"/>
      <c r="AG1033" s="367" t="s">
        <v>1992</v>
      </c>
    </row>
    <row r="1034" spans="1:33" ht="15.75" thickBot="1" x14ac:dyDescent="0.3">
      <c r="A1034" s="356">
        <v>144</v>
      </c>
      <c r="B1034" s="357">
        <v>46210</v>
      </c>
      <c r="C1034" s="358" t="s">
        <v>87</v>
      </c>
      <c r="D1034" s="359"/>
      <c r="E1034" s="360"/>
      <c r="F1034" s="361"/>
      <c r="G1034" s="213" t="str">
        <f>IFERROR(VLOOKUP(Tabla3[[#This Row],[NUM ECONOMICO]],MAQUINARIA!B:H,7,0), " MAQ")</f>
        <v>INACTIVA</v>
      </c>
      <c r="H1034" s="362" t="s">
        <v>1331</v>
      </c>
      <c r="I1034" s="363" t="s">
        <v>1896</v>
      </c>
      <c r="J1034" s="358" t="s">
        <v>220</v>
      </c>
      <c r="K1034" s="358">
        <v>1</v>
      </c>
      <c r="L1034" s="364">
        <v>198.33</v>
      </c>
      <c r="M1034" s="364">
        <f t="shared" si="19"/>
        <v>198.33</v>
      </c>
      <c r="N1034" s="41" t="s">
        <v>1990</v>
      </c>
      <c r="O1034" s="358"/>
      <c r="P1034" s="365">
        <f>Tabla3[[#This Row],[COSTO UNITARIO DOLARES EN HAWTHORNE]]*Tabla3[[#This Row],[CANTIDAD SOLICTADA]]</f>
        <v>0</v>
      </c>
      <c r="Q1034" s="41"/>
      <c r="R1034" s="229"/>
      <c r="S1034" s="229">
        <f>+Tabla3[[#This Row],[COSTO UNITARIO DOLARES CTP]]*Tabla3[[#This Row],[CANTIDAD SOLICTADA]]</f>
        <v>0</v>
      </c>
      <c r="T1034" s="41"/>
      <c r="U1034" s="370" t="s">
        <v>5</v>
      </c>
      <c r="V1034" s="360" t="s">
        <v>1993</v>
      </c>
      <c r="W1034" s="366"/>
      <c r="X1034" s="359"/>
      <c r="Y1034" s="358"/>
      <c r="Z1034" s="360"/>
      <c r="AA1034" s="360"/>
      <c r="AB1034" s="360"/>
      <c r="AC1034" s="360"/>
      <c r="AD1034" s="360"/>
      <c r="AE1034" s="360"/>
      <c r="AF1034" s="16"/>
      <c r="AG1034" s="367" t="s">
        <v>1992</v>
      </c>
    </row>
    <row r="1035" spans="1:33" ht="15.75" thickBot="1" x14ac:dyDescent="0.3">
      <c r="A1035" s="356">
        <v>144</v>
      </c>
      <c r="B1035" s="357">
        <v>46210</v>
      </c>
      <c r="C1035" s="358" t="s">
        <v>87</v>
      </c>
      <c r="D1035" s="359"/>
      <c r="E1035" s="360"/>
      <c r="F1035" s="361"/>
      <c r="G1035" s="213" t="str">
        <f>IFERROR(VLOOKUP(Tabla3[[#This Row],[NUM ECONOMICO]],MAQUINARIA!B:H,7,0), " MAQ")</f>
        <v>INACTIVA</v>
      </c>
      <c r="H1035" s="362" t="s">
        <v>1331</v>
      </c>
      <c r="I1035" s="363" t="s">
        <v>1897</v>
      </c>
      <c r="J1035" s="358" t="s">
        <v>220</v>
      </c>
      <c r="K1035" s="358">
        <v>2</v>
      </c>
      <c r="L1035" s="364">
        <v>608.05999999999995</v>
      </c>
      <c r="M1035" s="364">
        <f t="shared" si="19"/>
        <v>1216.1199999999999</v>
      </c>
      <c r="N1035" s="41" t="s">
        <v>1990</v>
      </c>
      <c r="O1035" s="358"/>
      <c r="P1035" s="365">
        <f>Tabla3[[#This Row],[COSTO UNITARIO DOLARES EN HAWTHORNE]]*Tabla3[[#This Row],[CANTIDAD SOLICTADA]]</f>
        <v>0</v>
      </c>
      <c r="Q1035" s="41"/>
      <c r="R1035" s="229"/>
      <c r="S1035" s="229">
        <f>+Tabla3[[#This Row],[COSTO UNITARIO DOLARES CTP]]*Tabla3[[#This Row],[CANTIDAD SOLICTADA]]</f>
        <v>0</v>
      </c>
      <c r="T1035" s="41"/>
      <c r="U1035" s="370" t="s">
        <v>5</v>
      </c>
      <c r="V1035" s="360" t="s">
        <v>1993</v>
      </c>
      <c r="W1035" s="366"/>
      <c r="X1035" s="359"/>
      <c r="Y1035" s="358"/>
      <c r="Z1035" s="360"/>
      <c r="AA1035" s="360"/>
      <c r="AB1035" s="360"/>
      <c r="AC1035" s="360"/>
      <c r="AD1035" s="360"/>
      <c r="AE1035" s="360"/>
      <c r="AF1035" s="16"/>
      <c r="AG1035" s="367" t="s">
        <v>1992</v>
      </c>
    </row>
    <row r="1036" spans="1:33" ht="15.75" thickBot="1" x14ac:dyDescent="0.3">
      <c r="A1036" s="356">
        <v>144</v>
      </c>
      <c r="B1036" s="357">
        <v>46210</v>
      </c>
      <c r="C1036" s="358" t="s">
        <v>87</v>
      </c>
      <c r="D1036" s="359"/>
      <c r="E1036" s="360"/>
      <c r="F1036" s="361"/>
      <c r="G1036" s="213" t="str">
        <f>IFERROR(VLOOKUP(Tabla3[[#This Row],[NUM ECONOMICO]],MAQUINARIA!B:H,7,0), " MAQ")</f>
        <v>INACTIVA</v>
      </c>
      <c r="H1036" s="362" t="s">
        <v>1331</v>
      </c>
      <c r="I1036" s="363" t="s">
        <v>341</v>
      </c>
      <c r="J1036" s="358" t="s">
        <v>546</v>
      </c>
      <c r="K1036" s="358">
        <v>2</v>
      </c>
      <c r="L1036" s="364">
        <v>52.63</v>
      </c>
      <c r="M1036" s="364">
        <f t="shared" si="19"/>
        <v>105.26</v>
      </c>
      <c r="N1036" s="41" t="s">
        <v>1990</v>
      </c>
      <c r="O1036" s="358"/>
      <c r="P1036" s="365">
        <f>Tabla3[[#This Row],[COSTO UNITARIO DOLARES EN HAWTHORNE]]*Tabla3[[#This Row],[CANTIDAD SOLICTADA]]</f>
        <v>0</v>
      </c>
      <c r="Q1036" s="41"/>
      <c r="R1036" s="229"/>
      <c r="S1036" s="229">
        <f>+Tabla3[[#This Row],[COSTO UNITARIO DOLARES CTP]]*Tabla3[[#This Row],[CANTIDAD SOLICTADA]]</f>
        <v>0</v>
      </c>
      <c r="T1036" s="41"/>
      <c r="U1036" s="370" t="s">
        <v>5</v>
      </c>
      <c r="V1036" s="360" t="s">
        <v>1993</v>
      </c>
      <c r="W1036" s="366"/>
      <c r="X1036" s="359"/>
      <c r="Y1036" s="358"/>
      <c r="Z1036" s="360"/>
      <c r="AA1036" s="360"/>
      <c r="AB1036" s="360"/>
      <c r="AC1036" s="360"/>
      <c r="AD1036" s="360"/>
      <c r="AE1036" s="360"/>
      <c r="AF1036" s="16"/>
      <c r="AG1036" s="367" t="s">
        <v>1992</v>
      </c>
    </row>
    <row r="1037" spans="1:33" ht="15.75" thickBot="1" x14ac:dyDescent="0.3">
      <c r="A1037" s="356">
        <v>144</v>
      </c>
      <c r="B1037" s="357">
        <v>46210</v>
      </c>
      <c r="C1037" s="358" t="s">
        <v>87</v>
      </c>
      <c r="D1037" s="359"/>
      <c r="E1037" s="360"/>
      <c r="F1037" s="361"/>
      <c r="G1037" s="213" t="str">
        <f>IFERROR(VLOOKUP(Tabla3[[#This Row],[NUM ECONOMICO]],MAQUINARIA!B:H,7,0), " MAQ")</f>
        <v>INACTIVA</v>
      </c>
      <c r="H1037" s="362" t="s">
        <v>1331</v>
      </c>
      <c r="I1037" s="363" t="s">
        <v>297</v>
      </c>
      <c r="J1037" s="358" t="s">
        <v>1961</v>
      </c>
      <c r="K1037" s="358">
        <v>4</v>
      </c>
      <c r="L1037" s="364">
        <v>178.82</v>
      </c>
      <c r="M1037" s="364">
        <f t="shared" si="19"/>
        <v>715.28</v>
      </c>
      <c r="N1037" s="41" t="s">
        <v>1990</v>
      </c>
      <c r="O1037" s="358"/>
      <c r="P1037" s="365">
        <f>Tabla3[[#This Row],[COSTO UNITARIO DOLARES EN HAWTHORNE]]*Tabla3[[#This Row],[CANTIDAD SOLICTADA]]</f>
        <v>0</v>
      </c>
      <c r="Q1037" s="41"/>
      <c r="R1037" s="229"/>
      <c r="S1037" s="229">
        <f>+Tabla3[[#This Row],[COSTO UNITARIO DOLARES CTP]]*Tabla3[[#This Row],[CANTIDAD SOLICTADA]]</f>
        <v>0</v>
      </c>
      <c r="T1037" s="41"/>
      <c r="U1037" s="370" t="s">
        <v>5</v>
      </c>
      <c r="V1037" s="360" t="s">
        <v>1993</v>
      </c>
      <c r="W1037" s="366"/>
      <c r="X1037" s="359"/>
      <c r="Y1037" s="358"/>
      <c r="Z1037" s="360"/>
      <c r="AA1037" s="360"/>
      <c r="AB1037" s="360"/>
      <c r="AC1037" s="360"/>
      <c r="AD1037" s="360"/>
      <c r="AE1037" s="360"/>
      <c r="AF1037" s="16"/>
      <c r="AG1037" s="367" t="s">
        <v>1992</v>
      </c>
    </row>
    <row r="1038" spans="1:33" ht="15.75" thickBot="1" x14ac:dyDescent="0.3">
      <c r="A1038" s="356">
        <v>144</v>
      </c>
      <c r="B1038" s="357">
        <v>46210</v>
      </c>
      <c r="C1038" s="358" t="s">
        <v>87</v>
      </c>
      <c r="D1038" s="359"/>
      <c r="E1038" s="360"/>
      <c r="F1038" s="361"/>
      <c r="G1038" s="213" t="str">
        <f>IFERROR(VLOOKUP(Tabla3[[#This Row],[NUM ECONOMICO]],MAQUINARIA!B:H,7,0), " MAQ")</f>
        <v>INACTIVA</v>
      </c>
      <c r="H1038" s="362" t="s">
        <v>1331</v>
      </c>
      <c r="I1038" s="363" t="s">
        <v>339</v>
      </c>
      <c r="J1038" s="358" t="s">
        <v>546</v>
      </c>
      <c r="K1038" s="358">
        <v>4</v>
      </c>
      <c r="L1038" s="364">
        <v>137.83000000000001</v>
      </c>
      <c r="M1038" s="364">
        <f t="shared" si="19"/>
        <v>551.32000000000005</v>
      </c>
      <c r="N1038" s="41" t="s">
        <v>1990</v>
      </c>
      <c r="O1038" s="358"/>
      <c r="P1038" s="365">
        <f>Tabla3[[#This Row],[COSTO UNITARIO DOLARES EN HAWTHORNE]]*Tabla3[[#This Row],[CANTIDAD SOLICTADA]]</f>
        <v>0</v>
      </c>
      <c r="Q1038" s="41"/>
      <c r="R1038" s="229"/>
      <c r="S1038" s="229">
        <f>+Tabla3[[#This Row],[COSTO UNITARIO DOLARES CTP]]*Tabla3[[#This Row],[CANTIDAD SOLICTADA]]</f>
        <v>0</v>
      </c>
      <c r="T1038" s="41"/>
      <c r="U1038" s="370" t="s">
        <v>5</v>
      </c>
      <c r="V1038" s="360" t="s">
        <v>1993</v>
      </c>
      <c r="W1038" s="366"/>
      <c r="X1038" s="359"/>
      <c r="Y1038" s="358"/>
      <c r="Z1038" s="360"/>
      <c r="AA1038" s="360"/>
      <c r="AB1038" s="360"/>
      <c r="AC1038" s="360"/>
      <c r="AD1038" s="360"/>
      <c r="AE1038" s="360"/>
      <c r="AF1038" s="16"/>
      <c r="AG1038" s="367" t="s">
        <v>1992</v>
      </c>
    </row>
    <row r="1039" spans="1:33" ht="15.75" thickBot="1" x14ac:dyDescent="0.3">
      <c r="A1039" s="356">
        <v>144</v>
      </c>
      <c r="B1039" s="357">
        <v>46210</v>
      </c>
      <c r="C1039" s="358" t="s">
        <v>87</v>
      </c>
      <c r="D1039" s="359"/>
      <c r="E1039" s="360"/>
      <c r="F1039" s="361"/>
      <c r="G1039" s="213" t="str">
        <f>IFERROR(VLOOKUP(Tabla3[[#This Row],[NUM ECONOMICO]],MAQUINARIA!B:H,7,0), " MAQ")</f>
        <v>INACTIVA</v>
      </c>
      <c r="H1039" s="362" t="s">
        <v>1331</v>
      </c>
      <c r="I1039" s="363" t="s">
        <v>1898</v>
      </c>
      <c r="J1039" s="358" t="s">
        <v>546</v>
      </c>
      <c r="K1039" s="358">
        <v>2</v>
      </c>
      <c r="L1039" s="364">
        <v>427.81</v>
      </c>
      <c r="M1039" s="364">
        <f t="shared" si="19"/>
        <v>855.62</v>
      </c>
      <c r="N1039" s="41" t="s">
        <v>1990</v>
      </c>
      <c r="O1039" s="358"/>
      <c r="P1039" s="365">
        <f>Tabla3[[#This Row],[COSTO UNITARIO DOLARES EN HAWTHORNE]]*Tabla3[[#This Row],[CANTIDAD SOLICTADA]]</f>
        <v>0</v>
      </c>
      <c r="Q1039" s="41"/>
      <c r="R1039" s="229"/>
      <c r="S1039" s="229">
        <f>+Tabla3[[#This Row],[COSTO UNITARIO DOLARES CTP]]*Tabla3[[#This Row],[CANTIDAD SOLICTADA]]</f>
        <v>0</v>
      </c>
      <c r="T1039" s="41"/>
      <c r="U1039" s="370" t="s">
        <v>5</v>
      </c>
      <c r="V1039" s="360" t="s">
        <v>1993</v>
      </c>
      <c r="W1039" s="366"/>
      <c r="X1039" s="359"/>
      <c r="Y1039" s="358"/>
      <c r="Z1039" s="360"/>
      <c r="AA1039" s="360"/>
      <c r="AB1039" s="360"/>
      <c r="AC1039" s="360"/>
      <c r="AD1039" s="360"/>
      <c r="AE1039" s="360"/>
      <c r="AF1039" s="16"/>
      <c r="AG1039" s="367" t="s">
        <v>1992</v>
      </c>
    </row>
    <row r="1040" spans="1:33" ht="15.75" thickBot="1" x14ac:dyDescent="0.3">
      <c r="A1040" s="356">
        <v>144</v>
      </c>
      <c r="B1040" s="357">
        <v>46210</v>
      </c>
      <c r="C1040" s="358" t="s">
        <v>87</v>
      </c>
      <c r="D1040" s="359"/>
      <c r="E1040" s="360"/>
      <c r="F1040" s="361"/>
      <c r="G1040" s="213" t="str">
        <f>IFERROR(VLOOKUP(Tabla3[[#This Row],[NUM ECONOMICO]],MAQUINARIA!B:H,7,0), " MAQ")</f>
        <v>INACTIVA</v>
      </c>
      <c r="H1040" s="362" t="s">
        <v>1331</v>
      </c>
      <c r="I1040" s="363" t="s">
        <v>1082</v>
      </c>
      <c r="J1040" s="358" t="s">
        <v>1961</v>
      </c>
      <c r="K1040" s="358">
        <v>2</v>
      </c>
      <c r="L1040" s="364">
        <v>123.69</v>
      </c>
      <c r="M1040" s="364">
        <f t="shared" si="19"/>
        <v>247.38</v>
      </c>
      <c r="N1040" s="41" t="s">
        <v>1990</v>
      </c>
      <c r="O1040" s="358"/>
      <c r="P1040" s="365">
        <f>Tabla3[[#This Row],[COSTO UNITARIO DOLARES EN HAWTHORNE]]*Tabla3[[#This Row],[CANTIDAD SOLICTADA]]</f>
        <v>0</v>
      </c>
      <c r="Q1040" s="41"/>
      <c r="R1040" s="229"/>
      <c r="S1040" s="229">
        <f>+Tabla3[[#This Row],[COSTO UNITARIO DOLARES CTP]]*Tabla3[[#This Row],[CANTIDAD SOLICTADA]]</f>
        <v>0</v>
      </c>
      <c r="T1040" s="41"/>
      <c r="U1040" s="370" t="s">
        <v>5</v>
      </c>
      <c r="V1040" s="360" t="s">
        <v>1993</v>
      </c>
      <c r="W1040" s="366"/>
      <c r="X1040" s="359"/>
      <c r="Y1040" s="358"/>
      <c r="Z1040" s="360"/>
      <c r="AA1040" s="360"/>
      <c r="AB1040" s="360"/>
      <c r="AC1040" s="360"/>
      <c r="AD1040" s="360"/>
      <c r="AE1040" s="360"/>
      <c r="AF1040" s="16"/>
      <c r="AG1040" s="367" t="s">
        <v>1992</v>
      </c>
    </row>
    <row r="1041" spans="1:33" ht="15.75" thickBot="1" x14ac:dyDescent="0.3">
      <c r="A1041" s="356">
        <v>144</v>
      </c>
      <c r="B1041" s="357">
        <v>46210</v>
      </c>
      <c r="C1041" s="358" t="s">
        <v>87</v>
      </c>
      <c r="D1041" s="359"/>
      <c r="E1041" s="360"/>
      <c r="F1041" s="361"/>
      <c r="G1041" s="213" t="str">
        <f>IFERROR(VLOOKUP(Tabla3[[#This Row],[NUM ECONOMICO]],MAQUINARIA!B:H,7,0), " MAQ")</f>
        <v>INACTIVA</v>
      </c>
      <c r="H1041" s="362" t="s">
        <v>1331</v>
      </c>
      <c r="I1041" s="363" t="s">
        <v>1899</v>
      </c>
      <c r="J1041" s="358" t="s">
        <v>1970</v>
      </c>
      <c r="K1041" s="358">
        <v>1</v>
      </c>
      <c r="L1041" s="364">
        <v>1428.42</v>
      </c>
      <c r="M1041" s="364">
        <f t="shared" ref="M1041:M1104" si="20">+L1041*K1041</f>
        <v>1428.42</v>
      </c>
      <c r="N1041" s="41" t="s">
        <v>1990</v>
      </c>
      <c r="O1041" s="358"/>
      <c r="P1041" s="365">
        <f>Tabla3[[#This Row],[COSTO UNITARIO DOLARES EN HAWTHORNE]]*Tabla3[[#This Row],[CANTIDAD SOLICTADA]]</f>
        <v>0</v>
      </c>
      <c r="Q1041" s="41"/>
      <c r="R1041" s="229"/>
      <c r="S1041" s="229">
        <f>+Tabla3[[#This Row],[COSTO UNITARIO DOLARES CTP]]*Tabla3[[#This Row],[CANTIDAD SOLICTADA]]</f>
        <v>0</v>
      </c>
      <c r="T1041" s="41"/>
      <c r="U1041" s="370" t="s">
        <v>5</v>
      </c>
      <c r="V1041" s="360" t="s">
        <v>1993</v>
      </c>
      <c r="W1041" s="366"/>
      <c r="X1041" s="359"/>
      <c r="Y1041" s="358"/>
      <c r="Z1041" s="360"/>
      <c r="AA1041" s="360"/>
      <c r="AB1041" s="360"/>
      <c r="AC1041" s="360"/>
      <c r="AD1041" s="360"/>
      <c r="AE1041" s="360"/>
      <c r="AF1041" s="16"/>
      <c r="AG1041" s="367" t="s">
        <v>1992</v>
      </c>
    </row>
    <row r="1042" spans="1:33" ht="15.75" thickBot="1" x14ac:dyDescent="0.3">
      <c r="A1042" s="356">
        <v>144</v>
      </c>
      <c r="B1042" s="357">
        <v>46210</v>
      </c>
      <c r="C1042" s="358" t="s">
        <v>87</v>
      </c>
      <c r="D1042" s="359"/>
      <c r="E1042" s="360"/>
      <c r="F1042" s="361"/>
      <c r="G1042" s="213" t="str">
        <f>IFERROR(VLOOKUP(Tabla3[[#This Row],[NUM ECONOMICO]],MAQUINARIA!B:H,7,0), " MAQ")</f>
        <v>INACTIVA</v>
      </c>
      <c r="H1042" s="362" t="s">
        <v>1331</v>
      </c>
      <c r="I1042" s="363" t="s">
        <v>1900</v>
      </c>
      <c r="J1042" s="358" t="s">
        <v>1961</v>
      </c>
      <c r="K1042" s="358">
        <v>2</v>
      </c>
      <c r="L1042" s="364">
        <v>29.71</v>
      </c>
      <c r="M1042" s="364">
        <f t="shared" si="20"/>
        <v>59.42</v>
      </c>
      <c r="N1042" s="41" t="s">
        <v>1990</v>
      </c>
      <c r="O1042" s="358"/>
      <c r="P1042" s="365">
        <f>Tabla3[[#This Row],[COSTO UNITARIO DOLARES EN HAWTHORNE]]*Tabla3[[#This Row],[CANTIDAD SOLICTADA]]</f>
        <v>0</v>
      </c>
      <c r="Q1042" s="41"/>
      <c r="R1042" s="229"/>
      <c r="S1042" s="229">
        <f>+Tabla3[[#This Row],[COSTO UNITARIO DOLARES CTP]]*Tabla3[[#This Row],[CANTIDAD SOLICTADA]]</f>
        <v>0</v>
      </c>
      <c r="T1042" s="41"/>
      <c r="U1042" s="370" t="s">
        <v>5</v>
      </c>
      <c r="V1042" s="360" t="s">
        <v>1993</v>
      </c>
      <c r="W1042" s="366"/>
      <c r="X1042" s="359"/>
      <c r="Y1042" s="358"/>
      <c r="Z1042" s="360"/>
      <c r="AA1042" s="360"/>
      <c r="AB1042" s="360"/>
      <c r="AC1042" s="360"/>
      <c r="AD1042" s="360"/>
      <c r="AE1042" s="360"/>
      <c r="AF1042" s="16"/>
      <c r="AG1042" s="367" t="s">
        <v>1992</v>
      </c>
    </row>
    <row r="1043" spans="1:33" ht="15.75" thickBot="1" x14ac:dyDescent="0.3">
      <c r="A1043" s="356">
        <v>144</v>
      </c>
      <c r="B1043" s="357">
        <v>46210</v>
      </c>
      <c r="C1043" s="358" t="s">
        <v>87</v>
      </c>
      <c r="D1043" s="359"/>
      <c r="E1043" s="360"/>
      <c r="F1043" s="361"/>
      <c r="G1043" s="213" t="str">
        <f>IFERROR(VLOOKUP(Tabla3[[#This Row],[NUM ECONOMICO]],MAQUINARIA!B:H,7,0), " MAQ")</f>
        <v>INACTIVA</v>
      </c>
      <c r="H1043" s="362" t="s">
        <v>1331</v>
      </c>
      <c r="I1043" s="363" t="s">
        <v>558</v>
      </c>
      <c r="J1043" s="358" t="s">
        <v>546</v>
      </c>
      <c r="K1043" s="358">
        <v>2</v>
      </c>
      <c r="L1043" s="364">
        <v>76.430000000000007</v>
      </c>
      <c r="M1043" s="364">
        <f t="shared" si="20"/>
        <v>152.86000000000001</v>
      </c>
      <c r="N1043" s="41" t="s">
        <v>1990</v>
      </c>
      <c r="O1043" s="358"/>
      <c r="P1043" s="365">
        <f>Tabla3[[#This Row],[COSTO UNITARIO DOLARES EN HAWTHORNE]]*Tabla3[[#This Row],[CANTIDAD SOLICTADA]]</f>
        <v>0</v>
      </c>
      <c r="Q1043" s="41"/>
      <c r="R1043" s="229"/>
      <c r="S1043" s="229">
        <f>+Tabla3[[#This Row],[COSTO UNITARIO DOLARES CTP]]*Tabla3[[#This Row],[CANTIDAD SOLICTADA]]</f>
        <v>0</v>
      </c>
      <c r="T1043" s="41"/>
      <c r="U1043" s="370" t="s">
        <v>5</v>
      </c>
      <c r="V1043" s="360" t="s">
        <v>1993</v>
      </c>
      <c r="W1043" s="366"/>
      <c r="X1043" s="359"/>
      <c r="Y1043" s="358"/>
      <c r="Z1043" s="360"/>
      <c r="AA1043" s="360"/>
      <c r="AB1043" s="360"/>
      <c r="AC1043" s="360"/>
      <c r="AD1043" s="360"/>
      <c r="AE1043" s="360"/>
      <c r="AF1043" s="16"/>
      <c r="AG1043" s="367" t="s">
        <v>1992</v>
      </c>
    </row>
    <row r="1044" spans="1:33" ht="15.75" thickBot="1" x14ac:dyDescent="0.3">
      <c r="A1044" s="356">
        <v>144</v>
      </c>
      <c r="B1044" s="357">
        <v>46210</v>
      </c>
      <c r="C1044" s="358" t="s">
        <v>87</v>
      </c>
      <c r="D1044" s="359"/>
      <c r="E1044" s="360"/>
      <c r="F1044" s="361"/>
      <c r="G1044" s="213" t="str">
        <f>IFERROR(VLOOKUP(Tabla3[[#This Row],[NUM ECONOMICO]],MAQUINARIA!B:H,7,0), " MAQ")</f>
        <v>INACTIVA</v>
      </c>
      <c r="H1044" s="362" t="s">
        <v>1331</v>
      </c>
      <c r="I1044" s="363" t="s">
        <v>303</v>
      </c>
      <c r="J1044" s="358" t="s">
        <v>546</v>
      </c>
      <c r="K1044" s="358">
        <v>2</v>
      </c>
      <c r="L1044" s="364">
        <v>125.84</v>
      </c>
      <c r="M1044" s="364">
        <f t="shared" si="20"/>
        <v>251.68</v>
      </c>
      <c r="N1044" s="41" t="s">
        <v>1990</v>
      </c>
      <c r="O1044" s="358"/>
      <c r="P1044" s="365">
        <f>Tabla3[[#This Row],[COSTO UNITARIO DOLARES EN HAWTHORNE]]*Tabla3[[#This Row],[CANTIDAD SOLICTADA]]</f>
        <v>0</v>
      </c>
      <c r="Q1044" s="41"/>
      <c r="R1044" s="229"/>
      <c r="S1044" s="229">
        <f>+Tabla3[[#This Row],[COSTO UNITARIO DOLARES CTP]]*Tabla3[[#This Row],[CANTIDAD SOLICTADA]]</f>
        <v>0</v>
      </c>
      <c r="T1044" s="41"/>
      <c r="U1044" s="370" t="s">
        <v>5</v>
      </c>
      <c r="V1044" s="360" t="s">
        <v>1993</v>
      </c>
      <c r="W1044" s="366"/>
      <c r="X1044" s="359"/>
      <c r="Y1044" s="358"/>
      <c r="Z1044" s="360"/>
      <c r="AA1044" s="360"/>
      <c r="AB1044" s="360"/>
      <c r="AC1044" s="360"/>
      <c r="AD1044" s="360"/>
      <c r="AE1044" s="360"/>
      <c r="AF1044" s="16"/>
      <c r="AG1044" s="367" t="s">
        <v>1992</v>
      </c>
    </row>
    <row r="1045" spans="1:33" ht="15.75" thickBot="1" x14ac:dyDescent="0.3">
      <c r="A1045" s="356">
        <v>144</v>
      </c>
      <c r="B1045" s="357">
        <v>46210</v>
      </c>
      <c r="C1045" s="358" t="s">
        <v>87</v>
      </c>
      <c r="D1045" s="359"/>
      <c r="E1045" s="360"/>
      <c r="F1045" s="361"/>
      <c r="G1045" s="213" t="str">
        <f>IFERROR(VLOOKUP(Tabla3[[#This Row],[NUM ECONOMICO]],MAQUINARIA!B:H,7,0), " MAQ")</f>
        <v>INACTIVA</v>
      </c>
      <c r="H1045" s="362" t="s">
        <v>1331</v>
      </c>
      <c r="I1045" s="363" t="s">
        <v>548</v>
      </c>
      <c r="J1045" s="358" t="s">
        <v>1961</v>
      </c>
      <c r="K1045" s="358">
        <v>2</v>
      </c>
      <c r="L1045" s="364">
        <v>38.479999999999997</v>
      </c>
      <c r="M1045" s="364">
        <f t="shared" si="20"/>
        <v>76.959999999999994</v>
      </c>
      <c r="N1045" s="41" t="s">
        <v>1990</v>
      </c>
      <c r="O1045" s="358"/>
      <c r="P1045" s="365">
        <f>Tabla3[[#This Row],[COSTO UNITARIO DOLARES EN HAWTHORNE]]*Tabla3[[#This Row],[CANTIDAD SOLICTADA]]</f>
        <v>0</v>
      </c>
      <c r="Q1045" s="41"/>
      <c r="R1045" s="229"/>
      <c r="S1045" s="229">
        <f>+Tabla3[[#This Row],[COSTO UNITARIO DOLARES CTP]]*Tabla3[[#This Row],[CANTIDAD SOLICTADA]]</f>
        <v>0</v>
      </c>
      <c r="T1045" s="41"/>
      <c r="U1045" s="370" t="s">
        <v>5</v>
      </c>
      <c r="V1045" s="360" t="s">
        <v>1993</v>
      </c>
      <c r="W1045" s="366"/>
      <c r="X1045" s="359"/>
      <c r="Y1045" s="358"/>
      <c r="Z1045" s="360"/>
      <c r="AA1045" s="360"/>
      <c r="AB1045" s="360"/>
      <c r="AC1045" s="360"/>
      <c r="AD1045" s="360"/>
      <c r="AE1045" s="360"/>
      <c r="AF1045" s="16"/>
      <c r="AG1045" s="367" t="s">
        <v>1992</v>
      </c>
    </row>
    <row r="1046" spans="1:33" ht="15.75" thickBot="1" x14ac:dyDescent="0.3">
      <c r="A1046" s="356">
        <v>144</v>
      </c>
      <c r="B1046" s="357">
        <v>46210</v>
      </c>
      <c r="C1046" s="358" t="s">
        <v>87</v>
      </c>
      <c r="D1046" s="359"/>
      <c r="E1046" s="360"/>
      <c r="F1046" s="361"/>
      <c r="G1046" s="213" t="str">
        <f>IFERROR(VLOOKUP(Tabla3[[#This Row],[NUM ECONOMICO]],MAQUINARIA!B:H,7,0), " MAQ")</f>
        <v>INACTIVA</v>
      </c>
      <c r="H1046" s="362" t="s">
        <v>1331</v>
      </c>
      <c r="I1046" s="363" t="s">
        <v>1901</v>
      </c>
      <c r="J1046" s="358" t="s">
        <v>1972</v>
      </c>
      <c r="K1046" s="358">
        <v>5</v>
      </c>
      <c r="L1046" s="364">
        <v>123.69</v>
      </c>
      <c r="M1046" s="364">
        <f t="shared" si="20"/>
        <v>618.45000000000005</v>
      </c>
      <c r="N1046" s="41" t="s">
        <v>1990</v>
      </c>
      <c r="O1046" s="358"/>
      <c r="P1046" s="365">
        <f>Tabla3[[#This Row],[COSTO UNITARIO DOLARES EN HAWTHORNE]]*Tabla3[[#This Row],[CANTIDAD SOLICTADA]]</f>
        <v>0</v>
      </c>
      <c r="Q1046" s="41"/>
      <c r="R1046" s="229"/>
      <c r="S1046" s="229">
        <f>+Tabla3[[#This Row],[COSTO UNITARIO DOLARES CTP]]*Tabla3[[#This Row],[CANTIDAD SOLICTADA]]</f>
        <v>0</v>
      </c>
      <c r="T1046" s="41"/>
      <c r="U1046" s="370" t="s">
        <v>5</v>
      </c>
      <c r="V1046" s="360" t="s">
        <v>1993</v>
      </c>
      <c r="W1046" s="366"/>
      <c r="X1046" s="359"/>
      <c r="Y1046" s="358"/>
      <c r="Z1046" s="360"/>
      <c r="AA1046" s="360"/>
      <c r="AB1046" s="360"/>
      <c r="AC1046" s="360"/>
      <c r="AD1046" s="360"/>
      <c r="AE1046" s="360"/>
      <c r="AF1046" s="16"/>
      <c r="AG1046" s="367" t="s">
        <v>1992</v>
      </c>
    </row>
    <row r="1047" spans="1:33" ht="15.75" thickBot="1" x14ac:dyDescent="0.3">
      <c r="A1047" s="356">
        <v>144</v>
      </c>
      <c r="B1047" s="357">
        <v>46210</v>
      </c>
      <c r="C1047" s="358" t="s">
        <v>87</v>
      </c>
      <c r="D1047" s="359"/>
      <c r="E1047" s="360"/>
      <c r="F1047" s="361"/>
      <c r="G1047" s="213" t="str">
        <f>IFERROR(VLOOKUP(Tabla3[[#This Row],[NUM ECONOMICO]],MAQUINARIA!B:H,7,0), " MAQ")</f>
        <v>INACTIVA</v>
      </c>
      <c r="H1047" s="362" t="s">
        <v>1331</v>
      </c>
      <c r="I1047" s="363" t="s">
        <v>1902</v>
      </c>
      <c r="J1047" s="358" t="s">
        <v>1972</v>
      </c>
      <c r="K1047" s="358">
        <v>1</v>
      </c>
      <c r="L1047" s="364">
        <v>325.95999999999998</v>
      </c>
      <c r="M1047" s="364">
        <f t="shared" si="20"/>
        <v>325.95999999999998</v>
      </c>
      <c r="N1047" s="41" t="s">
        <v>1990</v>
      </c>
      <c r="O1047" s="358"/>
      <c r="P1047" s="365">
        <f>Tabla3[[#This Row],[COSTO UNITARIO DOLARES EN HAWTHORNE]]*Tabla3[[#This Row],[CANTIDAD SOLICTADA]]</f>
        <v>0</v>
      </c>
      <c r="Q1047" s="41"/>
      <c r="R1047" s="229"/>
      <c r="S1047" s="229">
        <f>+Tabla3[[#This Row],[COSTO UNITARIO DOLARES CTP]]*Tabla3[[#This Row],[CANTIDAD SOLICTADA]]</f>
        <v>0</v>
      </c>
      <c r="T1047" s="41"/>
      <c r="U1047" s="370" t="s">
        <v>5</v>
      </c>
      <c r="V1047" s="360" t="s">
        <v>1993</v>
      </c>
      <c r="W1047" s="366"/>
      <c r="X1047" s="359"/>
      <c r="Y1047" s="358"/>
      <c r="Z1047" s="360"/>
      <c r="AA1047" s="360"/>
      <c r="AB1047" s="360"/>
      <c r="AC1047" s="360"/>
      <c r="AD1047" s="360"/>
      <c r="AE1047" s="360"/>
      <c r="AF1047" s="16"/>
      <c r="AG1047" s="367" t="s">
        <v>1992</v>
      </c>
    </row>
    <row r="1048" spans="1:33" ht="15.75" thickBot="1" x14ac:dyDescent="0.3">
      <c r="A1048" s="356">
        <v>144</v>
      </c>
      <c r="B1048" s="357">
        <v>46210</v>
      </c>
      <c r="C1048" s="358" t="s">
        <v>87</v>
      </c>
      <c r="D1048" s="359"/>
      <c r="E1048" s="360"/>
      <c r="F1048" s="361"/>
      <c r="G1048" s="213" t="str">
        <f>IFERROR(VLOOKUP(Tabla3[[#This Row],[NUM ECONOMICO]],MAQUINARIA!B:H,7,0), " MAQ")</f>
        <v>INACTIVA</v>
      </c>
      <c r="H1048" s="362" t="s">
        <v>1331</v>
      </c>
      <c r="I1048" s="363" t="s">
        <v>1903</v>
      </c>
      <c r="J1048" s="358" t="s">
        <v>1973</v>
      </c>
      <c r="K1048" s="358">
        <v>12</v>
      </c>
      <c r="L1048" s="364">
        <v>194.04</v>
      </c>
      <c r="M1048" s="364">
        <f t="shared" si="20"/>
        <v>2328.48</v>
      </c>
      <c r="N1048" s="41" t="s">
        <v>1990</v>
      </c>
      <c r="O1048" s="358"/>
      <c r="P1048" s="365">
        <f>Tabla3[[#This Row],[COSTO UNITARIO DOLARES EN HAWTHORNE]]*Tabla3[[#This Row],[CANTIDAD SOLICTADA]]</f>
        <v>0</v>
      </c>
      <c r="Q1048" s="41"/>
      <c r="R1048" s="229"/>
      <c r="S1048" s="229">
        <f>+Tabla3[[#This Row],[COSTO UNITARIO DOLARES CTP]]*Tabla3[[#This Row],[CANTIDAD SOLICTADA]]</f>
        <v>0</v>
      </c>
      <c r="T1048" s="41"/>
      <c r="U1048" s="370" t="s">
        <v>5</v>
      </c>
      <c r="V1048" s="360" t="s">
        <v>1993</v>
      </c>
      <c r="W1048" s="366"/>
      <c r="X1048" s="359"/>
      <c r="Y1048" s="358"/>
      <c r="Z1048" s="360"/>
      <c r="AA1048" s="360"/>
      <c r="AB1048" s="360"/>
      <c r="AC1048" s="360"/>
      <c r="AD1048" s="360"/>
      <c r="AE1048" s="360"/>
      <c r="AF1048" s="16"/>
      <c r="AG1048" s="367" t="s">
        <v>1992</v>
      </c>
    </row>
    <row r="1049" spans="1:33" ht="15.75" thickBot="1" x14ac:dyDescent="0.3">
      <c r="A1049" s="356">
        <v>144</v>
      </c>
      <c r="B1049" s="357">
        <v>46210</v>
      </c>
      <c r="C1049" s="358" t="s">
        <v>87</v>
      </c>
      <c r="D1049" s="359"/>
      <c r="E1049" s="360"/>
      <c r="F1049" s="361"/>
      <c r="G1049" s="213" t="str">
        <f>IFERROR(VLOOKUP(Tabla3[[#This Row],[NUM ECONOMICO]],MAQUINARIA!B:H,7,0), " MAQ")</f>
        <v>INACTIVA</v>
      </c>
      <c r="H1049" s="362" t="s">
        <v>1331</v>
      </c>
      <c r="I1049" s="363" t="s">
        <v>334</v>
      </c>
      <c r="J1049" s="358" t="s">
        <v>506</v>
      </c>
      <c r="K1049" s="358">
        <v>14</v>
      </c>
      <c r="L1049" s="364">
        <v>31.5</v>
      </c>
      <c r="M1049" s="364">
        <f t="shared" si="20"/>
        <v>441</v>
      </c>
      <c r="N1049" s="41" t="s">
        <v>1990</v>
      </c>
      <c r="O1049" s="358"/>
      <c r="P1049" s="365">
        <f>Tabla3[[#This Row],[COSTO UNITARIO DOLARES EN HAWTHORNE]]*Tabla3[[#This Row],[CANTIDAD SOLICTADA]]</f>
        <v>0</v>
      </c>
      <c r="Q1049" s="41"/>
      <c r="R1049" s="229"/>
      <c r="S1049" s="229">
        <f>+Tabla3[[#This Row],[COSTO UNITARIO DOLARES CTP]]*Tabla3[[#This Row],[CANTIDAD SOLICTADA]]</f>
        <v>0</v>
      </c>
      <c r="T1049" s="41"/>
      <c r="U1049" s="370" t="s">
        <v>5</v>
      </c>
      <c r="V1049" s="360" t="s">
        <v>1993</v>
      </c>
      <c r="W1049" s="366"/>
      <c r="X1049" s="359"/>
      <c r="Y1049" s="358"/>
      <c r="Z1049" s="360"/>
      <c r="AA1049" s="360"/>
      <c r="AB1049" s="360"/>
      <c r="AC1049" s="360"/>
      <c r="AD1049" s="360"/>
      <c r="AE1049" s="360"/>
      <c r="AF1049" s="16"/>
      <c r="AG1049" s="367" t="s">
        <v>1992</v>
      </c>
    </row>
    <row r="1050" spans="1:33" ht="15.75" thickBot="1" x14ac:dyDescent="0.3">
      <c r="A1050" s="356">
        <v>144</v>
      </c>
      <c r="B1050" s="357">
        <v>46210</v>
      </c>
      <c r="C1050" s="358" t="s">
        <v>87</v>
      </c>
      <c r="D1050" s="359"/>
      <c r="E1050" s="360"/>
      <c r="F1050" s="361"/>
      <c r="G1050" s="213" t="str">
        <f>IFERROR(VLOOKUP(Tabla3[[#This Row],[NUM ECONOMICO]],MAQUINARIA!B:H,7,0), " MAQ")</f>
        <v>INACTIVA</v>
      </c>
      <c r="H1050" s="362" t="s">
        <v>1331</v>
      </c>
      <c r="I1050" s="363" t="s">
        <v>336</v>
      </c>
      <c r="J1050" s="358" t="s">
        <v>1971</v>
      </c>
      <c r="K1050" s="358">
        <v>5</v>
      </c>
      <c r="L1050" s="364">
        <v>34.9</v>
      </c>
      <c r="M1050" s="364">
        <f t="shared" si="20"/>
        <v>174.5</v>
      </c>
      <c r="N1050" s="41" t="s">
        <v>1990</v>
      </c>
      <c r="O1050" s="358"/>
      <c r="P1050" s="365">
        <f>Tabla3[[#This Row],[COSTO UNITARIO DOLARES EN HAWTHORNE]]*Tabla3[[#This Row],[CANTIDAD SOLICTADA]]</f>
        <v>0</v>
      </c>
      <c r="Q1050" s="41"/>
      <c r="R1050" s="229"/>
      <c r="S1050" s="229">
        <f>+Tabla3[[#This Row],[COSTO UNITARIO DOLARES CTP]]*Tabla3[[#This Row],[CANTIDAD SOLICTADA]]</f>
        <v>0</v>
      </c>
      <c r="T1050" s="41"/>
      <c r="U1050" s="370" t="s">
        <v>5</v>
      </c>
      <c r="V1050" s="360" t="s">
        <v>1993</v>
      </c>
      <c r="W1050" s="366"/>
      <c r="X1050" s="359"/>
      <c r="Y1050" s="358"/>
      <c r="Z1050" s="360"/>
      <c r="AA1050" s="360"/>
      <c r="AB1050" s="360"/>
      <c r="AC1050" s="360"/>
      <c r="AD1050" s="360"/>
      <c r="AE1050" s="360"/>
      <c r="AF1050" s="16"/>
      <c r="AG1050" s="367" t="s">
        <v>1992</v>
      </c>
    </row>
    <row r="1051" spans="1:33" ht="15.75" thickBot="1" x14ac:dyDescent="0.3">
      <c r="A1051" s="356">
        <v>144</v>
      </c>
      <c r="B1051" s="357">
        <v>46210</v>
      </c>
      <c r="C1051" s="358" t="s">
        <v>87</v>
      </c>
      <c r="D1051" s="359"/>
      <c r="E1051" s="360"/>
      <c r="F1051" s="361"/>
      <c r="G1051" s="213" t="str">
        <f>IFERROR(VLOOKUP(Tabla3[[#This Row],[NUM ECONOMICO]],MAQUINARIA!B:H,7,0), " MAQ")</f>
        <v>INACTIVA</v>
      </c>
      <c r="H1051" s="362" t="s">
        <v>1331</v>
      </c>
      <c r="I1051" s="363" t="s">
        <v>1904</v>
      </c>
      <c r="J1051" s="358" t="s">
        <v>1972</v>
      </c>
      <c r="K1051" s="358">
        <v>8</v>
      </c>
      <c r="L1051" s="364">
        <v>241.29</v>
      </c>
      <c r="M1051" s="364">
        <f t="shared" si="20"/>
        <v>1930.32</v>
      </c>
      <c r="N1051" s="41" t="s">
        <v>1990</v>
      </c>
      <c r="O1051" s="358"/>
      <c r="P1051" s="365">
        <f>Tabla3[[#This Row],[COSTO UNITARIO DOLARES EN HAWTHORNE]]*Tabla3[[#This Row],[CANTIDAD SOLICTADA]]</f>
        <v>0</v>
      </c>
      <c r="Q1051" s="41"/>
      <c r="R1051" s="229"/>
      <c r="S1051" s="229">
        <f>+Tabla3[[#This Row],[COSTO UNITARIO DOLARES CTP]]*Tabla3[[#This Row],[CANTIDAD SOLICTADA]]</f>
        <v>0</v>
      </c>
      <c r="T1051" s="41"/>
      <c r="U1051" s="370" t="s">
        <v>5</v>
      </c>
      <c r="V1051" s="360" t="s">
        <v>1993</v>
      </c>
      <c r="W1051" s="366"/>
      <c r="X1051" s="359"/>
      <c r="Y1051" s="358"/>
      <c r="Z1051" s="360"/>
      <c r="AA1051" s="360"/>
      <c r="AB1051" s="360"/>
      <c r="AC1051" s="360"/>
      <c r="AD1051" s="360"/>
      <c r="AE1051" s="360"/>
      <c r="AF1051" s="16"/>
      <c r="AG1051" s="367" t="s">
        <v>1992</v>
      </c>
    </row>
    <row r="1052" spans="1:33" ht="15.75" thickBot="1" x14ac:dyDescent="0.3">
      <c r="A1052" s="356">
        <v>144</v>
      </c>
      <c r="B1052" s="357">
        <v>46210</v>
      </c>
      <c r="C1052" s="358" t="s">
        <v>87</v>
      </c>
      <c r="D1052" s="359"/>
      <c r="E1052" s="360"/>
      <c r="F1052" s="361"/>
      <c r="G1052" s="213" t="str">
        <f>IFERROR(VLOOKUP(Tabla3[[#This Row],[NUM ECONOMICO]],MAQUINARIA!B:H,7,0), " MAQ")</f>
        <v>INACTIVA</v>
      </c>
      <c r="H1052" s="362" t="s">
        <v>1331</v>
      </c>
      <c r="I1052" s="363" t="s">
        <v>551</v>
      </c>
      <c r="J1052" s="358" t="s">
        <v>1962</v>
      </c>
      <c r="K1052" s="358">
        <v>21</v>
      </c>
      <c r="L1052" s="364">
        <v>25.24</v>
      </c>
      <c r="M1052" s="364">
        <f t="shared" si="20"/>
        <v>530.04</v>
      </c>
      <c r="N1052" s="41" t="s">
        <v>1990</v>
      </c>
      <c r="O1052" s="358"/>
      <c r="P1052" s="365">
        <f>Tabla3[[#This Row],[COSTO UNITARIO DOLARES EN HAWTHORNE]]*Tabla3[[#This Row],[CANTIDAD SOLICTADA]]</f>
        <v>0</v>
      </c>
      <c r="Q1052" s="41"/>
      <c r="R1052" s="229"/>
      <c r="S1052" s="229">
        <f>+Tabla3[[#This Row],[COSTO UNITARIO DOLARES CTP]]*Tabla3[[#This Row],[CANTIDAD SOLICTADA]]</f>
        <v>0</v>
      </c>
      <c r="T1052" s="41"/>
      <c r="U1052" s="370" t="s">
        <v>5</v>
      </c>
      <c r="V1052" s="360" t="s">
        <v>1993</v>
      </c>
      <c r="W1052" s="366"/>
      <c r="X1052" s="359"/>
      <c r="Y1052" s="358"/>
      <c r="Z1052" s="360"/>
      <c r="AA1052" s="360"/>
      <c r="AB1052" s="360"/>
      <c r="AC1052" s="360"/>
      <c r="AD1052" s="360"/>
      <c r="AE1052" s="360"/>
      <c r="AF1052" s="16"/>
      <c r="AG1052" s="367" t="s">
        <v>1992</v>
      </c>
    </row>
    <row r="1053" spans="1:33" ht="15.75" thickBot="1" x14ac:dyDescent="0.3">
      <c r="A1053" s="356">
        <v>144</v>
      </c>
      <c r="B1053" s="357">
        <v>46210</v>
      </c>
      <c r="C1053" s="358" t="s">
        <v>87</v>
      </c>
      <c r="D1053" s="359"/>
      <c r="E1053" s="360"/>
      <c r="F1053" s="361"/>
      <c r="G1053" s="213" t="str">
        <f>IFERROR(VLOOKUP(Tabla3[[#This Row],[NUM ECONOMICO]],MAQUINARIA!B:H,7,0), " MAQ")</f>
        <v>INACTIVA</v>
      </c>
      <c r="H1053" s="362" t="s">
        <v>1331</v>
      </c>
      <c r="I1053" s="363" t="s">
        <v>553</v>
      </c>
      <c r="J1053" s="358" t="s">
        <v>546</v>
      </c>
      <c r="K1053" s="358">
        <v>2</v>
      </c>
      <c r="L1053" s="364">
        <v>31.5</v>
      </c>
      <c r="M1053" s="364">
        <f t="shared" si="20"/>
        <v>63</v>
      </c>
      <c r="N1053" s="41" t="s">
        <v>1990</v>
      </c>
      <c r="O1053" s="358"/>
      <c r="P1053" s="365">
        <f>Tabla3[[#This Row],[COSTO UNITARIO DOLARES EN HAWTHORNE]]*Tabla3[[#This Row],[CANTIDAD SOLICTADA]]</f>
        <v>0</v>
      </c>
      <c r="Q1053" s="41"/>
      <c r="R1053" s="229"/>
      <c r="S1053" s="229">
        <f>+Tabla3[[#This Row],[COSTO UNITARIO DOLARES CTP]]*Tabla3[[#This Row],[CANTIDAD SOLICTADA]]</f>
        <v>0</v>
      </c>
      <c r="T1053" s="41"/>
      <c r="U1053" s="370" t="s">
        <v>5</v>
      </c>
      <c r="V1053" s="360" t="s">
        <v>1993</v>
      </c>
      <c r="W1053" s="366"/>
      <c r="X1053" s="359"/>
      <c r="Y1053" s="358"/>
      <c r="Z1053" s="360"/>
      <c r="AA1053" s="360"/>
      <c r="AB1053" s="360"/>
      <c r="AC1053" s="360"/>
      <c r="AD1053" s="360"/>
      <c r="AE1053" s="360"/>
      <c r="AF1053" s="16"/>
      <c r="AG1053" s="367" t="s">
        <v>1992</v>
      </c>
    </row>
    <row r="1054" spans="1:33" ht="15.75" thickBot="1" x14ac:dyDescent="0.3">
      <c r="A1054" s="356">
        <v>144</v>
      </c>
      <c r="B1054" s="357">
        <v>46210</v>
      </c>
      <c r="C1054" s="358" t="s">
        <v>87</v>
      </c>
      <c r="D1054" s="359"/>
      <c r="E1054" s="360"/>
      <c r="F1054" s="361"/>
      <c r="G1054" s="213" t="str">
        <f>IFERROR(VLOOKUP(Tabla3[[#This Row],[NUM ECONOMICO]],MAQUINARIA!B:H,7,0), " MAQ")</f>
        <v>INACTIVA</v>
      </c>
      <c r="H1054" s="362" t="s">
        <v>1331</v>
      </c>
      <c r="I1054" s="363" t="s">
        <v>1905</v>
      </c>
      <c r="J1054" s="358" t="s">
        <v>1974</v>
      </c>
      <c r="K1054" s="358">
        <v>5</v>
      </c>
      <c r="L1054" s="364">
        <v>184.55</v>
      </c>
      <c r="M1054" s="364">
        <f t="shared" si="20"/>
        <v>922.75</v>
      </c>
      <c r="N1054" s="41" t="s">
        <v>1990</v>
      </c>
      <c r="O1054" s="358"/>
      <c r="P1054" s="365">
        <f>Tabla3[[#This Row],[COSTO UNITARIO DOLARES EN HAWTHORNE]]*Tabla3[[#This Row],[CANTIDAD SOLICTADA]]</f>
        <v>0</v>
      </c>
      <c r="Q1054" s="41"/>
      <c r="R1054" s="229"/>
      <c r="S1054" s="229">
        <f>+Tabla3[[#This Row],[COSTO UNITARIO DOLARES CTP]]*Tabla3[[#This Row],[CANTIDAD SOLICTADA]]</f>
        <v>0</v>
      </c>
      <c r="T1054" s="41"/>
      <c r="U1054" s="370" t="s">
        <v>5</v>
      </c>
      <c r="V1054" s="360" t="s">
        <v>1993</v>
      </c>
      <c r="W1054" s="366"/>
      <c r="X1054" s="359"/>
      <c r="Y1054" s="358"/>
      <c r="Z1054" s="360"/>
      <c r="AA1054" s="360"/>
      <c r="AB1054" s="360"/>
      <c r="AC1054" s="360"/>
      <c r="AD1054" s="360"/>
      <c r="AE1054" s="360"/>
      <c r="AF1054" s="16"/>
      <c r="AG1054" s="367" t="s">
        <v>1992</v>
      </c>
    </row>
    <row r="1055" spans="1:33" ht="15.75" thickBot="1" x14ac:dyDescent="0.3">
      <c r="A1055" s="356">
        <v>144</v>
      </c>
      <c r="B1055" s="357">
        <v>46210</v>
      </c>
      <c r="C1055" s="358" t="s">
        <v>87</v>
      </c>
      <c r="D1055" s="359"/>
      <c r="E1055" s="360"/>
      <c r="F1055" s="361"/>
      <c r="G1055" s="213" t="str">
        <f>IFERROR(VLOOKUP(Tabla3[[#This Row],[NUM ECONOMICO]],MAQUINARIA!B:H,7,0), " MAQ")</f>
        <v>INACTIVA</v>
      </c>
      <c r="H1055" s="362" t="s">
        <v>1331</v>
      </c>
      <c r="I1055" s="363" t="s">
        <v>1906</v>
      </c>
      <c r="J1055" s="358" t="s">
        <v>220</v>
      </c>
      <c r="K1055" s="358">
        <v>1</v>
      </c>
      <c r="L1055" s="364">
        <v>100.42</v>
      </c>
      <c r="M1055" s="364">
        <f t="shared" si="20"/>
        <v>100.42</v>
      </c>
      <c r="N1055" s="41" t="s">
        <v>1990</v>
      </c>
      <c r="O1055" s="358"/>
      <c r="P1055" s="365">
        <f>Tabla3[[#This Row],[COSTO UNITARIO DOLARES EN HAWTHORNE]]*Tabla3[[#This Row],[CANTIDAD SOLICTADA]]</f>
        <v>0</v>
      </c>
      <c r="Q1055" s="41"/>
      <c r="R1055" s="229"/>
      <c r="S1055" s="229">
        <f>+Tabla3[[#This Row],[COSTO UNITARIO DOLARES CTP]]*Tabla3[[#This Row],[CANTIDAD SOLICTADA]]</f>
        <v>0</v>
      </c>
      <c r="T1055" s="41"/>
      <c r="U1055" s="370" t="s">
        <v>5</v>
      </c>
      <c r="V1055" s="360" t="s">
        <v>1993</v>
      </c>
      <c r="W1055" s="366"/>
      <c r="X1055" s="359"/>
      <c r="Y1055" s="358"/>
      <c r="Z1055" s="360"/>
      <c r="AA1055" s="360"/>
      <c r="AB1055" s="360"/>
      <c r="AC1055" s="360"/>
      <c r="AD1055" s="360"/>
      <c r="AE1055" s="360"/>
      <c r="AF1055" s="16"/>
      <c r="AG1055" s="367" t="s">
        <v>1992</v>
      </c>
    </row>
    <row r="1056" spans="1:33" ht="15.75" thickBot="1" x14ac:dyDescent="0.3">
      <c r="A1056" s="356">
        <v>144</v>
      </c>
      <c r="B1056" s="357">
        <v>46210</v>
      </c>
      <c r="C1056" s="358" t="s">
        <v>87</v>
      </c>
      <c r="D1056" s="359"/>
      <c r="E1056" s="360"/>
      <c r="F1056" s="361"/>
      <c r="G1056" s="213" t="str">
        <f>IFERROR(VLOOKUP(Tabla3[[#This Row],[NUM ECONOMICO]],MAQUINARIA!B:H,7,0), " MAQ")</f>
        <v>INACTIVA</v>
      </c>
      <c r="H1056" s="362" t="s">
        <v>1331</v>
      </c>
      <c r="I1056" s="363" t="s">
        <v>1907</v>
      </c>
      <c r="J1056" s="358" t="s">
        <v>1961</v>
      </c>
      <c r="K1056" s="358">
        <v>1</v>
      </c>
      <c r="L1056" s="364">
        <v>210.33</v>
      </c>
      <c r="M1056" s="364">
        <f t="shared" si="20"/>
        <v>210.33</v>
      </c>
      <c r="N1056" s="41" t="s">
        <v>1990</v>
      </c>
      <c r="O1056" s="358"/>
      <c r="P1056" s="365">
        <f>Tabla3[[#This Row],[COSTO UNITARIO DOLARES EN HAWTHORNE]]*Tabla3[[#This Row],[CANTIDAD SOLICTADA]]</f>
        <v>0</v>
      </c>
      <c r="Q1056" s="41"/>
      <c r="R1056" s="229"/>
      <c r="S1056" s="229">
        <f>+Tabla3[[#This Row],[COSTO UNITARIO DOLARES CTP]]*Tabla3[[#This Row],[CANTIDAD SOLICTADA]]</f>
        <v>0</v>
      </c>
      <c r="T1056" s="41"/>
      <c r="U1056" s="370" t="s">
        <v>5</v>
      </c>
      <c r="V1056" s="360" t="s">
        <v>1993</v>
      </c>
      <c r="W1056" s="366"/>
      <c r="X1056" s="359"/>
      <c r="Y1056" s="358"/>
      <c r="Z1056" s="360"/>
      <c r="AA1056" s="360"/>
      <c r="AB1056" s="360"/>
      <c r="AC1056" s="360"/>
      <c r="AD1056" s="360"/>
      <c r="AE1056" s="360"/>
      <c r="AF1056" s="16"/>
      <c r="AG1056" s="367" t="s">
        <v>1992</v>
      </c>
    </row>
    <row r="1057" spans="1:33" ht="15.75" thickBot="1" x14ac:dyDescent="0.3">
      <c r="A1057" s="356">
        <v>144</v>
      </c>
      <c r="B1057" s="357">
        <v>46210</v>
      </c>
      <c r="C1057" s="358" t="s">
        <v>87</v>
      </c>
      <c r="D1057" s="359"/>
      <c r="E1057" s="360"/>
      <c r="F1057" s="361"/>
      <c r="G1057" s="213" t="str">
        <f>IFERROR(VLOOKUP(Tabla3[[#This Row],[NUM ECONOMICO]],MAQUINARIA!B:H,7,0), " MAQ")</f>
        <v>INACTIVA</v>
      </c>
      <c r="H1057" s="362" t="s">
        <v>1331</v>
      </c>
      <c r="I1057" s="363" t="s">
        <v>1897</v>
      </c>
      <c r="J1057" s="358" t="s">
        <v>220</v>
      </c>
      <c r="K1057" s="358">
        <v>1</v>
      </c>
      <c r="L1057" s="364">
        <v>608.05999999999995</v>
      </c>
      <c r="M1057" s="364">
        <f t="shared" si="20"/>
        <v>608.05999999999995</v>
      </c>
      <c r="N1057" s="41" t="s">
        <v>1990</v>
      </c>
      <c r="O1057" s="358"/>
      <c r="P1057" s="365">
        <f>Tabla3[[#This Row],[COSTO UNITARIO DOLARES EN HAWTHORNE]]*Tabla3[[#This Row],[CANTIDAD SOLICTADA]]</f>
        <v>0</v>
      </c>
      <c r="Q1057" s="41"/>
      <c r="R1057" s="229"/>
      <c r="S1057" s="229">
        <f>+Tabla3[[#This Row],[COSTO UNITARIO DOLARES CTP]]*Tabla3[[#This Row],[CANTIDAD SOLICTADA]]</f>
        <v>0</v>
      </c>
      <c r="T1057" s="41"/>
      <c r="U1057" s="370" t="s">
        <v>5</v>
      </c>
      <c r="V1057" s="360" t="s">
        <v>1993</v>
      </c>
      <c r="W1057" s="366"/>
      <c r="X1057" s="359"/>
      <c r="Y1057" s="358"/>
      <c r="Z1057" s="360"/>
      <c r="AA1057" s="360"/>
      <c r="AB1057" s="360"/>
      <c r="AC1057" s="360"/>
      <c r="AD1057" s="360"/>
      <c r="AE1057" s="360"/>
      <c r="AF1057" s="16"/>
      <c r="AG1057" s="367" t="s">
        <v>1992</v>
      </c>
    </row>
    <row r="1058" spans="1:33" ht="15.75" thickBot="1" x14ac:dyDescent="0.3">
      <c r="A1058" s="356">
        <v>144</v>
      </c>
      <c r="B1058" s="357">
        <v>46210</v>
      </c>
      <c r="C1058" s="358" t="s">
        <v>87</v>
      </c>
      <c r="D1058" s="359"/>
      <c r="E1058" s="360"/>
      <c r="F1058" s="361"/>
      <c r="G1058" s="213" t="str">
        <f>IFERROR(VLOOKUP(Tabla3[[#This Row],[NUM ECONOMICO]],MAQUINARIA!B:H,7,0), " MAQ")</f>
        <v>INACTIVA</v>
      </c>
      <c r="H1058" s="362" t="s">
        <v>1331</v>
      </c>
      <c r="I1058" s="363" t="s">
        <v>341</v>
      </c>
      <c r="J1058" s="358" t="s">
        <v>546</v>
      </c>
      <c r="K1058" s="358">
        <v>1</v>
      </c>
      <c r="L1058" s="364">
        <v>52.63</v>
      </c>
      <c r="M1058" s="364">
        <f t="shared" si="20"/>
        <v>52.63</v>
      </c>
      <c r="N1058" s="41" t="s">
        <v>1990</v>
      </c>
      <c r="O1058" s="358"/>
      <c r="P1058" s="365">
        <f>Tabla3[[#This Row],[COSTO UNITARIO DOLARES EN HAWTHORNE]]*Tabla3[[#This Row],[CANTIDAD SOLICTADA]]</f>
        <v>0</v>
      </c>
      <c r="Q1058" s="41"/>
      <c r="R1058" s="229"/>
      <c r="S1058" s="229">
        <f>+Tabla3[[#This Row],[COSTO UNITARIO DOLARES CTP]]*Tabla3[[#This Row],[CANTIDAD SOLICTADA]]</f>
        <v>0</v>
      </c>
      <c r="T1058" s="41"/>
      <c r="U1058" s="370" t="s">
        <v>5</v>
      </c>
      <c r="V1058" s="360" t="s">
        <v>1993</v>
      </c>
      <c r="W1058" s="366"/>
      <c r="X1058" s="359"/>
      <c r="Y1058" s="358"/>
      <c r="Z1058" s="360"/>
      <c r="AA1058" s="360"/>
      <c r="AB1058" s="360"/>
      <c r="AC1058" s="360"/>
      <c r="AD1058" s="360"/>
      <c r="AE1058" s="360"/>
      <c r="AF1058" s="16"/>
      <c r="AG1058" s="367" t="s">
        <v>1992</v>
      </c>
    </row>
    <row r="1059" spans="1:33" ht="15.75" thickBot="1" x14ac:dyDescent="0.3">
      <c r="A1059" s="356">
        <v>144</v>
      </c>
      <c r="B1059" s="357">
        <v>46210</v>
      </c>
      <c r="C1059" s="358" t="s">
        <v>87</v>
      </c>
      <c r="D1059" s="359"/>
      <c r="E1059" s="360"/>
      <c r="F1059" s="361"/>
      <c r="G1059" s="213" t="str">
        <f>IFERROR(VLOOKUP(Tabla3[[#This Row],[NUM ECONOMICO]],MAQUINARIA!B:H,7,0), " MAQ")</f>
        <v>INACTIVA</v>
      </c>
      <c r="H1059" s="362" t="s">
        <v>1331</v>
      </c>
      <c r="I1059" s="363" t="s">
        <v>1054</v>
      </c>
      <c r="J1059" s="358" t="s">
        <v>1961</v>
      </c>
      <c r="K1059" s="358">
        <v>2</v>
      </c>
      <c r="L1059" s="364">
        <v>60.14</v>
      </c>
      <c r="M1059" s="364">
        <f t="shared" si="20"/>
        <v>120.28</v>
      </c>
      <c r="N1059" s="41" t="s">
        <v>1990</v>
      </c>
      <c r="O1059" s="358"/>
      <c r="P1059" s="365">
        <f>Tabla3[[#This Row],[COSTO UNITARIO DOLARES EN HAWTHORNE]]*Tabla3[[#This Row],[CANTIDAD SOLICTADA]]</f>
        <v>0</v>
      </c>
      <c r="Q1059" s="41"/>
      <c r="R1059" s="229"/>
      <c r="S1059" s="229">
        <f>+Tabla3[[#This Row],[COSTO UNITARIO DOLARES CTP]]*Tabla3[[#This Row],[CANTIDAD SOLICTADA]]</f>
        <v>0</v>
      </c>
      <c r="T1059" s="41"/>
      <c r="U1059" s="370" t="s">
        <v>5</v>
      </c>
      <c r="V1059" s="360" t="s">
        <v>1993</v>
      </c>
      <c r="W1059" s="366"/>
      <c r="X1059" s="359"/>
      <c r="Y1059" s="358"/>
      <c r="Z1059" s="360"/>
      <c r="AA1059" s="360"/>
      <c r="AB1059" s="360"/>
      <c r="AC1059" s="360"/>
      <c r="AD1059" s="360"/>
      <c r="AE1059" s="360"/>
      <c r="AF1059" s="16"/>
      <c r="AG1059" s="367" t="s">
        <v>1992</v>
      </c>
    </row>
    <row r="1060" spans="1:33" ht="15.75" thickBot="1" x14ac:dyDescent="0.3">
      <c r="A1060" s="356">
        <v>144</v>
      </c>
      <c r="B1060" s="357">
        <v>46210</v>
      </c>
      <c r="C1060" s="358" t="s">
        <v>87</v>
      </c>
      <c r="D1060" s="359"/>
      <c r="E1060" s="360"/>
      <c r="F1060" s="361"/>
      <c r="G1060" s="213" t="str">
        <f>IFERROR(VLOOKUP(Tabla3[[#This Row],[NUM ECONOMICO]],MAQUINARIA!B:H,7,0), " MAQ")</f>
        <v>INACTIVA</v>
      </c>
      <c r="H1060" s="362" t="s">
        <v>1331</v>
      </c>
      <c r="I1060" s="363" t="s">
        <v>1908</v>
      </c>
      <c r="J1060" s="358" t="s">
        <v>1961</v>
      </c>
      <c r="K1060" s="358">
        <v>1</v>
      </c>
      <c r="L1060" s="364">
        <v>97.73</v>
      </c>
      <c r="M1060" s="364">
        <f t="shared" si="20"/>
        <v>97.73</v>
      </c>
      <c r="N1060" s="41" t="s">
        <v>1990</v>
      </c>
      <c r="O1060" s="358"/>
      <c r="P1060" s="365">
        <f>Tabla3[[#This Row],[COSTO UNITARIO DOLARES EN HAWTHORNE]]*Tabla3[[#This Row],[CANTIDAD SOLICTADA]]</f>
        <v>0</v>
      </c>
      <c r="Q1060" s="41"/>
      <c r="R1060" s="229"/>
      <c r="S1060" s="229">
        <f>+Tabla3[[#This Row],[COSTO UNITARIO DOLARES CTP]]*Tabla3[[#This Row],[CANTIDAD SOLICTADA]]</f>
        <v>0</v>
      </c>
      <c r="T1060" s="41"/>
      <c r="U1060" s="370" t="s">
        <v>5</v>
      </c>
      <c r="V1060" s="360" t="s">
        <v>1993</v>
      </c>
      <c r="W1060" s="366"/>
      <c r="X1060" s="359"/>
      <c r="Y1060" s="358"/>
      <c r="Z1060" s="360"/>
      <c r="AA1060" s="360"/>
      <c r="AB1060" s="360"/>
      <c r="AC1060" s="360"/>
      <c r="AD1060" s="360"/>
      <c r="AE1060" s="360"/>
      <c r="AF1060" s="16"/>
      <c r="AG1060" s="367" t="s">
        <v>1992</v>
      </c>
    </row>
    <row r="1061" spans="1:33" ht="15.75" thickBot="1" x14ac:dyDescent="0.3">
      <c r="A1061" s="356">
        <v>144</v>
      </c>
      <c r="B1061" s="357">
        <v>46210</v>
      </c>
      <c r="C1061" s="358" t="s">
        <v>87</v>
      </c>
      <c r="D1061" s="359"/>
      <c r="E1061" s="360"/>
      <c r="F1061" s="361"/>
      <c r="G1061" s="213" t="str">
        <f>IFERROR(VLOOKUP(Tabla3[[#This Row],[NUM ECONOMICO]],MAQUINARIA!B:H,7,0), " MAQ")</f>
        <v>INACTIVA</v>
      </c>
      <c r="H1061" s="362" t="s">
        <v>1331</v>
      </c>
      <c r="I1061" s="363" t="s">
        <v>1909</v>
      </c>
      <c r="J1061" s="358" t="s">
        <v>546</v>
      </c>
      <c r="K1061" s="358">
        <v>7</v>
      </c>
      <c r="L1061" s="364">
        <v>54.77</v>
      </c>
      <c r="M1061" s="364">
        <f t="shared" si="20"/>
        <v>383.39000000000004</v>
      </c>
      <c r="N1061" s="41" t="s">
        <v>1990</v>
      </c>
      <c r="O1061" s="358"/>
      <c r="P1061" s="365">
        <f>Tabla3[[#This Row],[COSTO UNITARIO DOLARES EN HAWTHORNE]]*Tabla3[[#This Row],[CANTIDAD SOLICTADA]]</f>
        <v>0</v>
      </c>
      <c r="Q1061" s="41"/>
      <c r="R1061" s="229"/>
      <c r="S1061" s="229">
        <f>+Tabla3[[#This Row],[COSTO UNITARIO DOLARES CTP]]*Tabla3[[#This Row],[CANTIDAD SOLICTADA]]</f>
        <v>0</v>
      </c>
      <c r="T1061" s="41"/>
      <c r="U1061" s="370" t="s">
        <v>5</v>
      </c>
      <c r="V1061" s="360" t="s">
        <v>1993</v>
      </c>
      <c r="W1061" s="366"/>
      <c r="X1061" s="359"/>
      <c r="Y1061" s="358"/>
      <c r="Z1061" s="360"/>
      <c r="AA1061" s="360"/>
      <c r="AB1061" s="360"/>
      <c r="AC1061" s="360"/>
      <c r="AD1061" s="360"/>
      <c r="AE1061" s="360"/>
      <c r="AF1061" s="16"/>
      <c r="AG1061" s="367" t="s">
        <v>1992</v>
      </c>
    </row>
    <row r="1062" spans="1:33" ht="15.75" thickBot="1" x14ac:dyDescent="0.3">
      <c r="A1062" s="356">
        <v>144</v>
      </c>
      <c r="B1062" s="357">
        <v>46210</v>
      </c>
      <c r="C1062" s="358" t="s">
        <v>87</v>
      </c>
      <c r="D1062" s="359"/>
      <c r="E1062" s="360"/>
      <c r="F1062" s="361"/>
      <c r="G1062" s="213" t="str">
        <f>IFERROR(VLOOKUP(Tabla3[[#This Row],[NUM ECONOMICO]],MAQUINARIA!B:H,7,0), " MAQ")</f>
        <v>INACTIVA</v>
      </c>
      <c r="H1062" s="362" t="s">
        <v>1331</v>
      </c>
      <c r="I1062" s="363" t="s">
        <v>1910</v>
      </c>
      <c r="J1062" s="358" t="s">
        <v>546</v>
      </c>
      <c r="K1062" s="358">
        <v>8</v>
      </c>
      <c r="L1062" s="364">
        <v>43.14</v>
      </c>
      <c r="M1062" s="364">
        <f t="shared" si="20"/>
        <v>345.12</v>
      </c>
      <c r="N1062" s="41" t="s">
        <v>1990</v>
      </c>
      <c r="O1062" s="358"/>
      <c r="P1062" s="365">
        <f>Tabla3[[#This Row],[COSTO UNITARIO DOLARES EN HAWTHORNE]]*Tabla3[[#This Row],[CANTIDAD SOLICTADA]]</f>
        <v>0</v>
      </c>
      <c r="Q1062" s="41"/>
      <c r="R1062" s="229"/>
      <c r="S1062" s="229">
        <f>+Tabla3[[#This Row],[COSTO UNITARIO DOLARES CTP]]*Tabla3[[#This Row],[CANTIDAD SOLICTADA]]</f>
        <v>0</v>
      </c>
      <c r="T1062" s="41"/>
      <c r="U1062" s="370" t="s">
        <v>5</v>
      </c>
      <c r="V1062" s="360" t="s">
        <v>1993</v>
      </c>
      <c r="W1062" s="366"/>
      <c r="X1062" s="359"/>
      <c r="Y1062" s="358"/>
      <c r="Z1062" s="360"/>
      <c r="AA1062" s="360"/>
      <c r="AB1062" s="360"/>
      <c r="AC1062" s="360"/>
      <c r="AD1062" s="360"/>
      <c r="AE1062" s="360"/>
      <c r="AF1062" s="16"/>
      <c r="AG1062" s="367" t="s">
        <v>1992</v>
      </c>
    </row>
    <row r="1063" spans="1:33" ht="15.75" thickBot="1" x14ac:dyDescent="0.3">
      <c r="A1063" s="356">
        <v>144</v>
      </c>
      <c r="B1063" s="357">
        <v>46210</v>
      </c>
      <c r="C1063" s="358" t="s">
        <v>87</v>
      </c>
      <c r="D1063" s="359"/>
      <c r="E1063" s="360"/>
      <c r="F1063" s="361"/>
      <c r="G1063" s="213" t="str">
        <f>IFERROR(VLOOKUP(Tabla3[[#This Row],[NUM ECONOMICO]],MAQUINARIA!B:H,7,0), " MAQ")</f>
        <v>INACTIVA</v>
      </c>
      <c r="H1063" s="362" t="s">
        <v>1331</v>
      </c>
      <c r="I1063" s="363" t="s">
        <v>1911</v>
      </c>
      <c r="J1063" s="358" t="s">
        <v>1962</v>
      </c>
      <c r="K1063" s="358">
        <v>6</v>
      </c>
      <c r="L1063" s="364">
        <v>76.069999999999993</v>
      </c>
      <c r="M1063" s="364">
        <f t="shared" si="20"/>
        <v>456.41999999999996</v>
      </c>
      <c r="N1063" s="41" t="s">
        <v>1990</v>
      </c>
      <c r="O1063" s="358"/>
      <c r="P1063" s="365">
        <f>Tabla3[[#This Row],[COSTO UNITARIO DOLARES EN HAWTHORNE]]*Tabla3[[#This Row],[CANTIDAD SOLICTADA]]</f>
        <v>0</v>
      </c>
      <c r="Q1063" s="41"/>
      <c r="R1063" s="229"/>
      <c r="S1063" s="229">
        <f>+Tabla3[[#This Row],[COSTO UNITARIO DOLARES CTP]]*Tabla3[[#This Row],[CANTIDAD SOLICTADA]]</f>
        <v>0</v>
      </c>
      <c r="T1063" s="41"/>
      <c r="U1063" s="370" t="s">
        <v>5</v>
      </c>
      <c r="V1063" s="360" t="s">
        <v>1993</v>
      </c>
      <c r="W1063" s="366"/>
      <c r="X1063" s="359"/>
      <c r="Y1063" s="358"/>
      <c r="Z1063" s="360"/>
      <c r="AA1063" s="360"/>
      <c r="AB1063" s="360"/>
      <c r="AC1063" s="360"/>
      <c r="AD1063" s="360"/>
      <c r="AE1063" s="360"/>
      <c r="AF1063" s="16"/>
      <c r="AG1063" s="367" t="s">
        <v>1992</v>
      </c>
    </row>
    <row r="1064" spans="1:33" ht="15.75" thickBot="1" x14ac:dyDescent="0.3">
      <c r="A1064" s="356">
        <v>144</v>
      </c>
      <c r="B1064" s="357">
        <v>46210</v>
      </c>
      <c r="C1064" s="358" t="s">
        <v>87</v>
      </c>
      <c r="D1064" s="359"/>
      <c r="E1064" s="360"/>
      <c r="F1064" s="361"/>
      <c r="G1064" s="213" t="str">
        <f>IFERROR(VLOOKUP(Tabla3[[#This Row],[NUM ECONOMICO]],MAQUINARIA!B:H,7,0), " MAQ")</f>
        <v>INACTIVA</v>
      </c>
      <c r="H1064" s="362" t="s">
        <v>1331</v>
      </c>
      <c r="I1064" s="363" t="s">
        <v>1912</v>
      </c>
      <c r="J1064" s="358" t="s">
        <v>1961</v>
      </c>
      <c r="K1064" s="358">
        <v>1</v>
      </c>
      <c r="L1064" s="364">
        <v>96.3</v>
      </c>
      <c r="M1064" s="364">
        <f t="shared" si="20"/>
        <v>96.3</v>
      </c>
      <c r="N1064" s="41" t="s">
        <v>1990</v>
      </c>
      <c r="O1064" s="358"/>
      <c r="P1064" s="365">
        <f>Tabla3[[#This Row],[COSTO UNITARIO DOLARES EN HAWTHORNE]]*Tabla3[[#This Row],[CANTIDAD SOLICTADA]]</f>
        <v>0</v>
      </c>
      <c r="Q1064" s="41"/>
      <c r="R1064" s="229"/>
      <c r="S1064" s="229">
        <f>+Tabla3[[#This Row],[COSTO UNITARIO DOLARES CTP]]*Tabla3[[#This Row],[CANTIDAD SOLICTADA]]</f>
        <v>0</v>
      </c>
      <c r="T1064" s="41"/>
      <c r="U1064" s="370" t="s">
        <v>5</v>
      </c>
      <c r="V1064" s="360" t="s">
        <v>1993</v>
      </c>
      <c r="W1064" s="366"/>
      <c r="X1064" s="359"/>
      <c r="Y1064" s="358"/>
      <c r="Z1064" s="360"/>
      <c r="AA1064" s="360"/>
      <c r="AB1064" s="360"/>
      <c r="AC1064" s="360"/>
      <c r="AD1064" s="360"/>
      <c r="AE1064" s="360"/>
      <c r="AF1064" s="16"/>
      <c r="AG1064" s="367" t="s">
        <v>1992</v>
      </c>
    </row>
    <row r="1065" spans="1:33" ht="15.75" thickBot="1" x14ac:dyDescent="0.3">
      <c r="A1065" s="356">
        <v>144</v>
      </c>
      <c r="B1065" s="357">
        <v>46210</v>
      </c>
      <c r="C1065" s="358" t="s">
        <v>87</v>
      </c>
      <c r="D1065" s="359"/>
      <c r="E1065" s="360"/>
      <c r="F1065" s="361"/>
      <c r="G1065" s="213" t="str">
        <f>IFERROR(VLOOKUP(Tabla3[[#This Row],[NUM ECONOMICO]],MAQUINARIA!B:H,7,0), " MAQ")</f>
        <v>INACTIVA</v>
      </c>
      <c r="H1065" s="362" t="s">
        <v>1331</v>
      </c>
      <c r="I1065" s="363" t="s">
        <v>1913</v>
      </c>
      <c r="J1065" s="358" t="s">
        <v>220</v>
      </c>
      <c r="K1065" s="358">
        <v>2</v>
      </c>
      <c r="L1065" s="364">
        <v>27.57</v>
      </c>
      <c r="M1065" s="364">
        <f t="shared" si="20"/>
        <v>55.14</v>
      </c>
      <c r="N1065" s="41" t="s">
        <v>1990</v>
      </c>
      <c r="O1065" s="358"/>
      <c r="P1065" s="365">
        <f>Tabla3[[#This Row],[COSTO UNITARIO DOLARES EN HAWTHORNE]]*Tabla3[[#This Row],[CANTIDAD SOLICTADA]]</f>
        <v>0</v>
      </c>
      <c r="Q1065" s="41"/>
      <c r="R1065" s="229"/>
      <c r="S1065" s="229">
        <f>+Tabla3[[#This Row],[COSTO UNITARIO DOLARES CTP]]*Tabla3[[#This Row],[CANTIDAD SOLICTADA]]</f>
        <v>0</v>
      </c>
      <c r="T1065" s="41"/>
      <c r="U1065" s="370" t="s">
        <v>5</v>
      </c>
      <c r="V1065" s="360" t="s">
        <v>1993</v>
      </c>
      <c r="W1065" s="366"/>
      <c r="X1065" s="359"/>
      <c r="Y1065" s="358"/>
      <c r="Z1065" s="360"/>
      <c r="AA1065" s="360"/>
      <c r="AB1065" s="360"/>
      <c r="AC1065" s="360"/>
      <c r="AD1065" s="360"/>
      <c r="AE1065" s="360"/>
      <c r="AF1065" s="16"/>
      <c r="AG1065" s="367" t="s">
        <v>1992</v>
      </c>
    </row>
    <row r="1066" spans="1:33" ht="15.75" thickBot="1" x14ac:dyDescent="0.3">
      <c r="A1066" s="356">
        <v>144</v>
      </c>
      <c r="B1066" s="357">
        <v>46210</v>
      </c>
      <c r="C1066" s="358" t="s">
        <v>87</v>
      </c>
      <c r="D1066" s="359"/>
      <c r="E1066" s="360"/>
      <c r="F1066" s="361"/>
      <c r="G1066" s="213" t="str">
        <f>IFERROR(VLOOKUP(Tabla3[[#This Row],[NUM ECONOMICO]],MAQUINARIA!B:H,7,0), " MAQ")</f>
        <v>INACTIVA</v>
      </c>
      <c r="H1066" s="362" t="s">
        <v>1331</v>
      </c>
      <c r="I1066" s="363" t="s">
        <v>1057</v>
      </c>
      <c r="J1066" s="358" t="s">
        <v>1975</v>
      </c>
      <c r="K1066" s="358">
        <v>1</v>
      </c>
      <c r="L1066" s="364">
        <v>152.87</v>
      </c>
      <c r="M1066" s="364">
        <f t="shared" si="20"/>
        <v>152.87</v>
      </c>
      <c r="N1066" s="41" t="s">
        <v>1990</v>
      </c>
      <c r="O1066" s="358"/>
      <c r="P1066" s="365">
        <f>Tabla3[[#This Row],[COSTO UNITARIO DOLARES EN HAWTHORNE]]*Tabla3[[#This Row],[CANTIDAD SOLICTADA]]</f>
        <v>0</v>
      </c>
      <c r="Q1066" s="41"/>
      <c r="R1066" s="229"/>
      <c r="S1066" s="229">
        <f>+Tabla3[[#This Row],[COSTO UNITARIO DOLARES CTP]]*Tabla3[[#This Row],[CANTIDAD SOLICTADA]]</f>
        <v>0</v>
      </c>
      <c r="T1066" s="41"/>
      <c r="U1066" s="370" t="s">
        <v>5</v>
      </c>
      <c r="V1066" s="360" t="s">
        <v>1993</v>
      </c>
      <c r="W1066" s="366"/>
      <c r="X1066" s="359"/>
      <c r="Y1066" s="358"/>
      <c r="Z1066" s="360"/>
      <c r="AA1066" s="360"/>
      <c r="AB1066" s="360"/>
      <c r="AC1066" s="360"/>
      <c r="AD1066" s="360"/>
      <c r="AE1066" s="360"/>
      <c r="AF1066" s="16"/>
      <c r="AG1066" s="367" t="s">
        <v>1992</v>
      </c>
    </row>
    <row r="1067" spans="1:33" ht="15.75" thickBot="1" x14ac:dyDescent="0.3">
      <c r="A1067" s="356">
        <v>144</v>
      </c>
      <c r="B1067" s="357">
        <v>46210</v>
      </c>
      <c r="C1067" s="358" t="s">
        <v>87</v>
      </c>
      <c r="D1067" s="359"/>
      <c r="E1067" s="360"/>
      <c r="F1067" s="361"/>
      <c r="G1067" s="213" t="str">
        <f>IFERROR(VLOOKUP(Tabla3[[#This Row],[NUM ECONOMICO]],MAQUINARIA!B:H,7,0), " MAQ")</f>
        <v>INACTIVA</v>
      </c>
      <c r="H1067" s="362" t="s">
        <v>1331</v>
      </c>
      <c r="I1067" s="363" t="s">
        <v>1914</v>
      </c>
      <c r="J1067" s="358" t="s">
        <v>546</v>
      </c>
      <c r="K1067" s="358">
        <v>6</v>
      </c>
      <c r="L1067" s="364">
        <v>238.07</v>
      </c>
      <c r="M1067" s="364">
        <f t="shared" si="20"/>
        <v>1428.42</v>
      </c>
      <c r="N1067" s="41" t="s">
        <v>1990</v>
      </c>
      <c r="O1067" s="358"/>
      <c r="P1067" s="365">
        <f>Tabla3[[#This Row],[COSTO UNITARIO DOLARES EN HAWTHORNE]]*Tabla3[[#This Row],[CANTIDAD SOLICTADA]]</f>
        <v>0</v>
      </c>
      <c r="Q1067" s="41"/>
      <c r="R1067" s="229"/>
      <c r="S1067" s="229">
        <f>+Tabla3[[#This Row],[COSTO UNITARIO DOLARES CTP]]*Tabla3[[#This Row],[CANTIDAD SOLICTADA]]</f>
        <v>0</v>
      </c>
      <c r="T1067" s="41"/>
      <c r="U1067" s="370" t="s">
        <v>5</v>
      </c>
      <c r="V1067" s="360" t="s">
        <v>1993</v>
      </c>
      <c r="W1067" s="366"/>
      <c r="X1067" s="359"/>
      <c r="Y1067" s="358"/>
      <c r="Z1067" s="360"/>
      <c r="AA1067" s="360"/>
      <c r="AB1067" s="360"/>
      <c r="AC1067" s="360"/>
      <c r="AD1067" s="360"/>
      <c r="AE1067" s="360"/>
      <c r="AF1067" s="16"/>
      <c r="AG1067" s="367" t="s">
        <v>1992</v>
      </c>
    </row>
    <row r="1068" spans="1:33" ht="15.75" thickBot="1" x14ac:dyDescent="0.3">
      <c r="A1068" s="356">
        <v>144</v>
      </c>
      <c r="B1068" s="357">
        <v>46210</v>
      </c>
      <c r="C1068" s="358" t="s">
        <v>87</v>
      </c>
      <c r="D1068" s="359"/>
      <c r="E1068" s="360"/>
      <c r="F1068" s="361"/>
      <c r="G1068" s="213" t="str">
        <f>IFERROR(VLOOKUP(Tabla3[[#This Row],[NUM ECONOMICO]],MAQUINARIA!B:H,7,0), " MAQ")</f>
        <v>INACTIVA</v>
      </c>
      <c r="H1068" s="362" t="s">
        <v>1331</v>
      </c>
      <c r="I1068" s="363" t="s">
        <v>1900</v>
      </c>
      <c r="J1068" s="358" t="s">
        <v>1961</v>
      </c>
      <c r="K1068" s="358">
        <v>2</v>
      </c>
      <c r="L1068" s="364">
        <v>29.71</v>
      </c>
      <c r="M1068" s="364">
        <f t="shared" si="20"/>
        <v>59.42</v>
      </c>
      <c r="N1068" s="41" t="s">
        <v>1990</v>
      </c>
      <c r="O1068" s="358"/>
      <c r="P1068" s="365">
        <f>Tabla3[[#This Row],[COSTO UNITARIO DOLARES EN HAWTHORNE]]*Tabla3[[#This Row],[CANTIDAD SOLICTADA]]</f>
        <v>0</v>
      </c>
      <c r="Q1068" s="41"/>
      <c r="R1068" s="229"/>
      <c r="S1068" s="229">
        <f>+Tabla3[[#This Row],[COSTO UNITARIO DOLARES CTP]]*Tabla3[[#This Row],[CANTIDAD SOLICTADA]]</f>
        <v>0</v>
      </c>
      <c r="T1068" s="41"/>
      <c r="U1068" s="370" t="s">
        <v>5</v>
      </c>
      <c r="V1068" s="360" t="s">
        <v>1993</v>
      </c>
      <c r="W1068" s="366"/>
      <c r="X1068" s="359"/>
      <c r="Y1068" s="358"/>
      <c r="Z1068" s="360"/>
      <c r="AA1068" s="360"/>
      <c r="AB1068" s="360"/>
      <c r="AC1068" s="360"/>
      <c r="AD1068" s="360"/>
      <c r="AE1068" s="360"/>
      <c r="AF1068" s="16"/>
      <c r="AG1068" s="367" t="s">
        <v>1992</v>
      </c>
    </row>
    <row r="1069" spans="1:33" ht="15.75" thickBot="1" x14ac:dyDescent="0.3">
      <c r="A1069" s="356">
        <v>144</v>
      </c>
      <c r="B1069" s="357">
        <v>46210</v>
      </c>
      <c r="C1069" s="358" t="s">
        <v>87</v>
      </c>
      <c r="D1069" s="359"/>
      <c r="E1069" s="360"/>
      <c r="F1069" s="361"/>
      <c r="G1069" s="213" t="str">
        <f>IFERROR(VLOOKUP(Tabla3[[#This Row],[NUM ECONOMICO]],MAQUINARIA!B:H,7,0), " MAQ")</f>
        <v>INACTIVA</v>
      </c>
      <c r="H1069" s="362" t="s">
        <v>1331</v>
      </c>
      <c r="I1069" s="363" t="s">
        <v>558</v>
      </c>
      <c r="J1069" s="358" t="s">
        <v>546</v>
      </c>
      <c r="K1069" s="358">
        <v>6</v>
      </c>
      <c r="L1069" s="364">
        <v>76.430000000000007</v>
      </c>
      <c r="M1069" s="364">
        <f t="shared" si="20"/>
        <v>458.58000000000004</v>
      </c>
      <c r="N1069" s="41" t="s">
        <v>1990</v>
      </c>
      <c r="O1069" s="358"/>
      <c r="P1069" s="365">
        <f>Tabla3[[#This Row],[COSTO UNITARIO DOLARES EN HAWTHORNE]]*Tabla3[[#This Row],[CANTIDAD SOLICTADA]]</f>
        <v>0</v>
      </c>
      <c r="Q1069" s="41"/>
      <c r="R1069" s="229"/>
      <c r="S1069" s="229">
        <f>+Tabla3[[#This Row],[COSTO UNITARIO DOLARES CTP]]*Tabla3[[#This Row],[CANTIDAD SOLICTADA]]</f>
        <v>0</v>
      </c>
      <c r="T1069" s="41"/>
      <c r="U1069" s="370" t="s">
        <v>5</v>
      </c>
      <c r="V1069" s="360" t="s">
        <v>1993</v>
      </c>
      <c r="W1069" s="366"/>
      <c r="X1069" s="359"/>
      <c r="Y1069" s="358"/>
      <c r="Z1069" s="360"/>
      <c r="AA1069" s="360"/>
      <c r="AB1069" s="360"/>
      <c r="AC1069" s="360"/>
      <c r="AD1069" s="360"/>
      <c r="AE1069" s="360"/>
      <c r="AF1069" s="16"/>
      <c r="AG1069" s="367" t="s">
        <v>1992</v>
      </c>
    </row>
    <row r="1070" spans="1:33" ht="15.75" thickBot="1" x14ac:dyDescent="0.3">
      <c r="A1070" s="356">
        <v>144</v>
      </c>
      <c r="B1070" s="357">
        <v>46210</v>
      </c>
      <c r="C1070" s="358" t="s">
        <v>87</v>
      </c>
      <c r="D1070" s="359"/>
      <c r="E1070" s="360"/>
      <c r="F1070" s="361"/>
      <c r="G1070" s="213" t="str">
        <f>IFERROR(VLOOKUP(Tabla3[[#This Row],[NUM ECONOMICO]],MAQUINARIA!B:H,7,0), " MAQ")</f>
        <v>INACTIVA</v>
      </c>
      <c r="H1070" s="362" t="s">
        <v>1331</v>
      </c>
      <c r="I1070" s="363" t="s">
        <v>548</v>
      </c>
      <c r="J1070" s="358" t="s">
        <v>1961</v>
      </c>
      <c r="K1070" s="358">
        <v>2</v>
      </c>
      <c r="L1070" s="364">
        <v>38.479999999999997</v>
      </c>
      <c r="M1070" s="364">
        <f t="shared" si="20"/>
        <v>76.959999999999994</v>
      </c>
      <c r="N1070" s="41" t="s">
        <v>1990</v>
      </c>
      <c r="O1070" s="358"/>
      <c r="P1070" s="365">
        <f>Tabla3[[#This Row],[COSTO UNITARIO DOLARES EN HAWTHORNE]]*Tabla3[[#This Row],[CANTIDAD SOLICTADA]]</f>
        <v>0</v>
      </c>
      <c r="Q1070" s="41"/>
      <c r="R1070" s="229"/>
      <c r="S1070" s="229">
        <f>+Tabla3[[#This Row],[COSTO UNITARIO DOLARES CTP]]*Tabla3[[#This Row],[CANTIDAD SOLICTADA]]</f>
        <v>0</v>
      </c>
      <c r="T1070" s="41"/>
      <c r="U1070" s="370" t="s">
        <v>5</v>
      </c>
      <c r="V1070" s="360" t="s">
        <v>1993</v>
      </c>
      <c r="W1070" s="366"/>
      <c r="X1070" s="359"/>
      <c r="Y1070" s="358"/>
      <c r="Z1070" s="360"/>
      <c r="AA1070" s="360"/>
      <c r="AB1070" s="360"/>
      <c r="AC1070" s="360"/>
      <c r="AD1070" s="360"/>
      <c r="AE1070" s="360"/>
      <c r="AF1070" s="16"/>
      <c r="AG1070" s="367" t="s">
        <v>1992</v>
      </c>
    </row>
    <row r="1071" spans="1:33" ht="15.75" thickBot="1" x14ac:dyDescent="0.3">
      <c r="A1071" s="356">
        <v>144</v>
      </c>
      <c r="B1071" s="357">
        <v>46210</v>
      </c>
      <c r="C1071" s="358" t="s">
        <v>87</v>
      </c>
      <c r="D1071" s="359"/>
      <c r="E1071" s="360"/>
      <c r="F1071" s="361"/>
      <c r="G1071" s="213" t="str">
        <f>IFERROR(VLOOKUP(Tabla3[[#This Row],[NUM ECONOMICO]],MAQUINARIA!B:H,7,0), " MAQ")</f>
        <v>INACTIVA</v>
      </c>
      <c r="H1071" s="362" t="s">
        <v>1331</v>
      </c>
      <c r="I1071" s="363" t="s">
        <v>1901</v>
      </c>
      <c r="J1071" s="358" t="s">
        <v>1972</v>
      </c>
      <c r="K1071" s="358">
        <v>5</v>
      </c>
      <c r="L1071" s="364">
        <v>123.69</v>
      </c>
      <c r="M1071" s="364">
        <f t="shared" si="20"/>
        <v>618.45000000000005</v>
      </c>
      <c r="N1071" s="41" t="s">
        <v>1990</v>
      </c>
      <c r="O1071" s="358"/>
      <c r="P1071" s="365">
        <f>Tabla3[[#This Row],[COSTO UNITARIO DOLARES EN HAWTHORNE]]*Tabla3[[#This Row],[CANTIDAD SOLICTADA]]</f>
        <v>0</v>
      </c>
      <c r="Q1071" s="41"/>
      <c r="R1071" s="229"/>
      <c r="S1071" s="229">
        <f>+Tabla3[[#This Row],[COSTO UNITARIO DOLARES CTP]]*Tabla3[[#This Row],[CANTIDAD SOLICTADA]]</f>
        <v>0</v>
      </c>
      <c r="T1071" s="41"/>
      <c r="U1071" s="370" t="s">
        <v>5</v>
      </c>
      <c r="V1071" s="360" t="s">
        <v>1993</v>
      </c>
      <c r="W1071" s="366"/>
      <c r="X1071" s="359"/>
      <c r="Y1071" s="358"/>
      <c r="Z1071" s="360"/>
      <c r="AA1071" s="360"/>
      <c r="AB1071" s="360"/>
      <c r="AC1071" s="360"/>
      <c r="AD1071" s="360"/>
      <c r="AE1071" s="360"/>
      <c r="AF1071" s="16"/>
      <c r="AG1071" s="367" t="s">
        <v>1992</v>
      </c>
    </row>
    <row r="1072" spans="1:33" ht="15.75" thickBot="1" x14ac:dyDescent="0.3">
      <c r="A1072" s="356">
        <v>144</v>
      </c>
      <c r="B1072" s="357">
        <v>46210</v>
      </c>
      <c r="C1072" s="358" t="s">
        <v>87</v>
      </c>
      <c r="D1072" s="359"/>
      <c r="E1072" s="360"/>
      <c r="F1072" s="361"/>
      <c r="G1072" s="213" t="str">
        <f>IFERROR(VLOOKUP(Tabla3[[#This Row],[NUM ECONOMICO]],MAQUINARIA!B:H,7,0), " MAQ")</f>
        <v>INACTIVA</v>
      </c>
      <c r="H1072" s="362" t="s">
        <v>1331</v>
      </c>
      <c r="I1072" s="363" t="s">
        <v>1902</v>
      </c>
      <c r="J1072" s="358" t="s">
        <v>1972</v>
      </c>
      <c r="K1072" s="358">
        <v>1</v>
      </c>
      <c r="L1072" s="364">
        <v>325.95999999999998</v>
      </c>
      <c r="M1072" s="364">
        <f t="shared" si="20"/>
        <v>325.95999999999998</v>
      </c>
      <c r="N1072" s="41" t="s">
        <v>1990</v>
      </c>
      <c r="O1072" s="358"/>
      <c r="P1072" s="365">
        <f>Tabla3[[#This Row],[COSTO UNITARIO DOLARES EN HAWTHORNE]]*Tabla3[[#This Row],[CANTIDAD SOLICTADA]]</f>
        <v>0</v>
      </c>
      <c r="Q1072" s="41"/>
      <c r="R1072" s="229"/>
      <c r="S1072" s="229">
        <f>+Tabla3[[#This Row],[COSTO UNITARIO DOLARES CTP]]*Tabla3[[#This Row],[CANTIDAD SOLICTADA]]</f>
        <v>0</v>
      </c>
      <c r="T1072" s="41"/>
      <c r="U1072" s="370" t="s">
        <v>5</v>
      </c>
      <c r="V1072" s="360" t="s">
        <v>1993</v>
      </c>
      <c r="W1072" s="366"/>
      <c r="X1072" s="359"/>
      <c r="Y1072" s="358"/>
      <c r="Z1072" s="360"/>
      <c r="AA1072" s="360"/>
      <c r="AB1072" s="360"/>
      <c r="AC1072" s="360"/>
      <c r="AD1072" s="360"/>
      <c r="AE1072" s="360"/>
      <c r="AF1072" s="16"/>
      <c r="AG1072" s="367" t="s">
        <v>1992</v>
      </c>
    </row>
    <row r="1073" spans="1:33" ht="15.75" thickBot="1" x14ac:dyDescent="0.3">
      <c r="A1073" s="356">
        <v>144</v>
      </c>
      <c r="B1073" s="357">
        <v>46210</v>
      </c>
      <c r="C1073" s="358" t="s">
        <v>87</v>
      </c>
      <c r="D1073" s="359"/>
      <c r="E1073" s="360"/>
      <c r="F1073" s="361"/>
      <c r="G1073" s="213" t="str">
        <f>IFERROR(VLOOKUP(Tabla3[[#This Row],[NUM ECONOMICO]],MAQUINARIA!B:H,7,0), " MAQ")</f>
        <v>INACTIVA</v>
      </c>
      <c r="H1073" s="362" t="s">
        <v>1331</v>
      </c>
      <c r="I1073" s="363" t="s">
        <v>1903</v>
      </c>
      <c r="J1073" s="358" t="s">
        <v>1973</v>
      </c>
      <c r="K1073" s="358">
        <v>12</v>
      </c>
      <c r="L1073" s="364">
        <v>194.04</v>
      </c>
      <c r="M1073" s="364">
        <f t="shared" si="20"/>
        <v>2328.48</v>
      </c>
      <c r="N1073" s="41" t="s">
        <v>1990</v>
      </c>
      <c r="O1073" s="358"/>
      <c r="P1073" s="365">
        <f>Tabla3[[#This Row],[COSTO UNITARIO DOLARES EN HAWTHORNE]]*Tabla3[[#This Row],[CANTIDAD SOLICTADA]]</f>
        <v>0</v>
      </c>
      <c r="Q1073" s="41"/>
      <c r="R1073" s="229"/>
      <c r="S1073" s="229">
        <f>+Tabla3[[#This Row],[COSTO UNITARIO DOLARES CTP]]*Tabla3[[#This Row],[CANTIDAD SOLICTADA]]</f>
        <v>0</v>
      </c>
      <c r="T1073" s="41"/>
      <c r="U1073" s="370" t="s">
        <v>5</v>
      </c>
      <c r="V1073" s="360" t="s">
        <v>1993</v>
      </c>
      <c r="W1073" s="366"/>
      <c r="X1073" s="359"/>
      <c r="Y1073" s="358"/>
      <c r="Z1073" s="360"/>
      <c r="AA1073" s="360"/>
      <c r="AB1073" s="360"/>
      <c r="AC1073" s="360"/>
      <c r="AD1073" s="360"/>
      <c r="AE1073" s="360"/>
      <c r="AF1073" s="16"/>
      <c r="AG1073" s="367" t="s">
        <v>1992</v>
      </c>
    </row>
    <row r="1074" spans="1:33" ht="15.75" thickBot="1" x14ac:dyDescent="0.3">
      <c r="A1074" s="356">
        <v>144</v>
      </c>
      <c r="B1074" s="357">
        <v>46210</v>
      </c>
      <c r="C1074" s="358" t="s">
        <v>87</v>
      </c>
      <c r="D1074" s="359"/>
      <c r="E1074" s="360"/>
      <c r="F1074" s="361"/>
      <c r="G1074" s="213" t="str">
        <f>IFERROR(VLOOKUP(Tabla3[[#This Row],[NUM ECONOMICO]],MAQUINARIA!B:H,7,0), " MAQ")</f>
        <v>INACTIVA</v>
      </c>
      <c r="H1074" s="362" t="s">
        <v>1331</v>
      </c>
      <c r="I1074" s="363" t="s">
        <v>334</v>
      </c>
      <c r="J1074" s="358" t="s">
        <v>506</v>
      </c>
      <c r="K1074" s="358">
        <v>15</v>
      </c>
      <c r="L1074" s="364">
        <v>31.5</v>
      </c>
      <c r="M1074" s="364">
        <f t="shared" si="20"/>
        <v>472.5</v>
      </c>
      <c r="N1074" s="41" t="s">
        <v>1990</v>
      </c>
      <c r="O1074" s="358"/>
      <c r="P1074" s="365">
        <f>Tabla3[[#This Row],[COSTO UNITARIO DOLARES EN HAWTHORNE]]*Tabla3[[#This Row],[CANTIDAD SOLICTADA]]</f>
        <v>0</v>
      </c>
      <c r="Q1074" s="41"/>
      <c r="R1074" s="229"/>
      <c r="S1074" s="229">
        <f>+Tabla3[[#This Row],[COSTO UNITARIO DOLARES CTP]]*Tabla3[[#This Row],[CANTIDAD SOLICTADA]]</f>
        <v>0</v>
      </c>
      <c r="T1074" s="41"/>
      <c r="U1074" s="370" t="s">
        <v>5</v>
      </c>
      <c r="V1074" s="360" t="s">
        <v>1993</v>
      </c>
      <c r="W1074" s="366"/>
      <c r="X1074" s="359"/>
      <c r="Y1074" s="358"/>
      <c r="Z1074" s="360"/>
      <c r="AA1074" s="360"/>
      <c r="AB1074" s="360"/>
      <c r="AC1074" s="360"/>
      <c r="AD1074" s="360"/>
      <c r="AE1074" s="360"/>
      <c r="AF1074" s="16"/>
      <c r="AG1074" s="367" t="s">
        <v>1992</v>
      </c>
    </row>
    <row r="1075" spans="1:33" ht="15.75" thickBot="1" x14ac:dyDescent="0.3">
      <c r="A1075" s="356">
        <v>144</v>
      </c>
      <c r="B1075" s="357">
        <v>46210</v>
      </c>
      <c r="C1075" s="358" t="s">
        <v>87</v>
      </c>
      <c r="D1075" s="359"/>
      <c r="E1075" s="360"/>
      <c r="F1075" s="361"/>
      <c r="G1075" s="213" t="str">
        <f>IFERROR(VLOOKUP(Tabla3[[#This Row],[NUM ECONOMICO]],MAQUINARIA!B:H,7,0), " MAQ")</f>
        <v>INACTIVA</v>
      </c>
      <c r="H1075" s="362" t="s">
        <v>1331</v>
      </c>
      <c r="I1075" s="363" t="s">
        <v>336</v>
      </c>
      <c r="J1075" s="358" t="s">
        <v>1971</v>
      </c>
      <c r="K1075" s="358">
        <v>5</v>
      </c>
      <c r="L1075" s="364">
        <v>34.9</v>
      </c>
      <c r="M1075" s="364">
        <f t="shared" si="20"/>
        <v>174.5</v>
      </c>
      <c r="N1075" s="41" t="s">
        <v>1990</v>
      </c>
      <c r="O1075" s="358"/>
      <c r="P1075" s="365">
        <f>Tabla3[[#This Row],[COSTO UNITARIO DOLARES EN HAWTHORNE]]*Tabla3[[#This Row],[CANTIDAD SOLICTADA]]</f>
        <v>0</v>
      </c>
      <c r="Q1075" s="41"/>
      <c r="R1075" s="229"/>
      <c r="S1075" s="229">
        <f>+Tabla3[[#This Row],[COSTO UNITARIO DOLARES CTP]]*Tabla3[[#This Row],[CANTIDAD SOLICTADA]]</f>
        <v>0</v>
      </c>
      <c r="T1075" s="41"/>
      <c r="U1075" s="370" t="s">
        <v>5</v>
      </c>
      <c r="V1075" s="360" t="s">
        <v>1993</v>
      </c>
      <c r="W1075" s="366"/>
      <c r="X1075" s="359"/>
      <c r="Y1075" s="358"/>
      <c r="Z1075" s="360"/>
      <c r="AA1075" s="360"/>
      <c r="AB1075" s="360"/>
      <c r="AC1075" s="360"/>
      <c r="AD1075" s="360"/>
      <c r="AE1075" s="360"/>
      <c r="AF1075" s="16"/>
      <c r="AG1075" s="367" t="s">
        <v>1992</v>
      </c>
    </row>
    <row r="1076" spans="1:33" ht="15.75" thickBot="1" x14ac:dyDescent="0.3">
      <c r="A1076" s="356">
        <v>144</v>
      </c>
      <c r="B1076" s="357">
        <v>46210</v>
      </c>
      <c r="C1076" s="358" t="s">
        <v>87</v>
      </c>
      <c r="D1076" s="359"/>
      <c r="E1076" s="360"/>
      <c r="F1076" s="361"/>
      <c r="G1076" s="213" t="str">
        <f>IFERROR(VLOOKUP(Tabla3[[#This Row],[NUM ECONOMICO]],MAQUINARIA!B:H,7,0), " MAQ")</f>
        <v>INACTIVA</v>
      </c>
      <c r="H1076" s="362" t="s">
        <v>1331</v>
      </c>
      <c r="I1076" s="363" t="s">
        <v>1904</v>
      </c>
      <c r="J1076" s="358" t="s">
        <v>1972</v>
      </c>
      <c r="K1076" s="358">
        <v>8</v>
      </c>
      <c r="L1076" s="364">
        <v>241.29</v>
      </c>
      <c r="M1076" s="364">
        <f t="shared" si="20"/>
        <v>1930.32</v>
      </c>
      <c r="N1076" s="41" t="s">
        <v>1990</v>
      </c>
      <c r="O1076" s="358"/>
      <c r="P1076" s="365">
        <f>Tabla3[[#This Row],[COSTO UNITARIO DOLARES EN HAWTHORNE]]*Tabla3[[#This Row],[CANTIDAD SOLICTADA]]</f>
        <v>0</v>
      </c>
      <c r="Q1076" s="41"/>
      <c r="R1076" s="229"/>
      <c r="S1076" s="229">
        <f>+Tabla3[[#This Row],[COSTO UNITARIO DOLARES CTP]]*Tabla3[[#This Row],[CANTIDAD SOLICTADA]]</f>
        <v>0</v>
      </c>
      <c r="T1076" s="41"/>
      <c r="U1076" s="370" t="s">
        <v>5</v>
      </c>
      <c r="V1076" s="360" t="s">
        <v>1993</v>
      </c>
      <c r="W1076" s="366"/>
      <c r="X1076" s="359"/>
      <c r="Y1076" s="358"/>
      <c r="Z1076" s="360"/>
      <c r="AA1076" s="360"/>
      <c r="AB1076" s="360"/>
      <c r="AC1076" s="360"/>
      <c r="AD1076" s="360"/>
      <c r="AE1076" s="360"/>
      <c r="AF1076" s="16"/>
      <c r="AG1076" s="367" t="s">
        <v>1992</v>
      </c>
    </row>
    <row r="1077" spans="1:33" ht="15.75" thickBot="1" x14ac:dyDescent="0.3">
      <c r="A1077" s="356">
        <v>144</v>
      </c>
      <c r="B1077" s="357">
        <v>46210</v>
      </c>
      <c r="C1077" s="358" t="s">
        <v>87</v>
      </c>
      <c r="D1077" s="359"/>
      <c r="E1077" s="360"/>
      <c r="F1077" s="361"/>
      <c r="G1077" s="213" t="str">
        <f>IFERROR(VLOOKUP(Tabla3[[#This Row],[NUM ECONOMICO]],MAQUINARIA!B:H,7,0), " MAQ")</f>
        <v>INACTIVA</v>
      </c>
      <c r="H1077" s="362" t="s">
        <v>1331</v>
      </c>
      <c r="I1077" s="363" t="s">
        <v>551</v>
      </c>
      <c r="J1077" s="358" t="s">
        <v>1962</v>
      </c>
      <c r="K1077" s="358">
        <v>21</v>
      </c>
      <c r="L1077" s="364">
        <v>25.24</v>
      </c>
      <c r="M1077" s="364">
        <f t="shared" si="20"/>
        <v>530.04</v>
      </c>
      <c r="N1077" s="41" t="s">
        <v>1990</v>
      </c>
      <c r="O1077" s="358"/>
      <c r="P1077" s="365">
        <f>Tabla3[[#This Row],[COSTO UNITARIO DOLARES EN HAWTHORNE]]*Tabla3[[#This Row],[CANTIDAD SOLICTADA]]</f>
        <v>0</v>
      </c>
      <c r="Q1077" s="41"/>
      <c r="R1077" s="229"/>
      <c r="S1077" s="229">
        <f>+Tabla3[[#This Row],[COSTO UNITARIO DOLARES CTP]]*Tabla3[[#This Row],[CANTIDAD SOLICTADA]]</f>
        <v>0</v>
      </c>
      <c r="T1077" s="41"/>
      <c r="U1077" s="370" t="s">
        <v>5</v>
      </c>
      <c r="V1077" s="360" t="s">
        <v>1993</v>
      </c>
      <c r="W1077" s="366"/>
      <c r="X1077" s="359"/>
      <c r="Y1077" s="358"/>
      <c r="Z1077" s="360"/>
      <c r="AA1077" s="360"/>
      <c r="AB1077" s="360"/>
      <c r="AC1077" s="360"/>
      <c r="AD1077" s="360"/>
      <c r="AE1077" s="360"/>
      <c r="AF1077" s="16"/>
      <c r="AG1077" s="367" t="s">
        <v>1992</v>
      </c>
    </row>
    <row r="1078" spans="1:33" ht="15.75" thickBot="1" x14ac:dyDescent="0.3">
      <c r="A1078" s="356">
        <v>144</v>
      </c>
      <c r="B1078" s="357">
        <v>46210</v>
      </c>
      <c r="C1078" s="358" t="s">
        <v>87</v>
      </c>
      <c r="D1078" s="359"/>
      <c r="E1078" s="360"/>
      <c r="F1078" s="361"/>
      <c r="G1078" s="213" t="str">
        <f>IFERROR(VLOOKUP(Tabla3[[#This Row],[NUM ECONOMICO]],MAQUINARIA!B:H,7,0), " MAQ")</f>
        <v>INACTIVA</v>
      </c>
      <c r="H1078" s="362" t="s">
        <v>1331</v>
      </c>
      <c r="I1078" s="363" t="s">
        <v>553</v>
      </c>
      <c r="J1078" s="358" t="s">
        <v>546</v>
      </c>
      <c r="K1078" s="358">
        <v>2</v>
      </c>
      <c r="L1078" s="364">
        <v>31.5</v>
      </c>
      <c r="M1078" s="364">
        <f t="shared" si="20"/>
        <v>63</v>
      </c>
      <c r="N1078" s="41" t="s">
        <v>1990</v>
      </c>
      <c r="O1078" s="358"/>
      <c r="P1078" s="365">
        <f>Tabla3[[#This Row],[COSTO UNITARIO DOLARES EN HAWTHORNE]]*Tabla3[[#This Row],[CANTIDAD SOLICTADA]]</f>
        <v>0</v>
      </c>
      <c r="Q1078" s="41"/>
      <c r="R1078" s="229"/>
      <c r="S1078" s="229">
        <f>+Tabla3[[#This Row],[COSTO UNITARIO DOLARES CTP]]*Tabla3[[#This Row],[CANTIDAD SOLICTADA]]</f>
        <v>0</v>
      </c>
      <c r="T1078" s="41"/>
      <c r="U1078" s="370" t="s">
        <v>5</v>
      </c>
      <c r="V1078" s="360" t="s">
        <v>1993</v>
      </c>
      <c r="W1078" s="366"/>
      <c r="X1078" s="359"/>
      <c r="Y1078" s="358"/>
      <c r="Z1078" s="360"/>
      <c r="AA1078" s="360"/>
      <c r="AB1078" s="360"/>
      <c r="AC1078" s="360"/>
      <c r="AD1078" s="360"/>
      <c r="AE1078" s="360"/>
      <c r="AF1078" s="16"/>
      <c r="AG1078" s="367" t="s">
        <v>1992</v>
      </c>
    </row>
    <row r="1079" spans="1:33" ht="15.75" thickBot="1" x14ac:dyDescent="0.3">
      <c r="A1079" s="356">
        <v>144</v>
      </c>
      <c r="B1079" s="357">
        <v>46210</v>
      </c>
      <c r="C1079" s="358" t="s">
        <v>87</v>
      </c>
      <c r="D1079" s="359"/>
      <c r="E1079" s="360"/>
      <c r="F1079" s="361"/>
      <c r="G1079" s="213" t="str">
        <f>IFERROR(VLOOKUP(Tabla3[[#This Row],[NUM ECONOMICO]],MAQUINARIA!B:H,7,0), " MAQ")</f>
        <v>INACTIVA</v>
      </c>
      <c r="H1079" s="362" t="s">
        <v>1331</v>
      </c>
      <c r="I1079" s="363" t="s">
        <v>1905</v>
      </c>
      <c r="J1079" s="358" t="s">
        <v>1974</v>
      </c>
      <c r="K1079" s="358">
        <v>5</v>
      </c>
      <c r="L1079" s="364">
        <v>184.55</v>
      </c>
      <c r="M1079" s="364">
        <f t="shared" si="20"/>
        <v>922.75</v>
      </c>
      <c r="N1079" s="41" t="s">
        <v>1990</v>
      </c>
      <c r="O1079" s="358"/>
      <c r="P1079" s="365">
        <f>Tabla3[[#This Row],[COSTO UNITARIO DOLARES EN HAWTHORNE]]*Tabla3[[#This Row],[CANTIDAD SOLICTADA]]</f>
        <v>0</v>
      </c>
      <c r="Q1079" s="41"/>
      <c r="R1079" s="229"/>
      <c r="S1079" s="229">
        <f>+Tabla3[[#This Row],[COSTO UNITARIO DOLARES CTP]]*Tabla3[[#This Row],[CANTIDAD SOLICTADA]]</f>
        <v>0</v>
      </c>
      <c r="T1079" s="41"/>
      <c r="U1079" s="370" t="s">
        <v>5</v>
      </c>
      <c r="V1079" s="360" t="s">
        <v>1993</v>
      </c>
      <c r="W1079" s="366"/>
      <c r="X1079" s="359"/>
      <c r="Y1079" s="358"/>
      <c r="Z1079" s="360"/>
      <c r="AA1079" s="360"/>
      <c r="AB1079" s="360"/>
      <c r="AC1079" s="360"/>
      <c r="AD1079" s="360"/>
      <c r="AE1079" s="360"/>
      <c r="AF1079" s="16"/>
      <c r="AG1079" s="367" t="s">
        <v>1992</v>
      </c>
    </row>
    <row r="1080" spans="1:33" ht="15.75" thickBot="1" x14ac:dyDescent="0.3">
      <c r="A1080" s="356">
        <v>144</v>
      </c>
      <c r="B1080" s="357">
        <v>46210</v>
      </c>
      <c r="C1080" s="358" t="s">
        <v>87</v>
      </c>
      <c r="D1080" s="359"/>
      <c r="E1080" s="360"/>
      <c r="F1080" s="361"/>
      <c r="G1080" s="213" t="str">
        <f>IFERROR(VLOOKUP(Tabla3[[#This Row],[NUM ECONOMICO]],MAQUINARIA!B:H,7,0), " MAQ")</f>
        <v>INACTIVA</v>
      </c>
      <c r="H1080" s="362" t="s">
        <v>1331</v>
      </c>
      <c r="I1080" s="363" t="s">
        <v>1906</v>
      </c>
      <c r="J1080" s="358" t="s">
        <v>220</v>
      </c>
      <c r="K1080" s="358">
        <v>1</v>
      </c>
      <c r="L1080" s="364">
        <v>100.42</v>
      </c>
      <c r="M1080" s="364">
        <f t="shared" si="20"/>
        <v>100.42</v>
      </c>
      <c r="N1080" s="41" t="s">
        <v>1990</v>
      </c>
      <c r="O1080" s="358"/>
      <c r="P1080" s="365">
        <f>Tabla3[[#This Row],[COSTO UNITARIO DOLARES EN HAWTHORNE]]*Tabla3[[#This Row],[CANTIDAD SOLICTADA]]</f>
        <v>0</v>
      </c>
      <c r="Q1080" s="41"/>
      <c r="R1080" s="229"/>
      <c r="S1080" s="229">
        <f>+Tabla3[[#This Row],[COSTO UNITARIO DOLARES CTP]]*Tabla3[[#This Row],[CANTIDAD SOLICTADA]]</f>
        <v>0</v>
      </c>
      <c r="T1080" s="41"/>
      <c r="U1080" s="370" t="s">
        <v>5</v>
      </c>
      <c r="V1080" s="360" t="s">
        <v>1993</v>
      </c>
      <c r="W1080" s="366"/>
      <c r="X1080" s="359"/>
      <c r="Y1080" s="358"/>
      <c r="Z1080" s="360"/>
      <c r="AA1080" s="360"/>
      <c r="AB1080" s="360"/>
      <c r="AC1080" s="360"/>
      <c r="AD1080" s="360"/>
      <c r="AE1080" s="360"/>
      <c r="AF1080" s="16"/>
      <c r="AG1080" s="367" t="s">
        <v>1992</v>
      </c>
    </row>
    <row r="1081" spans="1:33" ht="15.75" thickBot="1" x14ac:dyDescent="0.3">
      <c r="A1081" s="356">
        <v>144</v>
      </c>
      <c r="B1081" s="357">
        <v>46210</v>
      </c>
      <c r="C1081" s="358" t="s">
        <v>87</v>
      </c>
      <c r="D1081" s="359"/>
      <c r="E1081" s="360"/>
      <c r="F1081" s="361"/>
      <c r="G1081" s="213" t="str">
        <f>IFERROR(VLOOKUP(Tabla3[[#This Row],[NUM ECONOMICO]],MAQUINARIA!B:H,7,0), " MAQ")</f>
        <v>INACTIVA</v>
      </c>
      <c r="H1081" s="362" t="s">
        <v>1331</v>
      </c>
      <c r="I1081" s="363" t="s">
        <v>1907</v>
      </c>
      <c r="J1081" s="358" t="s">
        <v>1961</v>
      </c>
      <c r="K1081" s="358">
        <v>1</v>
      </c>
      <c r="L1081" s="364">
        <v>210.33</v>
      </c>
      <c r="M1081" s="364">
        <f t="shared" si="20"/>
        <v>210.33</v>
      </c>
      <c r="N1081" s="41" t="s">
        <v>1990</v>
      </c>
      <c r="O1081" s="358"/>
      <c r="P1081" s="365">
        <f>Tabla3[[#This Row],[COSTO UNITARIO DOLARES EN HAWTHORNE]]*Tabla3[[#This Row],[CANTIDAD SOLICTADA]]</f>
        <v>0</v>
      </c>
      <c r="Q1081" s="41"/>
      <c r="R1081" s="229"/>
      <c r="S1081" s="229">
        <f>+Tabla3[[#This Row],[COSTO UNITARIO DOLARES CTP]]*Tabla3[[#This Row],[CANTIDAD SOLICTADA]]</f>
        <v>0</v>
      </c>
      <c r="T1081" s="41"/>
      <c r="U1081" s="370" t="s">
        <v>5</v>
      </c>
      <c r="V1081" s="360" t="s">
        <v>1993</v>
      </c>
      <c r="W1081" s="366"/>
      <c r="X1081" s="359"/>
      <c r="Y1081" s="358"/>
      <c r="Z1081" s="360"/>
      <c r="AA1081" s="360"/>
      <c r="AB1081" s="360"/>
      <c r="AC1081" s="360"/>
      <c r="AD1081" s="360"/>
      <c r="AE1081" s="360"/>
      <c r="AF1081" s="16"/>
      <c r="AG1081" s="367" t="s">
        <v>1992</v>
      </c>
    </row>
    <row r="1082" spans="1:33" ht="15.75" thickBot="1" x14ac:dyDescent="0.3">
      <c r="A1082" s="356">
        <v>144</v>
      </c>
      <c r="B1082" s="357">
        <v>46210</v>
      </c>
      <c r="C1082" s="358" t="s">
        <v>87</v>
      </c>
      <c r="D1082" s="359"/>
      <c r="E1082" s="360"/>
      <c r="F1082" s="361"/>
      <c r="G1082" s="213" t="str">
        <f>IFERROR(VLOOKUP(Tabla3[[#This Row],[NUM ECONOMICO]],MAQUINARIA!B:H,7,0), " MAQ")</f>
        <v>INACTIVA</v>
      </c>
      <c r="H1082" s="362" t="s">
        <v>1331</v>
      </c>
      <c r="I1082" s="363" t="s">
        <v>1054</v>
      </c>
      <c r="J1082" s="358" t="s">
        <v>1961</v>
      </c>
      <c r="K1082" s="358">
        <v>2</v>
      </c>
      <c r="L1082" s="364">
        <v>60.14</v>
      </c>
      <c r="M1082" s="364">
        <f t="shared" si="20"/>
        <v>120.28</v>
      </c>
      <c r="N1082" s="41" t="s">
        <v>1990</v>
      </c>
      <c r="O1082" s="358"/>
      <c r="P1082" s="365">
        <f>Tabla3[[#This Row],[COSTO UNITARIO DOLARES EN HAWTHORNE]]*Tabla3[[#This Row],[CANTIDAD SOLICTADA]]</f>
        <v>0</v>
      </c>
      <c r="Q1082" s="41"/>
      <c r="R1082" s="229"/>
      <c r="S1082" s="229">
        <f>+Tabla3[[#This Row],[COSTO UNITARIO DOLARES CTP]]*Tabla3[[#This Row],[CANTIDAD SOLICTADA]]</f>
        <v>0</v>
      </c>
      <c r="T1082" s="41"/>
      <c r="U1082" s="370" t="s">
        <v>5</v>
      </c>
      <c r="V1082" s="360" t="s">
        <v>1993</v>
      </c>
      <c r="W1082" s="366"/>
      <c r="X1082" s="359"/>
      <c r="Y1082" s="358"/>
      <c r="Z1082" s="360"/>
      <c r="AA1082" s="360"/>
      <c r="AB1082" s="360"/>
      <c r="AC1082" s="360"/>
      <c r="AD1082" s="360"/>
      <c r="AE1082" s="360"/>
      <c r="AF1082" s="16"/>
      <c r="AG1082" s="367" t="s">
        <v>1992</v>
      </c>
    </row>
    <row r="1083" spans="1:33" ht="15.75" thickBot="1" x14ac:dyDescent="0.3">
      <c r="A1083" s="356">
        <v>144</v>
      </c>
      <c r="B1083" s="357">
        <v>46210</v>
      </c>
      <c r="C1083" s="358" t="s">
        <v>87</v>
      </c>
      <c r="D1083" s="359"/>
      <c r="E1083" s="360"/>
      <c r="F1083" s="361"/>
      <c r="G1083" s="213" t="str">
        <f>IFERROR(VLOOKUP(Tabla3[[#This Row],[NUM ECONOMICO]],MAQUINARIA!B:H,7,0), " MAQ")</f>
        <v>INACTIVA</v>
      </c>
      <c r="H1083" s="362" t="s">
        <v>1331</v>
      </c>
      <c r="I1083" s="363" t="s">
        <v>1908</v>
      </c>
      <c r="J1083" s="358" t="s">
        <v>1961</v>
      </c>
      <c r="K1083" s="358">
        <v>3</v>
      </c>
      <c r="L1083" s="364">
        <v>97.73</v>
      </c>
      <c r="M1083" s="364">
        <f t="shared" si="20"/>
        <v>293.19</v>
      </c>
      <c r="N1083" s="41" t="s">
        <v>1990</v>
      </c>
      <c r="O1083" s="358"/>
      <c r="P1083" s="365">
        <f>Tabla3[[#This Row],[COSTO UNITARIO DOLARES EN HAWTHORNE]]*Tabla3[[#This Row],[CANTIDAD SOLICTADA]]</f>
        <v>0</v>
      </c>
      <c r="Q1083" s="41"/>
      <c r="R1083" s="229"/>
      <c r="S1083" s="229">
        <f>+Tabla3[[#This Row],[COSTO UNITARIO DOLARES CTP]]*Tabla3[[#This Row],[CANTIDAD SOLICTADA]]</f>
        <v>0</v>
      </c>
      <c r="T1083" s="41"/>
      <c r="U1083" s="370" t="s">
        <v>5</v>
      </c>
      <c r="V1083" s="360" t="s">
        <v>1993</v>
      </c>
      <c r="W1083" s="366"/>
      <c r="X1083" s="359"/>
      <c r="Y1083" s="358"/>
      <c r="Z1083" s="360"/>
      <c r="AA1083" s="360"/>
      <c r="AB1083" s="360"/>
      <c r="AC1083" s="360"/>
      <c r="AD1083" s="360"/>
      <c r="AE1083" s="360"/>
      <c r="AF1083" s="16"/>
      <c r="AG1083" s="367" t="s">
        <v>1992</v>
      </c>
    </row>
    <row r="1084" spans="1:33" ht="15.75" thickBot="1" x14ac:dyDescent="0.3">
      <c r="A1084" s="356">
        <v>144</v>
      </c>
      <c r="B1084" s="357">
        <v>46210</v>
      </c>
      <c r="C1084" s="358" t="s">
        <v>87</v>
      </c>
      <c r="D1084" s="359"/>
      <c r="E1084" s="360"/>
      <c r="F1084" s="361"/>
      <c r="G1084" s="213" t="str">
        <f>IFERROR(VLOOKUP(Tabla3[[#This Row],[NUM ECONOMICO]],MAQUINARIA!B:H,7,0), " MAQ")</f>
        <v>INACTIVA</v>
      </c>
      <c r="H1084" s="362" t="s">
        <v>1331</v>
      </c>
      <c r="I1084" s="363" t="s">
        <v>1909</v>
      </c>
      <c r="J1084" s="358" t="s">
        <v>546</v>
      </c>
      <c r="K1084" s="358">
        <v>7</v>
      </c>
      <c r="L1084" s="364">
        <v>54.77</v>
      </c>
      <c r="M1084" s="364">
        <f t="shared" si="20"/>
        <v>383.39000000000004</v>
      </c>
      <c r="N1084" s="41" t="s">
        <v>1990</v>
      </c>
      <c r="O1084" s="358"/>
      <c r="P1084" s="365">
        <f>Tabla3[[#This Row],[COSTO UNITARIO DOLARES EN HAWTHORNE]]*Tabla3[[#This Row],[CANTIDAD SOLICTADA]]</f>
        <v>0</v>
      </c>
      <c r="Q1084" s="41"/>
      <c r="R1084" s="229"/>
      <c r="S1084" s="229">
        <f>+Tabla3[[#This Row],[COSTO UNITARIO DOLARES CTP]]*Tabla3[[#This Row],[CANTIDAD SOLICTADA]]</f>
        <v>0</v>
      </c>
      <c r="T1084" s="41"/>
      <c r="U1084" s="370" t="s">
        <v>5</v>
      </c>
      <c r="V1084" s="360" t="s">
        <v>1993</v>
      </c>
      <c r="W1084" s="366"/>
      <c r="X1084" s="359"/>
      <c r="Y1084" s="358"/>
      <c r="Z1084" s="360"/>
      <c r="AA1084" s="360"/>
      <c r="AB1084" s="360"/>
      <c r="AC1084" s="360"/>
      <c r="AD1084" s="360"/>
      <c r="AE1084" s="360"/>
      <c r="AF1084" s="16"/>
      <c r="AG1084" s="367" t="s">
        <v>1992</v>
      </c>
    </row>
    <row r="1085" spans="1:33" ht="15.75" thickBot="1" x14ac:dyDescent="0.3">
      <c r="A1085" s="356">
        <v>144</v>
      </c>
      <c r="B1085" s="357">
        <v>46210</v>
      </c>
      <c r="C1085" s="358" t="s">
        <v>87</v>
      </c>
      <c r="D1085" s="359"/>
      <c r="E1085" s="360"/>
      <c r="F1085" s="361"/>
      <c r="G1085" s="213" t="str">
        <f>IFERROR(VLOOKUP(Tabla3[[#This Row],[NUM ECONOMICO]],MAQUINARIA!B:H,7,0), " MAQ")</f>
        <v>INACTIVA</v>
      </c>
      <c r="H1085" s="362" t="s">
        <v>1331</v>
      </c>
      <c r="I1085" s="363" t="s">
        <v>1910</v>
      </c>
      <c r="J1085" s="358" t="s">
        <v>546</v>
      </c>
      <c r="K1085" s="358">
        <v>8</v>
      </c>
      <c r="L1085" s="364">
        <v>43.14</v>
      </c>
      <c r="M1085" s="364">
        <f t="shared" si="20"/>
        <v>345.12</v>
      </c>
      <c r="N1085" s="41" t="s">
        <v>1990</v>
      </c>
      <c r="O1085" s="358"/>
      <c r="P1085" s="365">
        <f>Tabla3[[#This Row],[COSTO UNITARIO DOLARES EN HAWTHORNE]]*Tabla3[[#This Row],[CANTIDAD SOLICTADA]]</f>
        <v>0</v>
      </c>
      <c r="Q1085" s="41"/>
      <c r="R1085" s="229"/>
      <c r="S1085" s="229">
        <f>+Tabla3[[#This Row],[COSTO UNITARIO DOLARES CTP]]*Tabla3[[#This Row],[CANTIDAD SOLICTADA]]</f>
        <v>0</v>
      </c>
      <c r="T1085" s="41"/>
      <c r="U1085" s="370" t="s">
        <v>5</v>
      </c>
      <c r="V1085" s="360" t="s">
        <v>1993</v>
      </c>
      <c r="W1085" s="366"/>
      <c r="X1085" s="359"/>
      <c r="Y1085" s="358"/>
      <c r="Z1085" s="360"/>
      <c r="AA1085" s="360"/>
      <c r="AB1085" s="360"/>
      <c r="AC1085" s="360"/>
      <c r="AD1085" s="360"/>
      <c r="AE1085" s="360"/>
      <c r="AF1085" s="16"/>
      <c r="AG1085" s="367" t="s">
        <v>1992</v>
      </c>
    </row>
    <row r="1086" spans="1:33" ht="15.75" thickBot="1" x14ac:dyDescent="0.3">
      <c r="A1086" s="356">
        <v>144</v>
      </c>
      <c r="B1086" s="357">
        <v>46210</v>
      </c>
      <c r="C1086" s="358" t="s">
        <v>87</v>
      </c>
      <c r="D1086" s="359"/>
      <c r="E1086" s="360"/>
      <c r="F1086" s="361"/>
      <c r="G1086" s="213" t="str">
        <f>IFERROR(VLOOKUP(Tabla3[[#This Row],[NUM ECONOMICO]],MAQUINARIA!B:H,7,0), " MAQ")</f>
        <v>INACTIVA</v>
      </c>
      <c r="H1086" s="362" t="s">
        <v>1331</v>
      </c>
      <c r="I1086" s="363" t="s">
        <v>1911</v>
      </c>
      <c r="J1086" s="358" t="s">
        <v>1962</v>
      </c>
      <c r="K1086" s="358">
        <v>6</v>
      </c>
      <c r="L1086" s="364">
        <v>76.069999999999993</v>
      </c>
      <c r="M1086" s="364">
        <f t="shared" si="20"/>
        <v>456.41999999999996</v>
      </c>
      <c r="N1086" s="41" t="s">
        <v>1990</v>
      </c>
      <c r="O1086" s="358"/>
      <c r="P1086" s="365">
        <f>Tabla3[[#This Row],[COSTO UNITARIO DOLARES EN HAWTHORNE]]*Tabla3[[#This Row],[CANTIDAD SOLICTADA]]</f>
        <v>0</v>
      </c>
      <c r="Q1086" s="41"/>
      <c r="R1086" s="229"/>
      <c r="S1086" s="229">
        <f>+Tabla3[[#This Row],[COSTO UNITARIO DOLARES CTP]]*Tabla3[[#This Row],[CANTIDAD SOLICTADA]]</f>
        <v>0</v>
      </c>
      <c r="T1086" s="41"/>
      <c r="U1086" s="370" t="s">
        <v>5</v>
      </c>
      <c r="V1086" s="360" t="s">
        <v>1993</v>
      </c>
      <c r="W1086" s="366"/>
      <c r="X1086" s="359"/>
      <c r="Y1086" s="358"/>
      <c r="Z1086" s="360"/>
      <c r="AA1086" s="360"/>
      <c r="AB1086" s="360"/>
      <c r="AC1086" s="360"/>
      <c r="AD1086" s="360"/>
      <c r="AE1086" s="360"/>
      <c r="AF1086" s="16"/>
      <c r="AG1086" s="367" t="s">
        <v>1992</v>
      </c>
    </row>
    <row r="1087" spans="1:33" ht="15.75" thickBot="1" x14ac:dyDescent="0.3">
      <c r="A1087" s="356">
        <v>144</v>
      </c>
      <c r="B1087" s="357">
        <v>46210</v>
      </c>
      <c r="C1087" s="358" t="s">
        <v>87</v>
      </c>
      <c r="D1087" s="359"/>
      <c r="E1087" s="360"/>
      <c r="F1087" s="361"/>
      <c r="G1087" s="213" t="str">
        <f>IFERROR(VLOOKUP(Tabla3[[#This Row],[NUM ECONOMICO]],MAQUINARIA!B:H,7,0), " MAQ")</f>
        <v>INACTIVA</v>
      </c>
      <c r="H1087" s="362" t="s">
        <v>1331</v>
      </c>
      <c r="I1087" s="363" t="s">
        <v>1912</v>
      </c>
      <c r="J1087" s="358" t="s">
        <v>1961</v>
      </c>
      <c r="K1087" s="358">
        <v>1</v>
      </c>
      <c r="L1087" s="364">
        <v>96.3</v>
      </c>
      <c r="M1087" s="364">
        <f t="shared" si="20"/>
        <v>96.3</v>
      </c>
      <c r="N1087" s="41" t="s">
        <v>1990</v>
      </c>
      <c r="O1087" s="358"/>
      <c r="P1087" s="365">
        <f>Tabla3[[#This Row],[COSTO UNITARIO DOLARES EN HAWTHORNE]]*Tabla3[[#This Row],[CANTIDAD SOLICTADA]]</f>
        <v>0</v>
      </c>
      <c r="Q1087" s="41"/>
      <c r="R1087" s="229"/>
      <c r="S1087" s="229">
        <f>+Tabla3[[#This Row],[COSTO UNITARIO DOLARES CTP]]*Tabla3[[#This Row],[CANTIDAD SOLICTADA]]</f>
        <v>0</v>
      </c>
      <c r="T1087" s="41"/>
      <c r="U1087" s="370" t="s">
        <v>5</v>
      </c>
      <c r="V1087" s="360" t="s">
        <v>1993</v>
      </c>
      <c r="W1087" s="366"/>
      <c r="X1087" s="359"/>
      <c r="Y1087" s="358"/>
      <c r="Z1087" s="360"/>
      <c r="AA1087" s="360"/>
      <c r="AB1087" s="360"/>
      <c r="AC1087" s="360"/>
      <c r="AD1087" s="360"/>
      <c r="AE1087" s="360"/>
      <c r="AF1087" s="16"/>
      <c r="AG1087" s="367" t="s">
        <v>1992</v>
      </c>
    </row>
    <row r="1088" spans="1:33" ht="15.75" thickBot="1" x14ac:dyDescent="0.3">
      <c r="A1088" s="356">
        <v>144</v>
      </c>
      <c r="B1088" s="357">
        <v>46210</v>
      </c>
      <c r="C1088" s="358" t="s">
        <v>87</v>
      </c>
      <c r="D1088" s="359"/>
      <c r="E1088" s="360"/>
      <c r="F1088" s="361"/>
      <c r="G1088" s="213" t="str">
        <f>IFERROR(VLOOKUP(Tabla3[[#This Row],[NUM ECONOMICO]],MAQUINARIA!B:H,7,0), " MAQ")</f>
        <v>INACTIVA</v>
      </c>
      <c r="H1088" s="362" t="s">
        <v>1331</v>
      </c>
      <c r="I1088" s="363" t="s">
        <v>1913</v>
      </c>
      <c r="J1088" s="358" t="s">
        <v>220</v>
      </c>
      <c r="K1088" s="358">
        <v>2</v>
      </c>
      <c r="L1088" s="364">
        <v>27.57</v>
      </c>
      <c r="M1088" s="364">
        <f t="shared" si="20"/>
        <v>55.14</v>
      </c>
      <c r="N1088" s="41" t="s">
        <v>1990</v>
      </c>
      <c r="O1088" s="358"/>
      <c r="P1088" s="365">
        <f>Tabla3[[#This Row],[COSTO UNITARIO DOLARES EN HAWTHORNE]]*Tabla3[[#This Row],[CANTIDAD SOLICTADA]]</f>
        <v>0</v>
      </c>
      <c r="Q1088" s="41"/>
      <c r="R1088" s="229"/>
      <c r="S1088" s="229">
        <f>+Tabla3[[#This Row],[COSTO UNITARIO DOLARES CTP]]*Tabla3[[#This Row],[CANTIDAD SOLICTADA]]</f>
        <v>0</v>
      </c>
      <c r="T1088" s="41"/>
      <c r="U1088" s="370" t="s">
        <v>5</v>
      </c>
      <c r="V1088" s="360" t="s">
        <v>1993</v>
      </c>
      <c r="W1088" s="366"/>
      <c r="X1088" s="359"/>
      <c r="Y1088" s="358"/>
      <c r="Z1088" s="360"/>
      <c r="AA1088" s="360"/>
      <c r="AB1088" s="360"/>
      <c r="AC1088" s="360"/>
      <c r="AD1088" s="360"/>
      <c r="AE1088" s="360"/>
      <c r="AF1088" s="16"/>
      <c r="AG1088" s="367" t="s">
        <v>1992</v>
      </c>
    </row>
    <row r="1089" spans="1:33" ht="15.75" thickBot="1" x14ac:dyDescent="0.3">
      <c r="A1089" s="356">
        <v>144</v>
      </c>
      <c r="B1089" s="357">
        <v>46210</v>
      </c>
      <c r="C1089" s="358" t="s">
        <v>87</v>
      </c>
      <c r="D1089" s="359"/>
      <c r="E1089" s="360"/>
      <c r="F1089" s="361"/>
      <c r="G1089" s="213" t="str">
        <f>IFERROR(VLOOKUP(Tabla3[[#This Row],[NUM ECONOMICO]],MAQUINARIA!B:H,7,0), " MAQ")</f>
        <v>INACTIVA</v>
      </c>
      <c r="H1089" s="362" t="s">
        <v>1331</v>
      </c>
      <c r="I1089" s="363" t="s">
        <v>1057</v>
      </c>
      <c r="J1089" s="358" t="s">
        <v>1975</v>
      </c>
      <c r="K1089" s="358">
        <v>1</v>
      </c>
      <c r="L1089" s="364">
        <v>152.87</v>
      </c>
      <c r="M1089" s="364">
        <f t="shared" si="20"/>
        <v>152.87</v>
      </c>
      <c r="N1089" s="41" t="s">
        <v>1990</v>
      </c>
      <c r="O1089" s="358"/>
      <c r="P1089" s="365">
        <f>Tabla3[[#This Row],[COSTO UNITARIO DOLARES EN HAWTHORNE]]*Tabla3[[#This Row],[CANTIDAD SOLICTADA]]</f>
        <v>0</v>
      </c>
      <c r="Q1089" s="41"/>
      <c r="R1089" s="229"/>
      <c r="S1089" s="229">
        <f>+Tabla3[[#This Row],[COSTO UNITARIO DOLARES CTP]]*Tabla3[[#This Row],[CANTIDAD SOLICTADA]]</f>
        <v>0</v>
      </c>
      <c r="T1089" s="41"/>
      <c r="U1089" s="370" t="s">
        <v>5</v>
      </c>
      <c r="V1089" s="360" t="s">
        <v>1993</v>
      </c>
      <c r="W1089" s="366"/>
      <c r="X1089" s="359"/>
      <c r="Y1089" s="358"/>
      <c r="Z1089" s="360"/>
      <c r="AA1089" s="360"/>
      <c r="AB1089" s="360"/>
      <c r="AC1089" s="360"/>
      <c r="AD1089" s="360"/>
      <c r="AE1089" s="360"/>
      <c r="AF1089" s="16"/>
      <c r="AG1089" s="367" t="s">
        <v>1992</v>
      </c>
    </row>
    <row r="1090" spans="1:33" ht="15.75" thickBot="1" x14ac:dyDescent="0.3">
      <c r="A1090" s="356">
        <v>144</v>
      </c>
      <c r="B1090" s="357">
        <v>46210</v>
      </c>
      <c r="C1090" s="358" t="s">
        <v>87</v>
      </c>
      <c r="D1090" s="359"/>
      <c r="E1090" s="360"/>
      <c r="F1090" s="361"/>
      <c r="G1090" s="213" t="str">
        <f>IFERROR(VLOOKUP(Tabla3[[#This Row],[NUM ECONOMICO]],MAQUINARIA!B:H,7,0), " MAQ")</f>
        <v>INACTIVA</v>
      </c>
      <c r="H1090" s="362" t="s">
        <v>1331</v>
      </c>
      <c r="I1090" s="363" t="s">
        <v>1915</v>
      </c>
      <c r="J1090" s="358" t="s">
        <v>1961</v>
      </c>
      <c r="K1090" s="358">
        <v>1</v>
      </c>
      <c r="L1090" s="364">
        <v>279.24</v>
      </c>
      <c r="M1090" s="364">
        <f t="shared" si="20"/>
        <v>279.24</v>
      </c>
      <c r="N1090" s="41" t="s">
        <v>1990</v>
      </c>
      <c r="O1090" s="358"/>
      <c r="P1090" s="365">
        <f>Tabla3[[#This Row],[COSTO UNITARIO DOLARES EN HAWTHORNE]]*Tabla3[[#This Row],[CANTIDAD SOLICTADA]]</f>
        <v>0</v>
      </c>
      <c r="Q1090" s="41"/>
      <c r="R1090" s="229"/>
      <c r="S1090" s="229">
        <f>+Tabla3[[#This Row],[COSTO UNITARIO DOLARES CTP]]*Tabla3[[#This Row],[CANTIDAD SOLICTADA]]</f>
        <v>0</v>
      </c>
      <c r="T1090" s="41"/>
      <c r="U1090" s="370" t="s">
        <v>5</v>
      </c>
      <c r="V1090" s="360" t="s">
        <v>1993</v>
      </c>
      <c r="W1090" s="366"/>
      <c r="X1090" s="359"/>
      <c r="Y1090" s="358"/>
      <c r="Z1090" s="360"/>
      <c r="AA1090" s="360"/>
      <c r="AB1090" s="360"/>
      <c r="AC1090" s="360"/>
      <c r="AD1090" s="360"/>
      <c r="AE1090" s="360"/>
      <c r="AF1090" s="16"/>
      <c r="AG1090" s="367" t="s">
        <v>1992</v>
      </c>
    </row>
    <row r="1091" spans="1:33" ht="15.75" thickBot="1" x14ac:dyDescent="0.3">
      <c r="A1091" s="356">
        <v>144</v>
      </c>
      <c r="B1091" s="357">
        <v>46210</v>
      </c>
      <c r="C1091" s="358" t="s">
        <v>87</v>
      </c>
      <c r="D1091" s="359"/>
      <c r="E1091" s="360"/>
      <c r="F1091" s="361"/>
      <c r="G1091" s="213" t="str">
        <f>IFERROR(VLOOKUP(Tabla3[[#This Row],[NUM ECONOMICO]],MAQUINARIA!B:H,7,0), " MAQ")</f>
        <v>INACTIVA</v>
      </c>
      <c r="H1091" s="362" t="s">
        <v>1331</v>
      </c>
      <c r="I1091" s="363" t="s">
        <v>1916</v>
      </c>
      <c r="J1091" s="358" t="s">
        <v>1962</v>
      </c>
      <c r="K1091" s="358">
        <v>3</v>
      </c>
      <c r="L1091" s="364">
        <v>151.97</v>
      </c>
      <c r="M1091" s="364">
        <f t="shared" si="20"/>
        <v>455.90999999999997</v>
      </c>
      <c r="N1091" s="41" t="s">
        <v>1990</v>
      </c>
      <c r="O1091" s="358"/>
      <c r="P1091" s="365">
        <f>Tabla3[[#This Row],[COSTO UNITARIO DOLARES EN HAWTHORNE]]*Tabla3[[#This Row],[CANTIDAD SOLICTADA]]</f>
        <v>0</v>
      </c>
      <c r="Q1091" s="41"/>
      <c r="R1091" s="229"/>
      <c r="S1091" s="229">
        <f>+Tabla3[[#This Row],[COSTO UNITARIO DOLARES CTP]]*Tabla3[[#This Row],[CANTIDAD SOLICTADA]]</f>
        <v>0</v>
      </c>
      <c r="T1091" s="41"/>
      <c r="U1091" s="370" t="s">
        <v>5</v>
      </c>
      <c r="V1091" s="360" t="s">
        <v>1993</v>
      </c>
      <c r="W1091" s="366"/>
      <c r="X1091" s="359"/>
      <c r="Y1091" s="358"/>
      <c r="Z1091" s="360"/>
      <c r="AA1091" s="360"/>
      <c r="AB1091" s="360"/>
      <c r="AC1091" s="360"/>
      <c r="AD1091" s="360"/>
      <c r="AE1091" s="360"/>
      <c r="AF1091" s="16"/>
      <c r="AG1091" s="367" t="s">
        <v>1992</v>
      </c>
    </row>
    <row r="1092" spans="1:33" ht="15.75" thickBot="1" x14ac:dyDescent="0.3">
      <c r="A1092" s="356">
        <v>144</v>
      </c>
      <c r="B1092" s="357">
        <v>46210</v>
      </c>
      <c r="C1092" s="358" t="s">
        <v>87</v>
      </c>
      <c r="D1092" s="359"/>
      <c r="E1092" s="360"/>
      <c r="F1092" s="361"/>
      <c r="G1092" s="213" t="str">
        <f>IFERROR(VLOOKUP(Tabla3[[#This Row],[NUM ECONOMICO]],MAQUINARIA!B:H,7,0), " MAQ")</f>
        <v>INACTIVA</v>
      </c>
      <c r="H1092" s="362" t="s">
        <v>1331</v>
      </c>
      <c r="I1092" s="363" t="s">
        <v>1917</v>
      </c>
      <c r="J1092" s="358" t="s">
        <v>1961</v>
      </c>
      <c r="K1092" s="358">
        <v>1</v>
      </c>
      <c r="L1092" s="364">
        <v>177.39</v>
      </c>
      <c r="M1092" s="364">
        <f t="shared" si="20"/>
        <v>177.39</v>
      </c>
      <c r="N1092" s="41" t="s">
        <v>1990</v>
      </c>
      <c r="O1092" s="358"/>
      <c r="P1092" s="365">
        <f>Tabla3[[#This Row],[COSTO UNITARIO DOLARES EN HAWTHORNE]]*Tabla3[[#This Row],[CANTIDAD SOLICTADA]]</f>
        <v>0</v>
      </c>
      <c r="Q1092" s="41"/>
      <c r="R1092" s="229"/>
      <c r="S1092" s="229">
        <f>+Tabla3[[#This Row],[COSTO UNITARIO DOLARES CTP]]*Tabla3[[#This Row],[CANTIDAD SOLICTADA]]</f>
        <v>0</v>
      </c>
      <c r="T1092" s="41"/>
      <c r="U1092" s="370" t="s">
        <v>5</v>
      </c>
      <c r="V1092" s="360" t="s">
        <v>1993</v>
      </c>
      <c r="W1092" s="366"/>
      <c r="X1092" s="359"/>
      <c r="Y1092" s="358"/>
      <c r="Z1092" s="360"/>
      <c r="AA1092" s="360"/>
      <c r="AB1092" s="360"/>
      <c r="AC1092" s="360"/>
      <c r="AD1092" s="360"/>
      <c r="AE1092" s="360"/>
      <c r="AF1092" s="16"/>
      <c r="AG1092" s="367" t="s">
        <v>1992</v>
      </c>
    </row>
    <row r="1093" spans="1:33" ht="15.75" thickBot="1" x14ac:dyDescent="0.3">
      <c r="A1093" s="356">
        <v>144</v>
      </c>
      <c r="B1093" s="357">
        <v>46210</v>
      </c>
      <c r="C1093" s="358" t="s">
        <v>87</v>
      </c>
      <c r="D1093" s="359"/>
      <c r="E1093" s="360"/>
      <c r="F1093" s="361"/>
      <c r="G1093" s="213" t="str">
        <f>IFERROR(VLOOKUP(Tabla3[[#This Row],[NUM ECONOMICO]],MAQUINARIA!B:H,7,0), " MAQ")</f>
        <v>INACTIVA</v>
      </c>
      <c r="H1093" s="362" t="s">
        <v>1331</v>
      </c>
      <c r="I1093" s="363" t="s">
        <v>555</v>
      </c>
      <c r="J1093" s="358" t="s">
        <v>1961</v>
      </c>
      <c r="K1093" s="358">
        <v>1</v>
      </c>
      <c r="L1093" s="364">
        <v>51.91</v>
      </c>
      <c r="M1093" s="364">
        <f t="shared" si="20"/>
        <v>51.91</v>
      </c>
      <c r="N1093" s="41" t="s">
        <v>1990</v>
      </c>
      <c r="O1093" s="358"/>
      <c r="P1093" s="365">
        <f>Tabla3[[#This Row],[COSTO UNITARIO DOLARES EN HAWTHORNE]]*Tabla3[[#This Row],[CANTIDAD SOLICTADA]]</f>
        <v>0</v>
      </c>
      <c r="Q1093" s="41"/>
      <c r="R1093" s="229"/>
      <c r="S1093" s="229">
        <f>+Tabla3[[#This Row],[COSTO UNITARIO DOLARES CTP]]*Tabla3[[#This Row],[CANTIDAD SOLICTADA]]</f>
        <v>0</v>
      </c>
      <c r="T1093" s="41"/>
      <c r="U1093" s="370" t="s">
        <v>5</v>
      </c>
      <c r="V1093" s="360" t="s">
        <v>1993</v>
      </c>
      <c r="W1093" s="366"/>
      <c r="X1093" s="359"/>
      <c r="Y1093" s="358"/>
      <c r="Z1093" s="360"/>
      <c r="AA1093" s="360"/>
      <c r="AB1093" s="360"/>
      <c r="AC1093" s="360"/>
      <c r="AD1093" s="360"/>
      <c r="AE1093" s="360"/>
      <c r="AF1093" s="16"/>
      <c r="AG1093" s="367" t="s">
        <v>1992</v>
      </c>
    </row>
    <row r="1094" spans="1:33" ht="15.75" thickBot="1" x14ac:dyDescent="0.3">
      <c r="A1094" s="356">
        <v>144</v>
      </c>
      <c r="B1094" s="357">
        <v>46210</v>
      </c>
      <c r="C1094" s="358" t="s">
        <v>87</v>
      </c>
      <c r="D1094" s="359"/>
      <c r="E1094" s="360"/>
      <c r="F1094" s="361"/>
      <c r="G1094" s="213" t="str">
        <f>IFERROR(VLOOKUP(Tabla3[[#This Row],[NUM ECONOMICO]],MAQUINARIA!B:H,7,0), " MAQ")</f>
        <v>INACTIVA</v>
      </c>
      <c r="H1094" s="362" t="s">
        <v>1331</v>
      </c>
      <c r="I1094" s="363" t="s">
        <v>1918</v>
      </c>
      <c r="J1094" s="358" t="s">
        <v>1962</v>
      </c>
      <c r="K1094" s="358">
        <v>1</v>
      </c>
      <c r="L1094" s="364">
        <v>56.03</v>
      </c>
      <c r="M1094" s="364">
        <f t="shared" si="20"/>
        <v>56.03</v>
      </c>
      <c r="N1094" s="41" t="s">
        <v>1990</v>
      </c>
      <c r="O1094" s="358"/>
      <c r="P1094" s="365">
        <f>Tabla3[[#This Row],[COSTO UNITARIO DOLARES EN HAWTHORNE]]*Tabla3[[#This Row],[CANTIDAD SOLICTADA]]</f>
        <v>0</v>
      </c>
      <c r="Q1094" s="41"/>
      <c r="R1094" s="229"/>
      <c r="S1094" s="229">
        <f>+Tabla3[[#This Row],[COSTO UNITARIO DOLARES CTP]]*Tabla3[[#This Row],[CANTIDAD SOLICTADA]]</f>
        <v>0</v>
      </c>
      <c r="T1094" s="41"/>
      <c r="U1094" s="370" t="s">
        <v>5</v>
      </c>
      <c r="V1094" s="360" t="s">
        <v>1993</v>
      </c>
      <c r="W1094" s="366"/>
      <c r="X1094" s="359"/>
      <c r="Y1094" s="358"/>
      <c r="Z1094" s="360"/>
      <c r="AA1094" s="360"/>
      <c r="AB1094" s="360"/>
      <c r="AC1094" s="360"/>
      <c r="AD1094" s="360"/>
      <c r="AE1094" s="360"/>
      <c r="AF1094" s="16"/>
      <c r="AG1094" s="367" t="s">
        <v>1992</v>
      </c>
    </row>
    <row r="1095" spans="1:33" ht="15.75" thickBot="1" x14ac:dyDescent="0.3">
      <c r="A1095" s="356">
        <v>144</v>
      </c>
      <c r="B1095" s="357">
        <v>46210</v>
      </c>
      <c r="C1095" s="358" t="s">
        <v>87</v>
      </c>
      <c r="D1095" s="359"/>
      <c r="E1095" s="360"/>
      <c r="F1095" s="361"/>
      <c r="G1095" s="213" t="str">
        <f>IFERROR(VLOOKUP(Tabla3[[#This Row],[NUM ECONOMICO]],MAQUINARIA!B:H,7,0), " MAQ")</f>
        <v>INACTIVA</v>
      </c>
      <c r="H1095" s="362" t="s">
        <v>1331</v>
      </c>
      <c r="I1095" s="363" t="s">
        <v>1919</v>
      </c>
      <c r="J1095" s="358" t="s">
        <v>1961</v>
      </c>
      <c r="K1095" s="358">
        <v>4</v>
      </c>
      <c r="L1095" s="364">
        <v>70.709999999999994</v>
      </c>
      <c r="M1095" s="364">
        <f t="shared" si="20"/>
        <v>282.83999999999997</v>
      </c>
      <c r="N1095" s="41" t="s">
        <v>1990</v>
      </c>
      <c r="O1095" s="358"/>
      <c r="P1095" s="365">
        <f>Tabla3[[#This Row],[COSTO UNITARIO DOLARES EN HAWTHORNE]]*Tabla3[[#This Row],[CANTIDAD SOLICTADA]]</f>
        <v>0</v>
      </c>
      <c r="Q1095" s="41"/>
      <c r="R1095" s="229"/>
      <c r="S1095" s="229">
        <f>+Tabla3[[#This Row],[COSTO UNITARIO DOLARES CTP]]*Tabla3[[#This Row],[CANTIDAD SOLICTADA]]</f>
        <v>0</v>
      </c>
      <c r="T1095" s="41"/>
      <c r="U1095" s="370" t="s">
        <v>5</v>
      </c>
      <c r="V1095" s="360" t="s">
        <v>1993</v>
      </c>
      <c r="W1095" s="366"/>
      <c r="X1095" s="359"/>
      <c r="Y1095" s="358"/>
      <c r="Z1095" s="360"/>
      <c r="AA1095" s="360"/>
      <c r="AB1095" s="360"/>
      <c r="AC1095" s="360"/>
      <c r="AD1095" s="360"/>
      <c r="AE1095" s="360"/>
      <c r="AF1095" s="16"/>
      <c r="AG1095" s="367" t="s">
        <v>1992</v>
      </c>
    </row>
    <row r="1096" spans="1:33" ht="15.75" thickBot="1" x14ac:dyDescent="0.3">
      <c r="A1096" s="356">
        <v>144</v>
      </c>
      <c r="B1096" s="357">
        <v>46210</v>
      </c>
      <c r="C1096" s="358" t="s">
        <v>87</v>
      </c>
      <c r="D1096" s="359"/>
      <c r="E1096" s="360"/>
      <c r="F1096" s="361"/>
      <c r="G1096" s="213" t="str">
        <f>IFERROR(VLOOKUP(Tabla3[[#This Row],[NUM ECONOMICO]],MAQUINARIA!B:H,7,0), " MAQ")</f>
        <v>INACTIVA</v>
      </c>
      <c r="H1096" s="362" t="s">
        <v>1331</v>
      </c>
      <c r="I1096" s="363" t="s">
        <v>1920</v>
      </c>
      <c r="J1096" s="358" t="s">
        <v>220</v>
      </c>
      <c r="K1096" s="358">
        <v>5</v>
      </c>
      <c r="L1096" s="364">
        <v>108.47</v>
      </c>
      <c r="M1096" s="364">
        <f t="shared" si="20"/>
        <v>542.35</v>
      </c>
      <c r="N1096" s="41" t="s">
        <v>1990</v>
      </c>
      <c r="O1096" s="358"/>
      <c r="P1096" s="365">
        <f>Tabla3[[#This Row],[COSTO UNITARIO DOLARES EN HAWTHORNE]]*Tabla3[[#This Row],[CANTIDAD SOLICTADA]]</f>
        <v>0</v>
      </c>
      <c r="Q1096" s="41"/>
      <c r="R1096" s="229"/>
      <c r="S1096" s="229">
        <f>+Tabla3[[#This Row],[COSTO UNITARIO DOLARES CTP]]*Tabla3[[#This Row],[CANTIDAD SOLICTADA]]</f>
        <v>0</v>
      </c>
      <c r="T1096" s="41"/>
      <c r="U1096" s="370" t="s">
        <v>5</v>
      </c>
      <c r="V1096" s="360" t="s">
        <v>1993</v>
      </c>
      <c r="W1096" s="366"/>
      <c r="X1096" s="359"/>
      <c r="Y1096" s="358"/>
      <c r="Z1096" s="360"/>
      <c r="AA1096" s="360"/>
      <c r="AB1096" s="360"/>
      <c r="AC1096" s="360"/>
      <c r="AD1096" s="360"/>
      <c r="AE1096" s="360"/>
      <c r="AF1096" s="16"/>
      <c r="AG1096" s="367" t="s">
        <v>1992</v>
      </c>
    </row>
    <row r="1097" spans="1:33" ht="15.75" thickBot="1" x14ac:dyDescent="0.3">
      <c r="A1097" s="356">
        <v>144</v>
      </c>
      <c r="B1097" s="357">
        <v>46210</v>
      </c>
      <c r="C1097" s="358" t="s">
        <v>87</v>
      </c>
      <c r="D1097" s="359"/>
      <c r="E1097" s="360"/>
      <c r="F1097" s="361"/>
      <c r="G1097" s="213" t="str">
        <f>IFERROR(VLOOKUP(Tabla3[[#This Row],[NUM ECONOMICO]],MAQUINARIA!B:H,7,0), " MAQ")</f>
        <v>INACTIVA</v>
      </c>
      <c r="H1097" s="362" t="s">
        <v>1331</v>
      </c>
      <c r="I1097" s="363" t="s">
        <v>1921</v>
      </c>
      <c r="J1097" s="358" t="s">
        <v>546</v>
      </c>
      <c r="K1097" s="358">
        <v>1</v>
      </c>
      <c r="L1097" s="364">
        <v>1229.55</v>
      </c>
      <c r="M1097" s="364">
        <f t="shared" si="20"/>
        <v>1229.55</v>
      </c>
      <c r="N1097" s="41" t="s">
        <v>1990</v>
      </c>
      <c r="O1097" s="358"/>
      <c r="P1097" s="365">
        <f>Tabla3[[#This Row],[COSTO UNITARIO DOLARES EN HAWTHORNE]]*Tabla3[[#This Row],[CANTIDAD SOLICTADA]]</f>
        <v>0</v>
      </c>
      <c r="Q1097" s="41"/>
      <c r="R1097" s="229"/>
      <c r="S1097" s="229">
        <f>+Tabla3[[#This Row],[COSTO UNITARIO DOLARES CTP]]*Tabla3[[#This Row],[CANTIDAD SOLICTADA]]</f>
        <v>0</v>
      </c>
      <c r="T1097" s="41"/>
      <c r="U1097" s="370" t="s">
        <v>5</v>
      </c>
      <c r="V1097" s="360" t="s">
        <v>1993</v>
      </c>
      <c r="W1097" s="366"/>
      <c r="X1097" s="359"/>
      <c r="Y1097" s="358"/>
      <c r="Z1097" s="360"/>
      <c r="AA1097" s="360"/>
      <c r="AB1097" s="360"/>
      <c r="AC1097" s="360"/>
      <c r="AD1097" s="360"/>
      <c r="AE1097" s="360"/>
      <c r="AF1097" s="16"/>
      <c r="AG1097" s="367" t="s">
        <v>1992</v>
      </c>
    </row>
    <row r="1098" spans="1:33" ht="15.75" thickBot="1" x14ac:dyDescent="0.3">
      <c r="A1098" s="356">
        <v>144</v>
      </c>
      <c r="B1098" s="357">
        <v>46210</v>
      </c>
      <c r="C1098" s="358" t="s">
        <v>87</v>
      </c>
      <c r="D1098" s="359"/>
      <c r="E1098" s="360"/>
      <c r="F1098" s="361"/>
      <c r="G1098" s="213" t="str">
        <f>IFERROR(VLOOKUP(Tabla3[[#This Row],[NUM ECONOMICO]],MAQUINARIA!B:H,7,0), " MAQ")</f>
        <v>INACTIVA</v>
      </c>
      <c r="H1098" s="362" t="s">
        <v>1331</v>
      </c>
      <c r="I1098" s="363" t="s">
        <v>1922</v>
      </c>
      <c r="J1098" s="358" t="s">
        <v>506</v>
      </c>
      <c r="K1098" s="358">
        <v>1</v>
      </c>
      <c r="L1098" s="364">
        <v>8452.2000000000007</v>
      </c>
      <c r="M1098" s="364">
        <f t="shared" si="20"/>
        <v>8452.2000000000007</v>
      </c>
      <c r="N1098" s="41" t="s">
        <v>1990</v>
      </c>
      <c r="O1098" s="358"/>
      <c r="P1098" s="365">
        <f>Tabla3[[#This Row],[COSTO UNITARIO DOLARES EN HAWTHORNE]]*Tabla3[[#This Row],[CANTIDAD SOLICTADA]]</f>
        <v>0</v>
      </c>
      <c r="Q1098" s="41"/>
      <c r="R1098" s="229"/>
      <c r="S1098" s="229">
        <f>+Tabla3[[#This Row],[COSTO UNITARIO DOLARES CTP]]*Tabla3[[#This Row],[CANTIDAD SOLICTADA]]</f>
        <v>0</v>
      </c>
      <c r="T1098" s="41"/>
      <c r="U1098" s="370" t="s">
        <v>5</v>
      </c>
      <c r="V1098" s="360" t="s">
        <v>1993</v>
      </c>
      <c r="W1098" s="366"/>
      <c r="X1098" s="359"/>
      <c r="Y1098" s="358"/>
      <c r="Z1098" s="360"/>
      <c r="AA1098" s="360"/>
      <c r="AB1098" s="360"/>
      <c r="AC1098" s="360"/>
      <c r="AD1098" s="360"/>
      <c r="AE1098" s="360"/>
      <c r="AF1098" s="16"/>
      <c r="AG1098" s="367" t="s">
        <v>1992</v>
      </c>
    </row>
    <row r="1099" spans="1:33" ht="15.75" thickBot="1" x14ac:dyDescent="0.3">
      <c r="A1099" s="356">
        <v>144</v>
      </c>
      <c r="B1099" s="357">
        <v>46210</v>
      </c>
      <c r="C1099" s="358" t="s">
        <v>87</v>
      </c>
      <c r="D1099" s="359"/>
      <c r="E1099" s="360"/>
      <c r="F1099" s="361"/>
      <c r="G1099" s="213" t="str">
        <f>IFERROR(VLOOKUP(Tabla3[[#This Row],[NUM ECONOMICO]],MAQUINARIA!B:H,7,0), " MAQ")</f>
        <v>INACTIVA</v>
      </c>
      <c r="H1099" s="362" t="s">
        <v>1331</v>
      </c>
      <c r="I1099" s="363" t="s">
        <v>1923</v>
      </c>
      <c r="J1099" s="358" t="s">
        <v>1976</v>
      </c>
      <c r="K1099" s="358">
        <v>1</v>
      </c>
      <c r="L1099" s="364">
        <v>1310.46</v>
      </c>
      <c r="M1099" s="364">
        <f t="shared" si="20"/>
        <v>1310.46</v>
      </c>
      <c r="N1099" s="41" t="s">
        <v>1990</v>
      </c>
      <c r="O1099" s="358"/>
      <c r="P1099" s="365">
        <f>Tabla3[[#This Row],[COSTO UNITARIO DOLARES EN HAWTHORNE]]*Tabla3[[#This Row],[CANTIDAD SOLICTADA]]</f>
        <v>0</v>
      </c>
      <c r="Q1099" s="41"/>
      <c r="R1099" s="229"/>
      <c r="S1099" s="229">
        <f>+Tabla3[[#This Row],[COSTO UNITARIO DOLARES CTP]]*Tabla3[[#This Row],[CANTIDAD SOLICTADA]]</f>
        <v>0</v>
      </c>
      <c r="T1099" s="41"/>
      <c r="U1099" s="370" t="s">
        <v>5</v>
      </c>
      <c r="V1099" s="360" t="s">
        <v>1993</v>
      </c>
      <c r="W1099" s="366"/>
      <c r="X1099" s="359"/>
      <c r="Y1099" s="358"/>
      <c r="Z1099" s="360"/>
      <c r="AA1099" s="360"/>
      <c r="AB1099" s="360"/>
      <c r="AC1099" s="360"/>
      <c r="AD1099" s="360"/>
      <c r="AE1099" s="360"/>
      <c r="AF1099" s="16"/>
      <c r="AG1099" s="367" t="s">
        <v>1992</v>
      </c>
    </row>
    <row r="1100" spans="1:33" ht="15.75" thickBot="1" x14ac:dyDescent="0.3">
      <c r="A1100" s="356">
        <v>144</v>
      </c>
      <c r="B1100" s="357">
        <v>46210</v>
      </c>
      <c r="C1100" s="358" t="s">
        <v>87</v>
      </c>
      <c r="D1100" s="359"/>
      <c r="E1100" s="360"/>
      <c r="F1100" s="361"/>
      <c r="G1100" s="213" t="str">
        <f>IFERROR(VLOOKUP(Tabla3[[#This Row],[NUM ECONOMICO]],MAQUINARIA!B:H,7,0), " MAQ")</f>
        <v>INACTIVA</v>
      </c>
      <c r="H1100" s="362" t="s">
        <v>1331</v>
      </c>
      <c r="I1100" s="363" t="s">
        <v>1924</v>
      </c>
      <c r="J1100" s="358" t="s">
        <v>1962</v>
      </c>
      <c r="K1100" s="358">
        <v>1</v>
      </c>
      <c r="L1100" s="364">
        <v>857.23</v>
      </c>
      <c r="M1100" s="364">
        <f t="shared" si="20"/>
        <v>857.23</v>
      </c>
      <c r="N1100" s="41" t="s">
        <v>1990</v>
      </c>
      <c r="O1100" s="358"/>
      <c r="P1100" s="365">
        <f>Tabla3[[#This Row],[COSTO UNITARIO DOLARES EN HAWTHORNE]]*Tabla3[[#This Row],[CANTIDAD SOLICTADA]]</f>
        <v>0</v>
      </c>
      <c r="Q1100" s="41"/>
      <c r="R1100" s="229"/>
      <c r="S1100" s="229">
        <f>+Tabla3[[#This Row],[COSTO UNITARIO DOLARES CTP]]*Tabla3[[#This Row],[CANTIDAD SOLICTADA]]</f>
        <v>0</v>
      </c>
      <c r="T1100" s="41"/>
      <c r="U1100" s="370" t="s">
        <v>5</v>
      </c>
      <c r="V1100" s="360" t="s">
        <v>1993</v>
      </c>
      <c r="W1100" s="366"/>
      <c r="X1100" s="359"/>
      <c r="Y1100" s="358"/>
      <c r="Z1100" s="360"/>
      <c r="AA1100" s="360"/>
      <c r="AB1100" s="360"/>
      <c r="AC1100" s="360"/>
      <c r="AD1100" s="360"/>
      <c r="AE1100" s="360"/>
      <c r="AF1100" s="16"/>
      <c r="AG1100" s="367" t="s">
        <v>1992</v>
      </c>
    </row>
    <row r="1101" spans="1:33" ht="15.75" thickBot="1" x14ac:dyDescent="0.3">
      <c r="A1101" s="356">
        <v>144</v>
      </c>
      <c r="B1101" s="357">
        <v>46210</v>
      </c>
      <c r="C1101" s="358" t="s">
        <v>87</v>
      </c>
      <c r="D1101" s="359"/>
      <c r="E1101" s="360"/>
      <c r="F1101" s="361"/>
      <c r="G1101" s="213" t="str">
        <f>IFERROR(VLOOKUP(Tabla3[[#This Row],[NUM ECONOMICO]],MAQUINARIA!B:H,7,0), " MAQ")</f>
        <v>INACTIVA</v>
      </c>
      <c r="H1101" s="362" t="s">
        <v>1331</v>
      </c>
      <c r="I1101" s="363" t="s">
        <v>1925</v>
      </c>
      <c r="J1101" s="358" t="s">
        <v>1962</v>
      </c>
      <c r="K1101" s="358">
        <v>1</v>
      </c>
      <c r="L1101" s="364">
        <v>1394.95</v>
      </c>
      <c r="M1101" s="364">
        <f t="shared" si="20"/>
        <v>1394.95</v>
      </c>
      <c r="N1101" s="41" t="s">
        <v>1990</v>
      </c>
      <c r="O1101" s="358"/>
      <c r="P1101" s="365">
        <f>Tabla3[[#This Row],[COSTO UNITARIO DOLARES EN HAWTHORNE]]*Tabla3[[#This Row],[CANTIDAD SOLICTADA]]</f>
        <v>0</v>
      </c>
      <c r="Q1101" s="41"/>
      <c r="R1101" s="229"/>
      <c r="S1101" s="229">
        <f>+Tabla3[[#This Row],[COSTO UNITARIO DOLARES CTP]]*Tabla3[[#This Row],[CANTIDAD SOLICTADA]]</f>
        <v>0</v>
      </c>
      <c r="T1101" s="41"/>
      <c r="U1101" s="370" t="s">
        <v>5</v>
      </c>
      <c r="V1101" s="360" t="s">
        <v>1993</v>
      </c>
      <c r="W1101" s="366"/>
      <c r="X1101" s="359"/>
      <c r="Y1101" s="358"/>
      <c r="Z1101" s="360"/>
      <c r="AA1101" s="360"/>
      <c r="AB1101" s="360"/>
      <c r="AC1101" s="360"/>
      <c r="AD1101" s="360"/>
      <c r="AE1101" s="360"/>
      <c r="AF1101" s="16"/>
      <c r="AG1101" s="367" t="s">
        <v>1992</v>
      </c>
    </row>
    <row r="1102" spans="1:33" ht="15.75" thickBot="1" x14ac:dyDescent="0.3">
      <c r="A1102" s="356">
        <v>144</v>
      </c>
      <c r="B1102" s="357">
        <v>46210</v>
      </c>
      <c r="C1102" s="358" t="s">
        <v>87</v>
      </c>
      <c r="D1102" s="359"/>
      <c r="E1102" s="360"/>
      <c r="F1102" s="361"/>
      <c r="G1102" s="213" t="str">
        <f>IFERROR(VLOOKUP(Tabla3[[#This Row],[NUM ECONOMICO]],MAQUINARIA!B:H,7,0), " MAQ")</f>
        <v>INACTIVA</v>
      </c>
      <c r="H1102" s="362" t="s">
        <v>1331</v>
      </c>
      <c r="I1102" s="363" t="s">
        <v>1926</v>
      </c>
      <c r="J1102" s="358" t="s">
        <v>1962</v>
      </c>
      <c r="K1102" s="358">
        <v>1</v>
      </c>
      <c r="L1102" s="364">
        <v>2172.34</v>
      </c>
      <c r="M1102" s="364">
        <f t="shared" si="20"/>
        <v>2172.34</v>
      </c>
      <c r="N1102" s="41" t="s">
        <v>1990</v>
      </c>
      <c r="O1102" s="358"/>
      <c r="P1102" s="365">
        <f>Tabla3[[#This Row],[COSTO UNITARIO DOLARES EN HAWTHORNE]]*Tabla3[[#This Row],[CANTIDAD SOLICTADA]]</f>
        <v>0</v>
      </c>
      <c r="Q1102" s="41"/>
      <c r="R1102" s="229"/>
      <c r="S1102" s="229">
        <f>+Tabla3[[#This Row],[COSTO UNITARIO DOLARES CTP]]*Tabla3[[#This Row],[CANTIDAD SOLICTADA]]</f>
        <v>0</v>
      </c>
      <c r="T1102" s="41"/>
      <c r="U1102" s="370" t="s">
        <v>5</v>
      </c>
      <c r="V1102" s="360" t="s">
        <v>1993</v>
      </c>
      <c r="W1102" s="366"/>
      <c r="X1102" s="359"/>
      <c r="Y1102" s="358"/>
      <c r="Z1102" s="360"/>
      <c r="AA1102" s="360"/>
      <c r="AB1102" s="360"/>
      <c r="AC1102" s="360"/>
      <c r="AD1102" s="360"/>
      <c r="AE1102" s="360"/>
      <c r="AF1102" s="16"/>
      <c r="AG1102" s="367" t="s">
        <v>1992</v>
      </c>
    </row>
    <row r="1103" spans="1:33" ht="15.75" thickBot="1" x14ac:dyDescent="0.3">
      <c r="A1103" s="356">
        <v>144</v>
      </c>
      <c r="B1103" s="357">
        <v>46210</v>
      </c>
      <c r="C1103" s="358" t="s">
        <v>87</v>
      </c>
      <c r="D1103" s="359"/>
      <c r="E1103" s="360"/>
      <c r="F1103" s="361"/>
      <c r="G1103" s="213" t="str">
        <f>IFERROR(VLOOKUP(Tabla3[[#This Row],[NUM ECONOMICO]],MAQUINARIA!B:H,7,0), " MAQ")</f>
        <v>INACTIVA</v>
      </c>
      <c r="H1103" s="362" t="s">
        <v>1331</v>
      </c>
      <c r="I1103" s="363" t="s">
        <v>1927</v>
      </c>
      <c r="J1103" s="358" t="s">
        <v>220</v>
      </c>
      <c r="K1103" s="358">
        <v>2</v>
      </c>
      <c r="L1103" s="364">
        <v>2152.12</v>
      </c>
      <c r="M1103" s="364">
        <f t="shared" si="20"/>
        <v>4304.24</v>
      </c>
      <c r="N1103" s="41" t="s">
        <v>1990</v>
      </c>
      <c r="O1103" s="358"/>
      <c r="P1103" s="365">
        <f>Tabla3[[#This Row],[COSTO UNITARIO DOLARES EN HAWTHORNE]]*Tabla3[[#This Row],[CANTIDAD SOLICTADA]]</f>
        <v>0</v>
      </c>
      <c r="Q1103" s="41"/>
      <c r="R1103" s="229"/>
      <c r="S1103" s="229">
        <f>+Tabla3[[#This Row],[COSTO UNITARIO DOLARES CTP]]*Tabla3[[#This Row],[CANTIDAD SOLICTADA]]</f>
        <v>0</v>
      </c>
      <c r="T1103" s="41"/>
      <c r="U1103" s="370" t="s">
        <v>5</v>
      </c>
      <c r="V1103" s="360" t="s">
        <v>1993</v>
      </c>
      <c r="W1103" s="366"/>
      <c r="X1103" s="359"/>
      <c r="Y1103" s="358"/>
      <c r="Z1103" s="360"/>
      <c r="AA1103" s="360"/>
      <c r="AB1103" s="360"/>
      <c r="AC1103" s="360"/>
      <c r="AD1103" s="360"/>
      <c r="AE1103" s="360"/>
      <c r="AF1103" s="16"/>
      <c r="AG1103" s="367" t="s">
        <v>1992</v>
      </c>
    </row>
    <row r="1104" spans="1:33" ht="15.75" thickBot="1" x14ac:dyDescent="0.3">
      <c r="A1104" s="356">
        <v>144</v>
      </c>
      <c r="B1104" s="357">
        <v>46210</v>
      </c>
      <c r="C1104" s="358" t="s">
        <v>87</v>
      </c>
      <c r="D1104" s="359"/>
      <c r="E1104" s="360"/>
      <c r="F1104" s="361"/>
      <c r="G1104" s="213" t="str">
        <f>IFERROR(VLOOKUP(Tabla3[[#This Row],[NUM ECONOMICO]],MAQUINARIA!B:H,7,0), " MAQ")</f>
        <v>INACTIVA</v>
      </c>
      <c r="H1104" s="362" t="s">
        <v>1331</v>
      </c>
      <c r="I1104" s="363" t="s">
        <v>1928</v>
      </c>
      <c r="J1104" s="358" t="s">
        <v>1961</v>
      </c>
      <c r="K1104" s="358">
        <v>1</v>
      </c>
      <c r="L1104" s="364">
        <v>931.87</v>
      </c>
      <c r="M1104" s="364">
        <f t="shared" si="20"/>
        <v>931.87</v>
      </c>
      <c r="N1104" s="41" t="s">
        <v>1990</v>
      </c>
      <c r="O1104" s="358"/>
      <c r="P1104" s="365">
        <f>Tabla3[[#This Row],[COSTO UNITARIO DOLARES EN HAWTHORNE]]*Tabla3[[#This Row],[CANTIDAD SOLICTADA]]</f>
        <v>0</v>
      </c>
      <c r="Q1104" s="41"/>
      <c r="R1104" s="229"/>
      <c r="S1104" s="229">
        <f>+Tabla3[[#This Row],[COSTO UNITARIO DOLARES CTP]]*Tabla3[[#This Row],[CANTIDAD SOLICTADA]]</f>
        <v>0</v>
      </c>
      <c r="T1104" s="41"/>
      <c r="U1104" s="370" t="s">
        <v>5</v>
      </c>
      <c r="V1104" s="360" t="s">
        <v>1993</v>
      </c>
      <c r="W1104" s="366"/>
      <c r="X1104" s="359"/>
      <c r="Y1104" s="358"/>
      <c r="Z1104" s="360"/>
      <c r="AA1104" s="360"/>
      <c r="AB1104" s="360"/>
      <c r="AC1104" s="360"/>
      <c r="AD1104" s="360"/>
      <c r="AE1104" s="360"/>
      <c r="AF1104" s="16"/>
      <c r="AG1104" s="367" t="s">
        <v>1992</v>
      </c>
    </row>
    <row r="1105" spans="1:33" ht="15.75" thickBot="1" x14ac:dyDescent="0.3">
      <c r="A1105" s="356">
        <v>144</v>
      </c>
      <c r="B1105" s="357">
        <v>46210</v>
      </c>
      <c r="C1105" s="358" t="s">
        <v>87</v>
      </c>
      <c r="D1105" s="359"/>
      <c r="E1105" s="360"/>
      <c r="F1105" s="361"/>
      <c r="G1105" s="213" t="str">
        <f>IFERROR(VLOOKUP(Tabla3[[#This Row],[NUM ECONOMICO]],MAQUINARIA!B:H,7,0), " MAQ")</f>
        <v>INACTIVA</v>
      </c>
      <c r="H1105" s="362" t="s">
        <v>1331</v>
      </c>
      <c r="I1105" s="363" t="s">
        <v>1929</v>
      </c>
      <c r="J1105" s="358" t="s">
        <v>546</v>
      </c>
      <c r="K1105" s="358">
        <v>1</v>
      </c>
      <c r="L1105" s="364">
        <v>857.23</v>
      </c>
      <c r="M1105" s="364">
        <f t="shared" ref="M1105:M1168" si="21">+L1105*K1105</f>
        <v>857.23</v>
      </c>
      <c r="N1105" s="41" t="s">
        <v>1990</v>
      </c>
      <c r="O1105" s="358"/>
      <c r="P1105" s="365">
        <f>Tabla3[[#This Row],[COSTO UNITARIO DOLARES EN HAWTHORNE]]*Tabla3[[#This Row],[CANTIDAD SOLICTADA]]</f>
        <v>0</v>
      </c>
      <c r="Q1105" s="41"/>
      <c r="R1105" s="229"/>
      <c r="S1105" s="229">
        <f>+Tabla3[[#This Row],[COSTO UNITARIO DOLARES CTP]]*Tabla3[[#This Row],[CANTIDAD SOLICTADA]]</f>
        <v>0</v>
      </c>
      <c r="T1105" s="41"/>
      <c r="U1105" s="370" t="s">
        <v>5</v>
      </c>
      <c r="V1105" s="360" t="s">
        <v>1993</v>
      </c>
      <c r="W1105" s="366"/>
      <c r="X1105" s="359"/>
      <c r="Y1105" s="358"/>
      <c r="Z1105" s="360"/>
      <c r="AA1105" s="360"/>
      <c r="AB1105" s="360"/>
      <c r="AC1105" s="360"/>
      <c r="AD1105" s="360"/>
      <c r="AE1105" s="360"/>
      <c r="AF1105" s="16"/>
      <c r="AG1105" s="367" t="s">
        <v>1992</v>
      </c>
    </row>
    <row r="1106" spans="1:33" ht="15.75" thickBot="1" x14ac:dyDescent="0.3">
      <c r="A1106" s="356">
        <v>144</v>
      </c>
      <c r="B1106" s="357">
        <v>46210</v>
      </c>
      <c r="C1106" s="358" t="s">
        <v>87</v>
      </c>
      <c r="D1106" s="359"/>
      <c r="E1106" s="360"/>
      <c r="F1106" s="361"/>
      <c r="G1106" s="213" t="str">
        <f>IFERROR(VLOOKUP(Tabla3[[#This Row],[NUM ECONOMICO]],MAQUINARIA!B:H,7,0), " MAQ")</f>
        <v>INACTIVA</v>
      </c>
      <c r="H1106" s="362" t="s">
        <v>1331</v>
      </c>
      <c r="I1106" s="363" t="s">
        <v>1930</v>
      </c>
      <c r="J1106" s="358" t="s">
        <v>546</v>
      </c>
      <c r="K1106" s="358">
        <v>1</v>
      </c>
      <c r="L1106" s="364">
        <v>1394.95</v>
      </c>
      <c r="M1106" s="364">
        <f t="shared" si="21"/>
        <v>1394.95</v>
      </c>
      <c r="N1106" s="41" t="s">
        <v>1990</v>
      </c>
      <c r="O1106" s="358"/>
      <c r="P1106" s="365">
        <f>Tabla3[[#This Row],[COSTO UNITARIO DOLARES EN HAWTHORNE]]*Tabla3[[#This Row],[CANTIDAD SOLICTADA]]</f>
        <v>0</v>
      </c>
      <c r="Q1106" s="41"/>
      <c r="R1106" s="229"/>
      <c r="S1106" s="229">
        <f>+Tabla3[[#This Row],[COSTO UNITARIO DOLARES CTP]]*Tabla3[[#This Row],[CANTIDAD SOLICTADA]]</f>
        <v>0</v>
      </c>
      <c r="T1106" s="41"/>
      <c r="U1106" s="370" t="s">
        <v>5</v>
      </c>
      <c r="V1106" s="360" t="s">
        <v>1993</v>
      </c>
      <c r="W1106" s="366"/>
      <c r="X1106" s="359"/>
      <c r="Y1106" s="358"/>
      <c r="Z1106" s="360"/>
      <c r="AA1106" s="360"/>
      <c r="AB1106" s="360"/>
      <c r="AC1106" s="360"/>
      <c r="AD1106" s="360"/>
      <c r="AE1106" s="360"/>
      <c r="AF1106" s="16"/>
      <c r="AG1106" s="367" t="s">
        <v>1992</v>
      </c>
    </row>
    <row r="1107" spans="1:33" ht="15.75" thickBot="1" x14ac:dyDescent="0.3">
      <c r="A1107" s="356">
        <v>144</v>
      </c>
      <c r="B1107" s="357">
        <v>46210</v>
      </c>
      <c r="C1107" s="358" t="s">
        <v>87</v>
      </c>
      <c r="D1107" s="359"/>
      <c r="E1107" s="360"/>
      <c r="F1107" s="361"/>
      <c r="G1107" s="213" t="str">
        <f>IFERROR(VLOOKUP(Tabla3[[#This Row],[NUM ECONOMICO]],MAQUINARIA!B:H,7,0), " MAQ")</f>
        <v>INACTIVA</v>
      </c>
      <c r="H1107" s="362" t="s">
        <v>1331</v>
      </c>
      <c r="I1107" s="363" t="s">
        <v>558</v>
      </c>
      <c r="J1107" s="358" t="s">
        <v>1977</v>
      </c>
      <c r="K1107" s="358">
        <v>1</v>
      </c>
      <c r="L1107" s="364">
        <v>2172.34</v>
      </c>
      <c r="M1107" s="364">
        <f t="shared" si="21"/>
        <v>2172.34</v>
      </c>
      <c r="N1107" s="41" t="s">
        <v>1990</v>
      </c>
      <c r="O1107" s="358"/>
      <c r="P1107" s="365">
        <f>Tabla3[[#This Row],[COSTO UNITARIO DOLARES EN HAWTHORNE]]*Tabla3[[#This Row],[CANTIDAD SOLICTADA]]</f>
        <v>0</v>
      </c>
      <c r="Q1107" s="41"/>
      <c r="R1107" s="229"/>
      <c r="S1107" s="229">
        <f>+Tabla3[[#This Row],[COSTO UNITARIO DOLARES CTP]]*Tabla3[[#This Row],[CANTIDAD SOLICTADA]]</f>
        <v>0</v>
      </c>
      <c r="T1107" s="41"/>
      <c r="U1107" s="370" t="s">
        <v>5</v>
      </c>
      <c r="V1107" s="360" t="s">
        <v>1993</v>
      </c>
      <c r="W1107" s="366"/>
      <c r="X1107" s="359"/>
      <c r="Y1107" s="358"/>
      <c r="Z1107" s="360"/>
      <c r="AA1107" s="360"/>
      <c r="AB1107" s="360"/>
      <c r="AC1107" s="360"/>
      <c r="AD1107" s="360"/>
      <c r="AE1107" s="360"/>
      <c r="AF1107" s="16"/>
      <c r="AG1107" s="367" t="s">
        <v>1992</v>
      </c>
    </row>
    <row r="1108" spans="1:33" ht="15.75" thickBot="1" x14ac:dyDescent="0.3">
      <c r="A1108" s="356">
        <v>144</v>
      </c>
      <c r="B1108" s="357">
        <v>46210</v>
      </c>
      <c r="C1108" s="358" t="s">
        <v>87</v>
      </c>
      <c r="D1108" s="359"/>
      <c r="E1108" s="360"/>
      <c r="F1108" s="361"/>
      <c r="G1108" s="213" t="str">
        <f>IFERROR(VLOOKUP(Tabla3[[#This Row],[NUM ECONOMICO]],MAQUINARIA!B:H,7,0), " MAQ")</f>
        <v>INACTIVA</v>
      </c>
      <c r="H1108" s="362" t="s">
        <v>1331</v>
      </c>
      <c r="I1108" s="363" t="s">
        <v>323</v>
      </c>
      <c r="J1108" s="358" t="s">
        <v>220</v>
      </c>
      <c r="K1108" s="358">
        <v>1</v>
      </c>
      <c r="L1108" s="364">
        <v>2152.12</v>
      </c>
      <c r="M1108" s="364">
        <f t="shared" si="21"/>
        <v>2152.12</v>
      </c>
      <c r="N1108" s="41" t="s">
        <v>1990</v>
      </c>
      <c r="O1108" s="358"/>
      <c r="P1108" s="365">
        <f>Tabla3[[#This Row],[COSTO UNITARIO DOLARES EN HAWTHORNE]]*Tabla3[[#This Row],[CANTIDAD SOLICTADA]]</f>
        <v>0</v>
      </c>
      <c r="Q1108" s="41"/>
      <c r="R1108" s="229"/>
      <c r="S1108" s="229">
        <f>+Tabla3[[#This Row],[COSTO UNITARIO DOLARES CTP]]*Tabla3[[#This Row],[CANTIDAD SOLICTADA]]</f>
        <v>0</v>
      </c>
      <c r="T1108" s="41"/>
      <c r="U1108" s="370" t="s">
        <v>5</v>
      </c>
      <c r="V1108" s="360" t="s">
        <v>1993</v>
      </c>
      <c r="W1108" s="366"/>
      <c r="X1108" s="359"/>
      <c r="Y1108" s="358"/>
      <c r="Z1108" s="360"/>
      <c r="AA1108" s="360"/>
      <c r="AB1108" s="360"/>
      <c r="AC1108" s="360"/>
      <c r="AD1108" s="360"/>
      <c r="AE1108" s="360"/>
      <c r="AF1108" s="16"/>
      <c r="AG1108" s="367" t="s">
        <v>1992</v>
      </c>
    </row>
    <row r="1109" spans="1:33" ht="15.75" thickBot="1" x14ac:dyDescent="0.3">
      <c r="A1109" s="356">
        <v>144</v>
      </c>
      <c r="B1109" s="357">
        <v>46210</v>
      </c>
      <c r="C1109" s="358" t="s">
        <v>87</v>
      </c>
      <c r="D1109" s="359"/>
      <c r="E1109" s="360"/>
      <c r="F1109" s="361"/>
      <c r="G1109" s="213" t="str">
        <f>IFERROR(VLOOKUP(Tabla3[[#This Row],[NUM ECONOMICO]],MAQUINARIA!B:H,7,0), " MAQ")</f>
        <v>INACTIVA</v>
      </c>
      <c r="H1109" s="362" t="s">
        <v>1331</v>
      </c>
      <c r="I1109" s="363" t="s">
        <v>334</v>
      </c>
      <c r="J1109" s="358" t="s">
        <v>1961</v>
      </c>
      <c r="K1109" s="358">
        <v>1</v>
      </c>
      <c r="L1109" s="364">
        <v>931.87</v>
      </c>
      <c r="M1109" s="364">
        <f t="shared" si="21"/>
        <v>931.87</v>
      </c>
      <c r="N1109" s="41" t="s">
        <v>1990</v>
      </c>
      <c r="O1109" s="358"/>
      <c r="P1109" s="365">
        <f>Tabla3[[#This Row],[COSTO UNITARIO DOLARES EN HAWTHORNE]]*Tabla3[[#This Row],[CANTIDAD SOLICTADA]]</f>
        <v>0</v>
      </c>
      <c r="Q1109" s="41"/>
      <c r="R1109" s="229"/>
      <c r="S1109" s="229">
        <f>+Tabla3[[#This Row],[COSTO UNITARIO DOLARES CTP]]*Tabla3[[#This Row],[CANTIDAD SOLICTADA]]</f>
        <v>0</v>
      </c>
      <c r="T1109" s="41"/>
      <c r="U1109" s="370" t="s">
        <v>5</v>
      </c>
      <c r="V1109" s="360" t="s">
        <v>1993</v>
      </c>
      <c r="W1109" s="366"/>
      <c r="X1109" s="359"/>
      <c r="Y1109" s="358"/>
      <c r="Z1109" s="360"/>
      <c r="AA1109" s="360"/>
      <c r="AB1109" s="360"/>
      <c r="AC1109" s="360"/>
      <c r="AD1109" s="360"/>
      <c r="AE1109" s="360"/>
      <c r="AF1109" s="16"/>
      <c r="AG1109" s="367" t="s">
        <v>1992</v>
      </c>
    </row>
    <row r="1110" spans="1:33" ht="15.75" thickBot="1" x14ac:dyDescent="0.3">
      <c r="A1110" s="356">
        <v>144</v>
      </c>
      <c r="B1110" s="357">
        <v>46210</v>
      </c>
      <c r="C1110" s="358" t="s">
        <v>87</v>
      </c>
      <c r="D1110" s="359"/>
      <c r="E1110" s="360"/>
      <c r="F1110" s="361"/>
      <c r="G1110" s="213" t="str">
        <f>IFERROR(VLOOKUP(Tabla3[[#This Row],[NUM ECONOMICO]],MAQUINARIA!B:H,7,0), " MAQ")</f>
        <v>INACTIVA</v>
      </c>
      <c r="H1110" s="362" t="s">
        <v>1331</v>
      </c>
      <c r="I1110" s="363" t="s">
        <v>333</v>
      </c>
      <c r="J1110" s="358" t="s">
        <v>546</v>
      </c>
      <c r="K1110" s="358">
        <v>3</v>
      </c>
      <c r="L1110" s="364">
        <v>76.430000000000007</v>
      </c>
      <c r="M1110" s="364">
        <f t="shared" si="21"/>
        <v>229.29000000000002</v>
      </c>
      <c r="N1110" s="41" t="s">
        <v>1990</v>
      </c>
      <c r="O1110" s="358"/>
      <c r="P1110" s="365">
        <f>Tabla3[[#This Row],[COSTO UNITARIO DOLARES EN HAWTHORNE]]*Tabla3[[#This Row],[CANTIDAD SOLICTADA]]</f>
        <v>0</v>
      </c>
      <c r="Q1110" s="41"/>
      <c r="R1110" s="229"/>
      <c r="S1110" s="229">
        <f>+Tabla3[[#This Row],[COSTO UNITARIO DOLARES CTP]]*Tabla3[[#This Row],[CANTIDAD SOLICTADA]]</f>
        <v>0</v>
      </c>
      <c r="T1110" s="41"/>
      <c r="U1110" s="370" t="s">
        <v>5</v>
      </c>
      <c r="V1110" s="360" t="s">
        <v>1993</v>
      </c>
      <c r="W1110" s="366"/>
      <c r="X1110" s="359"/>
      <c r="Y1110" s="358"/>
      <c r="Z1110" s="360"/>
      <c r="AA1110" s="360"/>
      <c r="AB1110" s="360"/>
      <c r="AC1110" s="360"/>
      <c r="AD1110" s="360"/>
      <c r="AE1110" s="360"/>
      <c r="AF1110" s="16"/>
      <c r="AG1110" s="367" t="s">
        <v>1992</v>
      </c>
    </row>
    <row r="1111" spans="1:33" ht="15.75" thickBot="1" x14ac:dyDescent="0.3">
      <c r="A1111" s="356">
        <v>144</v>
      </c>
      <c r="B1111" s="357">
        <v>46210</v>
      </c>
      <c r="C1111" s="358" t="s">
        <v>87</v>
      </c>
      <c r="D1111" s="359"/>
      <c r="E1111" s="360"/>
      <c r="F1111" s="361"/>
      <c r="G1111" s="213" t="str">
        <f>IFERROR(VLOOKUP(Tabla3[[#This Row],[NUM ECONOMICO]],MAQUINARIA!B:H,7,0), " MAQ")</f>
        <v>INACTIVA</v>
      </c>
      <c r="H1111" s="362" t="s">
        <v>1331</v>
      </c>
      <c r="I1111" s="363" t="s">
        <v>1931</v>
      </c>
      <c r="J1111" s="358" t="s">
        <v>1977</v>
      </c>
      <c r="K1111" s="358">
        <v>4</v>
      </c>
      <c r="L1111" s="364">
        <v>48.33</v>
      </c>
      <c r="M1111" s="364">
        <f t="shared" si="21"/>
        <v>193.32</v>
      </c>
      <c r="N1111" s="41" t="s">
        <v>1990</v>
      </c>
      <c r="O1111" s="358"/>
      <c r="P1111" s="365">
        <f>Tabla3[[#This Row],[COSTO UNITARIO DOLARES EN HAWTHORNE]]*Tabla3[[#This Row],[CANTIDAD SOLICTADA]]</f>
        <v>0</v>
      </c>
      <c r="Q1111" s="41"/>
      <c r="R1111" s="229"/>
      <c r="S1111" s="229">
        <f>+Tabla3[[#This Row],[COSTO UNITARIO DOLARES CTP]]*Tabla3[[#This Row],[CANTIDAD SOLICTADA]]</f>
        <v>0</v>
      </c>
      <c r="T1111" s="41"/>
      <c r="U1111" s="370" t="s">
        <v>5</v>
      </c>
      <c r="V1111" s="360" t="s">
        <v>1993</v>
      </c>
      <c r="W1111" s="366"/>
      <c r="X1111" s="359"/>
      <c r="Y1111" s="358"/>
      <c r="Z1111" s="360"/>
      <c r="AA1111" s="360"/>
      <c r="AB1111" s="360"/>
      <c r="AC1111" s="360"/>
      <c r="AD1111" s="360"/>
      <c r="AE1111" s="360"/>
      <c r="AF1111" s="16"/>
      <c r="AG1111" s="367" t="s">
        <v>1992</v>
      </c>
    </row>
    <row r="1112" spans="1:33" ht="15.75" thickBot="1" x14ac:dyDescent="0.3">
      <c r="A1112" s="356">
        <v>144</v>
      </c>
      <c r="B1112" s="357">
        <v>46210</v>
      </c>
      <c r="C1112" s="358" t="s">
        <v>87</v>
      </c>
      <c r="D1112" s="359"/>
      <c r="E1112" s="360"/>
      <c r="F1112" s="361"/>
      <c r="G1112" s="213" t="str">
        <f>IFERROR(VLOOKUP(Tabla3[[#This Row],[NUM ECONOMICO]],MAQUINARIA!B:H,7,0), " MAQ")</f>
        <v>INACTIVA</v>
      </c>
      <c r="H1112" s="362" t="s">
        <v>1331</v>
      </c>
      <c r="I1112" s="363" t="s">
        <v>1932</v>
      </c>
      <c r="J1112" s="358" t="s">
        <v>1962</v>
      </c>
      <c r="K1112" s="358">
        <v>1</v>
      </c>
      <c r="L1112" s="364">
        <v>31.5</v>
      </c>
      <c r="M1112" s="364">
        <f t="shared" si="21"/>
        <v>31.5</v>
      </c>
      <c r="N1112" s="41" t="s">
        <v>1990</v>
      </c>
      <c r="O1112" s="358"/>
      <c r="P1112" s="365">
        <f>Tabla3[[#This Row],[COSTO UNITARIO DOLARES EN HAWTHORNE]]*Tabla3[[#This Row],[CANTIDAD SOLICTADA]]</f>
        <v>0</v>
      </c>
      <c r="Q1112" s="41"/>
      <c r="R1112" s="229"/>
      <c r="S1112" s="229">
        <f>+Tabla3[[#This Row],[COSTO UNITARIO DOLARES CTP]]*Tabla3[[#This Row],[CANTIDAD SOLICTADA]]</f>
        <v>0</v>
      </c>
      <c r="T1112" s="41"/>
      <c r="U1112" s="370" t="s">
        <v>5</v>
      </c>
      <c r="V1112" s="360" t="s">
        <v>1993</v>
      </c>
      <c r="W1112" s="366"/>
      <c r="X1112" s="359"/>
      <c r="Y1112" s="358"/>
      <c r="Z1112" s="360"/>
      <c r="AA1112" s="360"/>
      <c r="AB1112" s="360"/>
      <c r="AC1112" s="360"/>
      <c r="AD1112" s="360"/>
      <c r="AE1112" s="360"/>
      <c r="AF1112" s="16"/>
      <c r="AG1112" s="367" t="s">
        <v>1992</v>
      </c>
    </row>
    <row r="1113" spans="1:33" ht="15.75" thickBot="1" x14ac:dyDescent="0.3">
      <c r="A1113" s="356">
        <v>144</v>
      </c>
      <c r="B1113" s="357">
        <v>46210</v>
      </c>
      <c r="C1113" s="358" t="s">
        <v>87</v>
      </c>
      <c r="D1113" s="359"/>
      <c r="E1113" s="360"/>
      <c r="F1113" s="361"/>
      <c r="G1113" s="213" t="str">
        <f>IFERROR(VLOOKUP(Tabla3[[#This Row],[NUM ECONOMICO]],MAQUINARIA!B:H,7,0), " MAQ")</f>
        <v>INACTIVA</v>
      </c>
      <c r="H1113" s="362" t="s">
        <v>1331</v>
      </c>
      <c r="I1113" s="363" t="s">
        <v>333</v>
      </c>
      <c r="J1113" s="358" t="s">
        <v>1971</v>
      </c>
      <c r="K1113" s="358">
        <v>1</v>
      </c>
      <c r="L1113" s="364">
        <v>28.28</v>
      </c>
      <c r="M1113" s="364">
        <f t="shared" si="21"/>
        <v>28.28</v>
      </c>
      <c r="N1113" s="41" t="s">
        <v>1990</v>
      </c>
      <c r="O1113" s="358"/>
      <c r="P1113" s="365">
        <f>Tabla3[[#This Row],[COSTO UNITARIO DOLARES EN HAWTHORNE]]*Tabla3[[#This Row],[CANTIDAD SOLICTADA]]</f>
        <v>0</v>
      </c>
      <c r="Q1113" s="41"/>
      <c r="R1113" s="229"/>
      <c r="S1113" s="229">
        <f>+Tabla3[[#This Row],[COSTO UNITARIO DOLARES CTP]]*Tabla3[[#This Row],[CANTIDAD SOLICTADA]]</f>
        <v>0</v>
      </c>
      <c r="T1113" s="41"/>
      <c r="U1113" s="370" t="s">
        <v>5</v>
      </c>
      <c r="V1113" s="360" t="s">
        <v>1993</v>
      </c>
      <c r="W1113" s="366"/>
      <c r="X1113" s="359"/>
      <c r="Y1113" s="358"/>
      <c r="Z1113" s="360"/>
      <c r="AA1113" s="360"/>
      <c r="AB1113" s="360"/>
      <c r="AC1113" s="360"/>
      <c r="AD1113" s="360"/>
      <c r="AE1113" s="360"/>
      <c r="AF1113" s="16"/>
      <c r="AG1113" s="367" t="s">
        <v>1992</v>
      </c>
    </row>
    <row r="1114" spans="1:33" ht="15.75" thickBot="1" x14ac:dyDescent="0.3">
      <c r="A1114" s="356">
        <v>144</v>
      </c>
      <c r="B1114" s="357">
        <v>46210</v>
      </c>
      <c r="C1114" s="358" t="s">
        <v>87</v>
      </c>
      <c r="D1114" s="359"/>
      <c r="E1114" s="360"/>
      <c r="F1114" s="361"/>
      <c r="G1114" s="213" t="str">
        <f>IFERROR(VLOOKUP(Tabla3[[#This Row],[NUM ECONOMICO]],MAQUINARIA!B:H,7,0), " MAQ")</f>
        <v>INACTIVA</v>
      </c>
      <c r="H1114" s="362" t="s">
        <v>1331</v>
      </c>
      <c r="I1114" s="363" t="s">
        <v>1931</v>
      </c>
      <c r="J1114" s="358" t="s">
        <v>1978</v>
      </c>
      <c r="K1114" s="358">
        <v>1</v>
      </c>
      <c r="L1114" s="364">
        <v>85.38</v>
      </c>
      <c r="M1114" s="364">
        <f t="shared" si="21"/>
        <v>85.38</v>
      </c>
      <c r="N1114" s="41" t="s">
        <v>1990</v>
      </c>
      <c r="O1114" s="358"/>
      <c r="P1114" s="365">
        <f>Tabla3[[#This Row],[COSTO UNITARIO DOLARES EN HAWTHORNE]]*Tabla3[[#This Row],[CANTIDAD SOLICTADA]]</f>
        <v>0</v>
      </c>
      <c r="Q1114" s="41"/>
      <c r="R1114" s="229"/>
      <c r="S1114" s="229">
        <f>+Tabla3[[#This Row],[COSTO UNITARIO DOLARES CTP]]*Tabla3[[#This Row],[CANTIDAD SOLICTADA]]</f>
        <v>0</v>
      </c>
      <c r="T1114" s="41"/>
      <c r="U1114" s="370" t="s">
        <v>5</v>
      </c>
      <c r="V1114" s="360" t="s">
        <v>1993</v>
      </c>
      <c r="W1114" s="366"/>
      <c r="X1114" s="359"/>
      <c r="Y1114" s="358"/>
      <c r="Z1114" s="360"/>
      <c r="AA1114" s="360"/>
      <c r="AB1114" s="360"/>
      <c r="AC1114" s="360"/>
      <c r="AD1114" s="360"/>
      <c r="AE1114" s="360"/>
      <c r="AF1114" s="16"/>
      <c r="AG1114" s="367" t="s">
        <v>1992</v>
      </c>
    </row>
    <row r="1115" spans="1:33" ht="15.75" thickBot="1" x14ac:dyDescent="0.3">
      <c r="A1115" s="356">
        <v>144</v>
      </c>
      <c r="B1115" s="357">
        <v>46210</v>
      </c>
      <c r="C1115" s="358" t="s">
        <v>87</v>
      </c>
      <c r="D1115" s="359"/>
      <c r="E1115" s="360"/>
      <c r="F1115" s="361"/>
      <c r="G1115" s="213" t="str">
        <f>IFERROR(VLOOKUP(Tabla3[[#This Row],[NUM ECONOMICO]],MAQUINARIA!B:H,7,0), " MAQ")</f>
        <v>INACTIVA</v>
      </c>
      <c r="H1115" s="362" t="s">
        <v>1331</v>
      </c>
      <c r="I1115" s="363" t="s">
        <v>1932</v>
      </c>
      <c r="J1115" s="358" t="s">
        <v>1979</v>
      </c>
      <c r="K1115" s="358">
        <v>1</v>
      </c>
      <c r="L1115" s="364">
        <v>84.49</v>
      </c>
      <c r="M1115" s="364">
        <f t="shared" si="21"/>
        <v>84.49</v>
      </c>
      <c r="N1115" s="41" t="s">
        <v>1990</v>
      </c>
      <c r="O1115" s="358"/>
      <c r="P1115" s="365">
        <f>Tabla3[[#This Row],[COSTO UNITARIO DOLARES EN HAWTHORNE]]*Tabla3[[#This Row],[CANTIDAD SOLICTADA]]</f>
        <v>0</v>
      </c>
      <c r="Q1115" s="41"/>
      <c r="R1115" s="229"/>
      <c r="S1115" s="229">
        <f>+Tabla3[[#This Row],[COSTO UNITARIO DOLARES CTP]]*Tabla3[[#This Row],[CANTIDAD SOLICTADA]]</f>
        <v>0</v>
      </c>
      <c r="T1115" s="41"/>
      <c r="U1115" s="370" t="s">
        <v>5</v>
      </c>
      <c r="V1115" s="360" t="s">
        <v>1993</v>
      </c>
      <c r="W1115" s="366"/>
      <c r="X1115" s="359"/>
      <c r="Y1115" s="358"/>
      <c r="Z1115" s="360"/>
      <c r="AA1115" s="360"/>
      <c r="AB1115" s="360"/>
      <c r="AC1115" s="360"/>
      <c r="AD1115" s="360"/>
      <c r="AE1115" s="360"/>
      <c r="AF1115" s="16"/>
      <c r="AG1115" s="367" t="s">
        <v>1992</v>
      </c>
    </row>
    <row r="1116" spans="1:33" ht="15.75" thickBot="1" x14ac:dyDescent="0.3">
      <c r="A1116" s="356">
        <v>144</v>
      </c>
      <c r="B1116" s="357">
        <v>46210</v>
      </c>
      <c r="C1116" s="358" t="s">
        <v>87</v>
      </c>
      <c r="D1116" s="359"/>
      <c r="E1116" s="360"/>
      <c r="F1116" s="361"/>
      <c r="G1116" s="213" t="str">
        <f>IFERROR(VLOOKUP(Tabla3[[#This Row],[NUM ECONOMICO]],MAQUINARIA!B:H,7,0), " MAQ")</f>
        <v>INACTIVA</v>
      </c>
      <c r="H1116" s="362" t="s">
        <v>1331</v>
      </c>
      <c r="I1116" s="363" t="s">
        <v>338</v>
      </c>
      <c r="J1116" s="358" t="s">
        <v>1961</v>
      </c>
      <c r="K1116" s="358">
        <v>4</v>
      </c>
      <c r="L1116" s="364">
        <v>130.49</v>
      </c>
      <c r="M1116" s="364">
        <f t="shared" si="21"/>
        <v>521.96</v>
      </c>
      <c r="N1116" s="41" t="s">
        <v>1990</v>
      </c>
      <c r="O1116" s="358"/>
      <c r="P1116" s="365">
        <f>Tabla3[[#This Row],[COSTO UNITARIO DOLARES EN HAWTHORNE]]*Tabla3[[#This Row],[CANTIDAD SOLICTADA]]</f>
        <v>0</v>
      </c>
      <c r="Q1116" s="41"/>
      <c r="R1116" s="229"/>
      <c r="S1116" s="229">
        <f>+Tabla3[[#This Row],[COSTO UNITARIO DOLARES CTP]]*Tabla3[[#This Row],[CANTIDAD SOLICTADA]]</f>
        <v>0</v>
      </c>
      <c r="T1116" s="41"/>
      <c r="U1116" s="370" t="s">
        <v>5</v>
      </c>
      <c r="V1116" s="360" t="s">
        <v>1993</v>
      </c>
      <c r="W1116" s="366"/>
      <c r="X1116" s="359"/>
      <c r="Y1116" s="358"/>
      <c r="Z1116" s="360"/>
      <c r="AA1116" s="360"/>
      <c r="AB1116" s="360"/>
      <c r="AC1116" s="360"/>
      <c r="AD1116" s="360"/>
      <c r="AE1116" s="360"/>
      <c r="AF1116" s="16"/>
      <c r="AG1116" s="367" t="s">
        <v>1992</v>
      </c>
    </row>
    <row r="1117" spans="1:33" ht="15.75" thickBot="1" x14ac:dyDescent="0.3">
      <c r="A1117" s="356">
        <v>144</v>
      </c>
      <c r="B1117" s="357">
        <v>46210</v>
      </c>
      <c r="C1117" s="358" t="s">
        <v>87</v>
      </c>
      <c r="D1117" s="359"/>
      <c r="E1117" s="360"/>
      <c r="F1117" s="361"/>
      <c r="G1117" s="213" t="str">
        <f>IFERROR(VLOOKUP(Tabla3[[#This Row],[NUM ECONOMICO]],MAQUINARIA!B:H,7,0), " MAQ")</f>
        <v>INACTIVA</v>
      </c>
      <c r="H1117" s="362" t="s">
        <v>1331</v>
      </c>
      <c r="I1117" s="363" t="s">
        <v>1933</v>
      </c>
      <c r="J1117" s="358" t="s">
        <v>1961</v>
      </c>
      <c r="K1117" s="358">
        <v>4</v>
      </c>
      <c r="L1117" s="364">
        <v>116.89</v>
      </c>
      <c r="M1117" s="364">
        <f t="shared" si="21"/>
        <v>467.56</v>
      </c>
      <c r="N1117" s="41" t="s">
        <v>1990</v>
      </c>
      <c r="O1117" s="358"/>
      <c r="P1117" s="365">
        <f>Tabla3[[#This Row],[COSTO UNITARIO DOLARES EN HAWTHORNE]]*Tabla3[[#This Row],[CANTIDAD SOLICTADA]]</f>
        <v>0</v>
      </c>
      <c r="Q1117" s="41"/>
      <c r="R1117" s="229"/>
      <c r="S1117" s="229">
        <f>+Tabla3[[#This Row],[COSTO UNITARIO DOLARES CTP]]*Tabla3[[#This Row],[CANTIDAD SOLICTADA]]</f>
        <v>0</v>
      </c>
      <c r="T1117" s="41"/>
      <c r="U1117" s="370" t="s">
        <v>5</v>
      </c>
      <c r="V1117" s="360" t="s">
        <v>1993</v>
      </c>
      <c r="W1117" s="366"/>
      <c r="X1117" s="359"/>
      <c r="Y1117" s="358"/>
      <c r="Z1117" s="360"/>
      <c r="AA1117" s="360"/>
      <c r="AB1117" s="360"/>
      <c r="AC1117" s="360"/>
      <c r="AD1117" s="360"/>
      <c r="AE1117" s="360"/>
      <c r="AF1117" s="16"/>
      <c r="AG1117" s="367" t="s">
        <v>1992</v>
      </c>
    </row>
    <row r="1118" spans="1:33" ht="15.75" thickBot="1" x14ac:dyDescent="0.3">
      <c r="A1118" s="356">
        <v>144</v>
      </c>
      <c r="B1118" s="357">
        <v>46210</v>
      </c>
      <c r="C1118" s="358" t="s">
        <v>87</v>
      </c>
      <c r="D1118" s="359"/>
      <c r="E1118" s="360"/>
      <c r="F1118" s="361"/>
      <c r="G1118" s="213" t="str">
        <f>IFERROR(VLOOKUP(Tabla3[[#This Row],[NUM ECONOMICO]],MAQUINARIA!B:H,7,0), " MAQ")</f>
        <v>INACTIVA</v>
      </c>
      <c r="H1118" s="362" t="s">
        <v>1331</v>
      </c>
      <c r="I1118" s="363" t="s">
        <v>1908</v>
      </c>
      <c r="J1118" s="358" t="s">
        <v>1961</v>
      </c>
      <c r="K1118" s="358">
        <v>2</v>
      </c>
      <c r="L1118" s="364">
        <v>97.73</v>
      </c>
      <c r="M1118" s="364">
        <f t="shared" si="21"/>
        <v>195.46</v>
      </c>
      <c r="N1118" s="41" t="s">
        <v>1990</v>
      </c>
      <c r="O1118" s="358"/>
      <c r="P1118" s="365">
        <f>Tabla3[[#This Row],[COSTO UNITARIO DOLARES EN HAWTHORNE]]*Tabla3[[#This Row],[CANTIDAD SOLICTADA]]</f>
        <v>0</v>
      </c>
      <c r="Q1118" s="41"/>
      <c r="R1118" s="229"/>
      <c r="S1118" s="229">
        <f>+Tabla3[[#This Row],[COSTO UNITARIO DOLARES CTP]]*Tabla3[[#This Row],[CANTIDAD SOLICTADA]]</f>
        <v>0</v>
      </c>
      <c r="T1118" s="41"/>
      <c r="U1118" s="370" t="s">
        <v>5</v>
      </c>
      <c r="V1118" s="360" t="s">
        <v>1993</v>
      </c>
      <c r="W1118" s="366"/>
      <c r="X1118" s="359"/>
      <c r="Y1118" s="358"/>
      <c r="Z1118" s="360"/>
      <c r="AA1118" s="360"/>
      <c r="AB1118" s="360"/>
      <c r="AC1118" s="360"/>
      <c r="AD1118" s="360"/>
      <c r="AE1118" s="360"/>
      <c r="AF1118" s="16"/>
      <c r="AG1118" s="367" t="s">
        <v>1992</v>
      </c>
    </row>
    <row r="1119" spans="1:33" ht="15.75" thickBot="1" x14ac:dyDescent="0.3">
      <c r="A1119" s="356">
        <v>144</v>
      </c>
      <c r="B1119" s="357">
        <v>46210</v>
      </c>
      <c r="C1119" s="358" t="s">
        <v>87</v>
      </c>
      <c r="D1119" s="359"/>
      <c r="E1119" s="360"/>
      <c r="F1119" s="361"/>
      <c r="G1119" s="213" t="str">
        <f>IFERROR(VLOOKUP(Tabla3[[#This Row],[NUM ECONOMICO]],MAQUINARIA!B:H,7,0), " MAQ")</f>
        <v>INACTIVA</v>
      </c>
      <c r="H1119" s="362" t="s">
        <v>1331</v>
      </c>
      <c r="I1119" s="363" t="s">
        <v>1934</v>
      </c>
      <c r="J1119" s="358" t="s">
        <v>546</v>
      </c>
      <c r="K1119" s="358">
        <v>1</v>
      </c>
      <c r="L1119" s="364">
        <v>171.3</v>
      </c>
      <c r="M1119" s="364">
        <f t="shared" si="21"/>
        <v>171.3</v>
      </c>
      <c r="N1119" s="41" t="s">
        <v>1990</v>
      </c>
      <c r="O1119" s="358"/>
      <c r="P1119" s="365">
        <f>Tabla3[[#This Row],[COSTO UNITARIO DOLARES EN HAWTHORNE]]*Tabla3[[#This Row],[CANTIDAD SOLICTADA]]</f>
        <v>0</v>
      </c>
      <c r="Q1119" s="41"/>
      <c r="R1119" s="229"/>
      <c r="S1119" s="229">
        <f>+Tabla3[[#This Row],[COSTO UNITARIO DOLARES CTP]]*Tabla3[[#This Row],[CANTIDAD SOLICTADA]]</f>
        <v>0</v>
      </c>
      <c r="T1119" s="41"/>
      <c r="U1119" s="370" t="s">
        <v>5</v>
      </c>
      <c r="V1119" s="360" t="s">
        <v>1993</v>
      </c>
      <c r="W1119" s="366"/>
      <c r="X1119" s="359"/>
      <c r="Y1119" s="358"/>
      <c r="Z1119" s="360"/>
      <c r="AA1119" s="360"/>
      <c r="AB1119" s="360"/>
      <c r="AC1119" s="360"/>
      <c r="AD1119" s="360"/>
      <c r="AE1119" s="360"/>
      <c r="AF1119" s="16"/>
      <c r="AG1119" s="367" t="s">
        <v>1992</v>
      </c>
    </row>
    <row r="1120" spans="1:33" ht="15.75" thickBot="1" x14ac:dyDescent="0.3">
      <c r="A1120" s="356">
        <v>144</v>
      </c>
      <c r="B1120" s="357">
        <v>46210</v>
      </c>
      <c r="C1120" s="358" t="s">
        <v>87</v>
      </c>
      <c r="D1120" s="359"/>
      <c r="E1120" s="360"/>
      <c r="F1120" s="361"/>
      <c r="G1120" s="213" t="str">
        <f>IFERROR(VLOOKUP(Tabla3[[#This Row],[NUM ECONOMICO]],MAQUINARIA!B:H,7,0), " MAQ")</f>
        <v>INACTIVA</v>
      </c>
      <c r="H1120" s="362" t="s">
        <v>1331</v>
      </c>
      <c r="I1120" s="363" t="s">
        <v>1935</v>
      </c>
      <c r="J1120" s="358" t="s">
        <v>546</v>
      </c>
      <c r="K1120" s="358">
        <v>1</v>
      </c>
      <c r="L1120" s="364">
        <v>113.13</v>
      </c>
      <c r="M1120" s="364">
        <f t="shared" si="21"/>
        <v>113.13</v>
      </c>
      <c r="N1120" s="41" t="s">
        <v>1990</v>
      </c>
      <c r="O1120" s="358"/>
      <c r="P1120" s="365">
        <f>Tabla3[[#This Row],[COSTO UNITARIO DOLARES EN HAWTHORNE]]*Tabla3[[#This Row],[CANTIDAD SOLICTADA]]</f>
        <v>0</v>
      </c>
      <c r="Q1120" s="41"/>
      <c r="R1120" s="229"/>
      <c r="S1120" s="229">
        <f>+Tabla3[[#This Row],[COSTO UNITARIO DOLARES CTP]]*Tabla3[[#This Row],[CANTIDAD SOLICTADA]]</f>
        <v>0</v>
      </c>
      <c r="T1120" s="41"/>
      <c r="U1120" s="370" t="s">
        <v>5</v>
      </c>
      <c r="V1120" s="360" t="s">
        <v>1993</v>
      </c>
      <c r="W1120" s="366"/>
      <c r="X1120" s="359"/>
      <c r="Y1120" s="358"/>
      <c r="Z1120" s="360"/>
      <c r="AA1120" s="360"/>
      <c r="AB1120" s="360"/>
      <c r="AC1120" s="360"/>
      <c r="AD1120" s="360"/>
      <c r="AE1120" s="360"/>
      <c r="AF1120" s="16"/>
      <c r="AG1120" s="367" t="s">
        <v>1992</v>
      </c>
    </row>
    <row r="1121" spans="1:33" ht="15.75" thickBot="1" x14ac:dyDescent="0.3">
      <c r="A1121" s="356">
        <v>144</v>
      </c>
      <c r="B1121" s="357">
        <v>46210</v>
      </c>
      <c r="C1121" s="358" t="s">
        <v>87</v>
      </c>
      <c r="D1121" s="359"/>
      <c r="E1121" s="360"/>
      <c r="F1121" s="361"/>
      <c r="G1121" s="213" t="str">
        <f>IFERROR(VLOOKUP(Tabla3[[#This Row],[NUM ECONOMICO]],MAQUINARIA!B:H,7,0), " MAQ")</f>
        <v>INACTIVA</v>
      </c>
      <c r="H1121" s="362" t="s">
        <v>1331</v>
      </c>
      <c r="I1121" s="363" t="s">
        <v>266</v>
      </c>
      <c r="J1121" s="358" t="s">
        <v>1961</v>
      </c>
      <c r="K1121" s="358">
        <v>6</v>
      </c>
      <c r="L1121" s="364">
        <v>153.76</v>
      </c>
      <c r="M1121" s="364">
        <f t="shared" si="21"/>
        <v>922.56</v>
      </c>
      <c r="N1121" s="41" t="s">
        <v>1990</v>
      </c>
      <c r="O1121" s="358"/>
      <c r="P1121" s="365">
        <f>Tabla3[[#This Row],[COSTO UNITARIO DOLARES EN HAWTHORNE]]*Tabla3[[#This Row],[CANTIDAD SOLICTADA]]</f>
        <v>0</v>
      </c>
      <c r="Q1121" s="41"/>
      <c r="R1121" s="229"/>
      <c r="S1121" s="229">
        <f>+Tabla3[[#This Row],[COSTO UNITARIO DOLARES CTP]]*Tabla3[[#This Row],[CANTIDAD SOLICTADA]]</f>
        <v>0</v>
      </c>
      <c r="T1121" s="41"/>
      <c r="U1121" s="370" t="s">
        <v>5</v>
      </c>
      <c r="V1121" s="360" t="s">
        <v>1993</v>
      </c>
      <c r="W1121" s="366"/>
      <c r="X1121" s="359"/>
      <c r="Y1121" s="358"/>
      <c r="Z1121" s="360"/>
      <c r="AA1121" s="360"/>
      <c r="AB1121" s="360"/>
      <c r="AC1121" s="360"/>
      <c r="AD1121" s="360"/>
      <c r="AE1121" s="360"/>
      <c r="AF1121" s="16"/>
      <c r="AG1121" s="367" t="s">
        <v>1992</v>
      </c>
    </row>
    <row r="1122" spans="1:33" ht="15.75" thickBot="1" x14ac:dyDescent="0.3">
      <c r="A1122" s="356">
        <v>144</v>
      </c>
      <c r="B1122" s="357">
        <v>46210</v>
      </c>
      <c r="C1122" s="358" t="s">
        <v>87</v>
      </c>
      <c r="D1122" s="359"/>
      <c r="E1122" s="360"/>
      <c r="F1122" s="361"/>
      <c r="G1122" s="213" t="str">
        <f>IFERROR(VLOOKUP(Tabla3[[#This Row],[NUM ECONOMICO]],MAQUINARIA!B:H,7,0), " MAQ")</f>
        <v>INACTIVA</v>
      </c>
      <c r="H1122" s="362" t="s">
        <v>1331</v>
      </c>
      <c r="I1122" s="363" t="s">
        <v>1936</v>
      </c>
      <c r="J1122" s="358" t="s">
        <v>1974</v>
      </c>
      <c r="K1122" s="358">
        <v>1</v>
      </c>
      <c r="L1122" s="364">
        <v>50.48</v>
      </c>
      <c r="M1122" s="364">
        <f t="shared" si="21"/>
        <v>50.48</v>
      </c>
      <c r="N1122" s="41" t="s">
        <v>1990</v>
      </c>
      <c r="O1122" s="358"/>
      <c r="P1122" s="365">
        <f>Tabla3[[#This Row],[COSTO UNITARIO DOLARES EN HAWTHORNE]]*Tabla3[[#This Row],[CANTIDAD SOLICTADA]]</f>
        <v>0</v>
      </c>
      <c r="Q1122" s="41"/>
      <c r="R1122" s="229"/>
      <c r="S1122" s="229">
        <f>+Tabla3[[#This Row],[COSTO UNITARIO DOLARES CTP]]*Tabla3[[#This Row],[CANTIDAD SOLICTADA]]</f>
        <v>0</v>
      </c>
      <c r="T1122" s="41"/>
      <c r="U1122" s="370" t="s">
        <v>5</v>
      </c>
      <c r="V1122" s="360" t="s">
        <v>1993</v>
      </c>
      <c r="W1122" s="366"/>
      <c r="X1122" s="359"/>
      <c r="Y1122" s="358"/>
      <c r="Z1122" s="360"/>
      <c r="AA1122" s="360"/>
      <c r="AB1122" s="360"/>
      <c r="AC1122" s="360"/>
      <c r="AD1122" s="360"/>
      <c r="AE1122" s="360"/>
      <c r="AF1122" s="16"/>
      <c r="AG1122" s="367" t="s">
        <v>1992</v>
      </c>
    </row>
    <row r="1123" spans="1:33" ht="15.75" thickBot="1" x14ac:dyDescent="0.3">
      <c r="A1123" s="356">
        <v>144</v>
      </c>
      <c r="B1123" s="357">
        <v>46210</v>
      </c>
      <c r="C1123" s="358" t="s">
        <v>87</v>
      </c>
      <c r="D1123" s="359"/>
      <c r="E1123" s="360"/>
      <c r="F1123" s="361"/>
      <c r="G1123" s="213" t="str">
        <f>IFERROR(VLOOKUP(Tabla3[[#This Row],[NUM ECONOMICO]],MAQUINARIA!B:H,7,0), " MAQ")</f>
        <v>INACTIVA</v>
      </c>
      <c r="H1123" s="362" t="s">
        <v>1331</v>
      </c>
      <c r="I1123" s="363" t="s">
        <v>329</v>
      </c>
      <c r="J1123" s="358" t="s">
        <v>1961</v>
      </c>
      <c r="K1123" s="358">
        <v>1</v>
      </c>
      <c r="L1123" s="364">
        <v>209.61</v>
      </c>
      <c r="M1123" s="364">
        <f t="shared" si="21"/>
        <v>209.61</v>
      </c>
      <c r="N1123" s="41" t="s">
        <v>1990</v>
      </c>
      <c r="O1123" s="358"/>
      <c r="P1123" s="365">
        <f>Tabla3[[#This Row],[COSTO UNITARIO DOLARES EN HAWTHORNE]]*Tabla3[[#This Row],[CANTIDAD SOLICTADA]]</f>
        <v>0</v>
      </c>
      <c r="Q1123" s="41"/>
      <c r="R1123" s="229"/>
      <c r="S1123" s="229">
        <f>+Tabla3[[#This Row],[COSTO UNITARIO DOLARES CTP]]*Tabla3[[#This Row],[CANTIDAD SOLICTADA]]</f>
        <v>0</v>
      </c>
      <c r="T1123" s="41"/>
      <c r="U1123" s="370" t="s">
        <v>5</v>
      </c>
      <c r="V1123" s="360" t="s">
        <v>1993</v>
      </c>
      <c r="W1123" s="366"/>
      <c r="X1123" s="359"/>
      <c r="Y1123" s="358"/>
      <c r="Z1123" s="360"/>
      <c r="AA1123" s="360"/>
      <c r="AB1123" s="360"/>
      <c r="AC1123" s="360"/>
      <c r="AD1123" s="360"/>
      <c r="AE1123" s="360"/>
      <c r="AF1123" s="16"/>
      <c r="AG1123" s="367" t="s">
        <v>1992</v>
      </c>
    </row>
    <row r="1124" spans="1:33" ht="15.75" thickBot="1" x14ac:dyDescent="0.3">
      <c r="A1124" s="356">
        <v>144</v>
      </c>
      <c r="B1124" s="357">
        <v>46210</v>
      </c>
      <c r="C1124" s="358" t="s">
        <v>87</v>
      </c>
      <c r="D1124" s="359"/>
      <c r="E1124" s="360"/>
      <c r="F1124" s="361"/>
      <c r="G1124" s="213" t="str">
        <f>IFERROR(VLOOKUP(Tabla3[[#This Row],[NUM ECONOMICO]],MAQUINARIA!B:H,7,0), " MAQ")</f>
        <v>INACTIVA</v>
      </c>
      <c r="H1124" s="362" t="s">
        <v>1331</v>
      </c>
      <c r="I1124" s="363" t="s">
        <v>333</v>
      </c>
      <c r="J1124" s="358" t="s">
        <v>1971</v>
      </c>
      <c r="K1124" s="358">
        <v>1</v>
      </c>
      <c r="L1124" s="364">
        <v>28.28</v>
      </c>
      <c r="M1124" s="364">
        <f t="shared" si="21"/>
        <v>28.28</v>
      </c>
      <c r="N1124" s="41" t="s">
        <v>1990</v>
      </c>
      <c r="O1124" s="358"/>
      <c r="P1124" s="365">
        <f>Tabla3[[#This Row],[COSTO UNITARIO DOLARES EN HAWTHORNE]]*Tabla3[[#This Row],[CANTIDAD SOLICTADA]]</f>
        <v>0</v>
      </c>
      <c r="Q1124" s="41"/>
      <c r="R1124" s="229"/>
      <c r="S1124" s="229">
        <f>+Tabla3[[#This Row],[COSTO UNITARIO DOLARES CTP]]*Tabla3[[#This Row],[CANTIDAD SOLICTADA]]</f>
        <v>0</v>
      </c>
      <c r="T1124" s="41"/>
      <c r="U1124" s="370" t="s">
        <v>5</v>
      </c>
      <c r="V1124" s="360" t="s">
        <v>1993</v>
      </c>
      <c r="W1124" s="366"/>
      <c r="X1124" s="359"/>
      <c r="Y1124" s="358"/>
      <c r="Z1124" s="360"/>
      <c r="AA1124" s="360"/>
      <c r="AB1124" s="360"/>
      <c r="AC1124" s="360"/>
      <c r="AD1124" s="360"/>
      <c r="AE1124" s="360"/>
      <c r="AF1124" s="16"/>
      <c r="AG1124" s="367" t="s">
        <v>1992</v>
      </c>
    </row>
    <row r="1125" spans="1:33" ht="15.75" thickBot="1" x14ac:dyDescent="0.3">
      <c r="A1125" s="356">
        <v>144</v>
      </c>
      <c r="B1125" s="357">
        <v>46210</v>
      </c>
      <c r="C1125" s="358" t="s">
        <v>87</v>
      </c>
      <c r="D1125" s="359"/>
      <c r="E1125" s="360"/>
      <c r="F1125" s="361"/>
      <c r="G1125" s="213" t="str">
        <f>IFERROR(VLOOKUP(Tabla3[[#This Row],[NUM ECONOMICO]],MAQUINARIA!B:H,7,0), " MAQ")</f>
        <v>INACTIVA</v>
      </c>
      <c r="H1125" s="362" t="s">
        <v>1331</v>
      </c>
      <c r="I1125" s="363" t="s">
        <v>1931</v>
      </c>
      <c r="J1125" s="358" t="s">
        <v>1978</v>
      </c>
      <c r="K1125" s="358">
        <v>1</v>
      </c>
      <c r="L1125" s="364">
        <v>85.38</v>
      </c>
      <c r="M1125" s="364">
        <f t="shared" si="21"/>
        <v>85.38</v>
      </c>
      <c r="N1125" s="41" t="s">
        <v>1990</v>
      </c>
      <c r="O1125" s="358"/>
      <c r="P1125" s="365">
        <f>Tabla3[[#This Row],[COSTO UNITARIO DOLARES EN HAWTHORNE]]*Tabla3[[#This Row],[CANTIDAD SOLICTADA]]</f>
        <v>0</v>
      </c>
      <c r="Q1125" s="41"/>
      <c r="R1125" s="229"/>
      <c r="S1125" s="229">
        <f>+Tabla3[[#This Row],[COSTO UNITARIO DOLARES CTP]]*Tabla3[[#This Row],[CANTIDAD SOLICTADA]]</f>
        <v>0</v>
      </c>
      <c r="T1125" s="41"/>
      <c r="U1125" s="370" t="s">
        <v>5</v>
      </c>
      <c r="V1125" s="360" t="s">
        <v>1993</v>
      </c>
      <c r="W1125" s="366"/>
      <c r="X1125" s="359"/>
      <c r="Y1125" s="358"/>
      <c r="Z1125" s="360"/>
      <c r="AA1125" s="360"/>
      <c r="AB1125" s="360"/>
      <c r="AC1125" s="360"/>
      <c r="AD1125" s="360"/>
      <c r="AE1125" s="360"/>
      <c r="AF1125" s="16"/>
      <c r="AG1125" s="367" t="s">
        <v>1992</v>
      </c>
    </row>
    <row r="1126" spans="1:33" ht="15.75" thickBot="1" x14ac:dyDescent="0.3">
      <c r="A1126" s="356">
        <v>144</v>
      </c>
      <c r="B1126" s="357">
        <v>46210</v>
      </c>
      <c r="C1126" s="358" t="s">
        <v>87</v>
      </c>
      <c r="D1126" s="359"/>
      <c r="E1126" s="360"/>
      <c r="F1126" s="361"/>
      <c r="G1126" s="213" t="str">
        <f>IFERROR(VLOOKUP(Tabla3[[#This Row],[NUM ECONOMICO]],MAQUINARIA!B:H,7,0), " MAQ")</f>
        <v>INACTIVA</v>
      </c>
      <c r="H1126" s="362" t="s">
        <v>1331</v>
      </c>
      <c r="I1126" s="363" t="s">
        <v>1932</v>
      </c>
      <c r="J1126" s="358" t="s">
        <v>1979</v>
      </c>
      <c r="K1126" s="358">
        <v>1</v>
      </c>
      <c r="L1126" s="364">
        <v>84.49</v>
      </c>
      <c r="M1126" s="364">
        <f t="shared" si="21"/>
        <v>84.49</v>
      </c>
      <c r="N1126" s="41" t="s">
        <v>1990</v>
      </c>
      <c r="O1126" s="358"/>
      <c r="P1126" s="365">
        <f>Tabla3[[#This Row],[COSTO UNITARIO DOLARES EN HAWTHORNE]]*Tabla3[[#This Row],[CANTIDAD SOLICTADA]]</f>
        <v>0</v>
      </c>
      <c r="Q1126" s="41"/>
      <c r="R1126" s="229"/>
      <c r="S1126" s="229">
        <f>+Tabla3[[#This Row],[COSTO UNITARIO DOLARES CTP]]*Tabla3[[#This Row],[CANTIDAD SOLICTADA]]</f>
        <v>0</v>
      </c>
      <c r="T1126" s="41"/>
      <c r="U1126" s="370" t="s">
        <v>5</v>
      </c>
      <c r="V1126" s="360" t="s">
        <v>1993</v>
      </c>
      <c r="W1126" s="366"/>
      <c r="X1126" s="359"/>
      <c r="Y1126" s="358"/>
      <c r="Z1126" s="360"/>
      <c r="AA1126" s="360"/>
      <c r="AB1126" s="360"/>
      <c r="AC1126" s="360"/>
      <c r="AD1126" s="360"/>
      <c r="AE1126" s="360"/>
      <c r="AF1126" s="16"/>
      <c r="AG1126" s="367" t="s">
        <v>1992</v>
      </c>
    </row>
    <row r="1127" spans="1:33" ht="15.75" thickBot="1" x14ac:dyDescent="0.3">
      <c r="A1127" s="356">
        <v>144</v>
      </c>
      <c r="B1127" s="357">
        <v>46210</v>
      </c>
      <c r="C1127" s="358" t="s">
        <v>87</v>
      </c>
      <c r="D1127" s="359"/>
      <c r="E1127" s="360"/>
      <c r="F1127" s="361"/>
      <c r="G1127" s="213" t="str">
        <f>IFERROR(VLOOKUP(Tabla3[[#This Row],[NUM ECONOMICO]],MAQUINARIA!B:H,7,0), " MAQ")</f>
        <v>INACTIVA</v>
      </c>
      <c r="H1127" s="362" t="s">
        <v>1331</v>
      </c>
      <c r="I1127" s="363" t="s">
        <v>338</v>
      </c>
      <c r="J1127" s="358" t="s">
        <v>1961</v>
      </c>
      <c r="K1127" s="358">
        <v>4</v>
      </c>
      <c r="L1127" s="364">
        <v>130.49</v>
      </c>
      <c r="M1127" s="364">
        <f t="shared" si="21"/>
        <v>521.96</v>
      </c>
      <c r="N1127" s="41" t="s">
        <v>1990</v>
      </c>
      <c r="O1127" s="358"/>
      <c r="P1127" s="365">
        <f>Tabla3[[#This Row],[COSTO UNITARIO DOLARES EN HAWTHORNE]]*Tabla3[[#This Row],[CANTIDAD SOLICTADA]]</f>
        <v>0</v>
      </c>
      <c r="Q1127" s="41"/>
      <c r="R1127" s="229"/>
      <c r="S1127" s="229">
        <f>+Tabla3[[#This Row],[COSTO UNITARIO DOLARES CTP]]*Tabla3[[#This Row],[CANTIDAD SOLICTADA]]</f>
        <v>0</v>
      </c>
      <c r="T1127" s="41"/>
      <c r="U1127" s="370" t="s">
        <v>5</v>
      </c>
      <c r="V1127" s="360" t="s">
        <v>1993</v>
      </c>
      <c r="W1127" s="366"/>
      <c r="X1127" s="359"/>
      <c r="Y1127" s="358"/>
      <c r="Z1127" s="360"/>
      <c r="AA1127" s="360"/>
      <c r="AB1127" s="360"/>
      <c r="AC1127" s="360"/>
      <c r="AD1127" s="360"/>
      <c r="AE1127" s="360"/>
      <c r="AF1127" s="16"/>
      <c r="AG1127" s="367" t="s">
        <v>1992</v>
      </c>
    </row>
    <row r="1128" spans="1:33" ht="15.75" thickBot="1" x14ac:dyDescent="0.3">
      <c r="A1128" s="356">
        <v>144</v>
      </c>
      <c r="B1128" s="357">
        <v>46210</v>
      </c>
      <c r="C1128" s="358" t="s">
        <v>87</v>
      </c>
      <c r="D1128" s="359"/>
      <c r="E1128" s="360"/>
      <c r="F1128" s="361"/>
      <c r="G1128" s="213" t="str">
        <f>IFERROR(VLOOKUP(Tabla3[[#This Row],[NUM ECONOMICO]],MAQUINARIA!B:H,7,0), " MAQ")</f>
        <v>INACTIVA</v>
      </c>
      <c r="H1128" s="362" t="s">
        <v>1331</v>
      </c>
      <c r="I1128" s="363" t="s">
        <v>1933</v>
      </c>
      <c r="J1128" s="358" t="s">
        <v>1961</v>
      </c>
      <c r="K1128" s="358">
        <v>4</v>
      </c>
      <c r="L1128" s="364">
        <v>116.89</v>
      </c>
      <c r="M1128" s="364">
        <f t="shared" si="21"/>
        <v>467.56</v>
      </c>
      <c r="N1128" s="41" t="s">
        <v>1990</v>
      </c>
      <c r="O1128" s="358"/>
      <c r="P1128" s="365">
        <f>Tabla3[[#This Row],[COSTO UNITARIO DOLARES EN HAWTHORNE]]*Tabla3[[#This Row],[CANTIDAD SOLICTADA]]</f>
        <v>0</v>
      </c>
      <c r="Q1128" s="41"/>
      <c r="R1128" s="229"/>
      <c r="S1128" s="229">
        <f>+Tabla3[[#This Row],[COSTO UNITARIO DOLARES CTP]]*Tabla3[[#This Row],[CANTIDAD SOLICTADA]]</f>
        <v>0</v>
      </c>
      <c r="T1128" s="41"/>
      <c r="U1128" s="370" t="s">
        <v>5</v>
      </c>
      <c r="V1128" s="360" t="s">
        <v>1993</v>
      </c>
      <c r="W1128" s="366"/>
      <c r="X1128" s="359"/>
      <c r="Y1128" s="358"/>
      <c r="Z1128" s="360"/>
      <c r="AA1128" s="360"/>
      <c r="AB1128" s="360"/>
      <c r="AC1128" s="360"/>
      <c r="AD1128" s="360"/>
      <c r="AE1128" s="360"/>
      <c r="AF1128" s="16"/>
      <c r="AG1128" s="367" t="s">
        <v>1992</v>
      </c>
    </row>
    <row r="1129" spans="1:33" ht="15.75" thickBot="1" x14ac:dyDescent="0.3">
      <c r="A1129" s="356">
        <v>144</v>
      </c>
      <c r="B1129" s="357">
        <v>46210</v>
      </c>
      <c r="C1129" s="358" t="s">
        <v>87</v>
      </c>
      <c r="D1129" s="359"/>
      <c r="E1129" s="360"/>
      <c r="F1129" s="361"/>
      <c r="G1129" s="213" t="str">
        <f>IFERROR(VLOOKUP(Tabla3[[#This Row],[NUM ECONOMICO]],MAQUINARIA!B:H,7,0), " MAQ")</f>
        <v>INACTIVA</v>
      </c>
      <c r="H1129" s="362" t="s">
        <v>1331</v>
      </c>
      <c r="I1129" s="363" t="s">
        <v>1934</v>
      </c>
      <c r="J1129" s="358" t="s">
        <v>546</v>
      </c>
      <c r="K1129" s="358">
        <v>1</v>
      </c>
      <c r="L1129" s="364">
        <v>171.3</v>
      </c>
      <c r="M1129" s="364">
        <f t="shared" si="21"/>
        <v>171.3</v>
      </c>
      <c r="N1129" s="41" t="s">
        <v>1990</v>
      </c>
      <c r="O1129" s="358"/>
      <c r="P1129" s="365">
        <f>Tabla3[[#This Row],[COSTO UNITARIO DOLARES EN HAWTHORNE]]*Tabla3[[#This Row],[CANTIDAD SOLICTADA]]</f>
        <v>0</v>
      </c>
      <c r="Q1129" s="41"/>
      <c r="R1129" s="229"/>
      <c r="S1129" s="229">
        <f>+Tabla3[[#This Row],[COSTO UNITARIO DOLARES CTP]]*Tabla3[[#This Row],[CANTIDAD SOLICTADA]]</f>
        <v>0</v>
      </c>
      <c r="T1129" s="41"/>
      <c r="U1129" s="370" t="s">
        <v>5</v>
      </c>
      <c r="V1129" s="360" t="s">
        <v>1993</v>
      </c>
      <c r="W1129" s="366"/>
      <c r="X1129" s="359"/>
      <c r="Y1129" s="358"/>
      <c r="Z1129" s="360"/>
      <c r="AA1129" s="360"/>
      <c r="AB1129" s="360"/>
      <c r="AC1129" s="360"/>
      <c r="AD1129" s="360"/>
      <c r="AE1129" s="360"/>
      <c r="AF1129" s="16"/>
      <c r="AG1129" s="367" t="s">
        <v>1992</v>
      </c>
    </row>
    <row r="1130" spans="1:33" ht="15.75" thickBot="1" x14ac:dyDescent="0.3">
      <c r="A1130" s="356">
        <v>144</v>
      </c>
      <c r="B1130" s="357">
        <v>46210</v>
      </c>
      <c r="C1130" s="358" t="s">
        <v>87</v>
      </c>
      <c r="D1130" s="359"/>
      <c r="E1130" s="360"/>
      <c r="F1130" s="361"/>
      <c r="G1130" s="213" t="str">
        <f>IFERROR(VLOOKUP(Tabla3[[#This Row],[NUM ECONOMICO]],MAQUINARIA!B:H,7,0), " MAQ")</f>
        <v>INACTIVA</v>
      </c>
      <c r="H1130" s="362" t="s">
        <v>1331</v>
      </c>
      <c r="I1130" s="363" t="s">
        <v>1935</v>
      </c>
      <c r="J1130" s="358" t="s">
        <v>546</v>
      </c>
      <c r="K1130" s="358">
        <v>1</v>
      </c>
      <c r="L1130" s="364">
        <v>113.13</v>
      </c>
      <c r="M1130" s="364">
        <f t="shared" si="21"/>
        <v>113.13</v>
      </c>
      <c r="N1130" s="41" t="s">
        <v>1990</v>
      </c>
      <c r="O1130" s="358"/>
      <c r="P1130" s="365">
        <f>Tabla3[[#This Row],[COSTO UNITARIO DOLARES EN HAWTHORNE]]*Tabla3[[#This Row],[CANTIDAD SOLICTADA]]</f>
        <v>0</v>
      </c>
      <c r="Q1130" s="41"/>
      <c r="R1130" s="229"/>
      <c r="S1130" s="229">
        <f>+Tabla3[[#This Row],[COSTO UNITARIO DOLARES CTP]]*Tabla3[[#This Row],[CANTIDAD SOLICTADA]]</f>
        <v>0</v>
      </c>
      <c r="T1130" s="41"/>
      <c r="U1130" s="370" t="s">
        <v>5</v>
      </c>
      <c r="V1130" s="360" t="s">
        <v>1993</v>
      </c>
      <c r="W1130" s="366"/>
      <c r="X1130" s="359"/>
      <c r="Y1130" s="358"/>
      <c r="Z1130" s="360"/>
      <c r="AA1130" s="360"/>
      <c r="AB1130" s="360"/>
      <c r="AC1130" s="360"/>
      <c r="AD1130" s="360"/>
      <c r="AE1130" s="360"/>
      <c r="AF1130" s="16"/>
      <c r="AG1130" s="367" t="s">
        <v>1992</v>
      </c>
    </row>
    <row r="1131" spans="1:33" ht="15.75" thickBot="1" x14ac:dyDescent="0.3">
      <c r="A1131" s="356">
        <v>144</v>
      </c>
      <c r="B1131" s="357">
        <v>46210</v>
      </c>
      <c r="C1131" s="358" t="s">
        <v>87</v>
      </c>
      <c r="D1131" s="359"/>
      <c r="E1131" s="360"/>
      <c r="F1131" s="361"/>
      <c r="G1131" s="213" t="str">
        <f>IFERROR(VLOOKUP(Tabla3[[#This Row],[NUM ECONOMICO]],MAQUINARIA!B:H,7,0), " MAQ")</f>
        <v>INACTIVA</v>
      </c>
      <c r="H1131" s="362" t="s">
        <v>1331</v>
      </c>
      <c r="I1131" s="363" t="s">
        <v>266</v>
      </c>
      <c r="J1131" s="358" t="s">
        <v>1961</v>
      </c>
      <c r="K1131" s="358">
        <v>6</v>
      </c>
      <c r="L1131" s="364">
        <v>153.76</v>
      </c>
      <c r="M1131" s="364">
        <f t="shared" si="21"/>
        <v>922.56</v>
      </c>
      <c r="N1131" s="41" t="s">
        <v>1990</v>
      </c>
      <c r="O1131" s="358"/>
      <c r="P1131" s="365">
        <f>Tabla3[[#This Row],[COSTO UNITARIO DOLARES EN HAWTHORNE]]*Tabla3[[#This Row],[CANTIDAD SOLICTADA]]</f>
        <v>0</v>
      </c>
      <c r="Q1131" s="41"/>
      <c r="R1131" s="229"/>
      <c r="S1131" s="229">
        <f>+Tabla3[[#This Row],[COSTO UNITARIO DOLARES CTP]]*Tabla3[[#This Row],[CANTIDAD SOLICTADA]]</f>
        <v>0</v>
      </c>
      <c r="T1131" s="41"/>
      <c r="U1131" s="370" t="s">
        <v>5</v>
      </c>
      <c r="V1131" s="360" t="s">
        <v>1993</v>
      </c>
      <c r="W1131" s="366"/>
      <c r="X1131" s="359"/>
      <c r="Y1131" s="358"/>
      <c r="Z1131" s="360"/>
      <c r="AA1131" s="360"/>
      <c r="AB1131" s="360"/>
      <c r="AC1131" s="360"/>
      <c r="AD1131" s="360"/>
      <c r="AE1131" s="360"/>
      <c r="AF1131" s="16"/>
      <c r="AG1131" s="367" t="s">
        <v>1992</v>
      </c>
    </row>
    <row r="1132" spans="1:33" ht="15.75" thickBot="1" x14ac:dyDescent="0.3">
      <c r="A1132" s="356">
        <v>144</v>
      </c>
      <c r="B1132" s="357">
        <v>46210</v>
      </c>
      <c r="C1132" s="358" t="s">
        <v>87</v>
      </c>
      <c r="D1132" s="359"/>
      <c r="E1132" s="360"/>
      <c r="F1132" s="361"/>
      <c r="G1132" s="213" t="str">
        <f>IFERROR(VLOOKUP(Tabla3[[#This Row],[NUM ECONOMICO]],MAQUINARIA!B:H,7,0), " MAQ")</f>
        <v>INACTIVA</v>
      </c>
      <c r="H1132" s="362" t="s">
        <v>1331</v>
      </c>
      <c r="I1132" s="363" t="s">
        <v>1936</v>
      </c>
      <c r="J1132" s="358" t="s">
        <v>1974</v>
      </c>
      <c r="K1132" s="358">
        <v>1</v>
      </c>
      <c r="L1132" s="364">
        <v>50.48</v>
      </c>
      <c r="M1132" s="364">
        <f t="shared" si="21"/>
        <v>50.48</v>
      </c>
      <c r="N1132" s="41" t="s">
        <v>1990</v>
      </c>
      <c r="O1132" s="358"/>
      <c r="P1132" s="365">
        <f>Tabla3[[#This Row],[COSTO UNITARIO DOLARES EN HAWTHORNE]]*Tabla3[[#This Row],[CANTIDAD SOLICTADA]]</f>
        <v>0</v>
      </c>
      <c r="Q1132" s="41"/>
      <c r="R1132" s="229"/>
      <c r="S1132" s="229">
        <f>+Tabla3[[#This Row],[COSTO UNITARIO DOLARES CTP]]*Tabla3[[#This Row],[CANTIDAD SOLICTADA]]</f>
        <v>0</v>
      </c>
      <c r="T1132" s="41"/>
      <c r="U1132" s="370" t="s">
        <v>5</v>
      </c>
      <c r="V1132" s="360" t="s">
        <v>1993</v>
      </c>
      <c r="W1132" s="366"/>
      <c r="X1132" s="359"/>
      <c r="Y1132" s="358"/>
      <c r="Z1132" s="360"/>
      <c r="AA1132" s="360"/>
      <c r="AB1132" s="360"/>
      <c r="AC1132" s="360"/>
      <c r="AD1132" s="360"/>
      <c r="AE1132" s="360"/>
      <c r="AF1132" s="16"/>
      <c r="AG1132" s="367" t="s">
        <v>1992</v>
      </c>
    </row>
    <row r="1133" spans="1:33" ht="15.75" thickBot="1" x14ac:dyDescent="0.3">
      <c r="A1133" s="356">
        <v>144</v>
      </c>
      <c r="B1133" s="357">
        <v>46210</v>
      </c>
      <c r="C1133" s="358" t="s">
        <v>87</v>
      </c>
      <c r="D1133" s="359"/>
      <c r="E1133" s="360"/>
      <c r="F1133" s="361"/>
      <c r="G1133" s="213" t="str">
        <f>IFERROR(VLOOKUP(Tabla3[[#This Row],[NUM ECONOMICO]],MAQUINARIA!B:H,7,0), " MAQ")</f>
        <v>INACTIVA</v>
      </c>
      <c r="H1133" s="362" t="s">
        <v>1331</v>
      </c>
      <c r="I1133" s="363" t="s">
        <v>329</v>
      </c>
      <c r="J1133" s="358" t="s">
        <v>1961</v>
      </c>
      <c r="K1133" s="358">
        <v>1</v>
      </c>
      <c r="L1133" s="364">
        <v>209.61</v>
      </c>
      <c r="M1133" s="364">
        <f t="shared" si="21"/>
        <v>209.61</v>
      </c>
      <c r="N1133" s="41" t="s">
        <v>1990</v>
      </c>
      <c r="O1133" s="358"/>
      <c r="P1133" s="365">
        <f>Tabla3[[#This Row],[COSTO UNITARIO DOLARES EN HAWTHORNE]]*Tabla3[[#This Row],[CANTIDAD SOLICTADA]]</f>
        <v>0</v>
      </c>
      <c r="Q1133" s="41"/>
      <c r="R1133" s="229"/>
      <c r="S1133" s="229">
        <f>+Tabla3[[#This Row],[COSTO UNITARIO DOLARES CTP]]*Tabla3[[#This Row],[CANTIDAD SOLICTADA]]</f>
        <v>0</v>
      </c>
      <c r="T1133" s="41"/>
      <c r="U1133" s="370" t="s">
        <v>5</v>
      </c>
      <c r="V1133" s="360" t="s">
        <v>1993</v>
      </c>
      <c r="W1133" s="366"/>
      <c r="X1133" s="359"/>
      <c r="Y1133" s="358"/>
      <c r="Z1133" s="360"/>
      <c r="AA1133" s="360"/>
      <c r="AB1133" s="360"/>
      <c r="AC1133" s="360"/>
      <c r="AD1133" s="360"/>
      <c r="AE1133" s="360"/>
      <c r="AF1133" s="16"/>
      <c r="AG1133" s="367" t="s">
        <v>1992</v>
      </c>
    </row>
    <row r="1134" spans="1:33" ht="15.75" thickBot="1" x14ac:dyDescent="0.3">
      <c r="A1134" s="356">
        <v>144</v>
      </c>
      <c r="B1134" s="357">
        <v>46210</v>
      </c>
      <c r="C1134" s="358" t="s">
        <v>87</v>
      </c>
      <c r="D1134" s="359"/>
      <c r="E1134" s="360"/>
      <c r="F1134" s="361"/>
      <c r="G1134" s="213" t="str">
        <f>IFERROR(VLOOKUP(Tabla3[[#This Row],[NUM ECONOMICO]],MAQUINARIA!B:H,7,0), " MAQ")</f>
        <v>INACTIVA</v>
      </c>
      <c r="H1134" s="362" t="s">
        <v>1331</v>
      </c>
      <c r="I1134" s="363" t="s">
        <v>1937</v>
      </c>
      <c r="J1134" s="358" t="s">
        <v>1980</v>
      </c>
      <c r="K1134" s="358">
        <v>1</v>
      </c>
      <c r="L1134" s="364">
        <v>42353.91</v>
      </c>
      <c r="M1134" s="364">
        <f t="shared" si="21"/>
        <v>42353.91</v>
      </c>
      <c r="N1134" s="41" t="s">
        <v>1990</v>
      </c>
      <c r="O1134" s="358"/>
      <c r="P1134" s="365">
        <f>Tabla3[[#This Row],[COSTO UNITARIO DOLARES EN HAWTHORNE]]*Tabla3[[#This Row],[CANTIDAD SOLICTADA]]</f>
        <v>0</v>
      </c>
      <c r="Q1134" s="41"/>
      <c r="R1134" s="229"/>
      <c r="S1134" s="229">
        <f>+Tabla3[[#This Row],[COSTO UNITARIO DOLARES CTP]]*Tabla3[[#This Row],[CANTIDAD SOLICTADA]]</f>
        <v>0</v>
      </c>
      <c r="T1134" s="41"/>
      <c r="U1134" s="370" t="s">
        <v>5</v>
      </c>
      <c r="V1134" s="360" t="s">
        <v>1993</v>
      </c>
      <c r="W1134" s="366"/>
      <c r="X1134" s="359"/>
      <c r="Y1134" s="358"/>
      <c r="Z1134" s="360"/>
      <c r="AA1134" s="360"/>
      <c r="AB1134" s="360"/>
      <c r="AC1134" s="360"/>
      <c r="AD1134" s="360"/>
      <c r="AE1134" s="360"/>
      <c r="AF1134" s="16"/>
      <c r="AG1134" s="367" t="s">
        <v>1992</v>
      </c>
    </row>
    <row r="1135" spans="1:33" ht="15.75" thickBot="1" x14ac:dyDescent="0.3">
      <c r="A1135" s="356">
        <v>144</v>
      </c>
      <c r="B1135" s="357">
        <v>46210</v>
      </c>
      <c r="C1135" s="358" t="s">
        <v>87</v>
      </c>
      <c r="D1135" s="359"/>
      <c r="E1135" s="360"/>
      <c r="F1135" s="361"/>
      <c r="G1135" s="213" t="str">
        <f>IFERROR(VLOOKUP(Tabla3[[#This Row],[NUM ECONOMICO]],MAQUINARIA!B:H,7,0), " MAQ")</f>
        <v>INACTIVA</v>
      </c>
      <c r="H1135" s="362" t="s">
        <v>1331</v>
      </c>
      <c r="I1135" s="363" t="s">
        <v>1938</v>
      </c>
      <c r="J1135" s="358" t="s">
        <v>1979</v>
      </c>
      <c r="K1135" s="358">
        <v>1</v>
      </c>
      <c r="L1135" s="364">
        <v>464.15</v>
      </c>
      <c r="M1135" s="364">
        <f t="shared" si="21"/>
        <v>464.15</v>
      </c>
      <c r="N1135" s="41" t="s">
        <v>1990</v>
      </c>
      <c r="O1135" s="358"/>
      <c r="P1135" s="365">
        <f>Tabla3[[#This Row],[COSTO UNITARIO DOLARES EN HAWTHORNE]]*Tabla3[[#This Row],[CANTIDAD SOLICTADA]]</f>
        <v>0</v>
      </c>
      <c r="Q1135" s="41"/>
      <c r="R1135" s="229"/>
      <c r="S1135" s="229">
        <f>+Tabla3[[#This Row],[COSTO UNITARIO DOLARES CTP]]*Tabla3[[#This Row],[CANTIDAD SOLICTADA]]</f>
        <v>0</v>
      </c>
      <c r="T1135" s="41"/>
      <c r="U1135" s="370" t="s">
        <v>5</v>
      </c>
      <c r="V1135" s="360" t="s">
        <v>1993</v>
      </c>
      <c r="W1135" s="366"/>
      <c r="X1135" s="359"/>
      <c r="Y1135" s="358"/>
      <c r="Z1135" s="360"/>
      <c r="AA1135" s="360"/>
      <c r="AB1135" s="360"/>
      <c r="AC1135" s="360"/>
      <c r="AD1135" s="360"/>
      <c r="AE1135" s="360"/>
      <c r="AF1135" s="16"/>
      <c r="AG1135" s="367" t="s">
        <v>1992</v>
      </c>
    </row>
    <row r="1136" spans="1:33" ht="15.75" thickBot="1" x14ac:dyDescent="0.3">
      <c r="A1136" s="356">
        <v>144</v>
      </c>
      <c r="B1136" s="357">
        <v>46210</v>
      </c>
      <c r="C1136" s="358" t="s">
        <v>87</v>
      </c>
      <c r="D1136" s="359"/>
      <c r="E1136" s="360"/>
      <c r="F1136" s="361"/>
      <c r="G1136" s="213" t="str">
        <f>IFERROR(VLOOKUP(Tabla3[[#This Row],[NUM ECONOMICO]],MAQUINARIA!B:H,7,0), " MAQ")</f>
        <v>INACTIVA</v>
      </c>
      <c r="H1136" s="362" t="s">
        <v>1331</v>
      </c>
      <c r="I1136" s="363" t="s">
        <v>1939</v>
      </c>
      <c r="J1136" s="358" t="s">
        <v>1979</v>
      </c>
      <c r="K1136" s="358">
        <v>1</v>
      </c>
      <c r="L1136" s="364">
        <v>85.38</v>
      </c>
      <c r="M1136" s="364">
        <f t="shared" si="21"/>
        <v>85.38</v>
      </c>
      <c r="N1136" s="41" t="s">
        <v>1990</v>
      </c>
      <c r="O1136" s="358"/>
      <c r="P1136" s="365">
        <f>Tabla3[[#This Row],[COSTO UNITARIO DOLARES EN HAWTHORNE]]*Tabla3[[#This Row],[CANTIDAD SOLICTADA]]</f>
        <v>0</v>
      </c>
      <c r="Q1136" s="41"/>
      <c r="R1136" s="229"/>
      <c r="S1136" s="229">
        <f>+Tabla3[[#This Row],[COSTO UNITARIO DOLARES CTP]]*Tabla3[[#This Row],[CANTIDAD SOLICTADA]]</f>
        <v>0</v>
      </c>
      <c r="T1136" s="41"/>
      <c r="U1136" s="370" t="s">
        <v>5</v>
      </c>
      <c r="V1136" s="360" t="s">
        <v>1993</v>
      </c>
      <c r="W1136" s="366"/>
      <c r="X1136" s="359"/>
      <c r="Y1136" s="358"/>
      <c r="Z1136" s="360"/>
      <c r="AA1136" s="360"/>
      <c r="AB1136" s="360"/>
      <c r="AC1136" s="360"/>
      <c r="AD1136" s="360"/>
      <c r="AE1136" s="360"/>
      <c r="AF1136" s="16"/>
      <c r="AG1136" s="367" t="s">
        <v>1992</v>
      </c>
    </row>
    <row r="1137" spans="1:33" ht="15.75" thickBot="1" x14ac:dyDescent="0.3">
      <c r="A1137" s="356">
        <v>144</v>
      </c>
      <c r="B1137" s="357">
        <v>46210</v>
      </c>
      <c r="C1137" s="358" t="s">
        <v>87</v>
      </c>
      <c r="D1137" s="359"/>
      <c r="E1137" s="360"/>
      <c r="F1137" s="361"/>
      <c r="G1137" s="213" t="str">
        <f>IFERROR(VLOOKUP(Tabla3[[#This Row],[NUM ECONOMICO]],MAQUINARIA!B:H,7,0), " MAQ")</f>
        <v>INACTIVA</v>
      </c>
      <c r="H1137" s="362" t="s">
        <v>1331</v>
      </c>
      <c r="I1137" s="363" t="s">
        <v>1940</v>
      </c>
      <c r="J1137" s="358" t="s">
        <v>1979</v>
      </c>
      <c r="K1137" s="358">
        <v>1</v>
      </c>
      <c r="L1137" s="364">
        <v>56.74</v>
      </c>
      <c r="M1137" s="364">
        <f t="shared" si="21"/>
        <v>56.74</v>
      </c>
      <c r="N1137" s="41" t="s">
        <v>1990</v>
      </c>
      <c r="O1137" s="358"/>
      <c r="P1137" s="365">
        <f>Tabla3[[#This Row],[COSTO UNITARIO DOLARES EN HAWTHORNE]]*Tabla3[[#This Row],[CANTIDAD SOLICTADA]]</f>
        <v>0</v>
      </c>
      <c r="Q1137" s="41"/>
      <c r="R1137" s="229"/>
      <c r="S1137" s="229">
        <f>+Tabla3[[#This Row],[COSTO UNITARIO DOLARES CTP]]*Tabla3[[#This Row],[CANTIDAD SOLICTADA]]</f>
        <v>0</v>
      </c>
      <c r="T1137" s="41"/>
      <c r="U1137" s="370" t="s">
        <v>5</v>
      </c>
      <c r="V1137" s="360" t="s">
        <v>1993</v>
      </c>
      <c r="W1137" s="366"/>
      <c r="X1137" s="359"/>
      <c r="Y1137" s="358"/>
      <c r="Z1137" s="360"/>
      <c r="AA1137" s="360"/>
      <c r="AB1137" s="360"/>
      <c r="AC1137" s="360"/>
      <c r="AD1137" s="360"/>
      <c r="AE1137" s="360"/>
      <c r="AF1137" s="16"/>
      <c r="AG1137" s="367" t="s">
        <v>1992</v>
      </c>
    </row>
    <row r="1138" spans="1:33" ht="15.75" thickBot="1" x14ac:dyDescent="0.3">
      <c r="A1138" s="356">
        <v>144</v>
      </c>
      <c r="B1138" s="357">
        <v>46210</v>
      </c>
      <c r="C1138" s="358" t="s">
        <v>87</v>
      </c>
      <c r="D1138" s="359"/>
      <c r="E1138" s="360"/>
      <c r="F1138" s="361"/>
      <c r="G1138" s="213" t="str">
        <f>IFERROR(VLOOKUP(Tabla3[[#This Row],[NUM ECONOMICO]],MAQUINARIA!B:H,7,0), " MAQ")</f>
        <v>INACTIVA</v>
      </c>
      <c r="H1138" s="362" t="s">
        <v>1331</v>
      </c>
      <c r="I1138" s="363" t="s">
        <v>1941</v>
      </c>
      <c r="J1138" s="358" t="s">
        <v>1979</v>
      </c>
      <c r="K1138" s="358">
        <v>1</v>
      </c>
      <c r="L1138" s="364">
        <v>280.85000000000002</v>
      </c>
      <c r="M1138" s="364">
        <f t="shared" si="21"/>
        <v>280.85000000000002</v>
      </c>
      <c r="N1138" s="41" t="s">
        <v>1990</v>
      </c>
      <c r="O1138" s="358"/>
      <c r="P1138" s="365">
        <f>Tabla3[[#This Row],[COSTO UNITARIO DOLARES EN HAWTHORNE]]*Tabla3[[#This Row],[CANTIDAD SOLICTADA]]</f>
        <v>0</v>
      </c>
      <c r="Q1138" s="41"/>
      <c r="R1138" s="229"/>
      <c r="S1138" s="229">
        <f>+Tabla3[[#This Row],[COSTO UNITARIO DOLARES CTP]]*Tabla3[[#This Row],[CANTIDAD SOLICTADA]]</f>
        <v>0</v>
      </c>
      <c r="T1138" s="41"/>
      <c r="U1138" s="370" t="s">
        <v>5</v>
      </c>
      <c r="V1138" s="360" t="s">
        <v>1993</v>
      </c>
      <c r="W1138" s="366"/>
      <c r="X1138" s="359"/>
      <c r="Y1138" s="358"/>
      <c r="Z1138" s="360"/>
      <c r="AA1138" s="360"/>
      <c r="AB1138" s="360"/>
      <c r="AC1138" s="360"/>
      <c r="AD1138" s="360"/>
      <c r="AE1138" s="360"/>
      <c r="AF1138" s="16"/>
      <c r="AG1138" s="367" t="s">
        <v>1992</v>
      </c>
    </row>
    <row r="1139" spans="1:33" ht="15.75" thickBot="1" x14ac:dyDescent="0.3">
      <c r="A1139" s="356">
        <v>144</v>
      </c>
      <c r="B1139" s="357">
        <v>46210</v>
      </c>
      <c r="C1139" s="358" t="s">
        <v>87</v>
      </c>
      <c r="D1139" s="359"/>
      <c r="E1139" s="360"/>
      <c r="F1139" s="361"/>
      <c r="G1139" s="213" t="str">
        <f>IFERROR(VLOOKUP(Tabla3[[#This Row],[NUM ECONOMICO]],MAQUINARIA!B:H,7,0), " MAQ")</f>
        <v>INACTIVA</v>
      </c>
      <c r="H1139" s="362" t="s">
        <v>1331</v>
      </c>
      <c r="I1139" s="363" t="s">
        <v>1942</v>
      </c>
      <c r="J1139" s="358" t="s">
        <v>1809</v>
      </c>
      <c r="K1139" s="358">
        <v>2</v>
      </c>
      <c r="L1139" s="364">
        <v>1160.0999999999999</v>
      </c>
      <c r="M1139" s="364">
        <f t="shared" si="21"/>
        <v>2320.1999999999998</v>
      </c>
      <c r="N1139" s="41" t="s">
        <v>1990</v>
      </c>
      <c r="O1139" s="358"/>
      <c r="P1139" s="365">
        <f>Tabla3[[#This Row],[COSTO UNITARIO DOLARES EN HAWTHORNE]]*Tabla3[[#This Row],[CANTIDAD SOLICTADA]]</f>
        <v>0</v>
      </c>
      <c r="Q1139" s="41"/>
      <c r="R1139" s="229"/>
      <c r="S1139" s="229">
        <f>+Tabla3[[#This Row],[COSTO UNITARIO DOLARES CTP]]*Tabla3[[#This Row],[CANTIDAD SOLICTADA]]</f>
        <v>0</v>
      </c>
      <c r="T1139" s="41"/>
      <c r="U1139" s="370" t="s">
        <v>5</v>
      </c>
      <c r="V1139" s="360" t="s">
        <v>1993</v>
      </c>
      <c r="W1139" s="366"/>
      <c r="X1139" s="359"/>
      <c r="Y1139" s="358"/>
      <c r="Z1139" s="360"/>
      <c r="AA1139" s="360"/>
      <c r="AB1139" s="360"/>
      <c r="AC1139" s="360"/>
      <c r="AD1139" s="360"/>
      <c r="AE1139" s="360"/>
      <c r="AF1139" s="16"/>
      <c r="AG1139" s="367" t="s">
        <v>1992</v>
      </c>
    </row>
    <row r="1140" spans="1:33" ht="15.75" thickBot="1" x14ac:dyDescent="0.3">
      <c r="A1140" s="356">
        <v>144</v>
      </c>
      <c r="B1140" s="357">
        <v>46210</v>
      </c>
      <c r="C1140" s="358" t="s">
        <v>87</v>
      </c>
      <c r="D1140" s="359"/>
      <c r="E1140" s="360"/>
      <c r="F1140" s="361"/>
      <c r="G1140" s="213" t="str">
        <f>IFERROR(VLOOKUP(Tabla3[[#This Row],[NUM ECONOMICO]],MAQUINARIA!B:H,7,0), " MAQ")</f>
        <v>INACTIVA</v>
      </c>
      <c r="H1140" s="362" t="s">
        <v>1331</v>
      </c>
      <c r="I1140" s="363" t="s">
        <v>1943</v>
      </c>
      <c r="J1140" s="358" t="s">
        <v>1981</v>
      </c>
      <c r="K1140" s="358">
        <v>1</v>
      </c>
      <c r="L1140" s="364">
        <v>16391.21</v>
      </c>
      <c r="M1140" s="364">
        <f t="shared" si="21"/>
        <v>16391.21</v>
      </c>
      <c r="N1140" s="41" t="s">
        <v>1990</v>
      </c>
      <c r="O1140" s="358"/>
      <c r="P1140" s="365">
        <f>Tabla3[[#This Row],[COSTO UNITARIO DOLARES EN HAWTHORNE]]*Tabla3[[#This Row],[CANTIDAD SOLICTADA]]</f>
        <v>0</v>
      </c>
      <c r="Q1140" s="41"/>
      <c r="R1140" s="229"/>
      <c r="S1140" s="229">
        <f>+Tabla3[[#This Row],[COSTO UNITARIO DOLARES CTP]]*Tabla3[[#This Row],[CANTIDAD SOLICTADA]]</f>
        <v>0</v>
      </c>
      <c r="T1140" s="41"/>
      <c r="U1140" s="370" t="s">
        <v>5</v>
      </c>
      <c r="V1140" s="360" t="s">
        <v>1993</v>
      </c>
      <c r="W1140" s="366"/>
      <c r="X1140" s="359"/>
      <c r="Y1140" s="358"/>
      <c r="Z1140" s="360"/>
      <c r="AA1140" s="360"/>
      <c r="AB1140" s="360"/>
      <c r="AC1140" s="360"/>
      <c r="AD1140" s="360"/>
      <c r="AE1140" s="360"/>
      <c r="AF1140" s="16"/>
      <c r="AG1140" s="367" t="s">
        <v>1992</v>
      </c>
    </row>
    <row r="1141" spans="1:33" ht="15.75" thickBot="1" x14ac:dyDescent="0.3">
      <c r="A1141" s="356">
        <v>144</v>
      </c>
      <c r="B1141" s="357">
        <v>46210</v>
      </c>
      <c r="C1141" s="358" t="s">
        <v>87</v>
      </c>
      <c r="D1141" s="359"/>
      <c r="E1141" s="360"/>
      <c r="F1141" s="361"/>
      <c r="G1141" s="213" t="str">
        <f>IFERROR(VLOOKUP(Tabla3[[#This Row],[NUM ECONOMICO]],MAQUINARIA!B:H,7,0), " MAQ")</f>
        <v>INACTIVA</v>
      </c>
      <c r="H1141" s="362" t="s">
        <v>1331</v>
      </c>
      <c r="I1141" s="363" t="s">
        <v>1944</v>
      </c>
      <c r="J1141" s="358" t="s">
        <v>650</v>
      </c>
      <c r="K1141" s="358">
        <v>1</v>
      </c>
      <c r="L1141" s="364">
        <v>721.19</v>
      </c>
      <c r="M1141" s="364">
        <f t="shared" si="21"/>
        <v>721.19</v>
      </c>
      <c r="N1141" s="41" t="s">
        <v>1990</v>
      </c>
      <c r="O1141" s="358"/>
      <c r="P1141" s="365">
        <f>Tabla3[[#This Row],[COSTO UNITARIO DOLARES EN HAWTHORNE]]*Tabla3[[#This Row],[CANTIDAD SOLICTADA]]</f>
        <v>0</v>
      </c>
      <c r="Q1141" s="41"/>
      <c r="R1141" s="229"/>
      <c r="S1141" s="229">
        <f>+Tabla3[[#This Row],[COSTO UNITARIO DOLARES CTP]]*Tabla3[[#This Row],[CANTIDAD SOLICTADA]]</f>
        <v>0</v>
      </c>
      <c r="T1141" s="41"/>
      <c r="U1141" s="370" t="s">
        <v>5</v>
      </c>
      <c r="V1141" s="360" t="s">
        <v>1993</v>
      </c>
      <c r="W1141" s="366"/>
      <c r="X1141" s="359"/>
      <c r="Y1141" s="358"/>
      <c r="Z1141" s="360"/>
      <c r="AA1141" s="360"/>
      <c r="AB1141" s="360"/>
      <c r="AC1141" s="360"/>
      <c r="AD1141" s="360"/>
      <c r="AE1141" s="360"/>
      <c r="AF1141" s="16"/>
      <c r="AG1141" s="367" t="s">
        <v>1992</v>
      </c>
    </row>
    <row r="1142" spans="1:33" ht="15.75" thickBot="1" x14ac:dyDescent="0.3">
      <c r="A1142" s="356">
        <v>144</v>
      </c>
      <c r="B1142" s="357">
        <v>46210</v>
      </c>
      <c r="C1142" s="358" t="s">
        <v>87</v>
      </c>
      <c r="D1142" s="359"/>
      <c r="E1142" s="360"/>
      <c r="F1142" s="361"/>
      <c r="G1142" s="213" t="str">
        <f>IFERROR(VLOOKUP(Tabla3[[#This Row],[NUM ECONOMICO]],MAQUINARIA!B:H,7,0), " MAQ")</f>
        <v>INACTIVA</v>
      </c>
      <c r="H1142" s="362" t="s">
        <v>1331</v>
      </c>
      <c r="I1142" s="363" t="s">
        <v>1945</v>
      </c>
      <c r="J1142" s="358" t="s">
        <v>1982</v>
      </c>
      <c r="K1142" s="358">
        <v>1</v>
      </c>
      <c r="L1142" s="364">
        <v>202.09</v>
      </c>
      <c r="M1142" s="364">
        <f t="shared" si="21"/>
        <v>202.09</v>
      </c>
      <c r="N1142" s="41" t="s">
        <v>1990</v>
      </c>
      <c r="O1142" s="358"/>
      <c r="P1142" s="365">
        <f>Tabla3[[#This Row],[COSTO UNITARIO DOLARES EN HAWTHORNE]]*Tabla3[[#This Row],[CANTIDAD SOLICTADA]]</f>
        <v>0</v>
      </c>
      <c r="Q1142" s="41"/>
      <c r="R1142" s="229"/>
      <c r="S1142" s="229">
        <f>+Tabla3[[#This Row],[COSTO UNITARIO DOLARES CTP]]*Tabla3[[#This Row],[CANTIDAD SOLICTADA]]</f>
        <v>0</v>
      </c>
      <c r="T1142" s="41"/>
      <c r="U1142" s="370" t="s">
        <v>5</v>
      </c>
      <c r="V1142" s="360" t="s">
        <v>1993</v>
      </c>
      <c r="W1142" s="366"/>
      <c r="X1142" s="359"/>
      <c r="Y1142" s="358"/>
      <c r="Z1142" s="360"/>
      <c r="AA1142" s="360"/>
      <c r="AB1142" s="360"/>
      <c r="AC1142" s="360"/>
      <c r="AD1142" s="360"/>
      <c r="AE1142" s="360"/>
      <c r="AF1142" s="16"/>
      <c r="AG1142" s="367" t="s">
        <v>1992</v>
      </c>
    </row>
    <row r="1143" spans="1:33" ht="15.75" thickBot="1" x14ac:dyDescent="0.3">
      <c r="A1143" s="356">
        <v>144</v>
      </c>
      <c r="B1143" s="357">
        <v>46210</v>
      </c>
      <c r="C1143" s="358" t="s">
        <v>87</v>
      </c>
      <c r="D1143" s="359"/>
      <c r="E1143" s="360"/>
      <c r="F1143" s="361"/>
      <c r="G1143" s="213" t="str">
        <f>IFERROR(VLOOKUP(Tabla3[[#This Row],[NUM ECONOMICO]],MAQUINARIA!B:H,7,0), " MAQ")</f>
        <v>INACTIVA</v>
      </c>
      <c r="H1143" s="362" t="s">
        <v>1331</v>
      </c>
      <c r="I1143" s="363" t="s">
        <v>1946</v>
      </c>
      <c r="J1143" s="358" t="s">
        <v>1979</v>
      </c>
      <c r="K1143" s="358">
        <v>1</v>
      </c>
      <c r="L1143" s="364">
        <v>398.45</v>
      </c>
      <c r="M1143" s="364">
        <f t="shared" si="21"/>
        <v>398.45</v>
      </c>
      <c r="N1143" s="41" t="s">
        <v>1990</v>
      </c>
      <c r="O1143" s="358"/>
      <c r="P1143" s="365">
        <f>Tabla3[[#This Row],[COSTO UNITARIO DOLARES EN HAWTHORNE]]*Tabla3[[#This Row],[CANTIDAD SOLICTADA]]</f>
        <v>0</v>
      </c>
      <c r="Q1143" s="41"/>
      <c r="R1143" s="229"/>
      <c r="S1143" s="229">
        <f>+Tabla3[[#This Row],[COSTO UNITARIO DOLARES CTP]]*Tabla3[[#This Row],[CANTIDAD SOLICTADA]]</f>
        <v>0</v>
      </c>
      <c r="T1143" s="41"/>
      <c r="U1143" s="370" t="s">
        <v>5</v>
      </c>
      <c r="V1143" s="360" t="s">
        <v>1993</v>
      </c>
      <c r="W1143" s="366"/>
      <c r="X1143" s="359"/>
      <c r="Y1143" s="358"/>
      <c r="Z1143" s="360"/>
      <c r="AA1143" s="360"/>
      <c r="AB1143" s="360"/>
      <c r="AC1143" s="360"/>
      <c r="AD1143" s="360"/>
      <c r="AE1143" s="360"/>
      <c r="AF1143" s="16"/>
      <c r="AG1143" s="367" t="s">
        <v>1992</v>
      </c>
    </row>
    <row r="1144" spans="1:33" ht="15.75" thickBot="1" x14ac:dyDescent="0.3">
      <c r="A1144" s="356">
        <v>144</v>
      </c>
      <c r="B1144" s="357">
        <v>46210</v>
      </c>
      <c r="C1144" s="358" t="s">
        <v>87</v>
      </c>
      <c r="D1144" s="359"/>
      <c r="E1144" s="360"/>
      <c r="F1144" s="361"/>
      <c r="G1144" s="213" t="str">
        <f>IFERROR(VLOOKUP(Tabla3[[#This Row],[NUM ECONOMICO]],MAQUINARIA!B:H,7,0), " MAQ")</f>
        <v>INACTIVA</v>
      </c>
      <c r="H1144" s="362" t="s">
        <v>1331</v>
      </c>
      <c r="I1144" s="363" t="s">
        <v>1947</v>
      </c>
      <c r="J1144" s="358" t="s">
        <v>650</v>
      </c>
      <c r="K1144" s="358">
        <v>1</v>
      </c>
      <c r="L1144" s="364">
        <v>1605.63</v>
      </c>
      <c r="M1144" s="364">
        <f t="shared" si="21"/>
        <v>1605.63</v>
      </c>
      <c r="N1144" s="41" t="s">
        <v>1990</v>
      </c>
      <c r="O1144" s="358"/>
      <c r="P1144" s="365">
        <f>Tabla3[[#This Row],[COSTO UNITARIO DOLARES EN HAWTHORNE]]*Tabla3[[#This Row],[CANTIDAD SOLICTADA]]</f>
        <v>0</v>
      </c>
      <c r="Q1144" s="41"/>
      <c r="R1144" s="229"/>
      <c r="S1144" s="229">
        <f>+Tabla3[[#This Row],[COSTO UNITARIO DOLARES CTP]]*Tabla3[[#This Row],[CANTIDAD SOLICTADA]]</f>
        <v>0</v>
      </c>
      <c r="T1144" s="41"/>
      <c r="U1144" s="370" t="s">
        <v>5</v>
      </c>
      <c r="V1144" s="360" t="s">
        <v>1993</v>
      </c>
      <c r="W1144" s="366"/>
      <c r="X1144" s="359"/>
      <c r="Y1144" s="358"/>
      <c r="Z1144" s="360"/>
      <c r="AA1144" s="360"/>
      <c r="AB1144" s="360"/>
      <c r="AC1144" s="360"/>
      <c r="AD1144" s="360"/>
      <c r="AE1144" s="360"/>
      <c r="AF1144" s="16"/>
      <c r="AG1144" s="367" t="s">
        <v>1992</v>
      </c>
    </row>
    <row r="1145" spans="1:33" ht="15.75" thickBot="1" x14ac:dyDescent="0.3">
      <c r="A1145" s="356">
        <v>144</v>
      </c>
      <c r="B1145" s="357">
        <v>46210</v>
      </c>
      <c r="C1145" s="358" t="s">
        <v>87</v>
      </c>
      <c r="D1145" s="359"/>
      <c r="E1145" s="360"/>
      <c r="F1145" s="361"/>
      <c r="G1145" s="213" t="str">
        <f>IFERROR(VLOOKUP(Tabla3[[#This Row],[NUM ECONOMICO]],MAQUINARIA!B:H,7,0), " MAQ")</f>
        <v>INACTIVA</v>
      </c>
      <c r="H1145" s="362" t="s">
        <v>1331</v>
      </c>
      <c r="I1145" s="363" t="s">
        <v>1948</v>
      </c>
      <c r="J1145" s="358" t="s">
        <v>1983</v>
      </c>
      <c r="K1145" s="358">
        <v>1</v>
      </c>
      <c r="L1145" s="364">
        <v>1397.99</v>
      </c>
      <c r="M1145" s="364">
        <f t="shared" si="21"/>
        <v>1397.99</v>
      </c>
      <c r="N1145" s="41" t="s">
        <v>1990</v>
      </c>
      <c r="O1145" s="358"/>
      <c r="P1145" s="365">
        <f>Tabla3[[#This Row],[COSTO UNITARIO DOLARES EN HAWTHORNE]]*Tabla3[[#This Row],[CANTIDAD SOLICTADA]]</f>
        <v>0</v>
      </c>
      <c r="Q1145" s="41"/>
      <c r="R1145" s="229"/>
      <c r="S1145" s="229">
        <f>+Tabla3[[#This Row],[COSTO UNITARIO DOLARES CTP]]*Tabla3[[#This Row],[CANTIDAD SOLICTADA]]</f>
        <v>0</v>
      </c>
      <c r="T1145" s="41"/>
      <c r="U1145" s="370" t="s">
        <v>5</v>
      </c>
      <c r="V1145" s="360" t="s">
        <v>1993</v>
      </c>
      <c r="W1145" s="366"/>
      <c r="X1145" s="359"/>
      <c r="Y1145" s="358"/>
      <c r="Z1145" s="360"/>
      <c r="AA1145" s="360"/>
      <c r="AB1145" s="360"/>
      <c r="AC1145" s="360"/>
      <c r="AD1145" s="360"/>
      <c r="AE1145" s="360"/>
      <c r="AF1145" s="16"/>
      <c r="AG1145" s="367" t="s">
        <v>1992</v>
      </c>
    </row>
    <row r="1146" spans="1:33" ht="15.75" thickBot="1" x14ac:dyDescent="0.3">
      <c r="A1146" s="356">
        <v>144</v>
      </c>
      <c r="B1146" s="357">
        <v>46210</v>
      </c>
      <c r="C1146" s="358" t="s">
        <v>87</v>
      </c>
      <c r="D1146" s="359"/>
      <c r="E1146" s="360"/>
      <c r="F1146" s="361"/>
      <c r="G1146" s="213" t="str">
        <f>IFERROR(VLOOKUP(Tabla3[[#This Row],[NUM ECONOMICO]],MAQUINARIA!B:H,7,0), " MAQ")</f>
        <v>INACTIVA</v>
      </c>
      <c r="H1146" s="362" t="s">
        <v>1331</v>
      </c>
      <c r="I1146" s="363" t="s">
        <v>1949</v>
      </c>
      <c r="J1146" s="358" t="s">
        <v>1984</v>
      </c>
      <c r="K1146" s="358">
        <v>1</v>
      </c>
      <c r="L1146" s="364">
        <v>45101.2</v>
      </c>
      <c r="M1146" s="364">
        <f t="shared" si="21"/>
        <v>45101.2</v>
      </c>
      <c r="N1146" s="41" t="s">
        <v>1990</v>
      </c>
      <c r="O1146" s="358"/>
      <c r="P1146" s="365">
        <f>Tabla3[[#This Row],[COSTO UNITARIO DOLARES EN HAWTHORNE]]*Tabla3[[#This Row],[CANTIDAD SOLICTADA]]</f>
        <v>0</v>
      </c>
      <c r="Q1146" s="41"/>
      <c r="R1146" s="229"/>
      <c r="S1146" s="229">
        <f>+Tabla3[[#This Row],[COSTO UNITARIO DOLARES CTP]]*Tabla3[[#This Row],[CANTIDAD SOLICTADA]]</f>
        <v>0</v>
      </c>
      <c r="T1146" s="41"/>
      <c r="U1146" s="370" t="s">
        <v>5</v>
      </c>
      <c r="V1146" s="360" t="s">
        <v>1993</v>
      </c>
      <c r="W1146" s="366"/>
      <c r="X1146" s="359"/>
      <c r="Y1146" s="358"/>
      <c r="Z1146" s="360"/>
      <c r="AA1146" s="360"/>
      <c r="AB1146" s="360"/>
      <c r="AC1146" s="360"/>
      <c r="AD1146" s="360"/>
      <c r="AE1146" s="360"/>
      <c r="AF1146" s="16"/>
      <c r="AG1146" s="367" t="s">
        <v>1992</v>
      </c>
    </row>
    <row r="1147" spans="1:33" ht="15.75" thickBot="1" x14ac:dyDescent="0.3">
      <c r="A1147" s="356">
        <v>144</v>
      </c>
      <c r="B1147" s="357">
        <v>46210</v>
      </c>
      <c r="C1147" s="358" t="s">
        <v>87</v>
      </c>
      <c r="D1147" s="359"/>
      <c r="E1147" s="360"/>
      <c r="F1147" s="361"/>
      <c r="G1147" s="213" t="str">
        <f>IFERROR(VLOOKUP(Tabla3[[#This Row],[NUM ECONOMICO]],MAQUINARIA!B:H,7,0), " MAQ")</f>
        <v>INACTIVA</v>
      </c>
      <c r="H1147" s="362" t="s">
        <v>1331</v>
      </c>
      <c r="I1147" s="363" t="s">
        <v>1950</v>
      </c>
      <c r="J1147" s="358" t="s">
        <v>670</v>
      </c>
      <c r="K1147" s="358">
        <v>11</v>
      </c>
      <c r="L1147" s="364">
        <v>171.48</v>
      </c>
      <c r="M1147" s="364">
        <f t="shared" si="21"/>
        <v>1886.28</v>
      </c>
      <c r="N1147" s="41" t="s">
        <v>1990</v>
      </c>
      <c r="O1147" s="358"/>
      <c r="P1147" s="365">
        <f>Tabla3[[#This Row],[COSTO UNITARIO DOLARES EN HAWTHORNE]]*Tabla3[[#This Row],[CANTIDAD SOLICTADA]]</f>
        <v>0</v>
      </c>
      <c r="Q1147" s="41"/>
      <c r="R1147" s="229"/>
      <c r="S1147" s="229">
        <f>+Tabla3[[#This Row],[COSTO UNITARIO DOLARES CTP]]*Tabla3[[#This Row],[CANTIDAD SOLICTADA]]</f>
        <v>0</v>
      </c>
      <c r="T1147" s="41"/>
      <c r="U1147" s="370" t="s">
        <v>5</v>
      </c>
      <c r="V1147" s="360" t="s">
        <v>1993</v>
      </c>
      <c r="W1147" s="366"/>
      <c r="X1147" s="359"/>
      <c r="Y1147" s="358"/>
      <c r="Z1147" s="360"/>
      <c r="AA1147" s="360"/>
      <c r="AB1147" s="360"/>
      <c r="AC1147" s="360"/>
      <c r="AD1147" s="360"/>
      <c r="AE1147" s="360"/>
      <c r="AF1147" s="16"/>
      <c r="AG1147" s="367" t="s">
        <v>1992</v>
      </c>
    </row>
    <row r="1148" spans="1:33" ht="15.75" thickBot="1" x14ac:dyDescent="0.3">
      <c r="A1148" s="356">
        <v>144</v>
      </c>
      <c r="B1148" s="357">
        <v>46210</v>
      </c>
      <c r="C1148" s="358" t="s">
        <v>87</v>
      </c>
      <c r="D1148" s="359"/>
      <c r="E1148" s="360"/>
      <c r="F1148" s="361"/>
      <c r="G1148" s="213" t="str">
        <f>IFERROR(VLOOKUP(Tabla3[[#This Row],[NUM ECONOMICO]],MAQUINARIA!B:H,7,0), " MAQ")</f>
        <v>INACTIVA</v>
      </c>
      <c r="H1148" s="362" t="s">
        <v>1331</v>
      </c>
      <c r="I1148" s="363" t="s">
        <v>1951</v>
      </c>
      <c r="J1148" s="358" t="s">
        <v>1985</v>
      </c>
      <c r="K1148" s="358">
        <v>11</v>
      </c>
      <c r="L1148" s="364">
        <v>182.4</v>
      </c>
      <c r="M1148" s="364">
        <f t="shared" si="21"/>
        <v>2006.4</v>
      </c>
      <c r="N1148" s="41" t="s">
        <v>1990</v>
      </c>
      <c r="O1148" s="358"/>
      <c r="P1148" s="365">
        <f>Tabla3[[#This Row],[COSTO UNITARIO DOLARES EN HAWTHORNE]]*Tabla3[[#This Row],[CANTIDAD SOLICTADA]]</f>
        <v>0</v>
      </c>
      <c r="Q1148" s="41"/>
      <c r="R1148" s="229"/>
      <c r="S1148" s="229">
        <f>+Tabla3[[#This Row],[COSTO UNITARIO DOLARES CTP]]*Tabla3[[#This Row],[CANTIDAD SOLICTADA]]</f>
        <v>0</v>
      </c>
      <c r="T1148" s="41"/>
      <c r="U1148" s="370" t="s">
        <v>5</v>
      </c>
      <c r="V1148" s="360" t="s">
        <v>1993</v>
      </c>
      <c r="W1148" s="366"/>
      <c r="X1148" s="359"/>
      <c r="Y1148" s="358"/>
      <c r="Z1148" s="360"/>
      <c r="AA1148" s="360"/>
      <c r="AB1148" s="360"/>
      <c r="AC1148" s="360"/>
      <c r="AD1148" s="360"/>
      <c r="AE1148" s="360"/>
      <c r="AF1148" s="16"/>
      <c r="AG1148" s="367" t="s">
        <v>1992</v>
      </c>
    </row>
    <row r="1149" spans="1:33" ht="15.75" thickBot="1" x14ac:dyDescent="0.3">
      <c r="A1149" s="356">
        <v>144</v>
      </c>
      <c r="B1149" s="357">
        <v>46210</v>
      </c>
      <c r="C1149" s="358" t="s">
        <v>87</v>
      </c>
      <c r="D1149" s="359"/>
      <c r="E1149" s="360"/>
      <c r="F1149" s="361"/>
      <c r="G1149" s="213" t="str">
        <f>IFERROR(VLOOKUP(Tabla3[[#This Row],[NUM ECONOMICO]],MAQUINARIA!B:H,7,0), " MAQ")</f>
        <v>INACTIVA</v>
      </c>
      <c r="H1149" s="362" t="s">
        <v>1331</v>
      </c>
      <c r="I1149" s="363" t="s">
        <v>1952</v>
      </c>
      <c r="J1149" s="358" t="s">
        <v>1986</v>
      </c>
      <c r="K1149" s="358">
        <v>1</v>
      </c>
      <c r="L1149" s="364">
        <v>34357.440000000002</v>
      </c>
      <c r="M1149" s="364">
        <f t="shared" si="21"/>
        <v>34357.440000000002</v>
      </c>
      <c r="N1149" s="41" t="s">
        <v>1990</v>
      </c>
      <c r="O1149" s="358"/>
      <c r="P1149" s="365">
        <f>Tabla3[[#This Row],[COSTO UNITARIO DOLARES EN HAWTHORNE]]*Tabla3[[#This Row],[CANTIDAD SOLICTADA]]</f>
        <v>0</v>
      </c>
      <c r="Q1149" s="41"/>
      <c r="R1149" s="229"/>
      <c r="S1149" s="229">
        <f>+Tabla3[[#This Row],[COSTO UNITARIO DOLARES CTP]]*Tabla3[[#This Row],[CANTIDAD SOLICTADA]]</f>
        <v>0</v>
      </c>
      <c r="T1149" s="41"/>
      <c r="U1149" s="370" t="s">
        <v>5</v>
      </c>
      <c r="V1149" s="360" t="s">
        <v>1993</v>
      </c>
      <c r="W1149" s="366"/>
      <c r="X1149" s="359"/>
      <c r="Y1149" s="358"/>
      <c r="Z1149" s="360"/>
      <c r="AA1149" s="360"/>
      <c r="AB1149" s="360"/>
      <c r="AC1149" s="360"/>
      <c r="AD1149" s="360"/>
      <c r="AE1149" s="360"/>
      <c r="AF1149" s="16"/>
      <c r="AG1149" s="367" t="s">
        <v>1992</v>
      </c>
    </row>
    <row r="1150" spans="1:33" ht="15.75" thickBot="1" x14ac:dyDescent="0.3">
      <c r="A1150" s="356">
        <v>144</v>
      </c>
      <c r="B1150" s="357">
        <v>46210</v>
      </c>
      <c r="C1150" s="358" t="s">
        <v>87</v>
      </c>
      <c r="D1150" s="359"/>
      <c r="E1150" s="360"/>
      <c r="F1150" s="361"/>
      <c r="G1150" s="213" t="str">
        <f>IFERROR(VLOOKUP(Tabla3[[#This Row],[NUM ECONOMICO]],MAQUINARIA!B:H,7,0), " MAQ")</f>
        <v>INACTIVA</v>
      </c>
      <c r="H1150" s="362" t="s">
        <v>1331</v>
      </c>
      <c r="I1150" s="363" t="s">
        <v>1953</v>
      </c>
      <c r="J1150" s="358" t="s">
        <v>1979</v>
      </c>
      <c r="K1150" s="358">
        <v>1</v>
      </c>
      <c r="L1150" s="364">
        <v>11675.1</v>
      </c>
      <c r="M1150" s="364">
        <f t="shared" si="21"/>
        <v>11675.1</v>
      </c>
      <c r="N1150" s="41" t="s">
        <v>1990</v>
      </c>
      <c r="O1150" s="358"/>
      <c r="P1150" s="365">
        <f>Tabla3[[#This Row],[COSTO UNITARIO DOLARES EN HAWTHORNE]]*Tabla3[[#This Row],[CANTIDAD SOLICTADA]]</f>
        <v>0</v>
      </c>
      <c r="Q1150" s="41"/>
      <c r="R1150" s="229"/>
      <c r="S1150" s="229">
        <f>+Tabla3[[#This Row],[COSTO UNITARIO DOLARES CTP]]*Tabla3[[#This Row],[CANTIDAD SOLICTADA]]</f>
        <v>0</v>
      </c>
      <c r="T1150" s="41"/>
      <c r="U1150" s="370" t="s">
        <v>5</v>
      </c>
      <c r="V1150" s="360" t="s">
        <v>1993</v>
      </c>
      <c r="W1150" s="366"/>
      <c r="X1150" s="359"/>
      <c r="Y1150" s="358"/>
      <c r="Z1150" s="360"/>
      <c r="AA1150" s="360"/>
      <c r="AB1150" s="360"/>
      <c r="AC1150" s="360"/>
      <c r="AD1150" s="360"/>
      <c r="AE1150" s="360"/>
      <c r="AF1150" s="16"/>
      <c r="AG1150" s="367" t="s">
        <v>1992</v>
      </c>
    </row>
    <row r="1151" spans="1:33" ht="15.75" thickBot="1" x14ac:dyDescent="0.3">
      <c r="A1151" s="356">
        <v>144</v>
      </c>
      <c r="B1151" s="357">
        <v>46210</v>
      </c>
      <c r="C1151" s="358" t="s">
        <v>87</v>
      </c>
      <c r="D1151" s="359"/>
      <c r="E1151" s="360"/>
      <c r="F1151" s="361"/>
      <c r="G1151" s="213" t="str">
        <f>IFERROR(VLOOKUP(Tabla3[[#This Row],[NUM ECONOMICO]],MAQUINARIA!B:H,7,0), " MAQ")</f>
        <v>INACTIVA</v>
      </c>
      <c r="H1151" s="362" t="s">
        <v>1331</v>
      </c>
      <c r="I1151" s="363" t="s">
        <v>1954</v>
      </c>
      <c r="J1151" s="358" t="s">
        <v>1987</v>
      </c>
      <c r="K1151" s="358">
        <v>1</v>
      </c>
      <c r="L1151" s="364">
        <v>1236.71</v>
      </c>
      <c r="M1151" s="364">
        <f t="shared" si="21"/>
        <v>1236.71</v>
      </c>
      <c r="N1151" s="41" t="s">
        <v>1990</v>
      </c>
      <c r="O1151" s="358"/>
      <c r="P1151" s="365">
        <f>Tabla3[[#This Row],[COSTO UNITARIO DOLARES EN HAWTHORNE]]*Tabla3[[#This Row],[CANTIDAD SOLICTADA]]</f>
        <v>0</v>
      </c>
      <c r="Q1151" s="41"/>
      <c r="R1151" s="229"/>
      <c r="S1151" s="229">
        <f>+Tabla3[[#This Row],[COSTO UNITARIO DOLARES CTP]]*Tabla3[[#This Row],[CANTIDAD SOLICTADA]]</f>
        <v>0</v>
      </c>
      <c r="T1151" s="41"/>
      <c r="U1151" s="370" t="s">
        <v>5</v>
      </c>
      <c r="V1151" s="360" t="s">
        <v>1993</v>
      </c>
      <c r="W1151" s="366"/>
      <c r="X1151" s="359"/>
      <c r="Y1151" s="358"/>
      <c r="Z1151" s="360"/>
      <c r="AA1151" s="360"/>
      <c r="AB1151" s="360"/>
      <c r="AC1151" s="360"/>
      <c r="AD1151" s="360"/>
      <c r="AE1151" s="360"/>
      <c r="AF1151" s="16"/>
      <c r="AG1151" s="367" t="s">
        <v>1992</v>
      </c>
    </row>
    <row r="1152" spans="1:33" ht="15.75" thickBot="1" x14ac:dyDescent="0.3">
      <c r="A1152" s="356">
        <v>144</v>
      </c>
      <c r="B1152" s="357">
        <v>46210</v>
      </c>
      <c r="C1152" s="358" t="s">
        <v>87</v>
      </c>
      <c r="D1152" s="359"/>
      <c r="E1152" s="360"/>
      <c r="F1152" s="361"/>
      <c r="G1152" s="213" t="str">
        <f>IFERROR(VLOOKUP(Tabla3[[#This Row],[NUM ECONOMICO]],MAQUINARIA!B:H,7,0), " MAQ")</f>
        <v>INACTIVA</v>
      </c>
      <c r="H1152" s="362" t="s">
        <v>1331</v>
      </c>
      <c r="I1152" s="363" t="s">
        <v>1955</v>
      </c>
      <c r="J1152" s="358" t="s">
        <v>1828</v>
      </c>
      <c r="K1152" s="358">
        <v>1</v>
      </c>
      <c r="L1152" s="364">
        <v>700.43</v>
      </c>
      <c r="M1152" s="364">
        <f t="shared" si="21"/>
        <v>700.43</v>
      </c>
      <c r="N1152" s="41" t="s">
        <v>1990</v>
      </c>
      <c r="O1152" s="358"/>
      <c r="P1152" s="365">
        <f>Tabla3[[#This Row],[COSTO UNITARIO DOLARES EN HAWTHORNE]]*Tabla3[[#This Row],[CANTIDAD SOLICTADA]]</f>
        <v>0</v>
      </c>
      <c r="Q1152" s="41"/>
      <c r="R1152" s="229"/>
      <c r="S1152" s="229">
        <f>+Tabla3[[#This Row],[COSTO UNITARIO DOLARES CTP]]*Tabla3[[#This Row],[CANTIDAD SOLICTADA]]</f>
        <v>0</v>
      </c>
      <c r="T1152" s="41"/>
      <c r="U1152" s="370" t="s">
        <v>5</v>
      </c>
      <c r="V1152" s="360" t="s">
        <v>1993</v>
      </c>
      <c r="W1152" s="366"/>
      <c r="X1152" s="359"/>
      <c r="Y1152" s="358"/>
      <c r="Z1152" s="360"/>
      <c r="AA1152" s="360"/>
      <c r="AB1152" s="360"/>
      <c r="AC1152" s="360"/>
      <c r="AD1152" s="360"/>
      <c r="AE1152" s="360"/>
      <c r="AF1152" s="16"/>
      <c r="AG1152" s="367" t="s">
        <v>1992</v>
      </c>
    </row>
    <row r="1153" spans="1:33" ht="15.75" thickBot="1" x14ac:dyDescent="0.3">
      <c r="A1153" s="356">
        <v>144</v>
      </c>
      <c r="B1153" s="357">
        <v>46210</v>
      </c>
      <c r="C1153" s="358" t="s">
        <v>87</v>
      </c>
      <c r="D1153" s="359"/>
      <c r="E1153" s="360"/>
      <c r="F1153" s="361"/>
      <c r="G1153" s="213" t="str">
        <f>IFERROR(VLOOKUP(Tabla3[[#This Row],[NUM ECONOMICO]],MAQUINARIA!B:H,7,0), " MAQ")</f>
        <v>INACTIVA</v>
      </c>
      <c r="H1153" s="362" t="s">
        <v>1331</v>
      </c>
      <c r="I1153" s="363" t="s">
        <v>1956</v>
      </c>
      <c r="J1153" s="358" t="s">
        <v>1987</v>
      </c>
      <c r="K1153" s="358">
        <v>3</v>
      </c>
      <c r="L1153" s="364">
        <v>1295.24</v>
      </c>
      <c r="M1153" s="364">
        <f t="shared" si="21"/>
        <v>3885.7200000000003</v>
      </c>
      <c r="N1153" s="41" t="s">
        <v>1990</v>
      </c>
      <c r="O1153" s="358"/>
      <c r="P1153" s="365">
        <f>Tabla3[[#This Row],[COSTO UNITARIO DOLARES EN HAWTHORNE]]*Tabla3[[#This Row],[CANTIDAD SOLICTADA]]</f>
        <v>0</v>
      </c>
      <c r="Q1153" s="41"/>
      <c r="R1153" s="229"/>
      <c r="S1153" s="229">
        <f>+Tabla3[[#This Row],[COSTO UNITARIO DOLARES CTP]]*Tabla3[[#This Row],[CANTIDAD SOLICTADA]]</f>
        <v>0</v>
      </c>
      <c r="T1153" s="41"/>
      <c r="U1153" s="370" t="s">
        <v>5</v>
      </c>
      <c r="V1153" s="360" t="s">
        <v>1993</v>
      </c>
      <c r="W1153" s="366"/>
      <c r="X1153" s="359"/>
      <c r="Y1153" s="358"/>
      <c r="Z1153" s="360"/>
      <c r="AA1153" s="360"/>
      <c r="AB1153" s="360"/>
      <c r="AC1153" s="360"/>
      <c r="AD1153" s="360"/>
      <c r="AE1153" s="360"/>
      <c r="AF1153" s="16"/>
      <c r="AG1153" s="367" t="s">
        <v>1992</v>
      </c>
    </row>
    <row r="1154" spans="1:33" ht="15.75" thickBot="1" x14ac:dyDescent="0.3">
      <c r="A1154" s="356">
        <v>144</v>
      </c>
      <c r="B1154" s="357">
        <v>46210</v>
      </c>
      <c r="C1154" s="358" t="s">
        <v>87</v>
      </c>
      <c r="D1154" s="359"/>
      <c r="E1154" s="360"/>
      <c r="F1154" s="361"/>
      <c r="G1154" s="213" t="str">
        <f>IFERROR(VLOOKUP(Tabla3[[#This Row],[NUM ECONOMICO]],MAQUINARIA!B:H,7,0), " MAQ")</f>
        <v>INACTIVA</v>
      </c>
      <c r="H1154" s="362" t="s">
        <v>1331</v>
      </c>
      <c r="I1154" s="363" t="s">
        <v>1957</v>
      </c>
      <c r="J1154" s="358" t="s">
        <v>1809</v>
      </c>
      <c r="K1154" s="358">
        <v>2</v>
      </c>
      <c r="L1154" s="364">
        <v>3990.63</v>
      </c>
      <c r="M1154" s="364">
        <f t="shared" si="21"/>
        <v>7981.26</v>
      </c>
      <c r="N1154" s="41" t="s">
        <v>1990</v>
      </c>
      <c r="O1154" s="358"/>
      <c r="P1154" s="365">
        <f>Tabla3[[#This Row],[COSTO UNITARIO DOLARES EN HAWTHORNE]]*Tabla3[[#This Row],[CANTIDAD SOLICTADA]]</f>
        <v>0</v>
      </c>
      <c r="Q1154" s="41"/>
      <c r="R1154" s="229"/>
      <c r="S1154" s="229">
        <f>+Tabla3[[#This Row],[COSTO UNITARIO DOLARES CTP]]*Tabla3[[#This Row],[CANTIDAD SOLICTADA]]</f>
        <v>0</v>
      </c>
      <c r="T1154" s="41"/>
      <c r="U1154" s="370" t="s">
        <v>5</v>
      </c>
      <c r="V1154" s="360" t="s">
        <v>1993</v>
      </c>
      <c r="W1154" s="366"/>
      <c r="X1154" s="359"/>
      <c r="Y1154" s="358"/>
      <c r="Z1154" s="360"/>
      <c r="AA1154" s="360"/>
      <c r="AB1154" s="360"/>
      <c r="AC1154" s="360"/>
      <c r="AD1154" s="360"/>
      <c r="AE1154" s="360"/>
      <c r="AF1154" s="16"/>
      <c r="AG1154" s="367" t="s">
        <v>1992</v>
      </c>
    </row>
    <row r="1155" spans="1:33" ht="15.75" thickBot="1" x14ac:dyDescent="0.3">
      <c r="A1155" s="356">
        <v>144</v>
      </c>
      <c r="B1155" s="357">
        <v>46210</v>
      </c>
      <c r="C1155" s="358" t="s">
        <v>87</v>
      </c>
      <c r="D1155" s="359"/>
      <c r="E1155" s="360"/>
      <c r="F1155" s="361"/>
      <c r="G1155" s="213" t="str">
        <f>IFERROR(VLOOKUP(Tabla3[[#This Row],[NUM ECONOMICO]],MAQUINARIA!B:H,7,0), " MAQ")</f>
        <v>INACTIVA</v>
      </c>
      <c r="H1155" s="362" t="s">
        <v>1331</v>
      </c>
      <c r="I1155" s="363" t="s">
        <v>1958</v>
      </c>
      <c r="J1155" s="358" t="s">
        <v>1988</v>
      </c>
      <c r="K1155" s="358">
        <v>1</v>
      </c>
      <c r="L1155" s="364">
        <v>46311.95</v>
      </c>
      <c r="M1155" s="364">
        <f t="shared" si="21"/>
        <v>46311.95</v>
      </c>
      <c r="N1155" s="41" t="s">
        <v>1990</v>
      </c>
      <c r="O1155" s="358"/>
      <c r="P1155" s="365">
        <f>Tabla3[[#This Row],[COSTO UNITARIO DOLARES EN HAWTHORNE]]*Tabla3[[#This Row],[CANTIDAD SOLICTADA]]</f>
        <v>0</v>
      </c>
      <c r="Q1155" s="41"/>
      <c r="R1155" s="229"/>
      <c r="S1155" s="229">
        <f>+Tabla3[[#This Row],[COSTO UNITARIO DOLARES CTP]]*Tabla3[[#This Row],[CANTIDAD SOLICTADA]]</f>
        <v>0</v>
      </c>
      <c r="T1155" s="41"/>
      <c r="U1155" s="370" t="s">
        <v>5</v>
      </c>
      <c r="V1155" s="360" t="s">
        <v>1993</v>
      </c>
      <c r="W1155" s="366"/>
      <c r="X1155" s="359"/>
      <c r="Y1155" s="358"/>
      <c r="Z1155" s="360"/>
      <c r="AA1155" s="360"/>
      <c r="AB1155" s="360"/>
      <c r="AC1155" s="360"/>
      <c r="AD1155" s="360"/>
      <c r="AE1155" s="360"/>
      <c r="AF1155" s="16"/>
      <c r="AG1155" s="367" t="s">
        <v>1992</v>
      </c>
    </row>
    <row r="1156" spans="1:33" ht="15.75" thickBot="1" x14ac:dyDescent="0.3">
      <c r="A1156" s="356">
        <v>144</v>
      </c>
      <c r="B1156" s="369">
        <v>46210</v>
      </c>
      <c r="C1156" s="370" t="s">
        <v>87</v>
      </c>
      <c r="D1156" s="371"/>
      <c r="E1156" s="372"/>
      <c r="F1156" s="373"/>
      <c r="G1156" s="213" t="str">
        <f>IFERROR(VLOOKUP(Tabla3[[#This Row],[NUM ECONOMICO]],MAQUINARIA!B:H,7,0), " MAQ")</f>
        <v>INACTIVA</v>
      </c>
      <c r="H1156" s="362" t="s">
        <v>1331</v>
      </c>
      <c r="I1156" s="375" t="s">
        <v>1959</v>
      </c>
      <c r="J1156" s="370" t="s">
        <v>1989</v>
      </c>
      <c r="K1156" s="370">
        <v>1</v>
      </c>
      <c r="L1156" s="376">
        <v>368.2</v>
      </c>
      <c r="M1156" s="376">
        <f t="shared" si="21"/>
        <v>368.2</v>
      </c>
      <c r="N1156" s="41" t="s">
        <v>1990</v>
      </c>
      <c r="O1156" s="370"/>
      <c r="P1156" s="377">
        <f>Tabla3[[#This Row],[COSTO UNITARIO DOLARES EN HAWTHORNE]]*Tabla3[[#This Row],[CANTIDAD SOLICTADA]]</f>
        <v>0</v>
      </c>
      <c r="Q1156" s="43"/>
      <c r="R1156" s="230"/>
      <c r="S1156" s="230">
        <f>+Tabla3[[#This Row],[COSTO UNITARIO DOLARES CTP]]*Tabla3[[#This Row],[CANTIDAD SOLICTADA]]</f>
        <v>0</v>
      </c>
      <c r="T1156" s="43"/>
      <c r="U1156" s="370" t="s">
        <v>5</v>
      </c>
      <c r="V1156" s="360" t="s">
        <v>1993</v>
      </c>
      <c r="W1156" s="378"/>
      <c r="X1156" s="371"/>
      <c r="Y1156" s="370"/>
      <c r="Z1156" s="372"/>
      <c r="AA1156" s="372"/>
      <c r="AB1156" s="372"/>
      <c r="AC1156" s="372"/>
      <c r="AD1156" s="372"/>
      <c r="AE1156" s="372"/>
      <c r="AF1156" s="204"/>
      <c r="AG1156" s="367" t="s">
        <v>1992</v>
      </c>
    </row>
    <row r="1157" spans="1:33" ht="15.75" thickBot="1" x14ac:dyDescent="0.3">
      <c r="A1157" s="356">
        <v>145</v>
      </c>
      <c r="B1157" s="357">
        <v>46210</v>
      </c>
      <c r="C1157" s="358" t="s">
        <v>87</v>
      </c>
      <c r="D1157" s="359"/>
      <c r="E1157" s="360"/>
      <c r="F1157" s="361"/>
      <c r="G1157" s="213" t="str">
        <f>IFERROR(VLOOKUP(Tabla3[[#This Row],[NUM ECONOMICO]],MAQUINARIA!B:H,7,0), " MAQ")</f>
        <v>INACTIVA</v>
      </c>
      <c r="H1157" s="362" t="s">
        <v>1345</v>
      </c>
      <c r="I1157" s="363" t="s">
        <v>452</v>
      </c>
      <c r="J1157" s="358" t="s">
        <v>1960</v>
      </c>
      <c r="K1157" s="358">
        <v>1</v>
      </c>
      <c r="L1157" s="364">
        <v>533.78</v>
      </c>
      <c r="M1157" s="364">
        <f t="shared" si="21"/>
        <v>533.78</v>
      </c>
      <c r="N1157" s="41" t="s">
        <v>1990</v>
      </c>
      <c r="O1157" s="358"/>
      <c r="P1157" s="365">
        <f>Tabla3[[#This Row],[COSTO UNITARIO DOLARES EN HAWTHORNE]]*Tabla3[[#This Row],[CANTIDAD SOLICTADA]]</f>
        <v>0</v>
      </c>
      <c r="Q1157" s="41"/>
      <c r="R1157" s="229"/>
      <c r="S1157" s="229">
        <f>+Tabla3[[#This Row],[COSTO UNITARIO DOLARES CTP]]*Tabla3[[#This Row],[CANTIDAD SOLICTADA]]</f>
        <v>0</v>
      </c>
      <c r="T1157" s="41"/>
      <c r="U1157" s="358" t="s">
        <v>5</v>
      </c>
      <c r="V1157" s="360" t="s">
        <v>1993</v>
      </c>
      <c r="W1157" s="366"/>
      <c r="X1157" s="359"/>
      <c r="Y1157" s="358"/>
      <c r="Z1157" s="360"/>
      <c r="AA1157" s="360"/>
      <c r="AB1157" s="360"/>
      <c r="AC1157" s="360"/>
      <c r="AD1157" s="360"/>
      <c r="AE1157" s="360"/>
      <c r="AF1157" s="16"/>
      <c r="AG1157" s="367" t="s">
        <v>1992</v>
      </c>
    </row>
    <row r="1158" spans="1:33" ht="15.75" thickBot="1" x14ac:dyDescent="0.3">
      <c r="A1158" s="356">
        <v>145</v>
      </c>
      <c r="B1158" s="357">
        <v>46210</v>
      </c>
      <c r="C1158" s="358" t="s">
        <v>87</v>
      </c>
      <c r="D1158" s="359"/>
      <c r="E1158" s="360"/>
      <c r="F1158" s="361"/>
      <c r="G1158" s="213" t="str">
        <f>IFERROR(VLOOKUP(Tabla3[[#This Row],[NUM ECONOMICO]],MAQUINARIA!B:H,7,0), " MAQ")</f>
        <v>INACTIVA</v>
      </c>
      <c r="H1158" s="362" t="s">
        <v>1345</v>
      </c>
      <c r="I1158" s="363" t="s">
        <v>1872</v>
      </c>
      <c r="J1158" s="358" t="s">
        <v>1961</v>
      </c>
      <c r="K1158" s="358">
        <v>2</v>
      </c>
      <c r="L1158" s="364">
        <v>267.95999999999998</v>
      </c>
      <c r="M1158" s="364">
        <f t="shared" si="21"/>
        <v>535.91999999999996</v>
      </c>
      <c r="N1158" s="41" t="s">
        <v>1990</v>
      </c>
      <c r="O1158" s="358"/>
      <c r="P1158" s="365">
        <f>Tabla3[[#This Row],[COSTO UNITARIO DOLARES EN HAWTHORNE]]*Tabla3[[#This Row],[CANTIDAD SOLICTADA]]</f>
        <v>0</v>
      </c>
      <c r="Q1158" s="41"/>
      <c r="R1158" s="229"/>
      <c r="S1158" s="229">
        <f>+Tabla3[[#This Row],[COSTO UNITARIO DOLARES CTP]]*Tabla3[[#This Row],[CANTIDAD SOLICTADA]]</f>
        <v>0</v>
      </c>
      <c r="T1158" s="41"/>
      <c r="U1158" s="358" t="s">
        <v>5</v>
      </c>
      <c r="V1158" s="360" t="s">
        <v>1993</v>
      </c>
      <c r="W1158" s="366"/>
      <c r="X1158" s="359"/>
      <c r="Y1158" s="358"/>
      <c r="Z1158" s="360"/>
      <c r="AA1158" s="360"/>
      <c r="AB1158" s="360"/>
      <c r="AC1158" s="360"/>
      <c r="AD1158" s="360"/>
      <c r="AE1158" s="360"/>
      <c r="AF1158" s="16"/>
      <c r="AG1158" s="367" t="s">
        <v>1992</v>
      </c>
    </row>
    <row r="1159" spans="1:33" ht="15.75" thickBot="1" x14ac:dyDescent="0.3">
      <c r="A1159" s="356">
        <v>145</v>
      </c>
      <c r="B1159" s="357">
        <v>46210</v>
      </c>
      <c r="C1159" s="358" t="s">
        <v>87</v>
      </c>
      <c r="D1159" s="359"/>
      <c r="E1159" s="360"/>
      <c r="F1159" s="361"/>
      <c r="G1159" s="213" t="str">
        <f>IFERROR(VLOOKUP(Tabla3[[#This Row],[NUM ECONOMICO]],MAQUINARIA!B:H,7,0), " MAQ")</f>
        <v>INACTIVA</v>
      </c>
      <c r="H1159" s="362" t="s">
        <v>1345</v>
      </c>
      <c r="I1159" s="363" t="s">
        <v>1873</v>
      </c>
      <c r="J1159" s="358" t="s">
        <v>1962</v>
      </c>
      <c r="K1159" s="358">
        <v>1</v>
      </c>
      <c r="L1159" s="364">
        <v>143.56</v>
      </c>
      <c r="M1159" s="364">
        <f t="shared" si="21"/>
        <v>143.56</v>
      </c>
      <c r="N1159" s="41" t="s">
        <v>1990</v>
      </c>
      <c r="O1159" s="358"/>
      <c r="P1159" s="365">
        <f>Tabla3[[#This Row],[COSTO UNITARIO DOLARES EN HAWTHORNE]]*Tabla3[[#This Row],[CANTIDAD SOLICTADA]]</f>
        <v>0</v>
      </c>
      <c r="Q1159" s="41"/>
      <c r="R1159" s="229"/>
      <c r="S1159" s="229">
        <f>+Tabla3[[#This Row],[COSTO UNITARIO DOLARES CTP]]*Tabla3[[#This Row],[CANTIDAD SOLICTADA]]</f>
        <v>0</v>
      </c>
      <c r="T1159" s="41"/>
      <c r="U1159" s="358" t="s">
        <v>5</v>
      </c>
      <c r="V1159" s="360" t="s">
        <v>1993</v>
      </c>
      <c r="W1159" s="366"/>
      <c r="X1159" s="359"/>
      <c r="Y1159" s="358"/>
      <c r="Z1159" s="360"/>
      <c r="AA1159" s="360"/>
      <c r="AB1159" s="360"/>
      <c r="AC1159" s="360"/>
      <c r="AD1159" s="360"/>
      <c r="AE1159" s="360"/>
      <c r="AF1159" s="16"/>
      <c r="AG1159" s="367" t="s">
        <v>1992</v>
      </c>
    </row>
    <row r="1160" spans="1:33" ht="15.75" thickBot="1" x14ac:dyDescent="0.3">
      <c r="A1160" s="356">
        <v>145</v>
      </c>
      <c r="B1160" s="357">
        <v>46210</v>
      </c>
      <c r="C1160" s="358" t="s">
        <v>87</v>
      </c>
      <c r="D1160" s="359"/>
      <c r="E1160" s="360"/>
      <c r="F1160" s="361"/>
      <c r="G1160" s="213" t="str">
        <f>IFERROR(VLOOKUP(Tabla3[[#This Row],[NUM ECONOMICO]],MAQUINARIA!B:H,7,0), " MAQ")</f>
        <v>INACTIVA</v>
      </c>
      <c r="H1160" s="362" t="s">
        <v>1345</v>
      </c>
      <c r="I1160" s="363" t="s">
        <v>1874</v>
      </c>
      <c r="J1160" s="358" t="s">
        <v>1963</v>
      </c>
      <c r="K1160" s="358">
        <v>9</v>
      </c>
      <c r="L1160" s="364">
        <v>5089.87</v>
      </c>
      <c r="M1160" s="364">
        <f t="shared" si="21"/>
        <v>45808.83</v>
      </c>
      <c r="N1160" s="41" t="s">
        <v>1990</v>
      </c>
      <c r="O1160" s="358"/>
      <c r="P1160" s="365">
        <f>Tabla3[[#This Row],[COSTO UNITARIO DOLARES EN HAWTHORNE]]*Tabla3[[#This Row],[CANTIDAD SOLICTADA]]</f>
        <v>0</v>
      </c>
      <c r="Q1160" s="41"/>
      <c r="R1160" s="229"/>
      <c r="S1160" s="229">
        <f>+Tabla3[[#This Row],[COSTO UNITARIO DOLARES CTP]]*Tabla3[[#This Row],[CANTIDAD SOLICTADA]]</f>
        <v>0</v>
      </c>
      <c r="T1160" s="41"/>
      <c r="U1160" s="358" t="s">
        <v>5</v>
      </c>
      <c r="V1160" s="360" t="s">
        <v>1993</v>
      </c>
      <c r="W1160" s="366"/>
      <c r="X1160" s="359"/>
      <c r="Y1160" s="358"/>
      <c r="Z1160" s="360"/>
      <c r="AA1160" s="360"/>
      <c r="AB1160" s="360"/>
      <c r="AC1160" s="360"/>
      <c r="AD1160" s="360"/>
      <c r="AE1160" s="360"/>
      <c r="AF1160" s="16"/>
      <c r="AG1160" s="367" t="s">
        <v>1992</v>
      </c>
    </row>
    <row r="1161" spans="1:33" ht="15.75" thickBot="1" x14ac:dyDescent="0.3">
      <c r="A1161" s="356">
        <v>145</v>
      </c>
      <c r="B1161" s="357">
        <v>46210</v>
      </c>
      <c r="C1161" s="358" t="s">
        <v>87</v>
      </c>
      <c r="D1161" s="359"/>
      <c r="E1161" s="360"/>
      <c r="F1161" s="361"/>
      <c r="G1161" s="213" t="str">
        <f>IFERROR(VLOOKUP(Tabla3[[#This Row],[NUM ECONOMICO]],MAQUINARIA!B:H,7,0), " MAQ")</f>
        <v>INACTIVA</v>
      </c>
      <c r="H1161" s="362" t="s">
        <v>1345</v>
      </c>
      <c r="I1161" s="363" t="s">
        <v>1875</v>
      </c>
      <c r="J1161" s="358" t="s">
        <v>308</v>
      </c>
      <c r="K1161" s="358">
        <v>1</v>
      </c>
      <c r="L1161" s="364">
        <v>8928.34</v>
      </c>
      <c r="M1161" s="364">
        <f t="shared" si="21"/>
        <v>8928.34</v>
      </c>
      <c r="N1161" s="41" t="s">
        <v>1990</v>
      </c>
      <c r="O1161" s="358"/>
      <c r="P1161" s="365">
        <f>Tabla3[[#This Row],[COSTO UNITARIO DOLARES EN HAWTHORNE]]*Tabla3[[#This Row],[CANTIDAD SOLICTADA]]</f>
        <v>0</v>
      </c>
      <c r="Q1161" s="41"/>
      <c r="R1161" s="229"/>
      <c r="S1161" s="229">
        <f>+Tabla3[[#This Row],[COSTO UNITARIO DOLARES CTP]]*Tabla3[[#This Row],[CANTIDAD SOLICTADA]]</f>
        <v>0</v>
      </c>
      <c r="T1161" s="41"/>
      <c r="U1161" s="358" t="s">
        <v>5</v>
      </c>
      <c r="V1161" s="360" t="s">
        <v>1993</v>
      </c>
      <c r="W1161" s="366"/>
      <c r="X1161" s="359"/>
      <c r="Y1161" s="358"/>
      <c r="Z1161" s="360"/>
      <c r="AA1161" s="360"/>
      <c r="AB1161" s="360"/>
      <c r="AC1161" s="360"/>
      <c r="AD1161" s="360"/>
      <c r="AE1161" s="360"/>
      <c r="AF1161" s="16"/>
      <c r="AG1161" s="367" t="s">
        <v>1992</v>
      </c>
    </row>
    <row r="1162" spans="1:33" ht="15.75" thickBot="1" x14ac:dyDescent="0.3">
      <c r="A1162" s="356">
        <v>145</v>
      </c>
      <c r="B1162" s="357">
        <v>46210</v>
      </c>
      <c r="C1162" s="358" t="s">
        <v>87</v>
      </c>
      <c r="D1162" s="359"/>
      <c r="E1162" s="360"/>
      <c r="F1162" s="361"/>
      <c r="G1162" s="213" t="str">
        <f>IFERROR(VLOOKUP(Tabla3[[#This Row],[NUM ECONOMICO]],MAQUINARIA!B:H,7,0), " MAQ")</f>
        <v>INACTIVA</v>
      </c>
      <c r="H1162" s="362" t="s">
        <v>1345</v>
      </c>
      <c r="I1162" s="363" t="s">
        <v>1876</v>
      </c>
      <c r="J1162" s="358" t="s">
        <v>308</v>
      </c>
      <c r="K1162" s="358">
        <v>3</v>
      </c>
      <c r="L1162" s="364">
        <v>4319.09</v>
      </c>
      <c r="M1162" s="364">
        <f t="shared" si="21"/>
        <v>12957.27</v>
      </c>
      <c r="N1162" s="41" t="s">
        <v>1990</v>
      </c>
      <c r="O1162" s="358"/>
      <c r="P1162" s="365">
        <f>Tabla3[[#This Row],[COSTO UNITARIO DOLARES EN HAWTHORNE]]*Tabla3[[#This Row],[CANTIDAD SOLICTADA]]</f>
        <v>0</v>
      </c>
      <c r="Q1162" s="41"/>
      <c r="R1162" s="229"/>
      <c r="S1162" s="229">
        <f>+Tabla3[[#This Row],[COSTO UNITARIO DOLARES CTP]]*Tabla3[[#This Row],[CANTIDAD SOLICTADA]]</f>
        <v>0</v>
      </c>
      <c r="T1162" s="41"/>
      <c r="U1162" s="358" t="s">
        <v>5</v>
      </c>
      <c r="V1162" s="360" t="s">
        <v>1993</v>
      </c>
      <c r="W1162" s="366"/>
      <c r="X1162" s="359"/>
      <c r="Y1162" s="358"/>
      <c r="Z1162" s="360"/>
      <c r="AA1162" s="360"/>
      <c r="AB1162" s="360"/>
      <c r="AC1162" s="360"/>
      <c r="AD1162" s="360"/>
      <c r="AE1162" s="360"/>
      <c r="AF1162" s="16"/>
      <c r="AG1162" s="367" t="s">
        <v>1992</v>
      </c>
    </row>
    <row r="1163" spans="1:33" ht="15.75" thickBot="1" x14ac:dyDescent="0.3">
      <c r="A1163" s="356">
        <v>145</v>
      </c>
      <c r="B1163" s="357">
        <v>46210</v>
      </c>
      <c r="C1163" s="358" t="s">
        <v>87</v>
      </c>
      <c r="D1163" s="359"/>
      <c r="E1163" s="360"/>
      <c r="F1163" s="361"/>
      <c r="G1163" s="213" t="str">
        <f>IFERROR(VLOOKUP(Tabla3[[#This Row],[NUM ECONOMICO]],MAQUINARIA!B:H,7,0), " MAQ")</f>
        <v>INACTIVA</v>
      </c>
      <c r="H1163" s="362" t="s">
        <v>1345</v>
      </c>
      <c r="I1163" s="363" t="s">
        <v>1877</v>
      </c>
      <c r="J1163" s="358" t="s">
        <v>670</v>
      </c>
      <c r="K1163" s="358">
        <v>75</v>
      </c>
      <c r="L1163" s="364">
        <v>92.01</v>
      </c>
      <c r="M1163" s="364">
        <f t="shared" si="21"/>
        <v>6900.75</v>
      </c>
      <c r="N1163" s="41" t="s">
        <v>1990</v>
      </c>
      <c r="O1163" s="358"/>
      <c r="P1163" s="365">
        <f>Tabla3[[#This Row],[COSTO UNITARIO DOLARES EN HAWTHORNE]]*Tabla3[[#This Row],[CANTIDAD SOLICTADA]]</f>
        <v>0</v>
      </c>
      <c r="Q1163" s="41"/>
      <c r="R1163" s="229"/>
      <c r="S1163" s="229">
        <f>+Tabla3[[#This Row],[COSTO UNITARIO DOLARES CTP]]*Tabla3[[#This Row],[CANTIDAD SOLICTADA]]</f>
        <v>0</v>
      </c>
      <c r="T1163" s="41"/>
      <c r="U1163" s="358" t="s">
        <v>5</v>
      </c>
      <c r="V1163" s="360" t="s">
        <v>1993</v>
      </c>
      <c r="W1163" s="366"/>
      <c r="X1163" s="359"/>
      <c r="Y1163" s="358"/>
      <c r="Z1163" s="360"/>
      <c r="AA1163" s="360"/>
      <c r="AB1163" s="360"/>
      <c r="AC1163" s="360"/>
      <c r="AD1163" s="360"/>
      <c r="AE1163" s="360"/>
      <c r="AF1163" s="16"/>
      <c r="AG1163" s="367" t="s">
        <v>1992</v>
      </c>
    </row>
    <row r="1164" spans="1:33" ht="15.75" thickBot="1" x14ac:dyDescent="0.3">
      <c r="A1164" s="356">
        <v>145</v>
      </c>
      <c r="B1164" s="357">
        <v>46210</v>
      </c>
      <c r="C1164" s="358" t="s">
        <v>87</v>
      </c>
      <c r="D1164" s="359"/>
      <c r="E1164" s="360"/>
      <c r="F1164" s="361"/>
      <c r="G1164" s="213" t="str">
        <f>IFERROR(VLOOKUP(Tabla3[[#This Row],[NUM ECONOMICO]],MAQUINARIA!B:H,7,0), " MAQ")</f>
        <v>INACTIVA</v>
      </c>
      <c r="H1164" s="362" t="s">
        <v>1345</v>
      </c>
      <c r="I1164" s="363" t="s">
        <v>1878</v>
      </c>
      <c r="J1164" s="358" t="s">
        <v>1964</v>
      </c>
      <c r="K1164" s="358">
        <v>4</v>
      </c>
      <c r="L1164" s="364">
        <v>7737.82</v>
      </c>
      <c r="M1164" s="364">
        <f t="shared" si="21"/>
        <v>30951.279999999999</v>
      </c>
      <c r="N1164" s="41" t="s">
        <v>1990</v>
      </c>
      <c r="O1164" s="358"/>
      <c r="P1164" s="365">
        <f>Tabla3[[#This Row],[COSTO UNITARIO DOLARES EN HAWTHORNE]]*Tabla3[[#This Row],[CANTIDAD SOLICTADA]]</f>
        <v>0</v>
      </c>
      <c r="Q1164" s="41"/>
      <c r="R1164" s="229"/>
      <c r="S1164" s="229">
        <f>+Tabla3[[#This Row],[COSTO UNITARIO DOLARES CTP]]*Tabla3[[#This Row],[CANTIDAD SOLICTADA]]</f>
        <v>0</v>
      </c>
      <c r="T1164" s="41"/>
      <c r="U1164" s="358" t="s">
        <v>5</v>
      </c>
      <c r="V1164" s="360" t="s">
        <v>1993</v>
      </c>
      <c r="W1164" s="366"/>
      <c r="X1164" s="359"/>
      <c r="Y1164" s="358"/>
      <c r="Z1164" s="360"/>
      <c r="AA1164" s="360"/>
      <c r="AB1164" s="360"/>
      <c r="AC1164" s="360"/>
      <c r="AD1164" s="360"/>
      <c r="AE1164" s="360"/>
      <c r="AF1164" s="16"/>
      <c r="AG1164" s="367" t="s">
        <v>1992</v>
      </c>
    </row>
    <row r="1165" spans="1:33" ht="15.75" thickBot="1" x14ac:dyDescent="0.3">
      <c r="A1165" s="356">
        <v>145</v>
      </c>
      <c r="B1165" s="357">
        <v>46210</v>
      </c>
      <c r="C1165" s="358" t="s">
        <v>87</v>
      </c>
      <c r="D1165" s="359"/>
      <c r="E1165" s="360"/>
      <c r="F1165" s="361"/>
      <c r="G1165" s="213" t="str">
        <f>IFERROR(VLOOKUP(Tabla3[[#This Row],[NUM ECONOMICO]],MAQUINARIA!B:H,7,0), " MAQ")</f>
        <v>INACTIVA</v>
      </c>
      <c r="H1165" s="362" t="s">
        <v>1345</v>
      </c>
      <c r="I1165" s="363" t="s">
        <v>1879</v>
      </c>
      <c r="J1165" s="358" t="s">
        <v>1965</v>
      </c>
      <c r="K1165" s="358">
        <v>4</v>
      </c>
      <c r="L1165" s="364">
        <v>3675.46</v>
      </c>
      <c r="M1165" s="364">
        <f t="shared" si="21"/>
        <v>14701.84</v>
      </c>
      <c r="N1165" s="41" t="s">
        <v>1990</v>
      </c>
      <c r="O1165" s="358"/>
      <c r="P1165" s="365">
        <f>Tabla3[[#This Row],[COSTO UNITARIO DOLARES EN HAWTHORNE]]*Tabla3[[#This Row],[CANTIDAD SOLICTADA]]</f>
        <v>0</v>
      </c>
      <c r="Q1165" s="41"/>
      <c r="R1165" s="229"/>
      <c r="S1165" s="229">
        <f>+Tabla3[[#This Row],[COSTO UNITARIO DOLARES CTP]]*Tabla3[[#This Row],[CANTIDAD SOLICTADA]]</f>
        <v>0</v>
      </c>
      <c r="T1165" s="41"/>
      <c r="U1165" s="358" t="s">
        <v>5</v>
      </c>
      <c r="V1165" s="360" t="s">
        <v>1993</v>
      </c>
      <c r="W1165" s="366"/>
      <c r="X1165" s="359"/>
      <c r="Y1165" s="358"/>
      <c r="Z1165" s="360"/>
      <c r="AA1165" s="360"/>
      <c r="AB1165" s="360"/>
      <c r="AC1165" s="360"/>
      <c r="AD1165" s="360"/>
      <c r="AE1165" s="360"/>
      <c r="AF1165" s="16"/>
      <c r="AG1165" s="367" t="s">
        <v>1992</v>
      </c>
    </row>
    <row r="1166" spans="1:33" ht="15.75" thickBot="1" x14ac:dyDescent="0.3">
      <c r="A1166" s="356">
        <v>145</v>
      </c>
      <c r="B1166" s="357">
        <v>46210</v>
      </c>
      <c r="C1166" s="358" t="s">
        <v>87</v>
      </c>
      <c r="D1166" s="359"/>
      <c r="E1166" s="360"/>
      <c r="F1166" s="361"/>
      <c r="G1166" s="213" t="str">
        <f>IFERROR(VLOOKUP(Tabla3[[#This Row],[NUM ECONOMICO]],MAQUINARIA!B:H,7,0), " MAQ")</f>
        <v>INACTIVA</v>
      </c>
      <c r="H1166" s="362" t="s">
        <v>1345</v>
      </c>
      <c r="I1166" s="363" t="s">
        <v>1880</v>
      </c>
      <c r="J1166" s="358" t="s">
        <v>1964</v>
      </c>
      <c r="K1166" s="358">
        <v>9</v>
      </c>
      <c r="L1166" s="364">
        <v>9028.76</v>
      </c>
      <c r="M1166" s="364">
        <f t="shared" si="21"/>
        <v>81258.84</v>
      </c>
      <c r="N1166" s="41" t="s">
        <v>1990</v>
      </c>
      <c r="O1166" s="358"/>
      <c r="P1166" s="365">
        <f>Tabla3[[#This Row],[COSTO UNITARIO DOLARES EN HAWTHORNE]]*Tabla3[[#This Row],[CANTIDAD SOLICTADA]]</f>
        <v>0</v>
      </c>
      <c r="Q1166" s="41"/>
      <c r="R1166" s="229"/>
      <c r="S1166" s="229">
        <f>+Tabla3[[#This Row],[COSTO UNITARIO DOLARES CTP]]*Tabla3[[#This Row],[CANTIDAD SOLICTADA]]</f>
        <v>0</v>
      </c>
      <c r="T1166" s="41"/>
      <c r="U1166" s="358" t="s">
        <v>5</v>
      </c>
      <c r="V1166" s="360" t="s">
        <v>1993</v>
      </c>
      <c r="W1166" s="366"/>
      <c r="X1166" s="359"/>
      <c r="Y1166" s="358"/>
      <c r="Z1166" s="360"/>
      <c r="AA1166" s="360"/>
      <c r="AB1166" s="360"/>
      <c r="AC1166" s="360"/>
      <c r="AD1166" s="360"/>
      <c r="AE1166" s="360"/>
      <c r="AF1166" s="16"/>
      <c r="AG1166" s="367" t="s">
        <v>1992</v>
      </c>
    </row>
    <row r="1167" spans="1:33" ht="15.75" thickBot="1" x14ac:dyDescent="0.3">
      <c r="A1167" s="356">
        <v>145</v>
      </c>
      <c r="B1167" s="357">
        <v>46210</v>
      </c>
      <c r="C1167" s="358" t="s">
        <v>87</v>
      </c>
      <c r="D1167" s="359"/>
      <c r="E1167" s="360"/>
      <c r="F1167" s="361"/>
      <c r="G1167" s="213" t="str">
        <f>IFERROR(VLOOKUP(Tabla3[[#This Row],[NUM ECONOMICO]],MAQUINARIA!B:H,7,0), " MAQ")</f>
        <v>INACTIVA</v>
      </c>
      <c r="H1167" s="362" t="s">
        <v>1345</v>
      </c>
      <c r="I1167" s="363" t="s">
        <v>1879</v>
      </c>
      <c r="J1167" s="358" t="s">
        <v>1966</v>
      </c>
      <c r="K1167" s="358">
        <v>9</v>
      </c>
      <c r="L1167" s="364">
        <v>4288.66</v>
      </c>
      <c r="M1167" s="364">
        <f t="shared" si="21"/>
        <v>38597.94</v>
      </c>
      <c r="N1167" s="41" t="s">
        <v>1990</v>
      </c>
      <c r="O1167" s="358"/>
      <c r="P1167" s="365">
        <f>Tabla3[[#This Row],[COSTO UNITARIO DOLARES EN HAWTHORNE]]*Tabla3[[#This Row],[CANTIDAD SOLICTADA]]</f>
        <v>0</v>
      </c>
      <c r="Q1167" s="41"/>
      <c r="R1167" s="229"/>
      <c r="S1167" s="229">
        <f>+Tabla3[[#This Row],[COSTO UNITARIO DOLARES CTP]]*Tabla3[[#This Row],[CANTIDAD SOLICTADA]]</f>
        <v>0</v>
      </c>
      <c r="T1167" s="41"/>
      <c r="U1167" s="358" t="s">
        <v>5</v>
      </c>
      <c r="V1167" s="360" t="s">
        <v>1993</v>
      </c>
      <c r="W1167" s="366"/>
      <c r="X1167" s="359"/>
      <c r="Y1167" s="358"/>
      <c r="Z1167" s="360"/>
      <c r="AA1167" s="360"/>
      <c r="AB1167" s="360"/>
      <c r="AC1167" s="360"/>
      <c r="AD1167" s="360"/>
      <c r="AE1167" s="360"/>
      <c r="AF1167" s="16"/>
      <c r="AG1167" s="367" t="s">
        <v>1992</v>
      </c>
    </row>
    <row r="1168" spans="1:33" ht="15.75" thickBot="1" x14ac:dyDescent="0.3">
      <c r="A1168" s="356">
        <v>145</v>
      </c>
      <c r="B1168" s="357">
        <v>46210</v>
      </c>
      <c r="C1168" s="358" t="s">
        <v>87</v>
      </c>
      <c r="D1168" s="359"/>
      <c r="E1168" s="360"/>
      <c r="F1168" s="361"/>
      <c r="G1168" s="213" t="str">
        <f>IFERROR(VLOOKUP(Tabla3[[#This Row],[NUM ECONOMICO]],MAQUINARIA!B:H,7,0), " MAQ")</f>
        <v>INACTIVA</v>
      </c>
      <c r="H1168" s="362" t="s">
        <v>1345</v>
      </c>
      <c r="I1168" s="363" t="s">
        <v>1881</v>
      </c>
      <c r="J1168" s="358" t="s">
        <v>670</v>
      </c>
      <c r="K1168" s="358">
        <v>20</v>
      </c>
      <c r="L1168" s="364">
        <v>184.37</v>
      </c>
      <c r="M1168" s="364">
        <f t="shared" si="21"/>
        <v>3687.4</v>
      </c>
      <c r="N1168" s="41" t="s">
        <v>1990</v>
      </c>
      <c r="O1168" s="358"/>
      <c r="P1168" s="365">
        <f>Tabla3[[#This Row],[COSTO UNITARIO DOLARES EN HAWTHORNE]]*Tabla3[[#This Row],[CANTIDAD SOLICTADA]]</f>
        <v>0</v>
      </c>
      <c r="Q1168" s="41"/>
      <c r="R1168" s="229"/>
      <c r="S1168" s="229">
        <f>+Tabla3[[#This Row],[COSTO UNITARIO DOLARES CTP]]*Tabla3[[#This Row],[CANTIDAD SOLICTADA]]</f>
        <v>0</v>
      </c>
      <c r="T1168" s="41"/>
      <c r="U1168" s="358" t="s">
        <v>5</v>
      </c>
      <c r="V1168" s="360" t="s">
        <v>1993</v>
      </c>
      <c r="W1168" s="366"/>
      <c r="X1168" s="359"/>
      <c r="Y1168" s="358"/>
      <c r="Z1168" s="360"/>
      <c r="AA1168" s="360"/>
      <c r="AB1168" s="360"/>
      <c r="AC1168" s="360"/>
      <c r="AD1168" s="360"/>
      <c r="AE1168" s="360"/>
      <c r="AF1168" s="16"/>
      <c r="AG1168" s="367" t="s">
        <v>1992</v>
      </c>
    </row>
    <row r="1169" spans="1:33" ht="15.75" thickBot="1" x14ac:dyDescent="0.3">
      <c r="A1169" s="356">
        <v>145</v>
      </c>
      <c r="B1169" s="357">
        <v>46210</v>
      </c>
      <c r="C1169" s="358" t="s">
        <v>87</v>
      </c>
      <c r="D1169" s="359"/>
      <c r="E1169" s="360"/>
      <c r="F1169" s="361"/>
      <c r="G1169" s="213" t="str">
        <f>IFERROR(VLOOKUP(Tabla3[[#This Row],[NUM ECONOMICO]],MAQUINARIA!B:H,7,0), " MAQ")</f>
        <v>INACTIVA</v>
      </c>
      <c r="H1169" s="362" t="s">
        <v>1345</v>
      </c>
      <c r="I1169" s="363" t="s">
        <v>1882</v>
      </c>
      <c r="J1169" s="358" t="s">
        <v>670</v>
      </c>
      <c r="K1169" s="358">
        <v>5</v>
      </c>
      <c r="L1169" s="364">
        <v>270.47000000000003</v>
      </c>
      <c r="M1169" s="364">
        <f t="shared" ref="M1169:M1232" si="22">+L1169*K1169</f>
        <v>1352.3500000000001</v>
      </c>
      <c r="N1169" s="41" t="s">
        <v>1990</v>
      </c>
      <c r="O1169" s="358"/>
      <c r="P1169" s="365">
        <f>Tabla3[[#This Row],[COSTO UNITARIO DOLARES EN HAWTHORNE]]*Tabla3[[#This Row],[CANTIDAD SOLICTADA]]</f>
        <v>0</v>
      </c>
      <c r="Q1169" s="41"/>
      <c r="R1169" s="229"/>
      <c r="S1169" s="229">
        <f>+Tabla3[[#This Row],[COSTO UNITARIO DOLARES CTP]]*Tabla3[[#This Row],[CANTIDAD SOLICTADA]]</f>
        <v>0</v>
      </c>
      <c r="T1169" s="41"/>
      <c r="U1169" s="358" t="s">
        <v>5</v>
      </c>
      <c r="V1169" s="360" t="s">
        <v>1993</v>
      </c>
      <c r="W1169" s="366"/>
      <c r="X1169" s="359"/>
      <c r="Y1169" s="358"/>
      <c r="Z1169" s="360"/>
      <c r="AA1169" s="360"/>
      <c r="AB1169" s="360"/>
      <c r="AC1169" s="360"/>
      <c r="AD1169" s="360"/>
      <c r="AE1169" s="360"/>
      <c r="AF1169" s="16"/>
      <c r="AG1169" s="367" t="s">
        <v>1992</v>
      </c>
    </row>
    <row r="1170" spans="1:33" ht="15.75" thickBot="1" x14ac:dyDescent="0.3">
      <c r="A1170" s="356">
        <v>145</v>
      </c>
      <c r="B1170" s="357">
        <v>46210</v>
      </c>
      <c r="C1170" s="358" t="s">
        <v>87</v>
      </c>
      <c r="D1170" s="359"/>
      <c r="E1170" s="360"/>
      <c r="F1170" s="361"/>
      <c r="G1170" s="213" t="str">
        <f>IFERROR(VLOOKUP(Tabla3[[#This Row],[NUM ECONOMICO]],MAQUINARIA!B:H,7,0), " MAQ")</f>
        <v>INACTIVA</v>
      </c>
      <c r="H1170" s="362" t="s">
        <v>1345</v>
      </c>
      <c r="I1170" s="363" t="s">
        <v>1883</v>
      </c>
      <c r="J1170" s="358" t="s">
        <v>308</v>
      </c>
      <c r="K1170" s="358">
        <v>3</v>
      </c>
      <c r="L1170" s="364">
        <v>2814.6</v>
      </c>
      <c r="M1170" s="364">
        <f t="shared" si="22"/>
        <v>8443.7999999999993</v>
      </c>
      <c r="N1170" s="41" t="s">
        <v>1990</v>
      </c>
      <c r="O1170" s="358"/>
      <c r="P1170" s="365">
        <f>Tabla3[[#This Row],[COSTO UNITARIO DOLARES EN HAWTHORNE]]*Tabla3[[#This Row],[CANTIDAD SOLICTADA]]</f>
        <v>0</v>
      </c>
      <c r="Q1170" s="41"/>
      <c r="R1170" s="229"/>
      <c r="S1170" s="229">
        <f>+Tabla3[[#This Row],[COSTO UNITARIO DOLARES CTP]]*Tabla3[[#This Row],[CANTIDAD SOLICTADA]]</f>
        <v>0</v>
      </c>
      <c r="T1170" s="41"/>
      <c r="U1170" s="358" t="s">
        <v>5</v>
      </c>
      <c r="V1170" s="360" t="s">
        <v>1993</v>
      </c>
      <c r="W1170" s="366"/>
      <c r="X1170" s="359"/>
      <c r="Y1170" s="358"/>
      <c r="Z1170" s="360"/>
      <c r="AA1170" s="360"/>
      <c r="AB1170" s="360"/>
      <c r="AC1170" s="360"/>
      <c r="AD1170" s="360"/>
      <c r="AE1170" s="360"/>
      <c r="AF1170" s="16"/>
      <c r="AG1170" s="367" t="s">
        <v>1992</v>
      </c>
    </row>
    <row r="1171" spans="1:33" ht="15.75" thickBot="1" x14ac:dyDescent="0.3">
      <c r="A1171" s="356">
        <v>145</v>
      </c>
      <c r="B1171" s="357">
        <v>46210</v>
      </c>
      <c r="C1171" s="358" t="s">
        <v>87</v>
      </c>
      <c r="D1171" s="359"/>
      <c r="E1171" s="360"/>
      <c r="F1171" s="361"/>
      <c r="G1171" s="213" t="str">
        <f>IFERROR(VLOOKUP(Tabla3[[#This Row],[NUM ECONOMICO]],MAQUINARIA!B:H,7,0), " MAQ")</f>
        <v>INACTIVA</v>
      </c>
      <c r="H1171" s="362" t="s">
        <v>1345</v>
      </c>
      <c r="I1171" s="363" t="s">
        <v>1884</v>
      </c>
      <c r="J1171" s="358" t="s">
        <v>1967</v>
      </c>
      <c r="K1171" s="358">
        <v>5</v>
      </c>
      <c r="L1171" s="364">
        <v>4319.09</v>
      </c>
      <c r="M1171" s="364">
        <f t="shared" si="22"/>
        <v>21595.45</v>
      </c>
      <c r="N1171" s="41" t="s">
        <v>1990</v>
      </c>
      <c r="O1171" s="358"/>
      <c r="P1171" s="365">
        <f>Tabla3[[#This Row],[COSTO UNITARIO DOLARES EN HAWTHORNE]]*Tabla3[[#This Row],[CANTIDAD SOLICTADA]]</f>
        <v>0</v>
      </c>
      <c r="Q1171" s="41"/>
      <c r="R1171" s="229"/>
      <c r="S1171" s="229">
        <f>+Tabla3[[#This Row],[COSTO UNITARIO DOLARES CTP]]*Tabla3[[#This Row],[CANTIDAD SOLICTADA]]</f>
        <v>0</v>
      </c>
      <c r="T1171" s="41"/>
      <c r="U1171" s="358" t="s">
        <v>5</v>
      </c>
      <c r="V1171" s="360" t="s">
        <v>1993</v>
      </c>
      <c r="W1171" s="366"/>
      <c r="X1171" s="359"/>
      <c r="Y1171" s="358"/>
      <c r="Z1171" s="360"/>
      <c r="AA1171" s="360"/>
      <c r="AB1171" s="360"/>
      <c r="AC1171" s="360"/>
      <c r="AD1171" s="360"/>
      <c r="AE1171" s="360"/>
      <c r="AF1171" s="16"/>
      <c r="AG1171" s="367" t="s">
        <v>1992</v>
      </c>
    </row>
    <row r="1172" spans="1:33" ht="15.75" thickBot="1" x14ac:dyDescent="0.3">
      <c r="A1172" s="356">
        <v>145</v>
      </c>
      <c r="B1172" s="357">
        <v>46210</v>
      </c>
      <c r="C1172" s="358" t="s">
        <v>87</v>
      </c>
      <c r="D1172" s="359"/>
      <c r="E1172" s="360"/>
      <c r="F1172" s="361"/>
      <c r="G1172" s="213" t="str">
        <f>IFERROR(VLOOKUP(Tabla3[[#This Row],[NUM ECONOMICO]],MAQUINARIA!B:H,7,0), " MAQ")</f>
        <v>INACTIVA</v>
      </c>
      <c r="H1172" s="362" t="s">
        <v>1345</v>
      </c>
      <c r="I1172" s="363" t="s">
        <v>1885</v>
      </c>
      <c r="J1172" s="358" t="s">
        <v>1858</v>
      </c>
      <c r="K1172" s="358">
        <v>8</v>
      </c>
      <c r="L1172" s="364">
        <v>175.24</v>
      </c>
      <c r="M1172" s="364">
        <f t="shared" si="22"/>
        <v>1401.92</v>
      </c>
      <c r="N1172" s="41" t="s">
        <v>1990</v>
      </c>
      <c r="O1172" s="358"/>
      <c r="P1172" s="365">
        <f>Tabla3[[#This Row],[COSTO UNITARIO DOLARES EN HAWTHORNE]]*Tabla3[[#This Row],[CANTIDAD SOLICTADA]]</f>
        <v>0</v>
      </c>
      <c r="Q1172" s="41"/>
      <c r="R1172" s="229"/>
      <c r="S1172" s="229">
        <f>+Tabla3[[#This Row],[COSTO UNITARIO DOLARES CTP]]*Tabla3[[#This Row],[CANTIDAD SOLICTADA]]</f>
        <v>0</v>
      </c>
      <c r="T1172" s="41"/>
      <c r="U1172" s="358" t="s">
        <v>5</v>
      </c>
      <c r="V1172" s="360" t="s">
        <v>1993</v>
      </c>
      <c r="W1172" s="366"/>
      <c r="X1172" s="359"/>
      <c r="Y1172" s="358"/>
      <c r="Z1172" s="360"/>
      <c r="AA1172" s="360"/>
      <c r="AB1172" s="360"/>
      <c r="AC1172" s="360"/>
      <c r="AD1172" s="360"/>
      <c r="AE1172" s="360"/>
      <c r="AF1172" s="16"/>
      <c r="AG1172" s="367" t="s">
        <v>1992</v>
      </c>
    </row>
    <row r="1173" spans="1:33" ht="15.75" thickBot="1" x14ac:dyDescent="0.3">
      <c r="A1173" s="356">
        <v>145</v>
      </c>
      <c r="B1173" s="357">
        <v>46210</v>
      </c>
      <c r="C1173" s="358" t="s">
        <v>87</v>
      </c>
      <c r="D1173" s="359"/>
      <c r="E1173" s="360"/>
      <c r="F1173" s="361"/>
      <c r="G1173" s="213" t="str">
        <f>IFERROR(VLOOKUP(Tabla3[[#This Row],[NUM ECONOMICO]],MAQUINARIA!B:H,7,0), " MAQ")</f>
        <v>INACTIVA</v>
      </c>
      <c r="H1173" s="362" t="s">
        <v>1345</v>
      </c>
      <c r="I1173" s="363" t="s">
        <v>286</v>
      </c>
      <c r="J1173" s="358" t="s">
        <v>308</v>
      </c>
      <c r="K1173" s="358">
        <v>22</v>
      </c>
      <c r="L1173" s="364">
        <v>197.62</v>
      </c>
      <c r="M1173" s="364">
        <f t="shared" si="22"/>
        <v>4347.6400000000003</v>
      </c>
      <c r="N1173" s="41" t="s">
        <v>1990</v>
      </c>
      <c r="O1173" s="358"/>
      <c r="P1173" s="365">
        <f>Tabla3[[#This Row],[COSTO UNITARIO DOLARES EN HAWTHORNE]]*Tabla3[[#This Row],[CANTIDAD SOLICTADA]]</f>
        <v>0</v>
      </c>
      <c r="Q1173" s="41"/>
      <c r="R1173" s="229"/>
      <c r="S1173" s="229">
        <f>+Tabla3[[#This Row],[COSTO UNITARIO DOLARES CTP]]*Tabla3[[#This Row],[CANTIDAD SOLICTADA]]</f>
        <v>0</v>
      </c>
      <c r="T1173" s="41"/>
      <c r="U1173" s="358" t="s">
        <v>5</v>
      </c>
      <c r="V1173" s="360" t="s">
        <v>1993</v>
      </c>
      <c r="W1173" s="366"/>
      <c r="X1173" s="359"/>
      <c r="Y1173" s="358"/>
      <c r="Z1173" s="360"/>
      <c r="AA1173" s="360"/>
      <c r="AB1173" s="360"/>
      <c r="AC1173" s="360"/>
      <c r="AD1173" s="360"/>
      <c r="AE1173" s="360"/>
      <c r="AF1173" s="16"/>
      <c r="AG1173" s="367" t="s">
        <v>1992</v>
      </c>
    </row>
    <row r="1174" spans="1:33" ht="15.75" thickBot="1" x14ac:dyDescent="0.3">
      <c r="A1174" s="356">
        <v>145</v>
      </c>
      <c r="B1174" s="357">
        <v>46210</v>
      </c>
      <c r="C1174" s="358" t="s">
        <v>87</v>
      </c>
      <c r="D1174" s="359"/>
      <c r="E1174" s="360"/>
      <c r="F1174" s="361"/>
      <c r="G1174" s="213" t="str">
        <f>IFERROR(VLOOKUP(Tabla3[[#This Row],[NUM ECONOMICO]],MAQUINARIA!B:H,7,0), " MAQ")</f>
        <v>INACTIVA</v>
      </c>
      <c r="H1174" s="362" t="s">
        <v>1345</v>
      </c>
      <c r="I1174" s="363" t="s">
        <v>1886</v>
      </c>
      <c r="J1174" s="358" t="s">
        <v>1968</v>
      </c>
      <c r="K1174" s="358">
        <v>16</v>
      </c>
      <c r="L1174" s="364">
        <v>217.13</v>
      </c>
      <c r="M1174" s="364">
        <f t="shared" si="22"/>
        <v>3474.08</v>
      </c>
      <c r="N1174" s="41" t="s">
        <v>1990</v>
      </c>
      <c r="O1174" s="358"/>
      <c r="P1174" s="365">
        <f>Tabla3[[#This Row],[COSTO UNITARIO DOLARES EN HAWTHORNE]]*Tabla3[[#This Row],[CANTIDAD SOLICTADA]]</f>
        <v>0</v>
      </c>
      <c r="Q1174" s="41"/>
      <c r="R1174" s="229"/>
      <c r="S1174" s="229">
        <f>+Tabla3[[#This Row],[COSTO UNITARIO DOLARES CTP]]*Tabla3[[#This Row],[CANTIDAD SOLICTADA]]</f>
        <v>0</v>
      </c>
      <c r="T1174" s="41"/>
      <c r="U1174" s="358" t="s">
        <v>5</v>
      </c>
      <c r="V1174" s="360" t="s">
        <v>1993</v>
      </c>
      <c r="W1174" s="366"/>
      <c r="X1174" s="359"/>
      <c r="Y1174" s="358"/>
      <c r="Z1174" s="360"/>
      <c r="AA1174" s="360"/>
      <c r="AB1174" s="360"/>
      <c r="AC1174" s="360"/>
      <c r="AD1174" s="360"/>
      <c r="AE1174" s="360"/>
      <c r="AF1174" s="16"/>
      <c r="AG1174" s="367" t="s">
        <v>1992</v>
      </c>
    </row>
    <row r="1175" spans="1:33" ht="15.75" thickBot="1" x14ac:dyDescent="0.3">
      <c r="A1175" s="356">
        <v>145</v>
      </c>
      <c r="B1175" s="357">
        <v>46210</v>
      </c>
      <c r="C1175" s="358" t="s">
        <v>87</v>
      </c>
      <c r="D1175" s="359"/>
      <c r="E1175" s="360"/>
      <c r="F1175" s="361"/>
      <c r="G1175" s="213" t="str">
        <f>IFERROR(VLOOKUP(Tabla3[[#This Row],[NUM ECONOMICO]],MAQUINARIA!B:H,7,0), " MAQ")</f>
        <v>INACTIVA</v>
      </c>
      <c r="H1175" s="362" t="s">
        <v>1345</v>
      </c>
      <c r="I1175" s="363" t="s">
        <v>1887</v>
      </c>
      <c r="J1175" s="358" t="s">
        <v>308</v>
      </c>
      <c r="K1175" s="358">
        <v>3</v>
      </c>
      <c r="L1175" s="364">
        <v>2868.65</v>
      </c>
      <c r="M1175" s="364">
        <f t="shared" si="22"/>
        <v>8605.9500000000007</v>
      </c>
      <c r="N1175" s="41" t="s">
        <v>1990</v>
      </c>
      <c r="O1175" s="358"/>
      <c r="P1175" s="365">
        <f>Tabla3[[#This Row],[COSTO UNITARIO DOLARES EN HAWTHORNE]]*Tabla3[[#This Row],[CANTIDAD SOLICTADA]]</f>
        <v>0</v>
      </c>
      <c r="Q1175" s="41"/>
      <c r="R1175" s="229"/>
      <c r="S1175" s="229">
        <f>+Tabla3[[#This Row],[COSTO UNITARIO DOLARES CTP]]*Tabla3[[#This Row],[CANTIDAD SOLICTADA]]</f>
        <v>0</v>
      </c>
      <c r="T1175" s="41"/>
      <c r="U1175" s="358" t="s">
        <v>5</v>
      </c>
      <c r="V1175" s="360" t="s">
        <v>1993</v>
      </c>
      <c r="W1175" s="366"/>
      <c r="X1175" s="359"/>
      <c r="Y1175" s="358"/>
      <c r="Z1175" s="360"/>
      <c r="AA1175" s="360"/>
      <c r="AB1175" s="360"/>
      <c r="AC1175" s="360"/>
      <c r="AD1175" s="360"/>
      <c r="AE1175" s="360"/>
      <c r="AF1175" s="16"/>
      <c r="AG1175" s="367" t="s">
        <v>1992</v>
      </c>
    </row>
    <row r="1176" spans="1:33" ht="15.75" thickBot="1" x14ac:dyDescent="0.3">
      <c r="A1176" s="356">
        <v>145</v>
      </c>
      <c r="B1176" s="357">
        <v>46210</v>
      </c>
      <c r="C1176" s="358" t="s">
        <v>87</v>
      </c>
      <c r="D1176" s="359"/>
      <c r="E1176" s="360"/>
      <c r="F1176" s="361"/>
      <c r="G1176" s="213" t="str">
        <f>IFERROR(VLOOKUP(Tabla3[[#This Row],[NUM ECONOMICO]],MAQUINARIA!B:H,7,0), " MAQ")</f>
        <v>INACTIVA</v>
      </c>
      <c r="H1176" s="362" t="s">
        <v>1345</v>
      </c>
      <c r="I1176" s="363" t="s">
        <v>1888</v>
      </c>
      <c r="J1176" s="358" t="s">
        <v>1969</v>
      </c>
      <c r="K1176" s="358">
        <v>1</v>
      </c>
      <c r="L1176" s="364">
        <v>87438.82</v>
      </c>
      <c r="M1176" s="364">
        <f t="shared" si="22"/>
        <v>87438.82</v>
      </c>
      <c r="N1176" s="41" t="s">
        <v>1990</v>
      </c>
      <c r="O1176" s="358"/>
      <c r="P1176" s="365">
        <f>Tabla3[[#This Row],[COSTO UNITARIO DOLARES EN HAWTHORNE]]*Tabla3[[#This Row],[CANTIDAD SOLICTADA]]</f>
        <v>0</v>
      </c>
      <c r="Q1176" s="41"/>
      <c r="R1176" s="229"/>
      <c r="S1176" s="229">
        <f>+Tabla3[[#This Row],[COSTO UNITARIO DOLARES CTP]]*Tabla3[[#This Row],[CANTIDAD SOLICTADA]]</f>
        <v>0</v>
      </c>
      <c r="T1176" s="41"/>
      <c r="U1176" s="358" t="s">
        <v>5</v>
      </c>
      <c r="V1176" s="360" t="s">
        <v>1993</v>
      </c>
      <c r="W1176" s="366"/>
      <c r="X1176" s="359"/>
      <c r="Y1176" s="358"/>
      <c r="Z1176" s="360"/>
      <c r="AA1176" s="360"/>
      <c r="AB1176" s="360"/>
      <c r="AC1176" s="360"/>
      <c r="AD1176" s="360"/>
      <c r="AE1176" s="360"/>
      <c r="AF1176" s="16"/>
      <c r="AG1176" s="367" t="s">
        <v>1992</v>
      </c>
    </row>
    <row r="1177" spans="1:33" ht="15.75" thickBot="1" x14ac:dyDescent="0.3">
      <c r="A1177" s="356">
        <v>145</v>
      </c>
      <c r="B1177" s="357">
        <v>46210</v>
      </c>
      <c r="C1177" s="358" t="s">
        <v>87</v>
      </c>
      <c r="D1177" s="359"/>
      <c r="E1177" s="360"/>
      <c r="F1177" s="361"/>
      <c r="G1177" s="213" t="str">
        <f>IFERROR(VLOOKUP(Tabla3[[#This Row],[NUM ECONOMICO]],MAQUINARIA!B:H,7,0), " MAQ")</f>
        <v>INACTIVA</v>
      </c>
      <c r="H1177" s="362" t="s">
        <v>1345</v>
      </c>
      <c r="I1177" s="363" t="s">
        <v>1889</v>
      </c>
      <c r="J1177" s="358" t="s">
        <v>1962</v>
      </c>
      <c r="K1177" s="358">
        <v>1</v>
      </c>
      <c r="L1177" s="364">
        <v>2340.7800000000002</v>
      </c>
      <c r="M1177" s="364">
        <f t="shared" si="22"/>
        <v>2340.7800000000002</v>
      </c>
      <c r="N1177" s="41" t="s">
        <v>1990</v>
      </c>
      <c r="O1177" s="358"/>
      <c r="P1177" s="365">
        <f>Tabla3[[#This Row],[COSTO UNITARIO DOLARES EN HAWTHORNE]]*Tabla3[[#This Row],[CANTIDAD SOLICTADA]]</f>
        <v>0</v>
      </c>
      <c r="Q1177" s="41"/>
      <c r="R1177" s="229"/>
      <c r="S1177" s="229">
        <f>+Tabla3[[#This Row],[COSTO UNITARIO DOLARES CTP]]*Tabla3[[#This Row],[CANTIDAD SOLICTADA]]</f>
        <v>0</v>
      </c>
      <c r="T1177" s="41"/>
      <c r="U1177" s="358" t="s">
        <v>5</v>
      </c>
      <c r="V1177" s="360" t="s">
        <v>1993</v>
      </c>
      <c r="W1177" s="366"/>
      <c r="X1177" s="359"/>
      <c r="Y1177" s="358"/>
      <c r="Z1177" s="360"/>
      <c r="AA1177" s="360"/>
      <c r="AB1177" s="360"/>
      <c r="AC1177" s="360"/>
      <c r="AD1177" s="360"/>
      <c r="AE1177" s="360"/>
      <c r="AF1177" s="16"/>
      <c r="AG1177" s="367" t="s">
        <v>1992</v>
      </c>
    </row>
    <row r="1178" spans="1:33" ht="15.75" thickBot="1" x14ac:dyDescent="0.3">
      <c r="A1178" s="356">
        <v>145</v>
      </c>
      <c r="B1178" s="357">
        <v>46210</v>
      </c>
      <c r="C1178" s="358" t="s">
        <v>87</v>
      </c>
      <c r="D1178" s="359"/>
      <c r="E1178" s="360"/>
      <c r="F1178" s="361"/>
      <c r="G1178" s="213" t="str">
        <f>IFERROR(VLOOKUP(Tabla3[[#This Row],[NUM ECONOMICO]],MAQUINARIA!B:H,7,0), " MAQ")</f>
        <v>INACTIVA</v>
      </c>
      <c r="H1178" s="362" t="s">
        <v>1345</v>
      </c>
      <c r="I1178" s="363" t="s">
        <v>1890</v>
      </c>
      <c r="J1178" s="358" t="s">
        <v>1970</v>
      </c>
      <c r="K1178" s="358">
        <v>1</v>
      </c>
      <c r="L1178" s="364">
        <v>0</v>
      </c>
      <c r="M1178" s="364">
        <f t="shared" si="22"/>
        <v>0</v>
      </c>
      <c r="N1178" s="41" t="s">
        <v>1990</v>
      </c>
      <c r="O1178" s="358"/>
      <c r="P1178" s="365">
        <f>Tabla3[[#This Row],[COSTO UNITARIO DOLARES EN HAWTHORNE]]*Tabla3[[#This Row],[CANTIDAD SOLICTADA]]</f>
        <v>0</v>
      </c>
      <c r="Q1178" s="41"/>
      <c r="R1178" s="229"/>
      <c r="S1178" s="229">
        <f>+Tabla3[[#This Row],[COSTO UNITARIO DOLARES CTP]]*Tabla3[[#This Row],[CANTIDAD SOLICTADA]]</f>
        <v>0</v>
      </c>
      <c r="T1178" s="41"/>
      <c r="U1178" s="358" t="s">
        <v>5</v>
      </c>
      <c r="V1178" s="360" t="s">
        <v>1993</v>
      </c>
      <c r="W1178" s="366"/>
      <c r="X1178" s="359"/>
      <c r="Y1178" s="358"/>
      <c r="Z1178" s="360"/>
      <c r="AA1178" s="360"/>
      <c r="AB1178" s="360"/>
      <c r="AC1178" s="360"/>
      <c r="AD1178" s="360"/>
      <c r="AE1178" s="360"/>
      <c r="AF1178" s="16"/>
      <c r="AG1178" s="367" t="s">
        <v>1992</v>
      </c>
    </row>
    <row r="1179" spans="1:33" ht="15.75" thickBot="1" x14ac:dyDescent="0.3">
      <c r="A1179" s="356">
        <v>145</v>
      </c>
      <c r="B1179" s="357">
        <v>46210</v>
      </c>
      <c r="C1179" s="358" t="s">
        <v>87</v>
      </c>
      <c r="D1179" s="359"/>
      <c r="E1179" s="360"/>
      <c r="F1179" s="361"/>
      <c r="G1179" s="213" t="str">
        <f>IFERROR(VLOOKUP(Tabla3[[#This Row],[NUM ECONOMICO]],MAQUINARIA!B:H,7,0), " MAQ")</f>
        <v>INACTIVA</v>
      </c>
      <c r="H1179" s="362" t="s">
        <v>1345</v>
      </c>
      <c r="I1179" s="363" t="s">
        <v>1891</v>
      </c>
      <c r="J1179" s="358" t="s">
        <v>546</v>
      </c>
      <c r="K1179" s="358">
        <v>2</v>
      </c>
      <c r="L1179" s="364">
        <v>125.84</v>
      </c>
      <c r="M1179" s="364">
        <f t="shared" si="22"/>
        <v>251.68</v>
      </c>
      <c r="N1179" s="41" t="s">
        <v>1990</v>
      </c>
      <c r="O1179" s="358"/>
      <c r="P1179" s="365">
        <f>Tabla3[[#This Row],[COSTO UNITARIO DOLARES EN HAWTHORNE]]*Tabla3[[#This Row],[CANTIDAD SOLICTADA]]</f>
        <v>0</v>
      </c>
      <c r="Q1179" s="41"/>
      <c r="R1179" s="229"/>
      <c r="S1179" s="229">
        <f>+Tabla3[[#This Row],[COSTO UNITARIO DOLARES CTP]]*Tabla3[[#This Row],[CANTIDAD SOLICTADA]]</f>
        <v>0</v>
      </c>
      <c r="T1179" s="41"/>
      <c r="U1179" s="358" t="s">
        <v>5</v>
      </c>
      <c r="V1179" s="360" t="s">
        <v>1993</v>
      </c>
      <c r="W1179" s="366"/>
      <c r="X1179" s="359"/>
      <c r="Y1179" s="358"/>
      <c r="Z1179" s="360"/>
      <c r="AA1179" s="360"/>
      <c r="AB1179" s="360"/>
      <c r="AC1179" s="360"/>
      <c r="AD1179" s="360"/>
      <c r="AE1179" s="360"/>
      <c r="AF1179" s="16"/>
      <c r="AG1179" s="367" t="s">
        <v>1992</v>
      </c>
    </row>
    <row r="1180" spans="1:33" ht="15.75" thickBot="1" x14ac:dyDescent="0.3">
      <c r="A1180" s="356">
        <v>145</v>
      </c>
      <c r="B1180" s="357">
        <v>46210</v>
      </c>
      <c r="C1180" s="358" t="s">
        <v>87</v>
      </c>
      <c r="D1180" s="359"/>
      <c r="E1180" s="360"/>
      <c r="F1180" s="361"/>
      <c r="G1180" s="213" t="str">
        <f>IFERROR(VLOOKUP(Tabla3[[#This Row],[NUM ECONOMICO]],MAQUINARIA!B:H,7,0), " MAQ")</f>
        <v>INACTIVA</v>
      </c>
      <c r="H1180" s="362" t="s">
        <v>1345</v>
      </c>
      <c r="I1180" s="363" t="s">
        <v>679</v>
      </c>
      <c r="J1180" s="358" t="s">
        <v>220</v>
      </c>
      <c r="K1180" s="358">
        <v>2</v>
      </c>
      <c r="L1180" s="364">
        <v>295.17</v>
      </c>
      <c r="M1180" s="364">
        <f t="shared" si="22"/>
        <v>590.34</v>
      </c>
      <c r="N1180" s="41" t="s">
        <v>1990</v>
      </c>
      <c r="O1180" s="358"/>
      <c r="P1180" s="365">
        <f>Tabla3[[#This Row],[COSTO UNITARIO DOLARES EN HAWTHORNE]]*Tabla3[[#This Row],[CANTIDAD SOLICTADA]]</f>
        <v>0</v>
      </c>
      <c r="Q1180" s="41"/>
      <c r="R1180" s="229"/>
      <c r="S1180" s="229">
        <f>+Tabla3[[#This Row],[COSTO UNITARIO DOLARES CTP]]*Tabla3[[#This Row],[CANTIDAD SOLICTADA]]</f>
        <v>0</v>
      </c>
      <c r="T1180" s="41"/>
      <c r="U1180" s="358" t="s">
        <v>5</v>
      </c>
      <c r="V1180" s="360" t="s">
        <v>1993</v>
      </c>
      <c r="W1180" s="366"/>
      <c r="X1180" s="359"/>
      <c r="Y1180" s="358"/>
      <c r="Z1180" s="360"/>
      <c r="AA1180" s="360"/>
      <c r="AB1180" s="360"/>
      <c r="AC1180" s="360"/>
      <c r="AD1180" s="360"/>
      <c r="AE1180" s="360"/>
      <c r="AF1180" s="16"/>
      <c r="AG1180" s="367" t="s">
        <v>1992</v>
      </c>
    </row>
    <row r="1181" spans="1:33" ht="15.75" thickBot="1" x14ac:dyDescent="0.3">
      <c r="A1181" s="356">
        <v>145</v>
      </c>
      <c r="B1181" s="357">
        <v>46210</v>
      </c>
      <c r="C1181" s="358" t="s">
        <v>87</v>
      </c>
      <c r="D1181" s="359"/>
      <c r="E1181" s="360"/>
      <c r="F1181" s="361"/>
      <c r="G1181" s="213" t="str">
        <f>IFERROR(VLOOKUP(Tabla3[[#This Row],[NUM ECONOMICO]],MAQUINARIA!B:H,7,0), " MAQ")</f>
        <v>INACTIVA</v>
      </c>
      <c r="H1181" s="362" t="s">
        <v>1345</v>
      </c>
      <c r="I1181" s="363" t="s">
        <v>1892</v>
      </c>
      <c r="J1181" s="358" t="s">
        <v>1961</v>
      </c>
      <c r="K1181" s="358">
        <v>1</v>
      </c>
      <c r="L1181" s="364">
        <v>173.09</v>
      </c>
      <c r="M1181" s="364">
        <f t="shared" si="22"/>
        <v>173.09</v>
      </c>
      <c r="N1181" s="41" t="s">
        <v>1990</v>
      </c>
      <c r="O1181" s="358"/>
      <c r="P1181" s="365">
        <f>Tabla3[[#This Row],[COSTO UNITARIO DOLARES EN HAWTHORNE]]*Tabla3[[#This Row],[CANTIDAD SOLICTADA]]</f>
        <v>0</v>
      </c>
      <c r="Q1181" s="41"/>
      <c r="R1181" s="229"/>
      <c r="S1181" s="229">
        <f>+Tabla3[[#This Row],[COSTO UNITARIO DOLARES CTP]]*Tabla3[[#This Row],[CANTIDAD SOLICTADA]]</f>
        <v>0</v>
      </c>
      <c r="T1181" s="41"/>
      <c r="U1181" s="358" t="s">
        <v>5</v>
      </c>
      <c r="V1181" s="360" t="s">
        <v>1993</v>
      </c>
      <c r="W1181" s="366"/>
      <c r="X1181" s="359"/>
      <c r="Y1181" s="358"/>
      <c r="Z1181" s="360"/>
      <c r="AA1181" s="360"/>
      <c r="AB1181" s="360"/>
      <c r="AC1181" s="360"/>
      <c r="AD1181" s="360"/>
      <c r="AE1181" s="360"/>
      <c r="AF1181" s="16"/>
      <c r="AG1181" s="367" t="s">
        <v>1992</v>
      </c>
    </row>
    <row r="1182" spans="1:33" ht="15.75" thickBot="1" x14ac:dyDescent="0.3">
      <c r="A1182" s="356">
        <v>145</v>
      </c>
      <c r="B1182" s="357">
        <v>46210</v>
      </c>
      <c r="C1182" s="358" t="s">
        <v>87</v>
      </c>
      <c r="D1182" s="359"/>
      <c r="E1182" s="360"/>
      <c r="F1182" s="361"/>
      <c r="G1182" s="213" t="str">
        <f>IFERROR(VLOOKUP(Tabla3[[#This Row],[NUM ECONOMICO]],MAQUINARIA!B:H,7,0), " MAQ")</f>
        <v>INACTIVA</v>
      </c>
      <c r="H1182" s="362" t="s">
        <v>1345</v>
      </c>
      <c r="I1182" s="363" t="s">
        <v>323</v>
      </c>
      <c r="J1182" s="358" t="s">
        <v>1961</v>
      </c>
      <c r="K1182" s="358">
        <v>1</v>
      </c>
      <c r="L1182" s="364">
        <v>48.33</v>
      </c>
      <c r="M1182" s="364">
        <f t="shared" si="22"/>
        <v>48.33</v>
      </c>
      <c r="N1182" s="41" t="s">
        <v>1990</v>
      </c>
      <c r="O1182" s="358"/>
      <c r="P1182" s="365">
        <f>Tabla3[[#This Row],[COSTO UNITARIO DOLARES EN HAWTHORNE]]*Tabla3[[#This Row],[CANTIDAD SOLICTADA]]</f>
        <v>0</v>
      </c>
      <c r="Q1182" s="41"/>
      <c r="R1182" s="229"/>
      <c r="S1182" s="229">
        <f>+Tabla3[[#This Row],[COSTO UNITARIO DOLARES CTP]]*Tabla3[[#This Row],[CANTIDAD SOLICTADA]]</f>
        <v>0</v>
      </c>
      <c r="T1182" s="41"/>
      <c r="U1182" s="358" t="s">
        <v>5</v>
      </c>
      <c r="V1182" s="360" t="s">
        <v>1993</v>
      </c>
      <c r="W1182" s="366"/>
      <c r="X1182" s="359"/>
      <c r="Y1182" s="358"/>
      <c r="Z1182" s="360"/>
      <c r="AA1182" s="360"/>
      <c r="AB1182" s="360"/>
      <c r="AC1182" s="360"/>
      <c r="AD1182" s="360"/>
      <c r="AE1182" s="360"/>
      <c r="AF1182" s="16"/>
      <c r="AG1182" s="367" t="s">
        <v>1992</v>
      </c>
    </row>
    <row r="1183" spans="1:33" ht="15.75" thickBot="1" x14ac:dyDescent="0.3">
      <c r="A1183" s="356">
        <v>145</v>
      </c>
      <c r="B1183" s="357">
        <v>46210</v>
      </c>
      <c r="C1183" s="358" t="s">
        <v>87</v>
      </c>
      <c r="D1183" s="359"/>
      <c r="E1183" s="360"/>
      <c r="F1183" s="361"/>
      <c r="G1183" s="213" t="str">
        <f>IFERROR(VLOOKUP(Tabla3[[#This Row],[NUM ECONOMICO]],MAQUINARIA!B:H,7,0), " MAQ")</f>
        <v>INACTIVA</v>
      </c>
      <c r="H1183" s="362" t="s">
        <v>1345</v>
      </c>
      <c r="I1183" s="363" t="s">
        <v>334</v>
      </c>
      <c r="J1183" s="358" t="s">
        <v>506</v>
      </c>
      <c r="K1183" s="358">
        <v>2</v>
      </c>
      <c r="L1183" s="364">
        <v>31.5</v>
      </c>
      <c r="M1183" s="364">
        <f t="shared" si="22"/>
        <v>63</v>
      </c>
      <c r="N1183" s="41" t="s">
        <v>1990</v>
      </c>
      <c r="O1183" s="358"/>
      <c r="P1183" s="365">
        <f>Tabla3[[#This Row],[COSTO UNITARIO DOLARES EN HAWTHORNE]]*Tabla3[[#This Row],[CANTIDAD SOLICTADA]]</f>
        <v>0</v>
      </c>
      <c r="Q1183" s="41"/>
      <c r="R1183" s="229"/>
      <c r="S1183" s="229">
        <f>+Tabla3[[#This Row],[COSTO UNITARIO DOLARES CTP]]*Tabla3[[#This Row],[CANTIDAD SOLICTADA]]</f>
        <v>0</v>
      </c>
      <c r="T1183" s="41"/>
      <c r="U1183" s="358" t="s">
        <v>5</v>
      </c>
      <c r="V1183" s="360" t="s">
        <v>1993</v>
      </c>
      <c r="W1183" s="366"/>
      <c r="X1183" s="359"/>
      <c r="Y1183" s="358"/>
      <c r="Z1183" s="360"/>
      <c r="AA1183" s="360"/>
      <c r="AB1183" s="360"/>
      <c r="AC1183" s="360"/>
      <c r="AD1183" s="360"/>
      <c r="AE1183" s="360"/>
      <c r="AF1183" s="16"/>
      <c r="AG1183" s="367" t="s">
        <v>1992</v>
      </c>
    </row>
    <row r="1184" spans="1:33" ht="15.75" thickBot="1" x14ac:dyDescent="0.3">
      <c r="A1184" s="356">
        <v>145</v>
      </c>
      <c r="B1184" s="357">
        <v>46210</v>
      </c>
      <c r="C1184" s="358" t="s">
        <v>87</v>
      </c>
      <c r="D1184" s="359"/>
      <c r="E1184" s="360"/>
      <c r="F1184" s="361"/>
      <c r="G1184" s="213" t="str">
        <f>IFERROR(VLOOKUP(Tabla3[[#This Row],[NUM ECONOMICO]],MAQUINARIA!B:H,7,0), " MAQ")</f>
        <v>INACTIVA</v>
      </c>
      <c r="H1184" s="362" t="s">
        <v>1345</v>
      </c>
      <c r="I1184" s="363" t="s">
        <v>1893</v>
      </c>
      <c r="J1184" s="358" t="s">
        <v>1961</v>
      </c>
      <c r="K1184" s="358">
        <v>1</v>
      </c>
      <c r="L1184" s="364">
        <v>122.61</v>
      </c>
      <c r="M1184" s="364">
        <f t="shared" si="22"/>
        <v>122.61</v>
      </c>
      <c r="N1184" s="41" t="s">
        <v>1990</v>
      </c>
      <c r="O1184" s="358"/>
      <c r="P1184" s="365">
        <f>Tabla3[[#This Row],[COSTO UNITARIO DOLARES EN HAWTHORNE]]*Tabla3[[#This Row],[CANTIDAD SOLICTADA]]</f>
        <v>0</v>
      </c>
      <c r="Q1184" s="41"/>
      <c r="R1184" s="229"/>
      <c r="S1184" s="229">
        <f>+Tabla3[[#This Row],[COSTO UNITARIO DOLARES CTP]]*Tabla3[[#This Row],[CANTIDAD SOLICTADA]]</f>
        <v>0</v>
      </c>
      <c r="T1184" s="41"/>
      <c r="U1184" s="358" t="s">
        <v>5</v>
      </c>
      <c r="V1184" s="360" t="s">
        <v>1993</v>
      </c>
      <c r="W1184" s="366"/>
      <c r="X1184" s="359"/>
      <c r="Y1184" s="358"/>
      <c r="Z1184" s="360"/>
      <c r="AA1184" s="360"/>
      <c r="AB1184" s="360"/>
      <c r="AC1184" s="360"/>
      <c r="AD1184" s="360"/>
      <c r="AE1184" s="360"/>
      <c r="AF1184" s="16"/>
      <c r="AG1184" s="367" t="s">
        <v>1992</v>
      </c>
    </row>
    <row r="1185" spans="1:33" ht="15.75" thickBot="1" x14ac:dyDescent="0.3">
      <c r="A1185" s="356">
        <v>145</v>
      </c>
      <c r="B1185" s="357">
        <v>46210</v>
      </c>
      <c r="C1185" s="358" t="s">
        <v>87</v>
      </c>
      <c r="D1185" s="359"/>
      <c r="E1185" s="360"/>
      <c r="F1185" s="361"/>
      <c r="G1185" s="213" t="str">
        <f>IFERROR(VLOOKUP(Tabla3[[#This Row],[NUM ECONOMICO]],MAQUINARIA!B:H,7,0), " MAQ")</f>
        <v>INACTIVA</v>
      </c>
      <c r="H1185" s="362" t="s">
        <v>1345</v>
      </c>
      <c r="I1185" s="363" t="s">
        <v>1894</v>
      </c>
      <c r="J1185" s="358" t="s">
        <v>1971</v>
      </c>
      <c r="K1185" s="358">
        <v>1</v>
      </c>
      <c r="L1185" s="364">
        <v>55.85</v>
      </c>
      <c r="M1185" s="364">
        <f t="shared" si="22"/>
        <v>55.85</v>
      </c>
      <c r="N1185" s="41" t="s">
        <v>1990</v>
      </c>
      <c r="O1185" s="358"/>
      <c r="P1185" s="365">
        <f>Tabla3[[#This Row],[COSTO UNITARIO DOLARES EN HAWTHORNE]]*Tabla3[[#This Row],[CANTIDAD SOLICTADA]]</f>
        <v>0</v>
      </c>
      <c r="Q1185" s="41"/>
      <c r="R1185" s="229"/>
      <c r="S1185" s="229">
        <f>+Tabla3[[#This Row],[COSTO UNITARIO DOLARES CTP]]*Tabla3[[#This Row],[CANTIDAD SOLICTADA]]</f>
        <v>0</v>
      </c>
      <c r="T1185" s="41"/>
      <c r="U1185" s="358" t="s">
        <v>5</v>
      </c>
      <c r="V1185" s="360" t="s">
        <v>1993</v>
      </c>
      <c r="W1185" s="366"/>
      <c r="X1185" s="359"/>
      <c r="Y1185" s="358"/>
      <c r="Z1185" s="360"/>
      <c r="AA1185" s="360"/>
      <c r="AB1185" s="360"/>
      <c r="AC1185" s="360"/>
      <c r="AD1185" s="360"/>
      <c r="AE1185" s="360"/>
      <c r="AF1185" s="16"/>
      <c r="AG1185" s="367" t="s">
        <v>1992</v>
      </c>
    </row>
    <row r="1186" spans="1:33" ht="15.75" thickBot="1" x14ac:dyDescent="0.3">
      <c r="A1186" s="356">
        <v>145</v>
      </c>
      <c r="B1186" s="357">
        <v>46210</v>
      </c>
      <c r="C1186" s="358" t="s">
        <v>87</v>
      </c>
      <c r="D1186" s="359"/>
      <c r="E1186" s="360"/>
      <c r="F1186" s="361"/>
      <c r="G1186" s="213" t="str">
        <f>IFERROR(VLOOKUP(Tabla3[[#This Row],[NUM ECONOMICO]],MAQUINARIA!B:H,7,0), " MAQ")</f>
        <v>INACTIVA</v>
      </c>
      <c r="H1186" s="362" t="s">
        <v>1345</v>
      </c>
      <c r="I1186" s="363" t="s">
        <v>1895</v>
      </c>
      <c r="J1186" s="358" t="s">
        <v>220</v>
      </c>
      <c r="K1186" s="358">
        <v>1</v>
      </c>
      <c r="L1186" s="364">
        <v>475.42</v>
      </c>
      <c r="M1186" s="364">
        <f t="shared" si="22"/>
        <v>475.42</v>
      </c>
      <c r="N1186" s="41" t="s">
        <v>1990</v>
      </c>
      <c r="O1186" s="358"/>
      <c r="P1186" s="365">
        <f>Tabla3[[#This Row],[COSTO UNITARIO DOLARES EN HAWTHORNE]]*Tabla3[[#This Row],[CANTIDAD SOLICTADA]]</f>
        <v>0</v>
      </c>
      <c r="Q1186" s="41"/>
      <c r="R1186" s="229"/>
      <c r="S1186" s="229">
        <f>+Tabla3[[#This Row],[COSTO UNITARIO DOLARES CTP]]*Tabla3[[#This Row],[CANTIDAD SOLICTADA]]</f>
        <v>0</v>
      </c>
      <c r="T1186" s="41"/>
      <c r="U1186" s="358" t="s">
        <v>5</v>
      </c>
      <c r="V1186" s="360" t="s">
        <v>1993</v>
      </c>
      <c r="W1186" s="366"/>
      <c r="X1186" s="359"/>
      <c r="Y1186" s="358"/>
      <c r="Z1186" s="360"/>
      <c r="AA1186" s="360"/>
      <c r="AB1186" s="360"/>
      <c r="AC1186" s="360"/>
      <c r="AD1186" s="360"/>
      <c r="AE1186" s="360"/>
      <c r="AF1186" s="16"/>
      <c r="AG1186" s="367" t="s">
        <v>1992</v>
      </c>
    </row>
    <row r="1187" spans="1:33" ht="15.75" thickBot="1" x14ac:dyDescent="0.3">
      <c r="A1187" s="356">
        <v>145</v>
      </c>
      <c r="B1187" s="357">
        <v>46210</v>
      </c>
      <c r="C1187" s="358" t="s">
        <v>87</v>
      </c>
      <c r="D1187" s="359"/>
      <c r="E1187" s="360"/>
      <c r="F1187" s="361"/>
      <c r="G1187" s="213" t="str">
        <f>IFERROR(VLOOKUP(Tabla3[[#This Row],[NUM ECONOMICO]],MAQUINARIA!B:H,7,0), " MAQ")</f>
        <v>INACTIVA</v>
      </c>
      <c r="H1187" s="362" t="s">
        <v>1345</v>
      </c>
      <c r="I1187" s="363" t="s">
        <v>330</v>
      </c>
      <c r="J1187" s="358" t="s">
        <v>1961</v>
      </c>
      <c r="K1187" s="358">
        <v>1</v>
      </c>
      <c r="L1187" s="364">
        <v>153.4</v>
      </c>
      <c r="M1187" s="364">
        <f t="shared" si="22"/>
        <v>153.4</v>
      </c>
      <c r="N1187" s="41" t="s">
        <v>1990</v>
      </c>
      <c r="O1187" s="358"/>
      <c r="P1187" s="365">
        <f>Tabla3[[#This Row],[COSTO UNITARIO DOLARES EN HAWTHORNE]]*Tabla3[[#This Row],[CANTIDAD SOLICTADA]]</f>
        <v>0</v>
      </c>
      <c r="Q1187" s="41"/>
      <c r="R1187" s="229"/>
      <c r="S1187" s="229">
        <f>+Tabla3[[#This Row],[COSTO UNITARIO DOLARES CTP]]*Tabla3[[#This Row],[CANTIDAD SOLICTADA]]</f>
        <v>0</v>
      </c>
      <c r="T1187" s="41"/>
      <c r="U1187" s="358" t="s">
        <v>5</v>
      </c>
      <c r="V1187" s="360" t="s">
        <v>1993</v>
      </c>
      <c r="W1187" s="366"/>
      <c r="X1187" s="359"/>
      <c r="Y1187" s="358"/>
      <c r="Z1187" s="360"/>
      <c r="AA1187" s="360"/>
      <c r="AB1187" s="360"/>
      <c r="AC1187" s="360"/>
      <c r="AD1187" s="360"/>
      <c r="AE1187" s="360"/>
      <c r="AF1187" s="16"/>
      <c r="AG1187" s="367" t="s">
        <v>1992</v>
      </c>
    </row>
    <row r="1188" spans="1:33" ht="15.75" thickBot="1" x14ac:dyDescent="0.3">
      <c r="A1188" s="356">
        <v>145</v>
      </c>
      <c r="B1188" s="357">
        <v>46210</v>
      </c>
      <c r="C1188" s="358" t="s">
        <v>87</v>
      </c>
      <c r="D1188" s="359"/>
      <c r="E1188" s="360"/>
      <c r="F1188" s="361"/>
      <c r="G1188" s="213" t="str">
        <f>IFERROR(VLOOKUP(Tabla3[[#This Row],[NUM ECONOMICO]],MAQUINARIA!B:H,7,0), " MAQ")</f>
        <v>INACTIVA</v>
      </c>
      <c r="H1188" s="362" t="s">
        <v>1345</v>
      </c>
      <c r="I1188" s="363" t="s">
        <v>1896</v>
      </c>
      <c r="J1188" s="358" t="s">
        <v>220</v>
      </c>
      <c r="K1188" s="358">
        <v>1</v>
      </c>
      <c r="L1188" s="364">
        <v>198.33</v>
      </c>
      <c r="M1188" s="364">
        <f t="shared" si="22"/>
        <v>198.33</v>
      </c>
      <c r="N1188" s="41" t="s">
        <v>1990</v>
      </c>
      <c r="O1188" s="358"/>
      <c r="P1188" s="365">
        <f>Tabla3[[#This Row],[COSTO UNITARIO DOLARES EN HAWTHORNE]]*Tabla3[[#This Row],[CANTIDAD SOLICTADA]]</f>
        <v>0</v>
      </c>
      <c r="Q1188" s="41"/>
      <c r="R1188" s="229"/>
      <c r="S1188" s="229">
        <f>+Tabla3[[#This Row],[COSTO UNITARIO DOLARES CTP]]*Tabla3[[#This Row],[CANTIDAD SOLICTADA]]</f>
        <v>0</v>
      </c>
      <c r="T1188" s="41"/>
      <c r="U1188" s="358" t="s">
        <v>5</v>
      </c>
      <c r="V1188" s="360" t="s">
        <v>1993</v>
      </c>
      <c r="W1188" s="366"/>
      <c r="X1188" s="359"/>
      <c r="Y1188" s="358"/>
      <c r="Z1188" s="360"/>
      <c r="AA1188" s="360"/>
      <c r="AB1188" s="360"/>
      <c r="AC1188" s="360"/>
      <c r="AD1188" s="360"/>
      <c r="AE1188" s="360"/>
      <c r="AF1188" s="16"/>
      <c r="AG1188" s="367" t="s">
        <v>1992</v>
      </c>
    </row>
    <row r="1189" spans="1:33" ht="15.75" thickBot="1" x14ac:dyDescent="0.3">
      <c r="A1189" s="356">
        <v>145</v>
      </c>
      <c r="B1189" s="357">
        <v>46210</v>
      </c>
      <c r="C1189" s="358" t="s">
        <v>87</v>
      </c>
      <c r="D1189" s="359"/>
      <c r="E1189" s="360"/>
      <c r="F1189" s="361"/>
      <c r="G1189" s="213" t="str">
        <f>IFERROR(VLOOKUP(Tabla3[[#This Row],[NUM ECONOMICO]],MAQUINARIA!B:H,7,0), " MAQ")</f>
        <v>INACTIVA</v>
      </c>
      <c r="H1189" s="362" t="s">
        <v>1345</v>
      </c>
      <c r="I1189" s="363" t="s">
        <v>1897</v>
      </c>
      <c r="J1189" s="358" t="s">
        <v>220</v>
      </c>
      <c r="K1189" s="358">
        <v>1</v>
      </c>
      <c r="L1189" s="364">
        <v>608.05999999999995</v>
      </c>
      <c r="M1189" s="364">
        <f t="shared" si="22"/>
        <v>608.05999999999995</v>
      </c>
      <c r="N1189" s="41" t="s">
        <v>1990</v>
      </c>
      <c r="O1189" s="358"/>
      <c r="P1189" s="365">
        <f>Tabla3[[#This Row],[COSTO UNITARIO DOLARES EN HAWTHORNE]]*Tabla3[[#This Row],[CANTIDAD SOLICTADA]]</f>
        <v>0</v>
      </c>
      <c r="Q1189" s="41"/>
      <c r="R1189" s="229"/>
      <c r="S1189" s="229">
        <f>+Tabla3[[#This Row],[COSTO UNITARIO DOLARES CTP]]*Tabla3[[#This Row],[CANTIDAD SOLICTADA]]</f>
        <v>0</v>
      </c>
      <c r="T1189" s="41"/>
      <c r="U1189" s="358" t="s">
        <v>5</v>
      </c>
      <c r="V1189" s="360" t="s">
        <v>1993</v>
      </c>
      <c r="W1189" s="366"/>
      <c r="X1189" s="359"/>
      <c r="Y1189" s="358"/>
      <c r="Z1189" s="360"/>
      <c r="AA1189" s="360"/>
      <c r="AB1189" s="360"/>
      <c r="AC1189" s="360"/>
      <c r="AD1189" s="360"/>
      <c r="AE1189" s="360"/>
      <c r="AF1189" s="16"/>
      <c r="AG1189" s="367" t="s">
        <v>1992</v>
      </c>
    </row>
    <row r="1190" spans="1:33" ht="15.75" thickBot="1" x14ac:dyDescent="0.3">
      <c r="A1190" s="356">
        <v>145</v>
      </c>
      <c r="B1190" s="357">
        <v>46210</v>
      </c>
      <c r="C1190" s="358" t="s">
        <v>87</v>
      </c>
      <c r="D1190" s="359"/>
      <c r="E1190" s="360"/>
      <c r="F1190" s="361"/>
      <c r="G1190" s="213" t="str">
        <f>IFERROR(VLOOKUP(Tabla3[[#This Row],[NUM ECONOMICO]],MAQUINARIA!B:H,7,0), " MAQ")</f>
        <v>INACTIVA</v>
      </c>
      <c r="H1190" s="362" t="s">
        <v>1345</v>
      </c>
      <c r="I1190" s="363" t="s">
        <v>341</v>
      </c>
      <c r="J1190" s="358" t="s">
        <v>546</v>
      </c>
      <c r="K1190" s="358">
        <v>1</v>
      </c>
      <c r="L1190" s="364">
        <v>52.63</v>
      </c>
      <c r="M1190" s="364">
        <f t="shared" si="22"/>
        <v>52.63</v>
      </c>
      <c r="N1190" s="41" t="s">
        <v>1990</v>
      </c>
      <c r="O1190" s="358"/>
      <c r="P1190" s="365">
        <f>Tabla3[[#This Row],[COSTO UNITARIO DOLARES EN HAWTHORNE]]*Tabla3[[#This Row],[CANTIDAD SOLICTADA]]</f>
        <v>0</v>
      </c>
      <c r="Q1190" s="41"/>
      <c r="R1190" s="229"/>
      <c r="S1190" s="229">
        <f>+Tabla3[[#This Row],[COSTO UNITARIO DOLARES CTP]]*Tabla3[[#This Row],[CANTIDAD SOLICTADA]]</f>
        <v>0</v>
      </c>
      <c r="T1190" s="41"/>
      <c r="U1190" s="358" t="s">
        <v>5</v>
      </c>
      <c r="V1190" s="360" t="s">
        <v>1993</v>
      </c>
      <c r="W1190" s="366"/>
      <c r="X1190" s="359"/>
      <c r="Y1190" s="358"/>
      <c r="Z1190" s="360"/>
      <c r="AA1190" s="360"/>
      <c r="AB1190" s="360"/>
      <c r="AC1190" s="360"/>
      <c r="AD1190" s="360"/>
      <c r="AE1190" s="360"/>
      <c r="AF1190" s="16"/>
      <c r="AG1190" s="367" t="s">
        <v>1992</v>
      </c>
    </row>
    <row r="1191" spans="1:33" ht="15.75" thickBot="1" x14ac:dyDescent="0.3">
      <c r="A1191" s="356">
        <v>145</v>
      </c>
      <c r="B1191" s="357">
        <v>46210</v>
      </c>
      <c r="C1191" s="358" t="s">
        <v>87</v>
      </c>
      <c r="D1191" s="359"/>
      <c r="E1191" s="360"/>
      <c r="F1191" s="361"/>
      <c r="G1191" s="213" t="str">
        <f>IFERROR(VLOOKUP(Tabla3[[#This Row],[NUM ECONOMICO]],MAQUINARIA!B:H,7,0), " MAQ")</f>
        <v>INACTIVA</v>
      </c>
      <c r="H1191" s="362" t="s">
        <v>1345</v>
      </c>
      <c r="I1191" s="363" t="s">
        <v>297</v>
      </c>
      <c r="J1191" s="358" t="s">
        <v>1961</v>
      </c>
      <c r="K1191" s="358">
        <v>2</v>
      </c>
      <c r="L1191" s="364">
        <v>178.82</v>
      </c>
      <c r="M1191" s="364">
        <f t="shared" si="22"/>
        <v>357.64</v>
      </c>
      <c r="N1191" s="41" t="s">
        <v>1990</v>
      </c>
      <c r="O1191" s="358"/>
      <c r="P1191" s="365">
        <f>Tabla3[[#This Row],[COSTO UNITARIO DOLARES EN HAWTHORNE]]*Tabla3[[#This Row],[CANTIDAD SOLICTADA]]</f>
        <v>0</v>
      </c>
      <c r="Q1191" s="41"/>
      <c r="R1191" s="229"/>
      <c r="S1191" s="229">
        <f>+Tabla3[[#This Row],[COSTO UNITARIO DOLARES CTP]]*Tabla3[[#This Row],[CANTIDAD SOLICTADA]]</f>
        <v>0</v>
      </c>
      <c r="T1191" s="41"/>
      <c r="U1191" s="358" t="s">
        <v>5</v>
      </c>
      <c r="V1191" s="360" t="s">
        <v>1993</v>
      </c>
      <c r="W1191" s="366"/>
      <c r="X1191" s="359"/>
      <c r="Y1191" s="358"/>
      <c r="Z1191" s="360"/>
      <c r="AA1191" s="360"/>
      <c r="AB1191" s="360"/>
      <c r="AC1191" s="360"/>
      <c r="AD1191" s="360"/>
      <c r="AE1191" s="360"/>
      <c r="AF1191" s="16"/>
      <c r="AG1191" s="367" t="s">
        <v>1992</v>
      </c>
    </row>
    <row r="1192" spans="1:33" ht="15.75" thickBot="1" x14ac:dyDescent="0.3">
      <c r="A1192" s="356">
        <v>145</v>
      </c>
      <c r="B1192" s="357">
        <v>46210</v>
      </c>
      <c r="C1192" s="358" t="s">
        <v>87</v>
      </c>
      <c r="D1192" s="359"/>
      <c r="E1192" s="360"/>
      <c r="F1192" s="361"/>
      <c r="G1192" s="213" t="str">
        <f>IFERROR(VLOOKUP(Tabla3[[#This Row],[NUM ECONOMICO]],MAQUINARIA!B:H,7,0), " MAQ")</f>
        <v>INACTIVA</v>
      </c>
      <c r="H1192" s="362" t="s">
        <v>1345</v>
      </c>
      <c r="I1192" s="363" t="s">
        <v>339</v>
      </c>
      <c r="J1192" s="358" t="s">
        <v>546</v>
      </c>
      <c r="K1192" s="358">
        <v>2</v>
      </c>
      <c r="L1192" s="364">
        <v>137.83000000000001</v>
      </c>
      <c r="M1192" s="364">
        <f t="shared" si="22"/>
        <v>275.66000000000003</v>
      </c>
      <c r="N1192" s="41" t="s">
        <v>1990</v>
      </c>
      <c r="O1192" s="358"/>
      <c r="P1192" s="365">
        <f>Tabla3[[#This Row],[COSTO UNITARIO DOLARES EN HAWTHORNE]]*Tabla3[[#This Row],[CANTIDAD SOLICTADA]]</f>
        <v>0</v>
      </c>
      <c r="Q1192" s="41"/>
      <c r="R1192" s="229"/>
      <c r="S1192" s="229">
        <f>+Tabla3[[#This Row],[COSTO UNITARIO DOLARES CTP]]*Tabla3[[#This Row],[CANTIDAD SOLICTADA]]</f>
        <v>0</v>
      </c>
      <c r="T1192" s="41"/>
      <c r="U1192" s="358" t="s">
        <v>5</v>
      </c>
      <c r="V1192" s="360" t="s">
        <v>1993</v>
      </c>
      <c r="W1192" s="366"/>
      <c r="X1192" s="359"/>
      <c r="Y1192" s="358"/>
      <c r="Z1192" s="360"/>
      <c r="AA1192" s="360"/>
      <c r="AB1192" s="360"/>
      <c r="AC1192" s="360"/>
      <c r="AD1192" s="360"/>
      <c r="AE1192" s="360"/>
      <c r="AF1192" s="16"/>
      <c r="AG1192" s="367" t="s">
        <v>1992</v>
      </c>
    </row>
    <row r="1193" spans="1:33" ht="15.75" thickBot="1" x14ac:dyDescent="0.3">
      <c r="A1193" s="356">
        <v>145</v>
      </c>
      <c r="B1193" s="357">
        <v>46210</v>
      </c>
      <c r="C1193" s="358" t="s">
        <v>87</v>
      </c>
      <c r="D1193" s="359"/>
      <c r="E1193" s="360"/>
      <c r="F1193" s="361"/>
      <c r="G1193" s="213" t="str">
        <f>IFERROR(VLOOKUP(Tabla3[[#This Row],[NUM ECONOMICO]],MAQUINARIA!B:H,7,0), " MAQ")</f>
        <v>INACTIVA</v>
      </c>
      <c r="H1193" s="362" t="s">
        <v>1345</v>
      </c>
      <c r="I1193" s="363" t="s">
        <v>1898</v>
      </c>
      <c r="J1193" s="358" t="s">
        <v>546</v>
      </c>
      <c r="K1193" s="358">
        <v>1</v>
      </c>
      <c r="L1193" s="364">
        <v>427.81</v>
      </c>
      <c r="M1193" s="364">
        <f t="shared" si="22"/>
        <v>427.81</v>
      </c>
      <c r="N1193" s="41" t="s">
        <v>1990</v>
      </c>
      <c r="O1193" s="358"/>
      <c r="P1193" s="365">
        <f>Tabla3[[#This Row],[COSTO UNITARIO DOLARES EN HAWTHORNE]]*Tabla3[[#This Row],[CANTIDAD SOLICTADA]]</f>
        <v>0</v>
      </c>
      <c r="Q1193" s="41"/>
      <c r="R1193" s="229"/>
      <c r="S1193" s="229">
        <f>+Tabla3[[#This Row],[COSTO UNITARIO DOLARES CTP]]*Tabla3[[#This Row],[CANTIDAD SOLICTADA]]</f>
        <v>0</v>
      </c>
      <c r="T1193" s="41"/>
      <c r="U1193" s="358" t="s">
        <v>5</v>
      </c>
      <c r="V1193" s="360" t="s">
        <v>1993</v>
      </c>
      <c r="W1193" s="366"/>
      <c r="X1193" s="359"/>
      <c r="Y1193" s="358"/>
      <c r="Z1193" s="360"/>
      <c r="AA1193" s="360"/>
      <c r="AB1193" s="360"/>
      <c r="AC1193" s="360"/>
      <c r="AD1193" s="360"/>
      <c r="AE1193" s="360"/>
      <c r="AF1193" s="16"/>
      <c r="AG1193" s="367" t="s">
        <v>1992</v>
      </c>
    </row>
    <row r="1194" spans="1:33" ht="15.75" thickBot="1" x14ac:dyDescent="0.3">
      <c r="A1194" s="356">
        <v>145</v>
      </c>
      <c r="B1194" s="357">
        <v>46210</v>
      </c>
      <c r="C1194" s="358" t="s">
        <v>87</v>
      </c>
      <c r="D1194" s="359"/>
      <c r="E1194" s="360"/>
      <c r="F1194" s="361"/>
      <c r="G1194" s="213" t="str">
        <f>IFERROR(VLOOKUP(Tabla3[[#This Row],[NUM ECONOMICO]],MAQUINARIA!B:H,7,0), " MAQ")</f>
        <v>INACTIVA</v>
      </c>
      <c r="H1194" s="362" t="s">
        <v>1345</v>
      </c>
      <c r="I1194" s="363" t="s">
        <v>1082</v>
      </c>
      <c r="J1194" s="358" t="s">
        <v>1961</v>
      </c>
      <c r="K1194" s="358">
        <v>1</v>
      </c>
      <c r="L1194" s="364">
        <v>123.69</v>
      </c>
      <c r="M1194" s="364">
        <f t="shared" si="22"/>
        <v>123.69</v>
      </c>
      <c r="N1194" s="41" t="s">
        <v>1990</v>
      </c>
      <c r="O1194" s="358"/>
      <c r="P1194" s="365">
        <f>Tabla3[[#This Row],[COSTO UNITARIO DOLARES EN HAWTHORNE]]*Tabla3[[#This Row],[CANTIDAD SOLICTADA]]</f>
        <v>0</v>
      </c>
      <c r="Q1194" s="41"/>
      <c r="R1194" s="229"/>
      <c r="S1194" s="229">
        <f>+Tabla3[[#This Row],[COSTO UNITARIO DOLARES CTP]]*Tabla3[[#This Row],[CANTIDAD SOLICTADA]]</f>
        <v>0</v>
      </c>
      <c r="T1194" s="41"/>
      <c r="U1194" s="358" t="s">
        <v>5</v>
      </c>
      <c r="V1194" s="360" t="s">
        <v>1993</v>
      </c>
      <c r="W1194" s="366"/>
      <c r="X1194" s="359"/>
      <c r="Y1194" s="358"/>
      <c r="Z1194" s="360"/>
      <c r="AA1194" s="360"/>
      <c r="AB1194" s="360"/>
      <c r="AC1194" s="360"/>
      <c r="AD1194" s="360"/>
      <c r="AE1194" s="360"/>
      <c r="AF1194" s="16"/>
      <c r="AG1194" s="367" t="s">
        <v>1992</v>
      </c>
    </row>
    <row r="1195" spans="1:33" ht="15.75" thickBot="1" x14ac:dyDescent="0.3">
      <c r="A1195" s="356">
        <v>145</v>
      </c>
      <c r="B1195" s="357">
        <v>46210</v>
      </c>
      <c r="C1195" s="358" t="s">
        <v>87</v>
      </c>
      <c r="D1195" s="359"/>
      <c r="E1195" s="360"/>
      <c r="F1195" s="361"/>
      <c r="G1195" s="213" t="str">
        <f>IFERROR(VLOOKUP(Tabla3[[#This Row],[NUM ECONOMICO]],MAQUINARIA!B:H,7,0), " MAQ")</f>
        <v>INACTIVA</v>
      </c>
      <c r="H1195" s="362" t="s">
        <v>1345</v>
      </c>
      <c r="I1195" s="363" t="s">
        <v>1891</v>
      </c>
      <c r="J1195" s="358" t="s">
        <v>546</v>
      </c>
      <c r="K1195" s="358">
        <v>4</v>
      </c>
      <c r="L1195" s="364">
        <v>125.84</v>
      </c>
      <c r="M1195" s="364">
        <f t="shared" si="22"/>
        <v>503.36</v>
      </c>
      <c r="N1195" s="41" t="s">
        <v>1990</v>
      </c>
      <c r="O1195" s="358"/>
      <c r="P1195" s="365">
        <f>Tabla3[[#This Row],[COSTO UNITARIO DOLARES EN HAWTHORNE]]*Tabla3[[#This Row],[CANTIDAD SOLICTADA]]</f>
        <v>0</v>
      </c>
      <c r="Q1195" s="41"/>
      <c r="R1195" s="229"/>
      <c r="S1195" s="229">
        <f>+Tabla3[[#This Row],[COSTO UNITARIO DOLARES CTP]]*Tabla3[[#This Row],[CANTIDAD SOLICTADA]]</f>
        <v>0</v>
      </c>
      <c r="T1195" s="41"/>
      <c r="U1195" s="358" t="s">
        <v>5</v>
      </c>
      <c r="V1195" s="360" t="s">
        <v>1993</v>
      </c>
      <c r="W1195" s="366"/>
      <c r="X1195" s="359"/>
      <c r="Y1195" s="358"/>
      <c r="Z1195" s="360"/>
      <c r="AA1195" s="360"/>
      <c r="AB1195" s="360"/>
      <c r="AC1195" s="360"/>
      <c r="AD1195" s="360"/>
      <c r="AE1195" s="360"/>
      <c r="AF1195" s="16"/>
      <c r="AG1195" s="367" t="s">
        <v>1992</v>
      </c>
    </row>
    <row r="1196" spans="1:33" ht="15.75" thickBot="1" x14ac:dyDescent="0.3">
      <c r="A1196" s="356">
        <v>145</v>
      </c>
      <c r="B1196" s="357">
        <v>46210</v>
      </c>
      <c r="C1196" s="358" t="s">
        <v>87</v>
      </c>
      <c r="D1196" s="359"/>
      <c r="E1196" s="360"/>
      <c r="F1196" s="361"/>
      <c r="G1196" s="213" t="str">
        <f>IFERROR(VLOOKUP(Tabla3[[#This Row],[NUM ECONOMICO]],MAQUINARIA!B:H,7,0), " MAQ")</f>
        <v>INACTIVA</v>
      </c>
      <c r="H1196" s="362" t="s">
        <v>1345</v>
      </c>
      <c r="I1196" s="363" t="s">
        <v>679</v>
      </c>
      <c r="J1196" s="358" t="s">
        <v>220</v>
      </c>
      <c r="K1196" s="358">
        <v>2</v>
      </c>
      <c r="L1196" s="364">
        <v>295.17</v>
      </c>
      <c r="M1196" s="364">
        <f t="shared" si="22"/>
        <v>590.34</v>
      </c>
      <c r="N1196" s="41" t="s">
        <v>1990</v>
      </c>
      <c r="O1196" s="358"/>
      <c r="P1196" s="365">
        <f>Tabla3[[#This Row],[COSTO UNITARIO DOLARES EN HAWTHORNE]]*Tabla3[[#This Row],[CANTIDAD SOLICTADA]]</f>
        <v>0</v>
      </c>
      <c r="Q1196" s="41"/>
      <c r="R1196" s="229"/>
      <c r="S1196" s="229">
        <f>+Tabla3[[#This Row],[COSTO UNITARIO DOLARES CTP]]*Tabla3[[#This Row],[CANTIDAD SOLICTADA]]</f>
        <v>0</v>
      </c>
      <c r="T1196" s="41"/>
      <c r="U1196" s="358" t="s">
        <v>5</v>
      </c>
      <c r="V1196" s="360" t="s">
        <v>1993</v>
      </c>
      <c r="W1196" s="366"/>
      <c r="X1196" s="359"/>
      <c r="Y1196" s="358"/>
      <c r="Z1196" s="360"/>
      <c r="AA1196" s="360"/>
      <c r="AB1196" s="360"/>
      <c r="AC1196" s="360"/>
      <c r="AD1196" s="360"/>
      <c r="AE1196" s="360"/>
      <c r="AF1196" s="16"/>
      <c r="AG1196" s="367" t="s">
        <v>1992</v>
      </c>
    </row>
    <row r="1197" spans="1:33" ht="15.75" thickBot="1" x14ac:dyDescent="0.3">
      <c r="A1197" s="356">
        <v>145</v>
      </c>
      <c r="B1197" s="357">
        <v>46210</v>
      </c>
      <c r="C1197" s="358" t="s">
        <v>87</v>
      </c>
      <c r="D1197" s="359"/>
      <c r="E1197" s="360"/>
      <c r="F1197" s="361"/>
      <c r="G1197" s="213" t="str">
        <f>IFERROR(VLOOKUP(Tabla3[[#This Row],[NUM ECONOMICO]],MAQUINARIA!B:H,7,0), " MAQ")</f>
        <v>INACTIVA</v>
      </c>
      <c r="H1197" s="362" t="s">
        <v>1345</v>
      </c>
      <c r="I1197" s="363" t="s">
        <v>1892</v>
      </c>
      <c r="J1197" s="358" t="s">
        <v>1961</v>
      </c>
      <c r="K1197" s="358">
        <v>1</v>
      </c>
      <c r="L1197" s="364">
        <v>173.09</v>
      </c>
      <c r="M1197" s="364">
        <f t="shared" si="22"/>
        <v>173.09</v>
      </c>
      <c r="N1197" s="41" t="s">
        <v>1990</v>
      </c>
      <c r="O1197" s="358"/>
      <c r="P1197" s="365">
        <f>Tabla3[[#This Row],[COSTO UNITARIO DOLARES EN HAWTHORNE]]*Tabla3[[#This Row],[CANTIDAD SOLICTADA]]</f>
        <v>0</v>
      </c>
      <c r="Q1197" s="41"/>
      <c r="R1197" s="229"/>
      <c r="S1197" s="229">
        <f>+Tabla3[[#This Row],[COSTO UNITARIO DOLARES CTP]]*Tabla3[[#This Row],[CANTIDAD SOLICTADA]]</f>
        <v>0</v>
      </c>
      <c r="T1197" s="41"/>
      <c r="U1197" s="358" t="s">
        <v>5</v>
      </c>
      <c r="V1197" s="360" t="s">
        <v>1993</v>
      </c>
      <c r="W1197" s="366"/>
      <c r="X1197" s="359"/>
      <c r="Y1197" s="358"/>
      <c r="Z1197" s="360"/>
      <c r="AA1197" s="360"/>
      <c r="AB1197" s="360"/>
      <c r="AC1197" s="360"/>
      <c r="AD1197" s="360"/>
      <c r="AE1197" s="360"/>
      <c r="AF1197" s="16"/>
      <c r="AG1197" s="367" t="s">
        <v>1992</v>
      </c>
    </row>
    <row r="1198" spans="1:33" ht="15.75" thickBot="1" x14ac:dyDescent="0.3">
      <c r="A1198" s="356">
        <v>145</v>
      </c>
      <c r="B1198" s="357">
        <v>46210</v>
      </c>
      <c r="C1198" s="358" t="s">
        <v>87</v>
      </c>
      <c r="D1198" s="359"/>
      <c r="E1198" s="360"/>
      <c r="F1198" s="361"/>
      <c r="G1198" s="213" t="str">
        <f>IFERROR(VLOOKUP(Tabla3[[#This Row],[NUM ECONOMICO]],MAQUINARIA!B:H,7,0), " MAQ")</f>
        <v>INACTIVA</v>
      </c>
      <c r="H1198" s="362" t="s">
        <v>1345</v>
      </c>
      <c r="I1198" s="363" t="s">
        <v>323</v>
      </c>
      <c r="J1198" s="358" t="s">
        <v>1961</v>
      </c>
      <c r="K1198" s="358">
        <v>2</v>
      </c>
      <c r="L1198" s="364">
        <v>48.33</v>
      </c>
      <c r="M1198" s="364">
        <f t="shared" si="22"/>
        <v>96.66</v>
      </c>
      <c r="N1198" s="41" t="s">
        <v>1990</v>
      </c>
      <c r="O1198" s="358"/>
      <c r="P1198" s="365">
        <f>Tabla3[[#This Row],[COSTO UNITARIO DOLARES EN HAWTHORNE]]*Tabla3[[#This Row],[CANTIDAD SOLICTADA]]</f>
        <v>0</v>
      </c>
      <c r="Q1198" s="41"/>
      <c r="R1198" s="229"/>
      <c r="S1198" s="229">
        <f>+Tabla3[[#This Row],[COSTO UNITARIO DOLARES CTP]]*Tabla3[[#This Row],[CANTIDAD SOLICTADA]]</f>
        <v>0</v>
      </c>
      <c r="T1198" s="41"/>
      <c r="U1198" s="358" t="s">
        <v>5</v>
      </c>
      <c r="V1198" s="360" t="s">
        <v>1993</v>
      </c>
      <c r="W1198" s="366"/>
      <c r="X1198" s="359"/>
      <c r="Y1198" s="358"/>
      <c r="Z1198" s="360"/>
      <c r="AA1198" s="360"/>
      <c r="AB1198" s="360"/>
      <c r="AC1198" s="360"/>
      <c r="AD1198" s="360"/>
      <c r="AE1198" s="360"/>
      <c r="AF1198" s="16"/>
      <c r="AG1198" s="367" t="s">
        <v>1992</v>
      </c>
    </row>
    <row r="1199" spans="1:33" ht="15.75" thickBot="1" x14ac:dyDescent="0.3">
      <c r="A1199" s="356">
        <v>145</v>
      </c>
      <c r="B1199" s="357">
        <v>46210</v>
      </c>
      <c r="C1199" s="358" t="s">
        <v>87</v>
      </c>
      <c r="D1199" s="359"/>
      <c r="E1199" s="360"/>
      <c r="F1199" s="361"/>
      <c r="G1199" s="213" t="str">
        <f>IFERROR(VLOOKUP(Tabla3[[#This Row],[NUM ECONOMICO]],MAQUINARIA!B:H,7,0), " MAQ")</f>
        <v>INACTIVA</v>
      </c>
      <c r="H1199" s="362" t="s">
        <v>1345</v>
      </c>
      <c r="I1199" s="363" t="s">
        <v>334</v>
      </c>
      <c r="J1199" s="358" t="s">
        <v>506</v>
      </c>
      <c r="K1199" s="358">
        <v>2</v>
      </c>
      <c r="L1199" s="364">
        <v>31.5</v>
      </c>
      <c r="M1199" s="364">
        <f t="shared" si="22"/>
        <v>63</v>
      </c>
      <c r="N1199" s="41" t="s">
        <v>1990</v>
      </c>
      <c r="O1199" s="358"/>
      <c r="P1199" s="365">
        <f>Tabla3[[#This Row],[COSTO UNITARIO DOLARES EN HAWTHORNE]]*Tabla3[[#This Row],[CANTIDAD SOLICTADA]]</f>
        <v>0</v>
      </c>
      <c r="Q1199" s="41"/>
      <c r="R1199" s="229"/>
      <c r="S1199" s="229">
        <f>+Tabla3[[#This Row],[COSTO UNITARIO DOLARES CTP]]*Tabla3[[#This Row],[CANTIDAD SOLICTADA]]</f>
        <v>0</v>
      </c>
      <c r="T1199" s="41"/>
      <c r="U1199" s="358" t="s">
        <v>5</v>
      </c>
      <c r="V1199" s="360" t="s">
        <v>1993</v>
      </c>
      <c r="W1199" s="366"/>
      <c r="X1199" s="359"/>
      <c r="Y1199" s="358"/>
      <c r="Z1199" s="360"/>
      <c r="AA1199" s="360"/>
      <c r="AB1199" s="360"/>
      <c r="AC1199" s="360"/>
      <c r="AD1199" s="360"/>
      <c r="AE1199" s="360"/>
      <c r="AF1199" s="16"/>
      <c r="AG1199" s="367" t="s">
        <v>1992</v>
      </c>
    </row>
    <row r="1200" spans="1:33" ht="15.75" thickBot="1" x14ac:dyDescent="0.3">
      <c r="A1200" s="356">
        <v>145</v>
      </c>
      <c r="B1200" s="357">
        <v>46210</v>
      </c>
      <c r="C1200" s="358" t="s">
        <v>87</v>
      </c>
      <c r="D1200" s="359"/>
      <c r="E1200" s="360"/>
      <c r="F1200" s="361"/>
      <c r="G1200" s="213" t="str">
        <f>IFERROR(VLOOKUP(Tabla3[[#This Row],[NUM ECONOMICO]],MAQUINARIA!B:H,7,0), " MAQ")</f>
        <v>INACTIVA</v>
      </c>
      <c r="H1200" s="362" t="s">
        <v>1345</v>
      </c>
      <c r="I1200" s="363" t="s">
        <v>1893</v>
      </c>
      <c r="J1200" s="358" t="s">
        <v>1961</v>
      </c>
      <c r="K1200" s="358">
        <v>1</v>
      </c>
      <c r="L1200" s="364">
        <v>122.61</v>
      </c>
      <c r="M1200" s="364">
        <f t="shared" si="22"/>
        <v>122.61</v>
      </c>
      <c r="N1200" s="41" t="s">
        <v>1990</v>
      </c>
      <c r="O1200" s="358"/>
      <c r="P1200" s="365">
        <f>Tabla3[[#This Row],[COSTO UNITARIO DOLARES EN HAWTHORNE]]*Tabla3[[#This Row],[CANTIDAD SOLICTADA]]</f>
        <v>0</v>
      </c>
      <c r="Q1200" s="41"/>
      <c r="R1200" s="229"/>
      <c r="S1200" s="229">
        <f>+Tabla3[[#This Row],[COSTO UNITARIO DOLARES CTP]]*Tabla3[[#This Row],[CANTIDAD SOLICTADA]]</f>
        <v>0</v>
      </c>
      <c r="T1200" s="41"/>
      <c r="U1200" s="358" t="s">
        <v>5</v>
      </c>
      <c r="V1200" s="360" t="s">
        <v>1993</v>
      </c>
      <c r="W1200" s="366"/>
      <c r="X1200" s="359"/>
      <c r="Y1200" s="358"/>
      <c r="Z1200" s="360"/>
      <c r="AA1200" s="360"/>
      <c r="AB1200" s="360"/>
      <c r="AC1200" s="360"/>
      <c r="AD1200" s="360"/>
      <c r="AE1200" s="360"/>
      <c r="AF1200" s="16"/>
      <c r="AG1200" s="367" t="s">
        <v>1992</v>
      </c>
    </row>
    <row r="1201" spans="1:33" ht="15.75" thickBot="1" x14ac:dyDescent="0.3">
      <c r="A1201" s="356">
        <v>145</v>
      </c>
      <c r="B1201" s="357">
        <v>46210</v>
      </c>
      <c r="C1201" s="358" t="s">
        <v>87</v>
      </c>
      <c r="D1201" s="359"/>
      <c r="E1201" s="360"/>
      <c r="F1201" s="361"/>
      <c r="G1201" s="213" t="str">
        <f>IFERROR(VLOOKUP(Tabla3[[#This Row],[NUM ECONOMICO]],MAQUINARIA!B:H,7,0), " MAQ")</f>
        <v>INACTIVA</v>
      </c>
      <c r="H1201" s="362" t="s">
        <v>1345</v>
      </c>
      <c r="I1201" s="363" t="s">
        <v>1894</v>
      </c>
      <c r="J1201" s="358" t="s">
        <v>1971</v>
      </c>
      <c r="K1201" s="358">
        <v>1</v>
      </c>
      <c r="L1201" s="364">
        <v>55.85</v>
      </c>
      <c r="M1201" s="364">
        <f t="shared" si="22"/>
        <v>55.85</v>
      </c>
      <c r="N1201" s="41" t="s">
        <v>1990</v>
      </c>
      <c r="O1201" s="358"/>
      <c r="P1201" s="365">
        <f>Tabla3[[#This Row],[COSTO UNITARIO DOLARES EN HAWTHORNE]]*Tabla3[[#This Row],[CANTIDAD SOLICTADA]]</f>
        <v>0</v>
      </c>
      <c r="Q1201" s="41"/>
      <c r="R1201" s="229"/>
      <c r="S1201" s="229">
        <f>+Tabla3[[#This Row],[COSTO UNITARIO DOLARES CTP]]*Tabla3[[#This Row],[CANTIDAD SOLICTADA]]</f>
        <v>0</v>
      </c>
      <c r="T1201" s="41"/>
      <c r="U1201" s="358" t="s">
        <v>5</v>
      </c>
      <c r="V1201" s="360" t="s">
        <v>1993</v>
      </c>
      <c r="W1201" s="366"/>
      <c r="X1201" s="359"/>
      <c r="Y1201" s="358"/>
      <c r="Z1201" s="360"/>
      <c r="AA1201" s="360"/>
      <c r="AB1201" s="360"/>
      <c r="AC1201" s="360"/>
      <c r="AD1201" s="360"/>
      <c r="AE1201" s="360"/>
      <c r="AF1201" s="16"/>
      <c r="AG1201" s="367" t="s">
        <v>1992</v>
      </c>
    </row>
    <row r="1202" spans="1:33" ht="15.75" thickBot="1" x14ac:dyDescent="0.3">
      <c r="A1202" s="356">
        <v>145</v>
      </c>
      <c r="B1202" s="357">
        <v>46210</v>
      </c>
      <c r="C1202" s="358" t="s">
        <v>87</v>
      </c>
      <c r="D1202" s="359"/>
      <c r="E1202" s="360"/>
      <c r="F1202" s="361"/>
      <c r="G1202" s="213" t="str">
        <f>IFERROR(VLOOKUP(Tabla3[[#This Row],[NUM ECONOMICO]],MAQUINARIA!B:H,7,0), " MAQ")</f>
        <v>INACTIVA</v>
      </c>
      <c r="H1202" s="362" t="s">
        <v>1345</v>
      </c>
      <c r="I1202" s="363" t="s">
        <v>1895</v>
      </c>
      <c r="J1202" s="358" t="s">
        <v>220</v>
      </c>
      <c r="K1202" s="358">
        <v>1</v>
      </c>
      <c r="L1202" s="364">
        <v>475.42</v>
      </c>
      <c r="M1202" s="364">
        <f t="shared" si="22"/>
        <v>475.42</v>
      </c>
      <c r="N1202" s="41" t="s">
        <v>1990</v>
      </c>
      <c r="O1202" s="358"/>
      <c r="P1202" s="365">
        <f>Tabla3[[#This Row],[COSTO UNITARIO DOLARES EN HAWTHORNE]]*Tabla3[[#This Row],[CANTIDAD SOLICTADA]]</f>
        <v>0</v>
      </c>
      <c r="Q1202" s="41"/>
      <c r="R1202" s="229"/>
      <c r="S1202" s="229">
        <f>+Tabla3[[#This Row],[COSTO UNITARIO DOLARES CTP]]*Tabla3[[#This Row],[CANTIDAD SOLICTADA]]</f>
        <v>0</v>
      </c>
      <c r="T1202" s="41"/>
      <c r="U1202" s="358" t="s">
        <v>5</v>
      </c>
      <c r="V1202" s="360" t="s">
        <v>1993</v>
      </c>
      <c r="W1202" s="366"/>
      <c r="X1202" s="359"/>
      <c r="Y1202" s="358"/>
      <c r="Z1202" s="360"/>
      <c r="AA1202" s="360"/>
      <c r="AB1202" s="360"/>
      <c r="AC1202" s="360"/>
      <c r="AD1202" s="360"/>
      <c r="AE1202" s="360"/>
      <c r="AF1202" s="16"/>
      <c r="AG1202" s="367" t="s">
        <v>1992</v>
      </c>
    </row>
    <row r="1203" spans="1:33" ht="15.75" thickBot="1" x14ac:dyDescent="0.3">
      <c r="A1203" s="356">
        <v>145</v>
      </c>
      <c r="B1203" s="357">
        <v>46210</v>
      </c>
      <c r="C1203" s="358" t="s">
        <v>87</v>
      </c>
      <c r="D1203" s="359"/>
      <c r="E1203" s="360"/>
      <c r="F1203" s="361"/>
      <c r="G1203" s="213" t="str">
        <f>IFERROR(VLOOKUP(Tabla3[[#This Row],[NUM ECONOMICO]],MAQUINARIA!B:H,7,0), " MAQ")</f>
        <v>INACTIVA</v>
      </c>
      <c r="H1203" s="362" t="s">
        <v>1345</v>
      </c>
      <c r="I1203" s="363" t="s">
        <v>330</v>
      </c>
      <c r="J1203" s="358" t="s">
        <v>1961</v>
      </c>
      <c r="K1203" s="358">
        <v>1</v>
      </c>
      <c r="L1203" s="364">
        <v>153.4</v>
      </c>
      <c r="M1203" s="364">
        <f t="shared" si="22"/>
        <v>153.4</v>
      </c>
      <c r="N1203" s="41" t="s">
        <v>1990</v>
      </c>
      <c r="O1203" s="358"/>
      <c r="P1203" s="365">
        <f>Tabla3[[#This Row],[COSTO UNITARIO DOLARES EN HAWTHORNE]]*Tabla3[[#This Row],[CANTIDAD SOLICTADA]]</f>
        <v>0</v>
      </c>
      <c r="Q1203" s="41"/>
      <c r="R1203" s="229"/>
      <c r="S1203" s="229">
        <f>+Tabla3[[#This Row],[COSTO UNITARIO DOLARES CTP]]*Tabla3[[#This Row],[CANTIDAD SOLICTADA]]</f>
        <v>0</v>
      </c>
      <c r="T1203" s="41"/>
      <c r="U1203" s="358" t="s">
        <v>5</v>
      </c>
      <c r="V1203" s="360" t="s">
        <v>1993</v>
      </c>
      <c r="W1203" s="366"/>
      <c r="X1203" s="359"/>
      <c r="Y1203" s="358"/>
      <c r="Z1203" s="360"/>
      <c r="AA1203" s="360"/>
      <c r="AB1203" s="360"/>
      <c r="AC1203" s="360"/>
      <c r="AD1203" s="360"/>
      <c r="AE1203" s="360"/>
      <c r="AF1203" s="16"/>
      <c r="AG1203" s="367" t="s">
        <v>1992</v>
      </c>
    </row>
    <row r="1204" spans="1:33" ht="15.75" thickBot="1" x14ac:dyDescent="0.3">
      <c r="A1204" s="356">
        <v>145</v>
      </c>
      <c r="B1204" s="357">
        <v>46210</v>
      </c>
      <c r="C1204" s="358" t="s">
        <v>87</v>
      </c>
      <c r="D1204" s="359"/>
      <c r="E1204" s="360"/>
      <c r="F1204" s="361"/>
      <c r="G1204" s="213" t="str">
        <f>IFERROR(VLOOKUP(Tabla3[[#This Row],[NUM ECONOMICO]],MAQUINARIA!B:H,7,0), " MAQ")</f>
        <v>INACTIVA</v>
      </c>
      <c r="H1204" s="362" t="s">
        <v>1345</v>
      </c>
      <c r="I1204" s="363" t="s">
        <v>1896</v>
      </c>
      <c r="J1204" s="358" t="s">
        <v>220</v>
      </c>
      <c r="K1204" s="358">
        <v>1</v>
      </c>
      <c r="L1204" s="364">
        <v>198.33</v>
      </c>
      <c r="M1204" s="364">
        <f t="shared" si="22"/>
        <v>198.33</v>
      </c>
      <c r="N1204" s="41" t="s">
        <v>1990</v>
      </c>
      <c r="O1204" s="358"/>
      <c r="P1204" s="365">
        <f>Tabla3[[#This Row],[COSTO UNITARIO DOLARES EN HAWTHORNE]]*Tabla3[[#This Row],[CANTIDAD SOLICTADA]]</f>
        <v>0</v>
      </c>
      <c r="Q1204" s="41"/>
      <c r="R1204" s="229"/>
      <c r="S1204" s="229">
        <f>+Tabla3[[#This Row],[COSTO UNITARIO DOLARES CTP]]*Tabla3[[#This Row],[CANTIDAD SOLICTADA]]</f>
        <v>0</v>
      </c>
      <c r="T1204" s="41"/>
      <c r="U1204" s="358" t="s">
        <v>5</v>
      </c>
      <c r="V1204" s="360" t="s">
        <v>1993</v>
      </c>
      <c r="W1204" s="366"/>
      <c r="X1204" s="359"/>
      <c r="Y1204" s="358"/>
      <c r="Z1204" s="360"/>
      <c r="AA1204" s="360"/>
      <c r="AB1204" s="360"/>
      <c r="AC1204" s="360"/>
      <c r="AD1204" s="360"/>
      <c r="AE1204" s="360"/>
      <c r="AF1204" s="16"/>
      <c r="AG1204" s="367" t="s">
        <v>1992</v>
      </c>
    </row>
    <row r="1205" spans="1:33" ht="15.75" thickBot="1" x14ac:dyDescent="0.3">
      <c r="A1205" s="356">
        <v>145</v>
      </c>
      <c r="B1205" s="357">
        <v>46210</v>
      </c>
      <c r="C1205" s="358" t="s">
        <v>87</v>
      </c>
      <c r="D1205" s="359"/>
      <c r="E1205" s="360"/>
      <c r="F1205" s="361"/>
      <c r="G1205" s="213" t="str">
        <f>IFERROR(VLOOKUP(Tabla3[[#This Row],[NUM ECONOMICO]],MAQUINARIA!B:H,7,0), " MAQ")</f>
        <v>INACTIVA</v>
      </c>
      <c r="H1205" s="362" t="s">
        <v>1345</v>
      </c>
      <c r="I1205" s="363" t="s">
        <v>1897</v>
      </c>
      <c r="J1205" s="358" t="s">
        <v>220</v>
      </c>
      <c r="K1205" s="358">
        <v>2</v>
      </c>
      <c r="L1205" s="364">
        <v>608.05999999999995</v>
      </c>
      <c r="M1205" s="364">
        <f t="shared" si="22"/>
        <v>1216.1199999999999</v>
      </c>
      <c r="N1205" s="41" t="s">
        <v>1990</v>
      </c>
      <c r="O1205" s="358"/>
      <c r="P1205" s="365">
        <f>Tabla3[[#This Row],[COSTO UNITARIO DOLARES EN HAWTHORNE]]*Tabla3[[#This Row],[CANTIDAD SOLICTADA]]</f>
        <v>0</v>
      </c>
      <c r="Q1205" s="41"/>
      <c r="R1205" s="229"/>
      <c r="S1205" s="229">
        <f>+Tabla3[[#This Row],[COSTO UNITARIO DOLARES CTP]]*Tabla3[[#This Row],[CANTIDAD SOLICTADA]]</f>
        <v>0</v>
      </c>
      <c r="T1205" s="41"/>
      <c r="U1205" s="358" t="s">
        <v>5</v>
      </c>
      <c r="V1205" s="360" t="s">
        <v>1993</v>
      </c>
      <c r="W1205" s="366"/>
      <c r="X1205" s="359"/>
      <c r="Y1205" s="358"/>
      <c r="Z1205" s="360"/>
      <c r="AA1205" s="360"/>
      <c r="AB1205" s="360"/>
      <c r="AC1205" s="360"/>
      <c r="AD1205" s="360"/>
      <c r="AE1205" s="360"/>
      <c r="AF1205" s="16"/>
      <c r="AG1205" s="367" t="s">
        <v>1992</v>
      </c>
    </row>
    <row r="1206" spans="1:33" ht="15.75" thickBot="1" x14ac:dyDescent="0.3">
      <c r="A1206" s="356">
        <v>145</v>
      </c>
      <c r="B1206" s="357">
        <v>46210</v>
      </c>
      <c r="C1206" s="358" t="s">
        <v>87</v>
      </c>
      <c r="D1206" s="359"/>
      <c r="E1206" s="360"/>
      <c r="F1206" s="361"/>
      <c r="G1206" s="213" t="str">
        <f>IFERROR(VLOOKUP(Tabla3[[#This Row],[NUM ECONOMICO]],MAQUINARIA!B:H,7,0), " MAQ")</f>
        <v>INACTIVA</v>
      </c>
      <c r="H1206" s="362" t="s">
        <v>1345</v>
      </c>
      <c r="I1206" s="363" t="s">
        <v>341</v>
      </c>
      <c r="J1206" s="358" t="s">
        <v>546</v>
      </c>
      <c r="K1206" s="358">
        <v>2</v>
      </c>
      <c r="L1206" s="364">
        <v>52.63</v>
      </c>
      <c r="M1206" s="364">
        <f t="shared" si="22"/>
        <v>105.26</v>
      </c>
      <c r="N1206" s="41" t="s">
        <v>1990</v>
      </c>
      <c r="O1206" s="358"/>
      <c r="P1206" s="365">
        <f>Tabla3[[#This Row],[COSTO UNITARIO DOLARES EN HAWTHORNE]]*Tabla3[[#This Row],[CANTIDAD SOLICTADA]]</f>
        <v>0</v>
      </c>
      <c r="Q1206" s="41"/>
      <c r="R1206" s="229"/>
      <c r="S1206" s="229">
        <f>+Tabla3[[#This Row],[COSTO UNITARIO DOLARES CTP]]*Tabla3[[#This Row],[CANTIDAD SOLICTADA]]</f>
        <v>0</v>
      </c>
      <c r="T1206" s="41"/>
      <c r="U1206" s="358" t="s">
        <v>5</v>
      </c>
      <c r="V1206" s="360" t="s">
        <v>1993</v>
      </c>
      <c r="W1206" s="366"/>
      <c r="X1206" s="359"/>
      <c r="Y1206" s="358"/>
      <c r="Z1206" s="360"/>
      <c r="AA1206" s="360"/>
      <c r="AB1206" s="360"/>
      <c r="AC1206" s="360"/>
      <c r="AD1206" s="360"/>
      <c r="AE1206" s="360"/>
      <c r="AF1206" s="16"/>
      <c r="AG1206" s="367" t="s">
        <v>1992</v>
      </c>
    </row>
    <row r="1207" spans="1:33" ht="15.75" thickBot="1" x14ac:dyDescent="0.3">
      <c r="A1207" s="356">
        <v>145</v>
      </c>
      <c r="B1207" s="357">
        <v>46210</v>
      </c>
      <c r="C1207" s="358" t="s">
        <v>87</v>
      </c>
      <c r="D1207" s="359"/>
      <c r="E1207" s="360"/>
      <c r="F1207" s="361"/>
      <c r="G1207" s="213" t="str">
        <f>IFERROR(VLOOKUP(Tabla3[[#This Row],[NUM ECONOMICO]],MAQUINARIA!B:H,7,0), " MAQ")</f>
        <v>INACTIVA</v>
      </c>
      <c r="H1207" s="362" t="s">
        <v>1345</v>
      </c>
      <c r="I1207" s="363" t="s">
        <v>297</v>
      </c>
      <c r="J1207" s="358" t="s">
        <v>1961</v>
      </c>
      <c r="K1207" s="358">
        <v>4</v>
      </c>
      <c r="L1207" s="364">
        <v>178.82</v>
      </c>
      <c r="M1207" s="364">
        <f t="shared" si="22"/>
        <v>715.28</v>
      </c>
      <c r="N1207" s="41" t="s">
        <v>1990</v>
      </c>
      <c r="O1207" s="358"/>
      <c r="P1207" s="365">
        <f>Tabla3[[#This Row],[COSTO UNITARIO DOLARES EN HAWTHORNE]]*Tabla3[[#This Row],[CANTIDAD SOLICTADA]]</f>
        <v>0</v>
      </c>
      <c r="Q1207" s="41"/>
      <c r="R1207" s="229"/>
      <c r="S1207" s="229">
        <f>+Tabla3[[#This Row],[COSTO UNITARIO DOLARES CTP]]*Tabla3[[#This Row],[CANTIDAD SOLICTADA]]</f>
        <v>0</v>
      </c>
      <c r="T1207" s="41"/>
      <c r="U1207" s="358" t="s">
        <v>5</v>
      </c>
      <c r="V1207" s="360" t="s">
        <v>1993</v>
      </c>
      <c r="W1207" s="366"/>
      <c r="X1207" s="359"/>
      <c r="Y1207" s="358"/>
      <c r="Z1207" s="360"/>
      <c r="AA1207" s="360"/>
      <c r="AB1207" s="360"/>
      <c r="AC1207" s="360"/>
      <c r="AD1207" s="360"/>
      <c r="AE1207" s="360"/>
      <c r="AF1207" s="16"/>
      <c r="AG1207" s="367" t="s">
        <v>1992</v>
      </c>
    </row>
    <row r="1208" spans="1:33" ht="15.75" thickBot="1" x14ac:dyDescent="0.3">
      <c r="A1208" s="356">
        <v>145</v>
      </c>
      <c r="B1208" s="357">
        <v>46210</v>
      </c>
      <c r="C1208" s="358" t="s">
        <v>87</v>
      </c>
      <c r="D1208" s="359"/>
      <c r="E1208" s="360"/>
      <c r="F1208" s="361"/>
      <c r="G1208" s="213" t="str">
        <f>IFERROR(VLOOKUP(Tabla3[[#This Row],[NUM ECONOMICO]],MAQUINARIA!B:H,7,0), " MAQ")</f>
        <v>INACTIVA</v>
      </c>
      <c r="H1208" s="362" t="s">
        <v>1345</v>
      </c>
      <c r="I1208" s="363" t="s">
        <v>339</v>
      </c>
      <c r="J1208" s="358" t="s">
        <v>546</v>
      </c>
      <c r="K1208" s="358">
        <v>4</v>
      </c>
      <c r="L1208" s="364">
        <v>137.83000000000001</v>
      </c>
      <c r="M1208" s="364">
        <f t="shared" si="22"/>
        <v>551.32000000000005</v>
      </c>
      <c r="N1208" s="41" t="s">
        <v>1990</v>
      </c>
      <c r="O1208" s="358"/>
      <c r="P1208" s="365">
        <f>Tabla3[[#This Row],[COSTO UNITARIO DOLARES EN HAWTHORNE]]*Tabla3[[#This Row],[CANTIDAD SOLICTADA]]</f>
        <v>0</v>
      </c>
      <c r="Q1208" s="41"/>
      <c r="R1208" s="229"/>
      <c r="S1208" s="229">
        <f>+Tabla3[[#This Row],[COSTO UNITARIO DOLARES CTP]]*Tabla3[[#This Row],[CANTIDAD SOLICTADA]]</f>
        <v>0</v>
      </c>
      <c r="T1208" s="41"/>
      <c r="U1208" s="358" t="s">
        <v>5</v>
      </c>
      <c r="V1208" s="360" t="s">
        <v>1993</v>
      </c>
      <c r="W1208" s="366"/>
      <c r="X1208" s="359"/>
      <c r="Y1208" s="358"/>
      <c r="Z1208" s="360"/>
      <c r="AA1208" s="360"/>
      <c r="AB1208" s="360"/>
      <c r="AC1208" s="360"/>
      <c r="AD1208" s="360"/>
      <c r="AE1208" s="360"/>
      <c r="AF1208" s="16"/>
      <c r="AG1208" s="367" t="s">
        <v>1992</v>
      </c>
    </row>
    <row r="1209" spans="1:33" ht="15.75" thickBot="1" x14ac:dyDescent="0.3">
      <c r="A1209" s="356">
        <v>145</v>
      </c>
      <c r="B1209" s="357">
        <v>46210</v>
      </c>
      <c r="C1209" s="358" t="s">
        <v>87</v>
      </c>
      <c r="D1209" s="359"/>
      <c r="E1209" s="360"/>
      <c r="F1209" s="361"/>
      <c r="G1209" s="213" t="str">
        <f>IFERROR(VLOOKUP(Tabla3[[#This Row],[NUM ECONOMICO]],MAQUINARIA!B:H,7,0), " MAQ")</f>
        <v>INACTIVA</v>
      </c>
      <c r="H1209" s="362" t="s">
        <v>1345</v>
      </c>
      <c r="I1209" s="363" t="s">
        <v>1898</v>
      </c>
      <c r="J1209" s="358" t="s">
        <v>546</v>
      </c>
      <c r="K1209" s="358">
        <v>2</v>
      </c>
      <c r="L1209" s="364">
        <v>427.81</v>
      </c>
      <c r="M1209" s="364">
        <f t="shared" si="22"/>
        <v>855.62</v>
      </c>
      <c r="N1209" s="41" t="s">
        <v>1990</v>
      </c>
      <c r="O1209" s="358"/>
      <c r="P1209" s="365">
        <f>Tabla3[[#This Row],[COSTO UNITARIO DOLARES EN HAWTHORNE]]*Tabla3[[#This Row],[CANTIDAD SOLICTADA]]</f>
        <v>0</v>
      </c>
      <c r="Q1209" s="41"/>
      <c r="R1209" s="229"/>
      <c r="S1209" s="229">
        <f>+Tabla3[[#This Row],[COSTO UNITARIO DOLARES CTP]]*Tabla3[[#This Row],[CANTIDAD SOLICTADA]]</f>
        <v>0</v>
      </c>
      <c r="T1209" s="41"/>
      <c r="U1209" s="358" t="s">
        <v>5</v>
      </c>
      <c r="V1209" s="360" t="s">
        <v>1993</v>
      </c>
      <c r="W1209" s="366"/>
      <c r="X1209" s="359"/>
      <c r="Y1209" s="358"/>
      <c r="Z1209" s="360"/>
      <c r="AA1209" s="360"/>
      <c r="AB1209" s="360"/>
      <c r="AC1209" s="360"/>
      <c r="AD1209" s="360"/>
      <c r="AE1209" s="360"/>
      <c r="AF1209" s="16"/>
      <c r="AG1209" s="367" t="s">
        <v>1992</v>
      </c>
    </row>
    <row r="1210" spans="1:33" ht="15.75" thickBot="1" x14ac:dyDescent="0.3">
      <c r="A1210" s="356">
        <v>145</v>
      </c>
      <c r="B1210" s="357">
        <v>46210</v>
      </c>
      <c r="C1210" s="358" t="s">
        <v>87</v>
      </c>
      <c r="D1210" s="359"/>
      <c r="E1210" s="360"/>
      <c r="F1210" s="361"/>
      <c r="G1210" s="213" t="str">
        <f>IFERROR(VLOOKUP(Tabla3[[#This Row],[NUM ECONOMICO]],MAQUINARIA!B:H,7,0), " MAQ")</f>
        <v>INACTIVA</v>
      </c>
      <c r="H1210" s="362" t="s">
        <v>1345</v>
      </c>
      <c r="I1210" s="363" t="s">
        <v>1082</v>
      </c>
      <c r="J1210" s="358" t="s">
        <v>1961</v>
      </c>
      <c r="K1210" s="358">
        <v>2</v>
      </c>
      <c r="L1210" s="364">
        <v>123.69</v>
      </c>
      <c r="M1210" s="364">
        <f t="shared" si="22"/>
        <v>247.38</v>
      </c>
      <c r="N1210" s="41" t="s">
        <v>1990</v>
      </c>
      <c r="O1210" s="358"/>
      <c r="P1210" s="365">
        <f>Tabla3[[#This Row],[COSTO UNITARIO DOLARES EN HAWTHORNE]]*Tabla3[[#This Row],[CANTIDAD SOLICTADA]]</f>
        <v>0</v>
      </c>
      <c r="Q1210" s="41"/>
      <c r="R1210" s="229"/>
      <c r="S1210" s="229">
        <f>+Tabla3[[#This Row],[COSTO UNITARIO DOLARES CTP]]*Tabla3[[#This Row],[CANTIDAD SOLICTADA]]</f>
        <v>0</v>
      </c>
      <c r="T1210" s="41"/>
      <c r="U1210" s="358" t="s">
        <v>5</v>
      </c>
      <c r="V1210" s="360" t="s">
        <v>1993</v>
      </c>
      <c r="W1210" s="366"/>
      <c r="X1210" s="359"/>
      <c r="Y1210" s="358"/>
      <c r="Z1210" s="360"/>
      <c r="AA1210" s="360"/>
      <c r="AB1210" s="360"/>
      <c r="AC1210" s="360"/>
      <c r="AD1210" s="360"/>
      <c r="AE1210" s="360"/>
      <c r="AF1210" s="16"/>
      <c r="AG1210" s="367" t="s">
        <v>1992</v>
      </c>
    </row>
    <row r="1211" spans="1:33" ht="15.75" thickBot="1" x14ac:dyDescent="0.3">
      <c r="A1211" s="356">
        <v>145</v>
      </c>
      <c r="B1211" s="357">
        <v>46210</v>
      </c>
      <c r="C1211" s="358" t="s">
        <v>87</v>
      </c>
      <c r="D1211" s="359"/>
      <c r="E1211" s="360"/>
      <c r="F1211" s="361"/>
      <c r="G1211" s="213" t="str">
        <f>IFERROR(VLOOKUP(Tabla3[[#This Row],[NUM ECONOMICO]],MAQUINARIA!B:H,7,0), " MAQ")</f>
        <v>INACTIVA</v>
      </c>
      <c r="H1211" s="362" t="s">
        <v>1345</v>
      </c>
      <c r="I1211" s="363" t="s">
        <v>1899</v>
      </c>
      <c r="J1211" s="358" t="s">
        <v>1970</v>
      </c>
      <c r="K1211" s="358">
        <v>1</v>
      </c>
      <c r="L1211" s="364">
        <v>1428.42</v>
      </c>
      <c r="M1211" s="364">
        <f t="shared" si="22"/>
        <v>1428.42</v>
      </c>
      <c r="N1211" s="41" t="s">
        <v>1990</v>
      </c>
      <c r="O1211" s="358"/>
      <c r="P1211" s="365">
        <f>Tabla3[[#This Row],[COSTO UNITARIO DOLARES EN HAWTHORNE]]*Tabla3[[#This Row],[CANTIDAD SOLICTADA]]</f>
        <v>0</v>
      </c>
      <c r="Q1211" s="41"/>
      <c r="R1211" s="229"/>
      <c r="S1211" s="229">
        <f>+Tabla3[[#This Row],[COSTO UNITARIO DOLARES CTP]]*Tabla3[[#This Row],[CANTIDAD SOLICTADA]]</f>
        <v>0</v>
      </c>
      <c r="T1211" s="41"/>
      <c r="U1211" s="358" t="s">
        <v>5</v>
      </c>
      <c r="V1211" s="360" t="s">
        <v>1993</v>
      </c>
      <c r="W1211" s="366"/>
      <c r="X1211" s="359"/>
      <c r="Y1211" s="358"/>
      <c r="Z1211" s="360"/>
      <c r="AA1211" s="360"/>
      <c r="AB1211" s="360"/>
      <c r="AC1211" s="360"/>
      <c r="AD1211" s="360"/>
      <c r="AE1211" s="360"/>
      <c r="AF1211" s="16"/>
      <c r="AG1211" s="367" t="s">
        <v>1992</v>
      </c>
    </row>
    <row r="1212" spans="1:33" ht="15.75" thickBot="1" x14ac:dyDescent="0.3">
      <c r="A1212" s="356">
        <v>145</v>
      </c>
      <c r="B1212" s="357">
        <v>46210</v>
      </c>
      <c r="C1212" s="358" t="s">
        <v>87</v>
      </c>
      <c r="D1212" s="359"/>
      <c r="E1212" s="360"/>
      <c r="F1212" s="361"/>
      <c r="G1212" s="213" t="str">
        <f>IFERROR(VLOOKUP(Tabla3[[#This Row],[NUM ECONOMICO]],MAQUINARIA!B:H,7,0), " MAQ")</f>
        <v>INACTIVA</v>
      </c>
      <c r="H1212" s="362" t="s">
        <v>1345</v>
      </c>
      <c r="I1212" s="363" t="s">
        <v>1900</v>
      </c>
      <c r="J1212" s="358" t="s">
        <v>1961</v>
      </c>
      <c r="K1212" s="358">
        <v>2</v>
      </c>
      <c r="L1212" s="364">
        <v>29.71</v>
      </c>
      <c r="M1212" s="364">
        <f t="shared" si="22"/>
        <v>59.42</v>
      </c>
      <c r="N1212" s="41" t="s">
        <v>1990</v>
      </c>
      <c r="O1212" s="358"/>
      <c r="P1212" s="365">
        <f>Tabla3[[#This Row],[COSTO UNITARIO DOLARES EN HAWTHORNE]]*Tabla3[[#This Row],[CANTIDAD SOLICTADA]]</f>
        <v>0</v>
      </c>
      <c r="Q1212" s="41"/>
      <c r="R1212" s="229"/>
      <c r="S1212" s="229">
        <f>+Tabla3[[#This Row],[COSTO UNITARIO DOLARES CTP]]*Tabla3[[#This Row],[CANTIDAD SOLICTADA]]</f>
        <v>0</v>
      </c>
      <c r="T1212" s="41"/>
      <c r="U1212" s="358" t="s">
        <v>5</v>
      </c>
      <c r="V1212" s="360" t="s">
        <v>1993</v>
      </c>
      <c r="W1212" s="366"/>
      <c r="X1212" s="359"/>
      <c r="Y1212" s="358"/>
      <c r="Z1212" s="360"/>
      <c r="AA1212" s="360"/>
      <c r="AB1212" s="360"/>
      <c r="AC1212" s="360"/>
      <c r="AD1212" s="360"/>
      <c r="AE1212" s="360"/>
      <c r="AF1212" s="16"/>
      <c r="AG1212" s="367" t="s">
        <v>1992</v>
      </c>
    </row>
    <row r="1213" spans="1:33" ht="15.75" thickBot="1" x14ac:dyDescent="0.3">
      <c r="A1213" s="356">
        <v>145</v>
      </c>
      <c r="B1213" s="357">
        <v>46210</v>
      </c>
      <c r="C1213" s="358" t="s">
        <v>87</v>
      </c>
      <c r="D1213" s="359"/>
      <c r="E1213" s="360"/>
      <c r="F1213" s="361"/>
      <c r="G1213" s="213" t="str">
        <f>IFERROR(VLOOKUP(Tabla3[[#This Row],[NUM ECONOMICO]],MAQUINARIA!B:H,7,0), " MAQ")</f>
        <v>INACTIVA</v>
      </c>
      <c r="H1213" s="362" t="s">
        <v>1345</v>
      </c>
      <c r="I1213" s="363" t="s">
        <v>558</v>
      </c>
      <c r="J1213" s="358" t="s">
        <v>546</v>
      </c>
      <c r="K1213" s="358">
        <v>2</v>
      </c>
      <c r="L1213" s="364">
        <v>76.430000000000007</v>
      </c>
      <c r="M1213" s="364">
        <f t="shared" si="22"/>
        <v>152.86000000000001</v>
      </c>
      <c r="N1213" s="41" t="s">
        <v>1990</v>
      </c>
      <c r="O1213" s="358"/>
      <c r="P1213" s="365">
        <f>Tabla3[[#This Row],[COSTO UNITARIO DOLARES EN HAWTHORNE]]*Tabla3[[#This Row],[CANTIDAD SOLICTADA]]</f>
        <v>0</v>
      </c>
      <c r="Q1213" s="41"/>
      <c r="R1213" s="229"/>
      <c r="S1213" s="229">
        <f>+Tabla3[[#This Row],[COSTO UNITARIO DOLARES CTP]]*Tabla3[[#This Row],[CANTIDAD SOLICTADA]]</f>
        <v>0</v>
      </c>
      <c r="T1213" s="41"/>
      <c r="U1213" s="358" t="s">
        <v>5</v>
      </c>
      <c r="V1213" s="360" t="s">
        <v>1993</v>
      </c>
      <c r="W1213" s="366"/>
      <c r="X1213" s="359"/>
      <c r="Y1213" s="358"/>
      <c r="Z1213" s="360"/>
      <c r="AA1213" s="360"/>
      <c r="AB1213" s="360"/>
      <c r="AC1213" s="360"/>
      <c r="AD1213" s="360"/>
      <c r="AE1213" s="360"/>
      <c r="AF1213" s="16"/>
      <c r="AG1213" s="367" t="s">
        <v>1992</v>
      </c>
    </row>
    <row r="1214" spans="1:33" ht="15.75" thickBot="1" x14ac:dyDescent="0.3">
      <c r="A1214" s="356">
        <v>145</v>
      </c>
      <c r="B1214" s="357">
        <v>46210</v>
      </c>
      <c r="C1214" s="358" t="s">
        <v>87</v>
      </c>
      <c r="D1214" s="359"/>
      <c r="E1214" s="360"/>
      <c r="F1214" s="361"/>
      <c r="G1214" s="213" t="str">
        <f>IFERROR(VLOOKUP(Tabla3[[#This Row],[NUM ECONOMICO]],MAQUINARIA!B:H,7,0), " MAQ")</f>
        <v>INACTIVA</v>
      </c>
      <c r="H1214" s="362" t="s">
        <v>1345</v>
      </c>
      <c r="I1214" s="363" t="s">
        <v>303</v>
      </c>
      <c r="J1214" s="358" t="s">
        <v>546</v>
      </c>
      <c r="K1214" s="358">
        <v>2</v>
      </c>
      <c r="L1214" s="364">
        <v>125.84</v>
      </c>
      <c r="M1214" s="364">
        <f t="shared" si="22"/>
        <v>251.68</v>
      </c>
      <c r="N1214" s="41" t="s">
        <v>1990</v>
      </c>
      <c r="O1214" s="358"/>
      <c r="P1214" s="365">
        <f>Tabla3[[#This Row],[COSTO UNITARIO DOLARES EN HAWTHORNE]]*Tabla3[[#This Row],[CANTIDAD SOLICTADA]]</f>
        <v>0</v>
      </c>
      <c r="Q1214" s="41"/>
      <c r="R1214" s="229"/>
      <c r="S1214" s="229">
        <f>+Tabla3[[#This Row],[COSTO UNITARIO DOLARES CTP]]*Tabla3[[#This Row],[CANTIDAD SOLICTADA]]</f>
        <v>0</v>
      </c>
      <c r="T1214" s="41"/>
      <c r="U1214" s="358" t="s">
        <v>5</v>
      </c>
      <c r="V1214" s="360" t="s">
        <v>1993</v>
      </c>
      <c r="W1214" s="366"/>
      <c r="X1214" s="359"/>
      <c r="Y1214" s="358"/>
      <c r="Z1214" s="360"/>
      <c r="AA1214" s="360"/>
      <c r="AB1214" s="360"/>
      <c r="AC1214" s="360"/>
      <c r="AD1214" s="360"/>
      <c r="AE1214" s="360"/>
      <c r="AF1214" s="16"/>
      <c r="AG1214" s="367" t="s">
        <v>1992</v>
      </c>
    </row>
    <row r="1215" spans="1:33" ht="15.75" thickBot="1" x14ac:dyDescent="0.3">
      <c r="A1215" s="356">
        <v>145</v>
      </c>
      <c r="B1215" s="357">
        <v>46210</v>
      </c>
      <c r="C1215" s="358" t="s">
        <v>87</v>
      </c>
      <c r="D1215" s="359"/>
      <c r="E1215" s="360"/>
      <c r="F1215" s="361"/>
      <c r="G1215" s="213" t="str">
        <f>IFERROR(VLOOKUP(Tabla3[[#This Row],[NUM ECONOMICO]],MAQUINARIA!B:H,7,0), " MAQ")</f>
        <v>INACTIVA</v>
      </c>
      <c r="H1215" s="362" t="s">
        <v>1345</v>
      </c>
      <c r="I1215" s="363" t="s">
        <v>548</v>
      </c>
      <c r="J1215" s="358" t="s">
        <v>1961</v>
      </c>
      <c r="K1215" s="358">
        <v>2</v>
      </c>
      <c r="L1215" s="364">
        <v>38.479999999999997</v>
      </c>
      <c r="M1215" s="364">
        <f t="shared" si="22"/>
        <v>76.959999999999994</v>
      </c>
      <c r="N1215" s="41" t="s">
        <v>1990</v>
      </c>
      <c r="O1215" s="358"/>
      <c r="P1215" s="365">
        <f>Tabla3[[#This Row],[COSTO UNITARIO DOLARES EN HAWTHORNE]]*Tabla3[[#This Row],[CANTIDAD SOLICTADA]]</f>
        <v>0</v>
      </c>
      <c r="Q1215" s="41"/>
      <c r="R1215" s="229"/>
      <c r="S1215" s="229">
        <f>+Tabla3[[#This Row],[COSTO UNITARIO DOLARES CTP]]*Tabla3[[#This Row],[CANTIDAD SOLICTADA]]</f>
        <v>0</v>
      </c>
      <c r="T1215" s="41"/>
      <c r="U1215" s="358" t="s">
        <v>5</v>
      </c>
      <c r="V1215" s="360" t="s">
        <v>1993</v>
      </c>
      <c r="W1215" s="366"/>
      <c r="X1215" s="359"/>
      <c r="Y1215" s="358"/>
      <c r="Z1215" s="360"/>
      <c r="AA1215" s="360"/>
      <c r="AB1215" s="360"/>
      <c r="AC1215" s="360"/>
      <c r="AD1215" s="360"/>
      <c r="AE1215" s="360"/>
      <c r="AF1215" s="16"/>
      <c r="AG1215" s="367" t="s">
        <v>1992</v>
      </c>
    </row>
    <row r="1216" spans="1:33" ht="15.75" thickBot="1" x14ac:dyDescent="0.3">
      <c r="A1216" s="356">
        <v>145</v>
      </c>
      <c r="B1216" s="357">
        <v>46210</v>
      </c>
      <c r="C1216" s="358" t="s">
        <v>87</v>
      </c>
      <c r="D1216" s="359"/>
      <c r="E1216" s="360"/>
      <c r="F1216" s="361"/>
      <c r="G1216" s="213" t="str">
        <f>IFERROR(VLOOKUP(Tabla3[[#This Row],[NUM ECONOMICO]],MAQUINARIA!B:H,7,0), " MAQ")</f>
        <v>INACTIVA</v>
      </c>
      <c r="H1216" s="362" t="s">
        <v>1345</v>
      </c>
      <c r="I1216" s="363" t="s">
        <v>1901</v>
      </c>
      <c r="J1216" s="358" t="s">
        <v>1972</v>
      </c>
      <c r="K1216" s="358">
        <v>5</v>
      </c>
      <c r="L1216" s="364">
        <v>123.69</v>
      </c>
      <c r="M1216" s="364">
        <f t="shared" si="22"/>
        <v>618.45000000000005</v>
      </c>
      <c r="N1216" s="41" t="s">
        <v>1990</v>
      </c>
      <c r="O1216" s="358"/>
      <c r="P1216" s="365">
        <f>Tabla3[[#This Row],[COSTO UNITARIO DOLARES EN HAWTHORNE]]*Tabla3[[#This Row],[CANTIDAD SOLICTADA]]</f>
        <v>0</v>
      </c>
      <c r="Q1216" s="41"/>
      <c r="R1216" s="229"/>
      <c r="S1216" s="229">
        <f>+Tabla3[[#This Row],[COSTO UNITARIO DOLARES CTP]]*Tabla3[[#This Row],[CANTIDAD SOLICTADA]]</f>
        <v>0</v>
      </c>
      <c r="T1216" s="41"/>
      <c r="U1216" s="358" t="s">
        <v>5</v>
      </c>
      <c r="V1216" s="360" t="s">
        <v>1993</v>
      </c>
      <c r="W1216" s="366"/>
      <c r="X1216" s="359"/>
      <c r="Y1216" s="358"/>
      <c r="Z1216" s="360"/>
      <c r="AA1216" s="360"/>
      <c r="AB1216" s="360"/>
      <c r="AC1216" s="360"/>
      <c r="AD1216" s="360"/>
      <c r="AE1216" s="360"/>
      <c r="AF1216" s="16"/>
      <c r="AG1216" s="367" t="s">
        <v>1992</v>
      </c>
    </row>
    <row r="1217" spans="1:33" ht="15.75" thickBot="1" x14ac:dyDescent="0.3">
      <c r="A1217" s="356">
        <v>145</v>
      </c>
      <c r="B1217" s="357">
        <v>46210</v>
      </c>
      <c r="C1217" s="358" t="s">
        <v>87</v>
      </c>
      <c r="D1217" s="359"/>
      <c r="E1217" s="360"/>
      <c r="F1217" s="361"/>
      <c r="G1217" s="213" t="str">
        <f>IFERROR(VLOOKUP(Tabla3[[#This Row],[NUM ECONOMICO]],MAQUINARIA!B:H,7,0), " MAQ")</f>
        <v>INACTIVA</v>
      </c>
      <c r="H1217" s="362" t="s">
        <v>1345</v>
      </c>
      <c r="I1217" s="363" t="s">
        <v>1902</v>
      </c>
      <c r="J1217" s="358" t="s">
        <v>1972</v>
      </c>
      <c r="K1217" s="358">
        <v>1</v>
      </c>
      <c r="L1217" s="364">
        <v>325.95999999999998</v>
      </c>
      <c r="M1217" s="364">
        <f t="shared" si="22"/>
        <v>325.95999999999998</v>
      </c>
      <c r="N1217" s="41" t="s">
        <v>1990</v>
      </c>
      <c r="O1217" s="358"/>
      <c r="P1217" s="365">
        <f>Tabla3[[#This Row],[COSTO UNITARIO DOLARES EN HAWTHORNE]]*Tabla3[[#This Row],[CANTIDAD SOLICTADA]]</f>
        <v>0</v>
      </c>
      <c r="Q1217" s="41"/>
      <c r="R1217" s="229"/>
      <c r="S1217" s="229">
        <f>+Tabla3[[#This Row],[COSTO UNITARIO DOLARES CTP]]*Tabla3[[#This Row],[CANTIDAD SOLICTADA]]</f>
        <v>0</v>
      </c>
      <c r="T1217" s="41"/>
      <c r="U1217" s="358" t="s">
        <v>5</v>
      </c>
      <c r="V1217" s="360" t="s">
        <v>1993</v>
      </c>
      <c r="W1217" s="366"/>
      <c r="X1217" s="359"/>
      <c r="Y1217" s="358"/>
      <c r="Z1217" s="360"/>
      <c r="AA1217" s="360"/>
      <c r="AB1217" s="360"/>
      <c r="AC1217" s="360"/>
      <c r="AD1217" s="360"/>
      <c r="AE1217" s="360"/>
      <c r="AF1217" s="16"/>
      <c r="AG1217" s="367" t="s">
        <v>1992</v>
      </c>
    </row>
    <row r="1218" spans="1:33" ht="15.75" thickBot="1" x14ac:dyDescent="0.3">
      <c r="A1218" s="356">
        <v>145</v>
      </c>
      <c r="B1218" s="357">
        <v>46210</v>
      </c>
      <c r="C1218" s="358" t="s">
        <v>87</v>
      </c>
      <c r="D1218" s="359"/>
      <c r="E1218" s="360"/>
      <c r="F1218" s="361"/>
      <c r="G1218" s="213" t="str">
        <f>IFERROR(VLOOKUP(Tabla3[[#This Row],[NUM ECONOMICO]],MAQUINARIA!B:H,7,0), " MAQ")</f>
        <v>INACTIVA</v>
      </c>
      <c r="H1218" s="362" t="s">
        <v>1345</v>
      </c>
      <c r="I1218" s="363" t="s">
        <v>1903</v>
      </c>
      <c r="J1218" s="358" t="s">
        <v>1973</v>
      </c>
      <c r="K1218" s="358">
        <v>12</v>
      </c>
      <c r="L1218" s="364">
        <v>194.04</v>
      </c>
      <c r="M1218" s="364">
        <f t="shared" si="22"/>
        <v>2328.48</v>
      </c>
      <c r="N1218" s="41" t="s">
        <v>1990</v>
      </c>
      <c r="O1218" s="358"/>
      <c r="P1218" s="365">
        <f>Tabla3[[#This Row],[COSTO UNITARIO DOLARES EN HAWTHORNE]]*Tabla3[[#This Row],[CANTIDAD SOLICTADA]]</f>
        <v>0</v>
      </c>
      <c r="Q1218" s="41"/>
      <c r="R1218" s="229"/>
      <c r="S1218" s="229">
        <f>+Tabla3[[#This Row],[COSTO UNITARIO DOLARES CTP]]*Tabla3[[#This Row],[CANTIDAD SOLICTADA]]</f>
        <v>0</v>
      </c>
      <c r="T1218" s="41"/>
      <c r="U1218" s="358" t="s">
        <v>5</v>
      </c>
      <c r="V1218" s="360" t="s">
        <v>1993</v>
      </c>
      <c r="W1218" s="366"/>
      <c r="X1218" s="359"/>
      <c r="Y1218" s="358"/>
      <c r="Z1218" s="360"/>
      <c r="AA1218" s="360"/>
      <c r="AB1218" s="360"/>
      <c r="AC1218" s="360"/>
      <c r="AD1218" s="360"/>
      <c r="AE1218" s="360"/>
      <c r="AF1218" s="16"/>
      <c r="AG1218" s="367" t="s">
        <v>1992</v>
      </c>
    </row>
    <row r="1219" spans="1:33" ht="15.75" thickBot="1" x14ac:dyDescent="0.3">
      <c r="A1219" s="356">
        <v>145</v>
      </c>
      <c r="B1219" s="357">
        <v>46210</v>
      </c>
      <c r="C1219" s="358" t="s">
        <v>87</v>
      </c>
      <c r="D1219" s="359"/>
      <c r="E1219" s="360"/>
      <c r="F1219" s="361"/>
      <c r="G1219" s="213" t="str">
        <f>IFERROR(VLOOKUP(Tabla3[[#This Row],[NUM ECONOMICO]],MAQUINARIA!B:H,7,0), " MAQ")</f>
        <v>INACTIVA</v>
      </c>
      <c r="H1219" s="362" t="s">
        <v>1345</v>
      </c>
      <c r="I1219" s="363" t="s">
        <v>334</v>
      </c>
      <c r="J1219" s="358" t="s">
        <v>506</v>
      </c>
      <c r="K1219" s="358">
        <v>14</v>
      </c>
      <c r="L1219" s="364">
        <v>31.5</v>
      </c>
      <c r="M1219" s="364">
        <f t="shared" si="22"/>
        <v>441</v>
      </c>
      <c r="N1219" s="41" t="s">
        <v>1990</v>
      </c>
      <c r="O1219" s="358"/>
      <c r="P1219" s="365">
        <f>Tabla3[[#This Row],[COSTO UNITARIO DOLARES EN HAWTHORNE]]*Tabla3[[#This Row],[CANTIDAD SOLICTADA]]</f>
        <v>0</v>
      </c>
      <c r="Q1219" s="41"/>
      <c r="R1219" s="229"/>
      <c r="S1219" s="229">
        <f>+Tabla3[[#This Row],[COSTO UNITARIO DOLARES CTP]]*Tabla3[[#This Row],[CANTIDAD SOLICTADA]]</f>
        <v>0</v>
      </c>
      <c r="T1219" s="41"/>
      <c r="U1219" s="358" t="s">
        <v>5</v>
      </c>
      <c r="V1219" s="360" t="s">
        <v>1993</v>
      </c>
      <c r="W1219" s="366"/>
      <c r="X1219" s="359"/>
      <c r="Y1219" s="358"/>
      <c r="Z1219" s="360"/>
      <c r="AA1219" s="360"/>
      <c r="AB1219" s="360"/>
      <c r="AC1219" s="360"/>
      <c r="AD1219" s="360"/>
      <c r="AE1219" s="360"/>
      <c r="AF1219" s="16"/>
      <c r="AG1219" s="367" t="s">
        <v>1992</v>
      </c>
    </row>
    <row r="1220" spans="1:33" ht="15.75" thickBot="1" x14ac:dyDescent="0.3">
      <c r="A1220" s="356">
        <v>145</v>
      </c>
      <c r="B1220" s="357">
        <v>46210</v>
      </c>
      <c r="C1220" s="358" t="s">
        <v>87</v>
      </c>
      <c r="D1220" s="359"/>
      <c r="E1220" s="360"/>
      <c r="F1220" s="361"/>
      <c r="G1220" s="213" t="str">
        <f>IFERROR(VLOOKUP(Tabla3[[#This Row],[NUM ECONOMICO]],MAQUINARIA!B:H,7,0), " MAQ")</f>
        <v>INACTIVA</v>
      </c>
      <c r="H1220" s="362" t="s">
        <v>1345</v>
      </c>
      <c r="I1220" s="363" t="s">
        <v>336</v>
      </c>
      <c r="J1220" s="358" t="s">
        <v>1971</v>
      </c>
      <c r="K1220" s="358">
        <v>5</v>
      </c>
      <c r="L1220" s="364">
        <v>34.9</v>
      </c>
      <c r="M1220" s="364">
        <f t="shared" si="22"/>
        <v>174.5</v>
      </c>
      <c r="N1220" s="41" t="s">
        <v>1990</v>
      </c>
      <c r="O1220" s="358"/>
      <c r="P1220" s="365">
        <f>Tabla3[[#This Row],[COSTO UNITARIO DOLARES EN HAWTHORNE]]*Tabla3[[#This Row],[CANTIDAD SOLICTADA]]</f>
        <v>0</v>
      </c>
      <c r="Q1220" s="41"/>
      <c r="R1220" s="229"/>
      <c r="S1220" s="229">
        <f>+Tabla3[[#This Row],[COSTO UNITARIO DOLARES CTP]]*Tabla3[[#This Row],[CANTIDAD SOLICTADA]]</f>
        <v>0</v>
      </c>
      <c r="T1220" s="41"/>
      <c r="U1220" s="358" t="s">
        <v>5</v>
      </c>
      <c r="V1220" s="360" t="s">
        <v>1993</v>
      </c>
      <c r="W1220" s="366"/>
      <c r="X1220" s="359"/>
      <c r="Y1220" s="358"/>
      <c r="Z1220" s="360"/>
      <c r="AA1220" s="360"/>
      <c r="AB1220" s="360"/>
      <c r="AC1220" s="360"/>
      <c r="AD1220" s="360"/>
      <c r="AE1220" s="360"/>
      <c r="AF1220" s="16"/>
      <c r="AG1220" s="367" t="s">
        <v>1992</v>
      </c>
    </row>
    <row r="1221" spans="1:33" ht="15.75" thickBot="1" x14ac:dyDescent="0.3">
      <c r="A1221" s="356">
        <v>145</v>
      </c>
      <c r="B1221" s="357">
        <v>46210</v>
      </c>
      <c r="C1221" s="358" t="s">
        <v>87</v>
      </c>
      <c r="D1221" s="359"/>
      <c r="E1221" s="360"/>
      <c r="F1221" s="361"/>
      <c r="G1221" s="213" t="str">
        <f>IFERROR(VLOOKUP(Tabla3[[#This Row],[NUM ECONOMICO]],MAQUINARIA!B:H,7,0), " MAQ")</f>
        <v>INACTIVA</v>
      </c>
      <c r="H1221" s="362" t="s">
        <v>1345</v>
      </c>
      <c r="I1221" s="363" t="s">
        <v>1904</v>
      </c>
      <c r="J1221" s="358" t="s">
        <v>1972</v>
      </c>
      <c r="K1221" s="358">
        <v>8</v>
      </c>
      <c r="L1221" s="364">
        <v>241.29</v>
      </c>
      <c r="M1221" s="364">
        <f t="shared" si="22"/>
        <v>1930.32</v>
      </c>
      <c r="N1221" s="41" t="s">
        <v>1990</v>
      </c>
      <c r="O1221" s="358"/>
      <c r="P1221" s="365">
        <f>Tabla3[[#This Row],[COSTO UNITARIO DOLARES EN HAWTHORNE]]*Tabla3[[#This Row],[CANTIDAD SOLICTADA]]</f>
        <v>0</v>
      </c>
      <c r="Q1221" s="41"/>
      <c r="R1221" s="229"/>
      <c r="S1221" s="229">
        <f>+Tabla3[[#This Row],[COSTO UNITARIO DOLARES CTP]]*Tabla3[[#This Row],[CANTIDAD SOLICTADA]]</f>
        <v>0</v>
      </c>
      <c r="T1221" s="41"/>
      <c r="U1221" s="358" t="s">
        <v>5</v>
      </c>
      <c r="V1221" s="360" t="s">
        <v>1993</v>
      </c>
      <c r="W1221" s="366"/>
      <c r="X1221" s="359"/>
      <c r="Y1221" s="358"/>
      <c r="Z1221" s="360"/>
      <c r="AA1221" s="360"/>
      <c r="AB1221" s="360"/>
      <c r="AC1221" s="360"/>
      <c r="AD1221" s="360"/>
      <c r="AE1221" s="360"/>
      <c r="AF1221" s="16"/>
      <c r="AG1221" s="367" t="s">
        <v>1992</v>
      </c>
    </row>
    <row r="1222" spans="1:33" ht="15.75" thickBot="1" x14ac:dyDescent="0.3">
      <c r="A1222" s="356">
        <v>145</v>
      </c>
      <c r="B1222" s="357">
        <v>46210</v>
      </c>
      <c r="C1222" s="358" t="s">
        <v>87</v>
      </c>
      <c r="D1222" s="359"/>
      <c r="E1222" s="360"/>
      <c r="F1222" s="361"/>
      <c r="G1222" s="213" t="str">
        <f>IFERROR(VLOOKUP(Tabla3[[#This Row],[NUM ECONOMICO]],MAQUINARIA!B:H,7,0), " MAQ")</f>
        <v>INACTIVA</v>
      </c>
      <c r="H1222" s="362" t="s">
        <v>1345</v>
      </c>
      <c r="I1222" s="363" t="s">
        <v>551</v>
      </c>
      <c r="J1222" s="358" t="s">
        <v>1962</v>
      </c>
      <c r="K1222" s="358">
        <v>21</v>
      </c>
      <c r="L1222" s="364">
        <v>25.24</v>
      </c>
      <c r="M1222" s="364">
        <f t="shared" si="22"/>
        <v>530.04</v>
      </c>
      <c r="N1222" s="41" t="s">
        <v>1990</v>
      </c>
      <c r="O1222" s="358"/>
      <c r="P1222" s="365">
        <f>Tabla3[[#This Row],[COSTO UNITARIO DOLARES EN HAWTHORNE]]*Tabla3[[#This Row],[CANTIDAD SOLICTADA]]</f>
        <v>0</v>
      </c>
      <c r="Q1222" s="41"/>
      <c r="R1222" s="229"/>
      <c r="S1222" s="229">
        <f>+Tabla3[[#This Row],[COSTO UNITARIO DOLARES CTP]]*Tabla3[[#This Row],[CANTIDAD SOLICTADA]]</f>
        <v>0</v>
      </c>
      <c r="T1222" s="41"/>
      <c r="U1222" s="358" t="s">
        <v>5</v>
      </c>
      <c r="V1222" s="360" t="s">
        <v>1993</v>
      </c>
      <c r="W1222" s="366"/>
      <c r="X1222" s="359"/>
      <c r="Y1222" s="358"/>
      <c r="Z1222" s="360"/>
      <c r="AA1222" s="360"/>
      <c r="AB1222" s="360"/>
      <c r="AC1222" s="360"/>
      <c r="AD1222" s="360"/>
      <c r="AE1222" s="360"/>
      <c r="AF1222" s="16"/>
      <c r="AG1222" s="367" t="s">
        <v>1992</v>
      </c>
    </row>
    <row r="1223" spans="1:33" ht="15.75" thickBot="1" x14ac:dyDescent="0.3">
      <c r="A1223" s="356">
        <v>145</v>
      </c>
      <c r="B1223" s="357">
        <v>46210</v>
      </c>
      <c r="C1223" s="358" t="s">
        <v>87</v>
      </c>
      <c r="D1223" s="359"/>
      <c r="E1223" s="360"/>
      <c r="F1223" s="361"/>
      <c r="G1223" s="213" t="str">
        <f>IFERROR(VLOOKUP(Tabla3[[#This Row],[NUM ECONOMICO]],MAQUINARIA!B:H,7,0), " MAQ")</f>
        <v>INACTIVA</v>
      </c>
      <c r="H1223" s="362" t="s">
        <v>1345</v>
      </c>
      <c r="I1223" s="363" t="s">
        <v>553</v>
      </c>
      <c r="J1223" s="358" t="s">
        <v>546</v>
      </c>
      <c r="K1223" s="358">
        <v>2</v>
      </c>
      <c r="L1223" s="364">
        <v>31.5</v>
      </c>
      <c r="M1223" s="364">
        <f t="shared" si="22"/>
        <v>63</v>
      </c>
      <c r="N1223" s="41" t="s">
        <v>1990</v>
      </c>
      <c r="O1223" s="358"/>
      <c r="P1223" s="365">
        <f>Tabla3[[#This Row],[COSTO UNITARIO DOLARES EN HAWTHORNE]]*Tabla3[[#This Row],[CANTIDAD SOLICTADA]]</f>
        <v>0</v>
      </c>
      <c r="Q1223" s="41"/>
      <c r="R1223" s="229"/>
      <c r="S1223" s="229">
        <f>+Tabla3[[#This Row],[COSTO UNITARIO DOLARES CTP]]*Tabla3[[#This Row],[CANTIDAD SOLICTADA]]</f>
        <v>0</v>
      </c>
      <c r="T1223" s="41"/>
      <c r="U1223" s="358" t="s">
        <v>5</v>
      </c>
      <c r="V1223" s="360" t="s">
        <v>1993</v>
      </c>
      <c r="W1223" s="366"/>
      <c r="X1223" s="359"/>
      <c r="Y1223" s="358"/>
      <c r="Z1223" s="360"/>
      <c r="AA1223" s="360"/>
      <c r="AB1223" s="360"/>
      <c r="AC1223" s="360"/>
      <c r="AD1223" s="360"/>
      <c r="AE1223" s="360"/>
      <c r="AF1223" s="16"/>
      <c r="AG1223" s="367" t="s">
        <v>1992</v>
      </c>
    </row>
    <row r="1224" spans="1:33" ht="15.75" thickBot="1" x14ac:dyDescent="0.3">
      <c r="A1224" s="356">
        <v>145</v>
      </c>
      <c r="B1224" s="357">
        <v>46210</v>
      </c>
      <c r="C1224" s="358" t="s">
        <v>87</v>
      </c>
      <c r="D1224" s="359"/>
      <c r="E1224" s="360"/>
      <c r="F1224" s="361"/>
      <c r="G1224" s="213" t="str">
        <f>IFERROR(VLOOKUP(Tabla3[[#This Row],[NUM ECONOMICO]],MAQUINARIA!B:H,7,0), " MAQ")</f>
        <v>INACTIVA</v>
      </c>
      <c r="H1224" s="362" t="s">
        <v>1345</v>
      </c>
      <c r="I1224" s="363" t="s">
        <v>1905</v>
      </c>
      <c r="J1224" s="358" t="s">
        <v>1974</v>
      </c>
      <c r="K1224" s="358">
        <v>5</v>
      </c>
      <c r="L1224" s="364">
        <v>184.55</v>
      </c>
      <c r="M1224" s="364">
        <f t="shared" si="22"/>
        <v>922.75</v>
      </c>
      <c r="N1224" s="41" t="s">
        <v>1990</v>
      </c>
      <c r="O1224" s="358"/>
      <c r="P1224" s="365">
        <f>Tabla3[[#This Row],[COSTO UNITARIO DOLARES EN HAWTHORNE]]*Tabla3[[#This Row],[CANTIDAD SOLICTADA]]</f>
        <v>0</v>
      </c>
      <c r="Q1224" s="41"/>
      <c r="R1224" s="229"/>
      <c r="S1224" s="229">
        <f>+Tabla3[[#This Row],[COSTO UNITARIO DOLARES CTP]]*Tabla3[[#This Row],[CANTIDAD SOLICTADA]]</f>
        <v>0</v>
      </c>
      <c r="T1224" s="41"/>
      <c r="U1224" s="358" t="s">
        <v>5</v>
      </c>
      <c r="V1224" s="360" t="s">
        <v>1993</v>
      </c>
      <c r="W1224" s="366"/>
      <c r="X1224" s="359"/>
      <c r="Y1224" s="358"/>
      <c r="Z1224" s="360"/>
      <c r="AA1224" s="360"/>
      <c r="AB1224" s="360"/>
      <c r="AC1224" s="360"/>
      <c r="AD1224" s="360"/>
      <c r="AE1224" s="360"/>
      <c r="AF1224" s="16"/>
      <c r="AG1224" s="367" t="s">
        <v>1992</v>
      </c>
    </row>
    <row r="1225" spans="1:33" ht="15.75" thickBot="1" x14ac:dyDescent="0.3">
      <c r="A1225" s="356">
        <v>145</v>
      </c>
      <c r="B1225" s="357">
        <v>46210</v>
      </c>
      <c r="C1225" s="358" t="s">
        <v>87</v>
      </c>
      <c r="D1225" s="359"/>
      <c r="E1225" s="360"/>
      <c r="F1225" s="361"/>
      <c r="G1225" s="213" t="str">
        <f>IFERROR(VLOOKUP(Tabla3[[#This Row],[NUM ECONOMICO]],MAQUINARIA!B:H,7,0), " MAQ")</f>
        <v>INACTIVA</v>
      </c>
      <c r="H1225" s="362" t="s">
        <v>1345</v>
      </c>
      <c r="I1225" s="363" t="s">
        <v>1906</v>
      </c>
      <c r="J1225" s="358" t="s">
        <v>220</v>
      </c>
      <c r="K1225" s="358">
        <v>1</v>
      </c>
      <c r="L1225" s="364">
        <v>100.42</v>
      </c>
      <c r="M1225" s="364">
        <f t="shared" si="22"/>
        <v>100.42</v>
      </c>
      <c r="N1225" s="41" t="s">
        <v>1990</v>
      </c>
      <c r="O1225" s="358"/>
      <c r="P1225" s="365">
        <f>Tabla3[[#This Row],[COSTO UNITARIO DOLARES EN HAWTHORNE]]*Tabla3[[#This Row],[CANTIDAD SOLICTADA]]</f>
        <v>0</v>
      </c>
      <c r="Q1225" s="41"/>
      <c r="R1225" s="229"/>
      <c r="S1225" s="229">
        <f>+Tabla3[[#This Row],[COSTO UNITARIO DOLARES CTP]]*Tabla3[[#This Row],[CANTIDAD SOLICTADA]]</f>
        <v>0</v>
      </c>
      <c r="T1225" s="41"/>
      <c r="U1225" s="358" t="s">
        <v>5</v>
      </c>
      <c r="V1225" s="360" t="s">
        <v>1993</v>
      </c>
      <c r="W1225" s="366"/>
      <c r="X1225" s="359"/>
      <c r="Y1225" s="358"/>
      <c r="Z1225" s="360"/>
      <c r="AA1225" s="360"/>
      <c r="AB1225" s="360"/>
      <c r="AC1225" s="360"/>
      <c r="AD1225" s="360"/>
      <c r="AE1225" s="360"/>
      <c r="AF1225" s="16"/>
      <c r="AG1225" s="367" t="s">
        <v>1992</v>
      </c>
    </row>
    <row r="1226" spans="1:33" ht="15.75" thickBot="1" x14ac:dyDescent="0.3">
      <c r="A1226" s="356">
        <v>145</v>
      </c>
      <c r="B1226" s="357">
        <v>46210</v>
      </c>
      <c r="C1226" s="358" t="s">
        <v>87</v>
      </c>
      <c r="D1226" s="359"/>
      <c r="E1226" s="360"/>
      <c r="F1226" s="361"/>
      <c r="G1226" s="213" t="str">
        <f>IFERROR(VLOOKUP(Tabla3[[#This Row],[NUM ECONOMICO]],MAQUINARIA!B:H,7,0), " MAQ")</f>
        <v>INACTIVA</v>
      </c>
      <c r="H1226" s="362" t="s">
        <v>1345</v>
      </c>
      <c r="I1226" s="363" t="s">
        <v>1907</v>
      </c>
      <c r="J1226" s="358" t="s">
        <v>1961</v>
      </c>
      <c r="K1226" s="358">
        <v>1</v>
      </c>
      <c r="L1226" s="364">
        <v>210.33</v>
      </c>
      <c r="M1226" s="364">
        <f t="shared" si="22"/>
        <v>210.33</v>
      </c>
      <c r="N1226" s="41" t="s">
        <v>1990</v>
      </c>
      <c r="O1226" s="358"/>
      <c r="P1226" s="365">
        <f>Tabla3[[#This Row],[COSTO UNITARIO DOLARES EN HAWTHORNE]]*Tabla3[[#This Row],[CANTIDAD SOLICTADA]]</f>
        <v>0</v>
      </c>
      <c r="Q1226" s="41"/>
      <c r="R1226" s="229"/>
      <c r="S1226" s="229">
        <f>+Tabla3[[#This Row],[COSTO UNITARIO DOLARES CTP]]*Tabla3[[#This Row],[CANTIDAD SOLICTADA]]</f>
        <v>0</v>
      </c>
      <c r="T1226" s="41"/>
      <c r="U1226" s="358" t="s">
        <v>5</v>
      </c>
      <c r="V1226" s="360" t="s">
        <v>1993</v>
      </c>
      <c r="W1226" s="366"/>
      <c r="X1226" s="359"/>
      <c r="Y1226" s="358"/>
      <c r="Z1226" s="360"/>
      <c r="AA1226" s="360"/>
      <c r="AB1226" s="360"/>
      <c r="AC1226" s="360"/>
      <c r="AD1226" s="360"/>
      <c r="AE1226" s="360"/>
      <c r="AF1226" s="16"/>
      <c r="AG1226" s="367" t="s">
        <v>1992</v>
      </c>
    </row>
    <row r="1227" spans="1:33" ht="15.75" thickBot="1" x14ac:dyDescent="0.3">
      <c r="A1227" s="356">
        <v>145</v>
      </c>
      <c r="B1227" s="357">
        <v>46210</v>
      </c>
      <c r="C1227" s="358" t="s">
        <v>87</v>
      </c>
      <c r="D1227" s="359"/>
      <c r="E1227" s="360"/>
      <c r="F1227" s="361"/>
      <c r="G1227" s="213" t="str">
        <f>IFERROR(VLOOKUP(Tabla3[[#This Row],[NUM ECONOMICO]],MAQUINARIA!B:H,7,0), " MAQ")</f>
        <v>INACTIVA</v>
      </c>
      <c r="H1227" s="362" t="s">
        <v>1345</v>
      </c>
      <c r="I1227" s="363" t="s">
        <v>1897</v>
      </c>
      <c r="J1227" s="358" t="s">
        <v>220</v>
      </c>
      <c r="K1227" s="358">
        <v>1</v>
      </c>
      <c r="L1227" s="364">
        <v>608.05999999999995</v>
      </c>
      <c r="M1227" s="364">
        <f t="shared" si="22"/>
        <v>608.05999999999995</v>
      </c>
      <c r="N1227" s="41" t="s">
        <v>1990</v>
      </c>
      <c r="O1227" s="358"/>
      <c r="P1227" s="365">
        <f>Tabla3[[#This Row],[COSTO UNITARIO DOLARES EN HAWTHORNE]]*Tabla3[[#This Row],[CANTIDAD SOLICTADA]]</f>
        <v>0</v>
      </c>
      <c r="Q1227" s="41"/>
      <c r="R1227" s="229"/>
      <c r="S1227" s="229">
        <f>+Tabla3[[#This Row],[COSTO UNITARIO DOLARES CTP]]*Tabla3[[#This Row],[CANTIDAD SOLICTADA]]</f>
        <v>0</v>
      </c>
      <c r="T1227" s="41"/>
      <c r="U1227" s="358" t="s">
        <v>5</v>
      </c>
      <c r="V1227" s="360" t="s">
        <v>1993</v>
      </c>
      <c r="W1227" s="366"/>
      <c r="X1227" s="359"/>
      <c r="Y1227" s="358"/>
      <c r="Z1227" s="360"/>
      <c r="AA1227" s="360"/>
      <c r="AB1227" s="360"/>
      <c r="AC1227" s="360"/>
      <c r="AD1227" s="360"/>
      <c r="AE1227" s="360"/>
      <c r="AF1227" s="16"/>
      <c r="AG1227" s="367" t="s">
        <v>1992</v>
      </c>
    </row>
    <row r="1228" spans="1:33" ht="15.75" thickBot="1" x14ac:dyDescent="0.3">
      <c r="A1228" s="356">
        <v>145</v>
      </c>
      <c r="B1228" s="357">
        <v>46210</v>
      </c>
      <c r="C1228" s="358" t="s">
        <v>87</v>
      </c>
      <c r="D1228" s="359"/>
      <c r="E1228" s="360"/>
      <c r="F1228" s="361"/>
      <c r="G1228" s="213" t="str">
        <f>IFERROR(VLOOKUP(Tabla3[[#This Row],[NUM ECONOMICO]],MAQUINARIA!B:H,7,0), " MAQ")</f>
        <v>INACTIVA</v>
      </c>
      <c r="H1228" s="362" t="s">
        <v>1345</v>
      </c>
      <c r="I1228" s="363" t="s">
        <v>341</v>
      </c>
      <c r="J1228" s="358" t="s">
        <v>546</v>
      </c>
      <c r="K1228" s="358">
        <v>1</v>
      </c>
      <c r="L1228" s="364">
        <v>52.63</v>
      </c>
      <c r="M1228" s="364">
        <f t="shared" si="22"/>
        <v>52.63</v>
      </c>
      <c r="N1228" s="41" t="s">
        <v>1990</v>
      </c>
      <c r="O1228" s="358"/>
      <c r="P1228" s="365">
        <f>Tabla3[[#This Row],[COSTO UNITARIO DOLARES EN HAWTHORNE]]*Tabla3[[#This Row],[CANTIDAD SOLICTADA]]</f>
        <v>0</v>
      </c>
      <c r="Q1228" s="41"/>
      <c r="R1228" s="229"/>
      <c r="S1228" s="229">
        <f>+Tabla3[[#This Row],[COSTO UNITARIO DOLARES CTP]]*Tabla3[[#This Row],[CANTIDAD SOLICTADA]]</f>
        <v>0</v>
      </c>
      <c r="T1228" s="41"/>
      <c r="U1228" s="358" t="s">
        <v>5</v>
      </c>
      <c r="V1228" s="360" t="s">
        <v>1993</v>
      </c>
      <c r="W1228" s="366"/>
      <c r="X1228" s="359"/>
      <c r="Y1228" s="358"/>
      <c r="Z1228" s="360"/>
      <c r="AA1228" s="360"/>
      <c r="AB1228" s="360"/>
      <c r="AC1228" s="360"/>
      <c r="AD1228" s="360"/>
      <c r="AE1228" s="360"/>
      <c r="AF1228" s="16"/>
      <c r="AG1228" s="367" t="s">
        <v>1992</v>
      </c>
    </row>
    <row r="1229" spans="1:33" ht="15.75" thickBot="1" x14ac:dyDescent="0.3">
      <c r="A1229" s="356">
        <v>145</v>
      </c>
      <c r="B1229" s="357">
        <v>46210</v>
      </c>
      <c r="C1229" s="358" t="s">
        <v>87</v>
      </c>
      <c r="D1229" s="359"/>
      <c r="E1229" s="360"/>
      <c r="F1229" s="361"/>
      <c r="G1229" s="213" t="str">
        <f>IFERROR(VLOOKUP(Tabla3[[#This Row],[NUM ECONOMICO]],MAQUINARIA!B:H,7,0), " MAQ")</f>
        <v>INACTIVA</v>
      </c>
      <c r="H1229" s="362" t="s">
        <v>1345</v>
      </c>
      <c r="I1229" s="363" t="s">
        <v>1054</v>
      </c>
      <c r="J1229" s="358" t="s">
        <v>1961</v>
      </c>
      <c r="K1229" s="358">
        <v>2</v>
      </c>
      <c r="L1229" s="364">
        <v>60.14</v>
      </c>
      <c r="M1229" s="364">
        <f t="shared" si="22"/>
        <v>120.28</v>
      </c>
      <c r="N1229" s="41" t="s">
        <v>1990</v>
      </c>
      <c r="O1229" s="358"/>
      <c r="P1229" s="365">
        <f>Tabla3[[#This Row],[COSTO UNITARIO DOLARES EN HAWTHORNE]]*Tabla3[[#This Row],[CANTIDAD SOLICTADA]]</f>
        <v>0</v>
      </c>
      <c r="Q1229" s="41"/>
      <c r="R1229" s="229"/>
      <c r="S1229" s="229">
        <f>+Tabla3[[#This Row],[COSTO UNITARIO DOLARES CTP]]*Tabla3[[#This Row],[CANTIDAD SOLICTADA]]</f>
        <v>0</v>
      </c>
      <c r="T1229" s="41"/>
      <c r="U1229" s="358" t="s">
        <v>5</v>
      </c>
      <c r="V1229" s="360" t="s">
        <v>1993</v>
      </c>
      <c r="W1229" s="366"/>
      <c r="X1229" s="359"/>
      <c r="Y1229" s="358"/>
      <c r="Z1229" s="360"/>
      <c r="AA1229" s="360"/>
      <c r="AB1229" s="360"/>
      <c r="AC1229" s="360"/>
      <c r="AD1229" s="360"/>
      <c r="AE1229" s="360"/>
      <c r="AF1229" s="16"/>
      <c r="AG1229" s="367" t="s">
        <v>1992</v>
      </c>
    </row>
    <row r="1230" spans="1:33" ht="15.75" thickBot="1" x14ac:dyDescent="0.3">
      <c r="A1230" s="356">
        <v>145</v>
      </c>
      <c r="B1230" s="357">
        <v>46210</v>
      </c>
      <c r="C1230" s="358" t="s">
        <v>87</v>
      </c>
      <c r="D1230" s="359"/>
      <c r="E1230" s="360"/>
      <c r="F1230" s="361"/>
      <c r="G1230" s="213" t="str">
        <f>IFERROR(VLOOKUP(Tabla3[[#This Row],[NUM ECONOMICO]],MAQUINARIA!B:H,7,0), " MAQ")</f>
        <v>INACTIVA</v>
      </c>
      <c r="H1230" s="362" t="s">
        <v>1345</v>
      </c>
      <c r="I1230" s="363" t="s">
        <v>1908</v>
      </c>
      <c r="J1230" s="358" t="s">
        <v>1961</v>
      </c>
      <c r="K1230" s="358">
        <v>1</v>
      </c>
      <c r="L1230" s="364">
        <v>97.73</v>
      </c>
      <c r="M1230" s="364">
        <f t="shared" si="22"/>
        <v>97.73</v>
      </c>
      <c r="N1230" s="41" t="s">
        <v>1990</v>
      </c>
      <c r="O1230" s="358"/>
      <c r="P1230" s="365">
        <f>Tabla3[[#This Row],[COSTO UNITARIO DOLARES EN HAWTHORNE]]*Tabla3[[#This Row],[CANTIDAD SOLICTADA]]</f>
        <v>0</v>
      </c>
      <c r="Q1230" s="41"/>
      <c r="R1230" s="229"/>
      <c r="S1230" s="229">
        <f>+Tabla3[[#This Row],[COSTO UNITARIO DOLARES CTP]]*Tabla3[[#This Row],[CANTIDAD SOLICTADA]]</f>
        <v>0</v>
      </c>
      <c r="T1230" s="41"/>
      <c r="U1230" s="358" t="s">
        <v>5</v>
      </c>
      <c r="V1230" s="360" t="s">
        <v>1993</v>
      </c>
      <c r="W1230" s="366"/>
      <c r="X1230" s="359"/>
      <c r="Y1230" s="358"/>
      <c r="Z1230" s="360"/>
      <c r="AA1230" s="360"/>
      <c r="AB1230" s="360"/>
      <c r="AC1230" s="360"/>
      <c r="AD1230" s="360"/>
      <c r="AE1230" s="360"/>
      <c r="AF1230" s="16"/>
      <c r="AG1230" s="367" t="s">
        <v>1992</v>
      </c>
    </row>
    <row r="1231" spans="1:33" ht="15.75" thickBot="1" x14ac:dyDescent="0.3">
      <c r="A1231" s="356">
        <v>145</v>
      </c>
      <c r="B1231" s="357">
        <v>46210</v>
      </c>
      <c r="C1231" s="358" t="s">
        <v>87</v>
      </c>
      <c r="D1231" s="359"/>
      <c r="E1231" s="360"/>
      <c r="F1231" s="361"/>
      <c r="G1231" s="213" t="str">
        <f>IFERROR(VLOOKUP(Tabla3[[#This Row],[NUM ECONOMICO]],MAQUINARIA!B:H,7,0), " MAQ")</f>
        <v>INACTIVA</v>
      </c>
      <c r="H1231" s="362" t="s">
        <v>1345</v>
      </c>
      <c r="I1231" s="363" t="s">
        <v>1909</v>
      </c>
      <c r="J1231" s="358" t="s">
        <v>546</v>
      </c>
      <c r="K1231" s="358">
        <v>7</v>
      </c>
      <c r="L1231" s="364">
        <v>54.77</v>
      </c>
      <c r="M1231" s="364">
        <f t="shared" si="22"/>
        <v>383.39000000000004</v>
      </c>
      <c r="N1231" s="41" t="s">
        <v>1990</v>
      </c>
      <c r="O1231" s="358"/>
      <c r="P1231" s="365">
        <f>Tabla3[[#This Row],[COSTO UNITARIO DOLARES EN HAWTHORNE]]*Tabla3[[#This Row],[CANTIDAD SOLICTADA]]</f>
        <v>0</v>
      </c>
      <c r="Q1231" s="41"/>
      <c r="R1231" s="229"/>
      <c r="S1231" s="229">
        <f>+Tabla3[[#This Row],[COSTO UNITARIO DOLARES CTP]]*Tabla3[[#This Row],[CANTIDAD SOLICTADA]]</f>
        <v>0</v>
      </c>
      <c r="T1231" s="41"/>
      <c r="U1231" s="358" t="s">
        <v>5</v>
      </c>
      <c r="V1231" s="360" t="s">
        <v>1993</v>
      </c>
      <c r="W1231" s="366"/>
      <c r="X1231" s="359"/>
      <c r="Y1231" s="358"/>
      <c r="Z1231" s="360"/>
      <c r="AA1231" s="360"/>
      <c r="AB1231" s="360"/>
      <c r="AC1231" s="360"/>
      <c r="AD1231" s="360"/>
      <c r="AE1231" s="360"/>
      <c r="AF1231" s="16"/>
      <c r="AG1231" s="367" t="s">
        <v>1992</v>
      </c>
    </row>
    <row r="1232" spans="1:33" ht="15.75" thickBot="1" x14ac:dyDescent="0.3">
      <c r="A1232" s="356">
        <v>145</v>
      </c>
      <c r="B1232" s="357">
        <v>46210</v>
      </c>
      <c r="C1232" s="358" t="s">
        <v>87</v>
      </c>
      <c r="D1232" s="359"/>
      <c r="E1232" s="360"/>
      <c r="F1232" s="361"/>
      <c r="G1232" s="213" t="str">
        <f>IFERROR(VLOOKUP(Tabla3[[#This Row],[NUM ECONOMICO]],MAQUINARIA!B:H,7,0), " MAQ")</f>
        <v>INACTIVA</v>
      </c>
      <c r="H1232" s="362" t="s">
        <v>1345</v>
      </c>
      <c r="I1232" s="363" t="s">
        <v>1910</v>
      </c>
      <c r="J1232" s="358" t="s">
        <v>546</v>
      </c>
      <c r="K1232" s="358">
        <v>8</v>
      </c>
      <c r="L1232" s="364">
        <v>43.14</v>
      </c>
      <c r="M1232" s="364">
        <f t="shared" si="22"/>
        <v>345.12</v>
      </c>
      <c r="N1232" s="41" t="s">
        <v>1990</v>
      </c>
      <c r="O1232" s="358"/>
      <c r="P1232" s="365">
        <f>Tabla3[[#This Row],[COSTO UNITARIO DOLARES EN HAWTHORNE]]*Tabla3[[#This Row],[CANTIDAD SOLICTADA]]</f>
        <v>0</v>
      </c>
      <c r="Q1232" s="41"/>
      <c r="R1232" s="229"/>
      <c r="S1232" s="229">
        <f>+Tabla3[[#This Row],[COSTO UNITARIO DOLARES CTP]]*Tabla3[[#This Row],[CANTIDAD SOLICTADA]]</f>
        <v>0</v>
      </c>
      <c r="T1232" s="41"/>
      <c r="U1232" s="358" t="s">
        <v>5</v>
      </c>
      <c r="V1232" s="360" t="s">
        <v>1993</v>
      </c>
      <c r="W1232" s="366"/>
      <c r="X1232" s="359"/>
      <c r="Y1232" s="358"/>
      <c r="Z1232" s="360"/>
      <c r="AA1232" s="360"/>
      <c r="AB1232" s="360"/>
      <c r="AC1232" s="360"/>
      <c r="AD1232" s="360"/>
      <c r="AE1232" s="360"/>
      <c r="AF1232" s="16"/>
      <c r="AG1232" s="367" t="s">
        <v>1992</v>
      </c>
    </row>
    <row r="1233" spans="1:33" ht="15.75" thickBot="1" x14ac:dyDescent="0.3">
      <c r="A1233" s="356">
        <v>145</v>
      </c>
      <c r="B1233" s="357">
        <v>46210</v>
      </c>
      <c r="C1233" s="358" t="s">
        <v>87</v>
      </c>
      <c r="D1233" s="359"/>
      <c r="E1233" s="360"/>
      <c r="F1233" s="361"/>
      <c r="G1233" s="213" t="str">
        <f>IFERROR(VLOOKUP(Tabla3[[#This Row],[NUM ECONOMICO]],MAQUINARIA!B:H,7,0), " MAQ")</f>
        <v>INACTIVA</v>
      </c>
      <c r="H1233" s="362" t="s">
        <v>1345</v>
      </c>
      <c r="I1233" s="363" t="s">
        <v>1911</v>
      </c>
      <c r="J1233" s="358" t="s">
        <v>1962</v>
      </c>
      <c r="K1233" s="358">
        <v>6</v>
      </c>
      <c r="L1233" s="364">
        <v>76.069999999999993</v>
      </c>
      <c r="M1233" s="364">
        <f t="shared" ref="M1233:M1296" si="23">+L1233*K1233</f>
        <v>456.41999999999996</v>
      </c>
      <c r="N1233" s="41" t="s">
        <v>1990</v>
      </c>
      <c r="O1233" s="358"/>
      <c r="P1233" s="365">
        <f>Tabla3[[#This Row],[COSTO UNITARIO DOLARES EN HAWTHORNE]]*Tabla3[[#This Row],[CANTIDAD SOLICTADA]]</f>
        <v>0</v>
      </c>
      <c r="Q1233" s="41"/>
      <c r="R1233" s="229"/>
      <c r="S1233" s="229">
        <f>+Tabla3[[#This Row],[COSTO UNITARIO DOLARES CTP]]*Tabla3[[#This Row],[CANTIDAD SOLICTADA]]</f>
        <v>0</v>
      </c>
      <c r="T1233" s="41"/>
      <c r="U1233" s="358" t="s">
        <v>5</v>
      </c>
      <c r="V1233" s="360" t="s">
        <v>1993</v>
      </c>
      <c r="W1233" s="366"/>
      <c r="X1233" s="359"/>
      <c r="Y1233" s="358"/>
      <c r="Z1233" s="360"/>
      <c r="AA1233" s="360"/>
      <c r="AB1233" s="360"/>
      <c r="AC1233" s="360"/>
      <c r="AD1233" s="360"/>
      <c r="AE1233" s="360"/>
      <c r="AF1233" s="16"/>
      <c r="AG1233" s="367" t="s">
        <v>1992</v>
      </c>
    </row>
    <row r="1234" spans="1:33" ht="15.75" thickBot="1" x14ac:dyDescent="0.3">
      <c r="A1234" s="356">
        <v>145</v>
      </c>
      <c r="B1234" s="357">
        <v>46210</v>
      </c>
      <c r="C1234" s="358" t="s">
        <v>87</v>
      </c>
      <c r="D1234" s="359"/>
      <c r="E1234" s="360"/>
      <c r="F1234" s="361"/>
      <c r="G1234" s="213" t="str">
        <f>IFERROR(VLOOKUP(Tabla3[[#This Row],[NUM ECONOMICO]],MAQUINARIA!B:H,7,0), " MAQ")</f>
        <v>INACTIVA</v>
      </c>
      <c r="H1234" s="362" t="s">
        <v>1345</v>
      </c>
      <c r="I1234" s="363" t="s">
        <v>1912</v>
      </c>
      <c r="J1234" s="358" t="s">
        <v>1961</v>
      </c>
      <c r="K1234" s="358">
        <v>1</v>
      </c>
      <c r="L1234" s="364">
        <v>96.3</v>
      </c>
      <c r="M1234" s="364">
        <f t="shared" si="23"/>
        <v>96.3</v>
      </c>
      <c r="N1234" s="41" t="s">
        <v>1990</v>
      </c>
      <c r="O1234" s="358"/>
      <c r="P1234" s="365">
        <f>Tabla3[[#This Row],[COSTO UNITARIO DOLARES EN HAWTHORNE]]*Tabla3[[#This Row],[CANTIDAD SOLICTADA]]</f>
        <v>0</v>
      </c>
      <c r="Q1234" s="41"/>
      <c r="R1234" s="229"/>
      <c r="S1234" s="229">
        <f>+Tabla3[[#This Row],[COSTO UNITARIO DOLARES CTP]]*Tabla3[[#This Row],[CANTIDAD SOLICTADA]]</f>
        <v>0</v>
      </c>
      <c r="T1234" s="41"/>
      <c r="U1234" s="358" t="s">
        <v>5</v>
      </c>
      <c r="V1234" s="360" t="s">
        <v>1993</v>
      </c>
      <c r="W1234" s="366"/>
      <c r="X1234" s="359"/>
      <c r="Y1234" s="358"/>
      <c r="Z1234" s="360"/>
      <c r="AA1234" s="360"/>
      <c r="AB1234" s="360"/>
      <c r="AC1234" s="360"/>
      <c r="AD1234" s="360"/>
      <c r="AE1234" s="360"/>
      <c r="AF1234" s="16"/>
      <c r="AG1234" s="367" t="s">
        <v>1992</v>
      </c>
    </row>
    <row r="1235" spans="1:33" ht="15.75" thickBot="1" x14ac:dyDescent="0.3">
      <c r="A1235" s="356">
        <v>145</v>
      </c>
      <c r="B1235" s="357">
        <v>46210</v>
      </c>
      <c r="C1235" s="358" t="s">
        <v>87</v>
      </c>
      <c r="D1235" s="359"/>
      <c r="E1235" s="360"/>
      <c r="F1235" s="361"/>
      <c r="G1235" s="213" t="str">
        <f>IFERROR(VLOOKUP(Tabla3[[#This Row],[NUM ECONOMICO]],MAQUINARIA!B:H,7,0), " MAQ")</f>
        <v>INACTIVA</v>
      </c>
      <c r="H1235" s="362" t="s">
        <v>1345</v>
      </c>
      <c r="I1235" s="363" t="s">
        <v>1913</v>
      </c>
      <c r="J1235" s="358" t="s">
        <v>220</v>
      </c>
      <c r="K1235" s="358">
        <v>2</v>
      </c>
      <c r="L1235" s="364">
        <v>27.57</v>
      </c>
      <c r="M1235" s="364">
        <f t="shared" si="23"/>
        <v>55.14</v>
      </c>
      <c r="N1235" s="41" t="s">
        <v>1990</v>
      </c>
      <c r="O1235" s="358"/>
      <c r="P1235" s="365">
        <f>Tabla3[[#This Row],[COSTO UNITARIO DOLARES EN HAWTHORNE]]*Tabla3[[#This Row],[CANTIDAD SOLICTADA]]</f>
        <v>0</v>
      </c>
      <c r="Q1235" s="41"/>
      <c r="R1235" s="229"/>
      <c r="S1235" s="229">
        <f>+Tabla3[[#This Row],[COSTO UNITARIO DOLARES CTP]]*Tabla3[[#This Row],[CANTIDAD SOLICTADA]]</f>
        <v>0</v>
      </c>
      <c r="T1235" s="41"/>
      <c r="U1235" s="358" t="s">
        <v>5</v>
      </c>
      <c r="V1235" s="360" t="s">
        <v>1993</v>
      </c>
      <c r="W1235" s="366"/>
      <c r="X1235" s="359"/>
      <c r="Y1235" s="358"/>
      <c r="Z1235" s="360"/>
      <c r="AA1235" s="360"/>
      <c r="AB1235" s="360"/>
      <c r="AC1235" s="360"/>
      <c r="AD1235" s="360"/>
      <c r="AE1235" s="360"/>
      <c r="AF1235" s="16"/>
      <c r="AG1235" s="367" t="s">
        <v>1992</v>
      </c>
    </row>
    <row r="1236" spans="1:33" ht="15.75" thickBot="1" x14ac:dyDescent="0.3">
      <c r="A1236" s="356">
        <v>145</v>
      </c>
      <c r="B1236" s="357">
        <v>46210</v>
      </c>
      <c r="C1236" s="358" t="s">
        <v>87</v>
      </c>
      <c r="D1236" s="359"/>
      <c r="E1236" s="360"/>
      <c r="F1236" s="361"/>
      <c r="G1236" s="213" t="str">
        <f>IFERROR(VLOOKUP(Tabla3[[#This Row],[NUM ECONOMICO]],MAQUINARIA!B:H,7,0), " MAQ")</f>
        <v>INACTIVA</v>
      </c>
      <c r="H1236" s="362" t="s">
        <v>1345</v>
      </c>
      <c r="I1236" s="363" t="s">
        <v>1057</v>
      </c>
      <c r="J1236" s="358" t="s">
        <v>1975</v>
      </c>
      <c r="K1236" s="358">
        <v>1</v>
      </c>
      <c r="L1236" s="364">
        <v>152.87</v>
      </c>
      <c r="M1236" s="364">
        <f t="shared" si="23"/>
        <v>152.87</v>
      </c>
      <c r="N1236" s="41" t="s">
        <v>1990</v>
      </c>
      <c r="O1236" s="358"/>
      <c r="P1236" s="365">
        <f>Tabla3[[#This Row],[COSTO UNITARIO DOLARES EN HAWTHORNE]]*Tabla3[[#This Row],[CANTIDAD SOLICTADA]]</f>
        <v>0</v>
      </c>
      <c r="Q1236" s="41"/>
      <c r="R1236" s="229"/>
      <c r="S1236" s="229">
        <f>+Tabla3[[#This Row],[COSTO UNITARIO DOLARES CTP]]*Tabla3[[#This Row],[CANTIDAD SOLICTADA]]</f>
        <v>0</v>
      </c>
      <c r="T1236" s="41"/>
      <c r="U1236" s="358" t="s">
        <v>5</v>
      </c>
      <c r="V1236" s="360" t="s">
        <v>1993</v>
      </c>
      <c r="W1236" s="366"/>
      <c r="X1236" s="359"/>
      <c r="Y1236" s="358"/>
      <c r="Z1236" s="360"/>
      <c r="AA1236" s="360"/>
      <c r="AB1236" s="360"/>
      <c r="AC1236" s="360"/>
      <c r="AD1236" s="360"/>
      <c r="AE1236" s="360"/>
      <c r="AF1236" s="16"/>
      <c r="AG1236" s="367" t="s">
        <v>1992</v>
      </c>
    </row>
    <row r="1237" spans="1:33" ht="15.75" thickBot="1" x14ac:dyDescent="0.3">
      <c r="A1237" s="356">
        <v>145</v>
      </c>
      <c r="B1237" s="357">
        <v>46210</v>
      </c>
      <c r="C1237" s="358" t="s">
        <v>87</v>
      </c>
      <c r="D1237" s="359"/>
      <c r="E1237" s="360"/>
      <c r="F1237" s="361"/>
      <c r="G1237" s="213" t="str">
        <f>IFERROR(VLOOKUP(Tabla3[[#This Row],[NUM ECONOMICO]],MAQUINARIA!B:H,7,0), " MAQ")</f>
        <v>INACTIVA</v>
      </c>
      <c r="H1237" s="362" t="s">
        <v>1345</v>
      </c>
      <c r="I1237" s="363" t="s">
        <v>1914</v>
      </c>
      <c r="J1237" s="358" t="s">
        <v>546</v>
      </c>
      <c r="K1237" s="358">
        <v>6</v>
      </c>
      <c r="L1237" s="364">
        <v>238.07</v>
      </c>
      <c r="M1237" s="364">
        <f t="shared" si="23"/>
        <v>1428.42</v>
      </c>
      <c r="N1237" s="41" t="s">
        <v>1990</v>
      </c>
      <c r="O1237" s="358"/>
      <c r="P1237" s="365">
        <f>Tabla3[[#This Row],[COSTO UNITARIO DOLARES EN HAWTHORNE]]*Tabla3[[#This Row],[CANTIDAD SOLICTADA]]</f>
        <v>0</v>
      </c>
      <c r="Q1237" s="41"/>
      <c r="R1237" s="229"/>
      <c r="S1237" s="229">
        <f>+Tabla3[[#This Row],[COSTO UNITARIO DOLARES CTP]]*Tabla3[[#This Row],[CANTIDAD SOLICTADA]]</f>
        <v>0</v>
      </c>
      <c r="T1237" s="41"/>
      <c r="U1237" s="358" t="s">
        <v>5</v>
      </c>
      <c r="V1237" s="360" t="s">
        <v>1993</v>
      </c>
      <c r="W1237" s="366"/>
      <c r="X1237" s="359"/>
      <c r="Y1237" s="358"/>
      <c r="Z1237" s="360"/>
      <c r="AA1237" s="360"/>
      <c r="AB1237" s="360"/>
      <c r="AC1237" s="360"/>
      <c r="AD1237" s="360"/>
      <c r="AE1237" s="360"/>
      <c r="AF1237" s="16"/>
      <c r="AG1237" s="367" t="s">
        <v>1992</v>
      </c>
    </row>
    <row r="1238" spans="1:33" ht="15.75" thickBot="1" x14ac:dyDescent="0.3">
      <c r="A1238" s="356">
        <v>145</v>
      </c>
      <c r="B1238" s="357">
        <v>46210</v>
      </c>
      <c r="C1238" s="358" t="s">
        <v>87</v>
      </c>
      <c r="D1238" s="359"/>
      <c r="E1238" s="360"/>
      <c r="F1238" s="361"/>
      <c r="G1238" s="213" t="str">
        <f>IFERROR(VLOOKUP(Tabla3[[#This Row],[NUM ECONOMICO]],MAQUINARIA!B:H,7,0), " MAQ")</f>
        <v>INACTIVA</v>
      </c>
      <c r="H1238" s="362" t="s">
        <v>1345</v>
      </c>
      <c r="I1238" s="363" t="s">
        <v>1900</v>
      </c>
      <c r="J1238" s="358" t="s">
        <v>1961</v>
      </c>
      <c r="K1238" s="358">
        <v>2</v>
      </c>
      <c r="L1238" s="364">
        <v>29.71</v>
      </c>
      <c r="M1238" s="364">
        <f t="shared" si="23"/>
        <v>59.42</v>
      </c>
      <c r="N1238" s="41" t="s">
        <v>1990</v>
      </c>
      <c r="O1238" s="358"/>
      <c r="P1238" s="365">
        <f>Tabla3[[#This Row],[COSTO UNITARIO DOLARES EN HAWTHORNE]]*Tabla3[[#This Row],[CANTIDAD SOLICTADA]]</f>
        <v>0</v>
      </c>
      <c r="Q1238" s="41"/>
      <c r="R1238" s="229"/>
      <c r="S1238" s="229">
        <f>+Tabla3[[#This Row],[COSTO UNITARIO DOLARES CTP]]*Tabla3[[#This Row],[CANTIDAD SOLICTADA]]</f>
        <v>0</v>
      </c>
      <c r="T1238" s="41"/>
      <c r="U1238" s="358" t="s">
        <v>5</v>
      </c>
      <c r="V1238" s="360" t="s">
        <v>1993</v>
      </c>
      <c r="W1238" s="366"/>
      <c r="X1238" s="359"/>
      <c r="Y1238" s="358"/>
      <c r="Z1238" s="360"/>
      <c r="AA1238" s="360"/>
      <c r="AB1238" s="360"/>
      <c r="AC1238" s="360"/>
      <c r="AD1238" s="360"/>
      <c r="AE1238" s="360"/>
      <c r="AF1238" s="16"/>
      <c r="AG1238" s="367" t="s">
        <v>1992</v>
      </c>
    </row>
    <row r="1239" spans="1:33" ht="15.75" thickBot="1" x14ac:dyDescent="0.3">
      <c r="A1239" s="356">
        <v>145</v>
      </c>
      <c r="B1239" s="357">
        <v>46210</v>
      </c>
      <c r="C1239" s="358" t="s">
        <v>87</v>
      </c>
      <c r="D1239" s="359"/>
      <c r="E1239" s="360"/>
      <c r="F1239" s="361"/>
      <c r="G1239" s="213" t="str">
        <f>IFERROR(VLOOKUP(Tabla3[[#This Row],[NUM ECONOMICO]],MAQUINARIA!B:H,7,0), " MAQ")</f>
        <v>INACTIVA</v>
      </c>
      <c r="H1239" s="362" t="s">
        <v>1345</v>
      </c>
      <c r="I1239" s="363" t="s">
        <v>558</v>
      </c>
      <c r="J1239" s="358" t="s">
        <v>546</v>
      </c>
      <c r="K1239" s="358">
        <v>6</v>
      </c>
      <c r="L1239" s="364">
        <v>76.430000000000007</v>
      </c>
      <c r="M1239" s="364">
        <f t="shared" si="23"/>
        <v>458.58000000000004</v>
      </c>
      <c r="N1239" s="41" t="s">
        <v>1990</v>
      </c>
      <c r="O1239" s="358"/>
      <c r="P1239" s="365">
        <f>Tabla3[[#This Row],[COSTO UNITARIO DOLARES EN HAWTHORNE]]*Tabla3[[#This Row],[CANTIDAD SOLICTADA]]</f>
        <v>0</v>
      </c>
      <c r="Q1239" s="41"/>
      <c r="R1239" s="229"/>
      <c r="S1239" s="229">
        <f>+Tabla3[[#This Row],[COSTO UNITARIO DOLARES CTP]]*Tabla3[[#This Row],[CANTIDAD SOLICTADA]]</f>
        <v>0</v>
      </c>
      <c r="T1239" s="41"/>
      <c r="U1239" s="358" t="s">
        <v>5</v>
      </c>
      <c r="V1239" s="360" t="s">
        <v>1993</v>
      </c>
      <c r="W1239" s="366"/>
      <c r="X1239" s="359"/>
      <c r="Y1239" s="358"/>
      <c r="Z1239" s="360"/>
      <c r="AA1239" s="360"/>
      <c r="AB1239" s="360"/>
      <c r="AC1239" s="360"/>
      <c r="AD1239" s="360"/>
      <c r="AE1239" s="360"/>
      <c r="AF1239" s="16"/>
      <c r="AG1239" s="367" t="s">
        <v>1992</v>
      </c>
    </row>
    <row r="1240" spans="1:33" ht="15.75" thickBot="1" x14ac:dyDescent="0.3">
      <c r="A1240" s="356">
        <v>145</v>
      </c>
      <c r="B1240" s="357">
        <v>46210</v>
      </c>
      <c r="C1240" s="358" t="s">
        <v>87</v>
      </c>
      <c r="D1240" s="359"/>
      <c r="E1240" s="360"/>
      <c r="F1240" s="361"/>
      <c r="G1240" s="213" t="str">
        <f>IFERROR(VLOOKUP(Tabla3[[#This Row],[NUM ECONOMICO]],MAQUINARIA!B:H,7,0), " MAQ")</f>
        <v>INACTIVA</v>
      </c>
      <c r="H1240" s="362" t="s">
        <v>1345</v>
      </c>
      <c r="I1240" s="363" t="s">
        <v>548</v>
      </c>
      <c r="J1240" s="358" t="s">
        <v>1961</v>
      </c>
      <c r="K1240" s="358">
        <v>2</v>
      </c>
      <c r="L1240" s="364">
        <v>38.479999999999997</v>
      </c>
      <c r="M1240" s="364">
        <f t="shared" si="23"/>
        <v>76.959999999999994</v>
      </c>
      <c r="N1240" s="41" t="s">
        <v>1990</v>
      </c>
      <c r="O1240" s="358"/>
      <c r="P1240" s="365">
        <f>Tabla3[[#This Row],[COSTO UNITARIO DOLARES EN HAWTHORNE]]*Tabla3[[#This Row],[CANTIDAD SOLICTADA]]</f>
        <v>0</v>
      </c>
      <c r="Q1240" s="41"/>
      <c r="R1240" s="229"/>
      <c r="S1240" s="229">
        <f>+Tabla3[[#This Row],[COSTO UNITARIO DOLARES CTP]]*Tabla3[[#This Row],[CANTIDAD SOLICTADA]]</f>
        <v>0</v>
      </c>
      <c r="T1240" s="41"/>
      <c r="U1240" s="358" t="s">
        <v>5</v>
      </c>
      <c r="V1240" s="360" t="s">
        <v>1993</v>
      </c>
      <c r="W1240" s="366"/>
      <c r="X1240" s="359"/>
      <c r="Y1240" s="358"/>
      <c r="Z1240" s="360"/>
      <c r="AA1240" s="360"/>
      <c r="AB1240" s="360"/>
      <c r="AC1240" s="360"/>
      <c r="AD1240" s="360"/>
      <c r="AE1240" s="360"/>
      <c r="AF1240" s="16"/>
      <c r="AG1240" s="367" t="s">
        <v>1992</v>
      </c>
    </row>
    <row r="1241" spans="1:33" ht="15.75" thickBot="1" x14ac:dyDescent="0.3">
      <c r="A1241" s="356">
        <v>145</v>
      </c>
      <c r="B1241" s="357">
        <v>46210</v>
      </c>
      <c r="C1241" s="358" t="s">
        <v>87</v>
      </c>
      <c r="D1241" s="359"/>
      <c r="E1241" s="360"/>
      <c r="F1241" s="361"/>
      <c r="G1241" s="213" t="str">
        <f>IFERROR(VLOOKUP(Tabla3[[#This Row],[NUM ECONOMICO]],MAQUINARIA!B:H,7,0), " MAQ")</f>
        <v>INACTIVA</v>
      </c>
      <c r="H1241" s="362" t="s">
        <v>1345</v>
      </c>
      <c r="I1241" s="363" t="s">
        <v>1901</v>
      </c>
      <c r="J1241" s="358" t="s">
        <v>1972</v>
      </c>
      <c r="K1241" s="358">
        <v>5</v>
      </c>
      <c r="L1241" s="364">
        <v>123.69</v>
      </c>
      <c r="M1241" s="364">
        <f t="shared" si="23"/>
        <v>618.45000000000005</v>
      </c>
      <c r="N1241" s="41" t="s">
        <v>1990</v>
      </c>
      <c r="O1241" s="358"/>
      <c r="P1241" s="365">
        <f>Tabla3[[#This Row],[COSTO UNITARIO DOLARES EN HAWTHORNE]]*Tabla3[[#This Row],[CANTIDAD SOLICTADA]]</f>
        <v>0</v>
      </c>
      <c r="Q1241" s="41"/>
      <c r="R1241" s="229"/>
      <c r="S1241" s="229">
        <f>+Tabla3[[#This Row],[COSTO UNITARIO DOLARES CTP]]*Tabla3[[#This Row],[CANTIDAD SOLICTADA]]</f>
        <v>0</v>
      </c>
      <c r="T1241" s="41"/>
      <c r="U1241" s="358" t="s">
        <v>5</v>
      </c>
      <c r="V1241" s="360" t="s">
        <v>1993</v>
      </c>
      <c r="W1241" s="366"/>
      <c r="X1241" s="359"/>
      <c r="Y1241" s="358"/>
      <c r="Z1241" s="360"/>
      <c r="AA1241" s="360"/>
      <c r="AB1241" s="360"/>
      <c r="AC1241" s="360"/>
      <c r="AD1241" s="360"/>
      <c r="AE1241" s="360"/>
      <c r="AF1241" s="16"/>
      <c r="AG1241" s="367" t="s">
        <v>1992</v>
      </c>
    </row>
    <row r="1242" spans="1:33" ht="15.75" thickBot="1" x14ac:dyDescent="0.3">
      <c r="A1242" s="356">
        <v>145</v>
      </c>
      <c r="B1242" s="357">
        <v>46210</v>
      </c>
      <c r="C1242" s="358" t="s">
        <v>87</v>
      </c>
      <c r="D1242" s="359"/>
      <c r="E1242" s="360"/>
      <c r="F1242" s="361"/>
      <c r="G1242" s="213" t="str">
        <f>IFERROR(VLOOKUP(Tabla3[[#This Row],[NUM ECONOMICO]],MAQUINARIA!B:H,7,0), " MAQ")</f>
        <v>INACTIVA</v>
      </c>
      <c r="H1242" s="362" t="s">
        <v>1345</v>
      </c>
      <c r="I1242" s="363" t="s">
        <v>1902</v>
      </c>
      <c r="J1242" s="358" t="s">
        <v>1972</v>
      </c>
      <c r="K1242" s="358">
        <v>1</v>
      </c>
      <c r="L1242" s="364">
        <v>325.95999999999998</v>
      </c>
      <c r="M1242" s="364">
        <f t="shared" si="23"/>
        <v>325.95999999999998</v>
      </c>
      <c r="N1242" s="41" t="s">
        <v>1990</v>
      </c>
      <c r="O1242" s="358"/>
      <c r="P1242" s="365">
        <f>Tabla3[[#This Row],[COSTO UNITARIO DOLARES EN HAWTHORNE]]*Tabla3[[#This Row],[CANTIDAD SOLICTADA]]</f>
        <v>0</v>
      </c>
      <c r="Q1242" s="41"/>
      <c r="R1242" s="229"/>
      <c r="S1242" s="229">
        <f>+Tabla3[[#This Row],[COSTO UNITARIO DOLARES CTP]]*Tabla3[[#This Row],[CANTIDAD SOLICTADA]]</f>
        <v>0</v>
      </c>
      <c r="T1242" s="41"/>
      <c r="U1242" s="358" t="s">
        <v>5</v>
      </c>
      <c r="V1242" s="360" t="s">
        <v>1993</v>
      </c>
      <c r="W1242" s="366"/>
      <c r="X1242" s="359"/>
      <c r="Y1242" s="358"/>
      <c r="Z1242" s="360"/>
      <c r="AA1242" s="360"/>
      <c r="AB1242" s="360"/>
      <c r="AC1242" s="360"/>
      <c r="AD1242" s="360"/>
      <c r="AE1242" s="360"/>
      <c r="AF1242" s="16"/>
      <c r="AG1242" s="367" t="s">
        <v>1992</v>
      </c>
    </row>
    <row r="1243" spans="1:33" ht="15.75" thickBot="1" x14ac:dyDescent="0.3">
      <c r="A1243" s="356">
        <v>145</v>
      </c>
      <c r="B1243" s="357">
        <v>46210</v>
      </c>
      <c r="C1243" s="358" t="s">
        <v>87</v>
      </c>
      <c r="D1243" s="359"/>
      <c r="E1243" s="360"/>
      <c r="F1243" s="361"/>
      <c r="G1243" s="213" t="str">
        <f>IFERROR(VLOOKUP(Tabla3[[#This Row],[NUM ECONOMICO]],MAQUINARIA!B:H,7,0), " MAQ")</f>
        <v>INACTIVA</v>
      </c>
      <c r="H1243" s="362" t="s">
        <v>1345</v>
      </c>
      <c r="I1243" s="363" t="s">
        <v>1903</v>
      </c>
      <c r="J1243" s="358" t="s">
        <v>1973</v>
      </c>
      <c r="K1243" s="358">
        <v>12</v>
      </c>
      <c r="L1243" s="364">
        <v>194.04</v>
      </c>
      <c r="M1243" s="364">
        <f t="shared" si="23"/>
        <v>2328.48</v>
      </c>
      <c r="N1243" s="41" t="s">
        <v>1990</v>
      </c>
      <c r="O1243" s="358"/>
      <c r="P1243" s="365">
        <f>Tabla3[[#This Row],[COSTO UNITARIO DOLARES EN HAWTHORNE]]*Tabla3[[#This Row],[CANTIDAD SOLICTADA]]</f>
        <v>0</v>
      </c>
      <c r="Q1243" s="41"/>
      <c r="R1243" s="229"/>
      <c r="S1243" s="229">
        <f>+Tabla3[[#This Row],[COSTO UNITARIO DOLARES CTP]]*Tabla3[[#This Row],[CANTIDAD SOLICTADA]]</f>
        <v>0</v>
      </c>
      <c r="T1243" s="41"/>
      <c r="U1243" s="358" t="s">
        <v>5</v>
      </c>
      <c r="V1243" s="360" t="s">
        <v>1993</v>
      </c>
      <c r="W1243" s="366"/>
      <c r="X1243" s="359"/>
      <c r="Y1243" s="358"/>
      <c r="Z1243" s="360"/>
      <c r="AA1243" s="360"/>
      <c r="AB1243" s="360"/>
      <c r="AC1243" s="360"/>
      <c r="AD1243" s="360"/>
      <c r="AE1243" s="360"/>
      <c r="AF1243" s="16"/>
      <c r="AG1243" s="367" t="s">
        <v>1992</v>
      </c>
    </row>
    <row r="1244" spans="1:33" ht="15.75" thickBot="1" x14ac:dyDescent="0.3">
      <c r="A1244" s="356">
        <v>145</v>
      </c>
      <c r="B1244" s="357">
        <v>46210</v>
      </c>
      <c r="C1244" s="358" t="s">
        <v>87</v>
      </c>
      <c r="D1244" s="359"/>
      <c r="E1244" s="360"/>
      <c r="F1244" s="361"/>
      <c r="G1244" s="213" t="str">
        <f>IFERROR(VLOOKUP(Tabla3[[#This Row],[NUM ECONOMICO]],MAQUINARIA!B:H,7,0), " MAQ")</f>
        <v>INACTIVA</v>
      </c>
      <c r="H1244" s="362" t="s">
        <v>1345</v>
      </c>
      <c r="I1244" s="363" t="s">
        <v>334</v>
      </c>
      <c r="J1244" s="358" t="s">
        <v>506</v>
      </c>
      <c r="K1244" s="358">
        <v>15</v>
      </c>
      <c r="L1244" s="364">
        <v>31.5</v>
      </c>
      <c r="M1244" s="364">
        <f t="shared" si="23"/>
        <v>472.5</v>
      </c>
      <c r="N1244" s="41" t="s">
        <v>1990</v>
      </c>
      <c r="O1244" s="358"/>
      <c r="P1244" s="365">
        <f>Tabla3[[#This Row],[COSTO UNITARIO DOLARES EN HAWTHORNE]]*Tabla3[[#This Row],[CANTIDAD SOLICTADA]]</f>
        <v>0</v>
      </c>
      <c r="Q1244" s="41"/>
      <c r="R1244" s="229"/>
      <c r="S1244" s="229">
        <f>+Tabla3[[#This Row],[COSTO UNITARIO DOLARES CTP]]*Tabla3[[#This Row],[CANTIDAD SOLICTADA]]</f>
        <v>0</v>
      </c>
      <c r="T1244" s="41"/>
      <c r="U1244" s="358" t="s">
        <v>5</v>
      </c>
      <c r="V1244" s="360" t="s">
        <v>1993</v>
      </c>
      <c r="W1244" s="366"/>
      <c r="X1244" s="359"/>
      <c r="Y1244" s="358"/>
      <c r="Z1244" s="360"/>
      <c r="AA1244" s="360"/>
      <c r="AB1244" s="360"/>
      <c r="AC1244" s="360"/>
      <c r="AD1244" s="360"/>
      <c r="AE1244" s="360"/>
      <c r="AF1244" s="16"/>
      <c r="AG1244" s="367" t="s">
        <v>1992</v>
      </c>
    </row>
    <row r="1245" spans="1:33" ht="15.75" thickBot="1" x14ac:dyDescent="0.3">
      <c r="A1245" s="356">
        <v>145</v>
      </c>
      <c r="B1245" s="357">
        <v>46210</v>
      </c>
      <c r="C1245" s="358" t="s">
        <v>87</v>
      </c>
      <c r="D1245" s="359"/>
      <c r="E1245" s="360"/>
      <c r="F1245" s="361"/>
      <c r="G1245" s="213" t="str">
        <f>IFERROR(VLOOKUP(Tabla3[[#This Row],[NUM ECONOMICO]],MAQUINARIA!B:H,7,0), " MAQ")</f>
        <v>INACTIVA</v>
      </c>
      <c r="H1245" s="362" t="s">
        <v>1345</v>
      </c>
      <c r="I1245" s="363" t="s">
        <v>336</v>
      </c>
      <c r="J1245" s="358" t="s">
        <v>1971</v>
      </c>
      <c r="K1245" s="358">
        <v>5</v>
      </c>
      <c r="L1245" s="364">
        <v>34.9</v>
      </c>
      <c r="M1245" s="364">
        <f t="shared" si="23"/>
        <v>174.5</v>
      </c>
      <c r="N1245" s="41" t="s">
        <v>1990</v>
      </c>
      <c r="O1245" s="358"/>
      <c r="P1245" s="365">
        <f>Tabla3[[#This Row],[COSTO UNITARIO DOLARES EN HAWTHORNE]]*Tabla3[[#This Row],[CANTIDAD SOLICTADA]]</f>
        <v>0</v>
      </c>
      <c r="Q1245" s="41"/>
      <c r="R1245" s="229"/>
      <c r="S1245" s="229">
        <f>+Tabla3[[#This Row],[COSTO UNITARIO DOLARES CTP]]*Tabla3[[#This Row],[CANTIDAD SOLICTADA]]</f>
        <v>0</v>
      </c>
      <c r="T1245" s="41"/>
      <c r="U1245" s="358" t="s">
        <v>5</v>
      </c>
      <c r="V1245" s="360" t="s">
        <v>1993</v>
      </c>
      <c r="W1245" s="366"/>
      <c r="X1245" s="359"/>
      <c r="Y1245" s="358"/>
      <c r="Z1245" s="360"/>
      <c r="AA1245" s="360"/>
      <c r="AB1245" s="360"/>
      <c r="AC1245" s="360"/>
      <c r="AD1245" s="360"/>
      <c r="AE1245" s="360"/>
      <c r="AF1245" s="16"/>
      <c r="AG1245" s="367" t="s">
        <v>1992</v>
      </c>
    </row>
    <row r="1246" spans="1:33" ht="15.75" thickBot="1" x14ac:dyDescent="0.3">
      <c r="A1246" s="356">
        <v>145</v>
      </c>
      <c r="B1246" s="357">
        <v>46210</v>
      </c>
      <c r="C1246" s="358" t="s">
        <v>87</v>
      </c>
      <c r="D1246" s="359"/>
      <c r="E1246" s="360"/>
      <c r="F1246" s="361"/>
      <c r="G1246" s="213" t="str">
        <f>IFERROR(VLOOKUP(Tabla3[[#This Row],[NUM ECONOMICO]],MAQUINARIA!B:H,7,0), " MAQ")</f>
        <v>INACTIVA</v>
      </c>
      <c r="H1246" s="362" t="s">
        <v>1345</v>
      </c>
      <c r="I1246" s="363" t="s">
        <v>1904</v>
      </c>
      <c r="J1246" s="358" t="s">
        <v>1972</v>
      </c>
      <c r="K1246" s="358">
        <v>8</v>
      </c>
      <c r="L1246" s="364">
        <v>241.29</v>
      </c>
      <c r="M1246" s="364">
        <f t="shared" si="23"/>
        <v>1930.32</v>
      </c>
      <c r="N1246" s="41" t="s">
        <v>1990</v>
      </c>
      <c r="O1246" s="358"/>
      <c r="P1246" s="365">
        <f>Tabla3[[#This Row],[COSTO UNITARIO DOLARES EN HAWTHORNE]]*Tabla3[[#This Row],[CANTIDAD SOLICTADA]]</f>
        <v>0</v>
      </c>
      <c r="Q1246" s="41"/>
      <c r="R1246" s="229"/>
      <c r="S1246" s="229">
        <f>+Tabla3[[#This Row],[COSTO UNITARIO DOLARES CTP]]*Tabla3[[#This Row],[CANTIDAD SOLICTADA]]</f>
        <v>0</v>
      </c>
      <c r="T1246" s="41"/>
      <c r="U1246" s="358" t="s">
        <v>5</v>
      </c>
      <c r="V1246" s="360" t="s">
        <v>1993</v>
      </c>
      <c r="W1246" s="366"/>
      <c r="X1246" s="359"/>
      <c r="Y1246" s="358"/>
      <c r="Z1246" s="360"/>
      <c r="AA1246" s="360"/>
      <c r="AB1246" s="360"/>
      <c r="AC1246" s="360"/>
      <c r="AD1246" s="360"/>
      <c r="AE1246" s="360"/>
      <c r="AF1246" s="16"/>
      <c r="AG1246" s="367" t="s">
        <v>1992</v>
      </c>
    </row>
    <row r="1247" spans="1:33" ht="15.75" thickBot="1" x14ac:dyDescent="0.3">
      <c r="A1247" s="356">
        <v>145</v>
      </c>
      <c r="B1247" s="357">
        <v>46210</v>
      </c>
      <c r="C1247" s="358" t="s">
        <v>87</v>
      </c>
      <c r="D1247" s="359"/>
      <c r="E1247" s="360"/>
      <c r="F1247" s="361"/>
      <c r="G1247" s="213" t="str">
        <f>IFERROR(VLOOKUP(Tabla3[[#This Row],[NUM ECONOMICO]],MAQUINARIA!B:H,7,0), " MAQ")</f>
        <v>INACTIVA</v>
      </c>
      <c r="H1247" s="362" t="s">
        <v>1345</v>
      </c>
      <c r="I1247" s="363" t="s">
        <v>551</v>
      </c>
      <c r="J1247" s="358" t="s">
        <v>1962</v>
      </c>
      <c r="K1247" s="358">
        <v>21</v>
      </c>
      <c r="L1247" s="364">
        <v>25.24</v>
      </c>
      <c r="M1247" s="364">
        <f t="shared" si="23"/>
        <v>530.04</v>
      </c>
      <c r="N1247" s="41" t="s">
        <v>1990</v>
      </c>
      <c r="O1247" s="358"/>
      <c r="P1247" s="365">
        <f>Tabla3[[#This Row],[COSTO UNITARIO DOLARES EN HAWTHORNE]]*Tabla3[[#This Row],[CANTIDAD SOLICTADA]]</f>
        <v>0</v>
      </c>
      <c r="Q1247" s="41"/>
      <c r="R1247" s="229"/>
      <c r="S1247" s="229">
        <f>+Tabla3[[#This Row],[COSTO UNITARIO DOLARES CTP]]*Tabla3[[#This Row],[CANTIDAD SOLICTADA]]</f>
        <v>0</v>
      </c>
      <c r="T1247" s="41"/>
      <c r="U1247" s="358" t="s">
        <v>5</v>
      </c>
      <c r="V1247" s="360" t="s">
        <v>1993</v>
      </c>
      <c r="W1247" s="366"/>
      <c r="X1247" s="359"/>
      <c r="Y1247" s="358"/>
      <c r="Z1247" s="360"/>
      <c r="AA1247" s="360"/>
      <c r="AB1247" s="360"/>
      <c r="AC1247" s="360"/>
      <c r="AD1247" s="360"/>
      <c r="AE1247" s="360"/>
      <c r="AF1247" s="16"/>
      <c r="AG1247" s="367" t="s">
        <v>1992</v>
      </c>
    </row>
    <row r="1248" spans="1:33" ht="15.75" thickBot="1" x14ac:dyDescent="0.3">
      <c r="A1248" s="356">
        <v>145</v>
      </c>
      <c r="B1248" s="357">
        <v>46210</v>
      </c>
      <c r="C1248" s="358" t="s">
        <v>87</v>
      </c>
      <c r="D1248" s="359"/>
      <c r="E1248" s="360"/>
      <c r="F1248" s="361"/>
      <c r="G1248" s="213" t="str">
        <f>IFERROR(VLOOKUP(Tabla3[[#This Row],[NUM ECONOMICO]],MAQUINARIA!B:H,7,0), " MAQ")</f>
        <v>INACTIVA</v>
      </c>
      <c r="H1248" s="362" t="s">
        <v>1345</v>
      </c>
      <c r="I1248" s="363" t="s">
        <v>553</v>
      </c>
      <c r="J1248" s="358" t="s">
        <v>546</v>
      </c>
      <c r="K1248" s="358">
        <v>2</v>
      </c>
      <c r="L1248" s="364">
        <v>31.5</v>
      </c>
      <c r="M1248" s="364">
        <f t="shared" si="23"/>
        <v>63</v>
      </c>
      <c r="N1248" s="41" t="s">
        <v>1990</v>
      </c>
      <c r="O1248" s="358"/>
      <c r="P1248" s="365">
        <f>Tabla3[[#This Row],[COSTO UNITARIO DOLARES EN HAWTHORNE]]*Tabla3[[#This Row],[CANTIDAD SOLICTADA]]</f>
        <v>0</v>
      </c>
      <c r="Q1248" s="41"/>
      <c r="R1248" s="229"/>
      <c r="S1248" s="229">
        <f>+Tabla3[[#This Row],[COSTO UNITARIO DOLARES CTP]]*Tabla3[[#This Row],[CANTIDAD SOLICTADA]]</f>
        <v>0</v>
      </c>
      <c r="T1248" s="41"/>
      <c r="U1248" s="358" t="s">
        <v>5</v>
      </c>
      <c r="V1248" s="360" t="s">
        <v>1993</v>
      </c>
      <c r="W1248" s="366"/>
      <c r="X1248" s="359"/>
      <c r="Y1248" s="358"/>
      <c r="Z1248" s="360"/>
      <c r="AA1248" s="360"/>
      <c r="AB1248" s="360"/>
      <c r="AC1248" s="360"/>
      <c r="AD1248" s="360"/>
      <c r="AE1248" s="360"/>
      <c r="AF1248" s="16"/>
      <c r="AG1248" s="367" t="s">
        <v>1992</v>
      </c>
    </row>
    <row r="1249" spans="1:33" ht="15.75" thickBot="1" x14ac:dyDescent="0.3">
      <c r="A1249" s="356">
        <v>145</v>
      </c>
      <c r="B1249" s="357">
        <v>46210</v>
      </c>
      <c r="C1249" s="358" t="s">
        <v>87</v>
      </c>
      <c r="D1249" s="359"/>
      <c r="E1249" s="360"/>
      <c r="F1249" s="361"/>
      <c r="G1249" s="213" t="str">
        <f>IFERROR(VLOOKUP(Tabla3[[#This Row],[NUM ECONOMICO]],MAQUINARIA!B:H,7,0), " MAQ")</f>
        <v>INACTIVA</v>
      </c>
      <c r="H1249" s="362" t="s">
        <v>1345</v>
      </c>
      <c r="I1249" s="363" t="s">
        <v>1905</v>
      </c>
      <c r="J1249" s="358" t="s">
        <v>1974</v>
      </c>
      <c r="K1249" s="358">
        <v>5</v>
      </c>
      <c r="L1249" s="364">
        <v>184.55</v>
      </c>
      <c r="M1249" s="364">
        <f t="shared" si="23"/>
        <v>922.75</v>
      </c>
      <c r="N1249" s="41" t="s">
        <v>1990</v>
      </c>
      <c r="O1249" s="358"/>
      <c r="P1249" s="365">
        <f>Tabla3[[#This Row],[COSTO UNITARIO DOLARES EN HAWTHORNE]]*Tabla3[[#This Row],[CANTIDAD SOLICTADA]]</f>
        <v>0</v>
      </c>
      <c r="Q1249" s="41"/>
      <c r="R1249" s="229"/>
      <c r="S1249" s="229">
        <f>+Tabla3[[#This Row],[COSTO UNITARIO DOLARES CTP]]*Tabla3[[#This Row],[CANTIDAD SOLICTADA]]</f>
        <v>0</v>
      </c>
      <c r="T1249" s="41"/>
      <c r="U1249" s="358" t="s">
        <v>5</v>
      </c>
      <c r="V1249" s="360" t="s">
        <v>1993</v>
      </c>
      <c r="W1249" s="366"/>
      <c r="X1249" s="359"/>
      <c r="Y1249" s="358"/>
      <c r="Z1249" s="360"/>
      <c r="AA1249" s="360"/>
      <c r="AB1249" s="360"/>
      <c r="AC1249" s="360"/>
      <c r="AD1249" s="360"/>
      <c r="AE1249" s="360"/>
      <c r="AF1249" s="16"/>
      <c r="AG1249" s="367" t="s">
        <v>1992</v>
      </c>
    </row>
    <row r="1250" spans="1:33" ht="15.75" thickBot="1" x14ac:dyDescent="0.3">
      <c r="A1250" s="356">
        <v>145</v>
      </c>
      <c r="B1250" s="357">
        <v>46210</v>
      </c>
      <c r="C1250" s="358" t="s">
        <v>87</v>
      </c>
      <c r="D1250" s="359"/>
      <c r="E1250" s="360"/>
      <c r="F1250" s="361"/>
      <c r="G1250" s="213" t="str">
        <f>IFERROR(VLOOKUP(Tabla3[[#This Row],[NUM ECONOMICO]],MAQUINARIA!B:H,7,0), " MAQ")</f>
        <v>INACTIVA</v>
      </c>
      <c r="H1250" s="362" t="s">
        <v>1345</v>
      </c>
      <c r="I1250" s="363" t="s">
        <v>1906</v>
      </c>
      <c r="J1250" s="358" t="s">
        <v>220</v>
      </c>
      <c r="K1250" s="358">
        <v>1</v>
      </c>
      <c r="L1250" s="364">
        <v>100.42</v>
      </c>
      <c r="M1250" s="364">
        <f t="shared" si="23"/>
        <v>100.42</v>
      </c>
      <c r="N1250" s="41" t="s">
        <v>1990</v>
      </c>
      <c r="O1250" s="358"/>
      <c r="P1250" s="365">
        <f>Tabla3[[#This Row],[COSTO UNITARIO DOLARES EN HAWTHORNE]]*Tabla3[[#This Row],[CANTIDAD SOLICTADA]]</f>
        <v>0</v>
      </c>
      <c r="Q1250" s="41"/>
      <c r="R1250" s="229"/>
      <c r="S1250" s="229">
        <f>+Tabla3[[#This Row],[COSTO UNITARIO DOLARES CTP]]*Tabla3[[#This Row],[CANTIDAD SOLICTADA]]</f>
        <v>0</v>
      </c>
      <c r="T1250" s="41"/>
      <c r="U1250" s="358" t="s">
        <v>5</v>
      </c>
      <c r="V1250" s="360" t="s">
        <v>1993</v>
      </c>
      <c r="W1250" s="366"/>
      <c r="X1250" s="359"/>
      <c r="Y1250" s="358"/>
      <c r="Z1250" s="360"/>
      <c r="AA1250" s="360"/>
      <c r="AB1250" s="360"/>
      <c r="AC1250" s="360"/>
      <c r="AD1250" s="360"/>
      <c r="AE1250" s="360"/>
      <c r="AF1250" s="16"/>
      <c r="AG1250" s="367" t="s">
        <v>1992</v>
      </c>
    </row>
    <row r="1251" spans="1:33" ht="15.75" thickBot="1" x14ac:dyDescent="0.3">
      <c r="A1251" s="356">
        <v>145</v>
      </c>
      <c r="B1251" s="357">
        <v>46210</v>
      </c>
      <c r="C1251" s="358" t="s">
        <v>87</v>
      </c>
      <c r="D1251" s="359"/>
      <c r="E1251" s="360"/>
      <c r="F1251" s="361"/>
      <c r="G1251" s="213" t="str">
        <f>IFERROR(VLOOKUP(Tabla3[[#This Row],[NUM ECONOMICO]],MAQUINARIA!B:H,7,0), " MAQ")</f>
        <v>INACTIVA</v>
      </c>
      <c r="H1251" s="362" t="s">
        <v>1345</v>
      </c>
      <c r="I1251" s="363" t="s">
        <v>1907</v>
      </c>
      <c r="J1251" s="358" t="s">
        <v>1961</v>
      </c>
      <c r="K1251" s="358">
        <v>1</v>
      </c>
      <c r="L1251" s="364">
        <v>210.33</v>
      </c>
      <c r="M1251" s="364">
        <f t="shared" si="23"/>
        <v>210.33</v>
      </c>
      <c r="N1251" s="41" t="s">
        <v>1990</v>
      </c>
      <c r="O1251" s="358"/>
      <c r="P1251" s="365">
        <f>Tabla3[[#This Row],[COSTO UNITARIO DOLARES EN HAWTHORNE]]*Tabla3[[#This Row],[CANTIDAD SOLICTADA]]</f>
        <v>0</v>
      </c>
      <c r="Q1251" s="41"/>
      <c r="R1251" s="229"/>
      <c r="S1251" s="229">
        <f>+Tabla3[[#This Row],[COSTO UNITARIO DOLARES CTP]]*Tabla3[[#This Row],[CANTIDAD SOLICTADA]]</f>
        <v>0</v>
      </c>
      <c r="T1251" s="41"/>
      <c r="U1251" s="358" t="s">
        <v>5</v>
      </c>
      <c r="V1251" s="360" t="s">
        <v>1993</v>
      </c>
      <c r="W1251" s="366"/>
      <c r="X1251" s="359"/>
      <c r="Y1251" s="358"/>
      <c r="Z1251" s="360"/>
      <c r="AA1251" s="360"/>
      <c r="AB1251" s="360"/>
      <c r="AC1251" s="360"/>
      <c r="AD1251" s="360"/>
      <c r="AE1251" s="360"/>
      <c r="AF1251" s="16"/>
      <c r="AG1251" s="367" t="s">
        <v>1992</v>
      </c>
    </row>
    <row r="1252" spans="1:33" ht="15.75" thickBot="1" x14ac:dyDescent="0.3">
      <c r="A1252" s="356">
        <v>145</v>
      </c>
      <c r="B1252" s="357">
        <v>46210</v>
      </c>
      <c r="C1252" s="358" t="s">
        <v>87</v>
      </c>
      <c r="D1252" s="359"/>
      <c r="E1252" s="360"/>
      <c r="F1252" s="361"/>
      <c r="G1252" s="213" t="str">
        <f>IFERROR(VLOOKUP(Tabla3[[#This Row],[NUM ECONOMICO]],MAQUINARIA!B:H,7,0), " MAQ")</f>
        <v>INACTIVA</v>
      </c>
      <c r="H1252" s="362" t="s">
        <v>1345</v>
      </c>
      <c r="I1252" s="363" t="s">
        <v>1054</v>
      </c>
      <c r="J1252" s="358" t="s">
        <v>1961</v>
      </c>
      <c r="K1252" s="358">
        <v>2</v>
      </c>
      <c r="L1252" s="364">
        <v>60.14</v>
      </c>
      <c r="M1252" s="364">
        <f t="shared" si="23"/>
        <v>120.28</v>
      </c>
      <c r="N1252" s="41" t="s">
        <v>1990</v>
      </c>
      <c r="O1252" s="358"/>
      <c r="P1252" s="365">
        <f>Tabla3[[#This Row],[COSTO UNITARIO DOLARES EN HAWTHORNE]]*Tabla3[[#This Row],[CANTIDAD SOLICTADA]]</f>
        <v>0</v>
      </c>
      <c r="Q1252" s="41"/>
      <c r="R1252" s="229"/>
      <c r="S1252" s="229">
        <f>+Tabla3[[#This Row],[COSTO UNITARIO DOLARES CTP]]*Tabla3[[#This Row],[CANTIDAD SOLICTADA]]</f>
        <v>0</v>
      </c>
      <c r="T1252" s="41"/>
      <c r="U1252" s="358" t="s">
        <v>5</v>
      </c>
      <c r="V1252" s="360" t="s">
        <v>1993</v>
      </c>
      <c r="W1252" s="366"/>
      <c r="X1252" s="359"/>
      <c r="Y1252" s="358"/>
      <c r="Z1252" s="360"/>
      <c r="AA1252" s="360"/>
      <c r="AB1252" s="360"/>
      <c r="AC1252" s="360"/>
      <c r="AD1252" s="360"/>
      <c r="AE1252" s="360"/>
      <c r="AF1252" s="16"/>
      <c r="AG1252" s="367" t="s">
        <v>1992</v>
      </c>
    </row>
    <row r="1253" spans="1:33" ht="15.75" thickBot="1" x14ac:dyDescent="0.3">
      <c r="A1253" s="356">
        <v>145</v>
      </c>
      <c r="B1253" s="357">
        <v>46210</v>
      </c>
      <c r="C1253" s="358" t="s">
        <v>87</v>
      </c>
      <c r="D1253" s="359"/>
      <c r="E1253" s="360"/>
      <c r="F1253" s="361"/>
      <c r="G1253" s="213" t="str">
        <f>IFERROR(VLOOKUP(Tabla3[[#This Row],[NUM ECONOMICO]],MAQUINARIA!B:H,7,0), " MAQ")</f>
        <v>INACTIVA</v>
      </c>
      <c r="H1253" s="362" t="s">
        <v>1345</v>
      </c>
      <c r="I1253" s="363" t="s">
        <v>1908</v>
      </c>
      <c r="J1253" s="358" t="s">
        <v>1961</v>
      </c>
      <c r="K1253" s="358">
        <v>3</v>
      </c>
      <c r="L1253" s="364">
        <v>97.73</v>
      </c>
      <c r="M1253" s="364">
        <f t="shared" si="23"/>
        <v>293.19</v>
      </c>
      <c r="N1253" s="41" t="s">
        <v>1990</v>
      </c>
      <c r="O1253" s="358"/>
      <c r="P1253" s="365">
        <f>Tabla3[[#This Row],[COSTO UNITARIO DOLARES EN HAWTHORNE]]*Tabla3[[#This Row],[CANTIDAD SOLICTADA]]</f>
        <v>0</v>
      </c>
      <c r="Q1253" s="41"/>
      <c r="R1253" s="229"/>
      <c r="S1253" s="229">
        <f>+Tabla3[[#This Row],[COSTO UNITARIO DOLARES CTP]]*Tabla3[[#This Row],[CANTIDAD SOLICTADA]]</f>
        <v>0</v>
      </c>
      <c r="T1253" s="41"/>
      <c r="U1253" s="358" t="s">
        <v>5</v>
      </c>
      <c r="V1253" s="360" t="s">
        <v>1993</v>
      </c>
      <c r="W1253" s="366"/>
      <c r="X1253" s="359"/>
      <c r="Y1253" s="358"/>
      <c r="Z1253" s="360"/>
      <c r="AA1253" s="360"/>
      <c r="AB1253" s="360"/>
      <c r="AC1253" s="360"/>
      <c r="AD1253" s="360"/>
      <c r="AE1253" s="360"/>
      <c r="AF1253" s="16"/>
      <c r="AG1253" s="367" t="s">
        <v>1992</v>
      </c>
    </row>
    <row r="1254" spans="1:33" ht="15.75" thickBot="1" x14ac:dyDescent="0.3">
      <c r="A1254" s="356">
        <v>145</v>
      </c>
      <c r="B1254" s="357">
        <v>46210</v>
      </c>
      <c r="C1254" s="358" t="s">
        <v>87</v>
      </c>
      <c r="D1254" s="359"/>
      <c r="E1254" s="360"/>
      <c r="F1254" s="361"/>
      <c r="G1254" s="213" t="str">
        <f>IFERROR(VLOOKUP(Tabla3[[#This Row],[NUM ECONOMICO]],MAQUINARIA!B:H,7,0), " MAQ")</f>
        <v>INACTIVA</v>
      </c>
      <c r="H1254" s="362" t="s">
        <v>1345</v>
      </c>
      <c r="I1254" s="363" t="s">
        <v>1909</v>
      </c>
      <c r="J1254" s="358" t="s">
        <v>546</v>
      </c>
      <c r="K1254" s="358">
        <v>7</v>
      </c>
      <c r="L1254" s="364">
        <v>54.77</v>
      </c>
      <c r="M1254" s="364">
        <f t="shared" si="23"/>
        <v>383.39000000000004</v>
      </c>
      <c r="N1254" s="41" t="s">
        <v>1990</v>
      </c>
      <c r="O1254" s="358"/>
      <c r="P1254" s="365">
        <f>Tabla3[[#This Row],[COSTO UNITARIO DOLARES EN HAWTHORNE]]*Tabla3[[#This Row],[CANTIDAD SOLICTADA]]</f>
        <v>0</v>
      </c>
      <c r="Q1254" s="41"/>
      <c r="R1254" s="229"/>
      <c r="S1254" s="229">
        <f>+Tabla3[[#This Row],[COSTO UNITARIO DOLARES CTP]]*Tabla3[[#This Row],[CANTIDAD SOLICTADA]]</f>
        <v>0</v>
      </c>
      <c r="T1254" s="41"/>
      <c r="U1254" s="358" t="s">
        <v>5</v>
      </c>
      <c r="V1254" s="360" t="s">
        <v>1993</v>
      </c>
      <c r="W1254" s="366"/>
      <c r="X1254" s="359"/>
      <c r="Y1254" s="358"/>
      <c r="Z1254" s="360"/>
      <c r="AA1254" s="360"/>
      <c r="AB1254" s="360"/>
      <c r="AC1254" s="360"/>
      <c r="AD1254" s="360"/>
      <c r="AE1254" s="360"/>
      <c r="AF1254" s="16"/>
      <c r="AG1254" s="367" t="s">
        <v>1992</v>
      </c>
    </row>
    <row r="1255" spans="1:33" ht="15.75" thickBot="1" x14ac:dyDescent="0.3">
      <c r="A1255" s="356">
        <v>145</v>
      </c>
      <c r="B1255" s="357">
        <v>46210</v>
      </c>
      <c r="C1255" s="358" t="s">
        <v>87</v>
      </c>
      <c r="D1255" s="359"/>
      <c r="E1255" s="360"/>
      <c r="F1255" s="361"/>
      <c r="G1255" s="213" t="str">
        <f>IFERROR(VLOOKUP(Tabla3[[#This Row],[NUM ECONOMICO]],MAQUINARIA!B:H,7,0), " MAQ")</f>
        <v>INACTIVA</v>
      </c>
      <c r="H1255" s="362" t="s">
        <v>1345</v>
      </c>
      <c r="I1255" s="363" t="s">
        <v>1910</v>
      </c>
      <c r="J1255" s="358" t="s">
        <v>546</v>
      </c>
      <c r="K1255" s="358">
        <v>8</v>
      </c>
      <c r="L1255" s="364">
        <v>43.14</v>
      </c>
      <c r="M1255" s="364">
        <f t="shared" si="23"/>
        <v>345.12</v>
      </c>
      <c r="N1255" s="41" t="s">
        <v>1990</v>
      </c>
      <c r="O1255" s="358"/>
      <c r="P1255" s="365">
        <f>Tabla3[[#This Row],[COSTO UNITARIO DOLARES EN HAWTHORNE]]*Tabla3[[#This Row],[CANTIDAD SOLICTADA]]</f>
        <v>0</v>
      </c>
      <c r="Q1255" s="41"/>
      <c r="R1255" s="229"/>
      <c r="S1255" s="229">
        <f>+Tabla3[[#This Row],[COSTO UNITARIO DOLARES CTP]]*Tabla3[[#This Row],[CANTIDAD SOLICTADA]]</f>
        <v>0</v>
      </c>
      <c r="T1255" s="41"/>
      <c r="U1255" s="358" t="s">
        <v>5</v>
      </c>
      <c r="V1255" s="360" t="s">
        <v>1993</v>
      </c>
      <c r="W1255" s="366"/>
      <c r="X1255" s="359"/>
      <c r="Y1255" s="358"/>
      <c r="Z1255" s="360"/>
      <c r="AA1255" s="360"/>
      <c r="AB1255" s="360"/>
      <c r="AC1255" s="360"/>
      <c r="AD1255" s="360"/>
      <c r="AE1255" s="360"/>
      <c r="AF1255" s="16"/>
      <c r="AG1255" s="367" t="s">
        <v>1992</v>
      </c>
    </row>
    <row r="1256" spans="1:33" ht="15.75" thickBot="1" x14ac:dyDescent="0.3">
      <c r="A1256" s="356">
        <v>145</v>
      </c>
      <c r="B1256" s="357">
        <v>46210</v>
      </c>
      <c r="C1256" s="358" t="s">
        <v>87</v>
      </c>
      <c r="D1256" s="359"/>
      <c r="E1256" s="360"/>
      <c r="F1256" s="361"/>
      <c r="G1256" s="213" t="str">
        <f>IFERROR(VLOOKUP(Tabla3[[#This Row],[NUM ECONOMICO]],MAQUINARIA!B:H,7,0), " MAQ")</f>
        <v>INACTIVA</v>
      </c>
      <c r="H1256" s="362" t="s">
        <v>1345</v>
      </c>
      <c r="I1256" s="363" t="s">
        <v>1911</v>
      </c>
      <c r="J1256" s="358" t="s">
        <v>1962</v>
      </c>
      <c r="K1256" s="358">
        <v>6</v>
      </c>
      <c r="L1256" s="364">
        <v>76.069999999999993</v>
      </c>
      <c r="M1256" s="364">
        <f t="shared" si="23"/>
        <v>456.41999999999996</v>
      </c>
      <c r="N1256" s="41" t="s">
        <v>1990</v>
      </c>
      <c r="O1256" s="358"/>
      <c r="P1256" s="365">
        <f>Tabla3[[#This Row],[COSTO UNITARIO DOLARES EN HAWTHORNE]]*Tabla3[[#This Row],[CANTIDAD SOLICTADA]]</f>
        <v>0</v>
      </c>
      <c r="Q1256" s="41"/>
      <c r="R1256" s="229"/>
      <c r="S1256" s="229">
        <f>+Tabla3[[#This Row],[COSTO UNITARIO DOLARES CTP]]*Tabla3[[#This Row],[CANTIDAD SOLICTADA]]</f>
        <v>0</v>
      </c>
      <c r="T1256" s="41"/>
      <c r="U1256" s="358" t="s">
        <v>5</v>
      </c>
      <c r="V1256" s="360" t="s">
        <v>1993</v>
      </c>
      <c r="W1256" s="366"/>
      <c r="X1256" s="359"/>
      <c r="Y1256" s="358"/>
      <c r="Z1256" s="360"/>
      <c r="AA1256" s="360"/>
      <c r="AB1256" s="360"/>
      <c r="AC1256" s="360"/>
      <c r="AD1256" s="360"/>
      <c r="AE1256" s="360"/>
      <c r="AF1256" s="16"/>
      <c r="AG1256" s="367" t="s">
        <v>1992</v>
      </c>
    </row>
    <row r="1257" spans="1:33" ht="15.75" thickBot="1" x14ac:dyDescent="0.3">
      <c r="A1257" s="356">
        <v>145</v>
      </c>
      <c r="B1257" s="357">
        <v>46210</v>
      </c>
      <c r="C1257" s="358" t="s">
        <v>87</v>
      </c>
      <c r="D1257" s="359"/>
      <c r="E1257" s="360"/>
      <c r="F1257" s="361"/>
      <c r="G1257" s="213" t="str">
        <f>IFERROR(VLOOKUP(Tabla3[[#This Row],[NUM ECONOMICO]],MAQUINARIA!B:H,7,0), " MAQ")</f>
        <v>INACTIVA</v>
      </c>
      <c r="H1257" s="362" t="s">
        <v>1345</v>
      </c>
      <c r="I1257" s="363" t="s">
        <v>1912</v>
      </c>
      <c r="J1257" s="358" t="s">
        <v>1961</v>
      </c>
      <c r="K1257" s="358">
        <v>1</v>
      </c>
      <c r="L1257" s="364">
        <v>96.3</v>
      </c>
      <c r="M1257" s="364">
        <f t="shared" si="23"/>
        <v>96.3</v>
      </c>
      <c r="N1257" s="41" t="s">
        <v>1990</v>
      </c>
      <c r="O1257" s="358"/>
      <c r="P1257" s="365">
        <f>Tabla3[[#This Row],[COSTO UNITARIO DOLARES EN HAWTHORNE]]*Tabla3[[#This Row],[CANTIDAD SOLICTADA]]</f>
        <v>0</v>
      </c>
      <c r="Q1257" s="41"/>
      <c r="R1257" s="229"/>
      <c r="S1257" s="229">
        <f>+Tabla3[[#This Row],[COSTO UNITARIO DOLARES CTP]]*Tabla3[[#This Row],[CANTIDAD SOLICTADA]]</f>
        <v>0</v>
      </c>
      <c r="T1257" s="41"/>
      <c r="U1257" s="358" t="s">
        <v>5</v>
      </c>
      <c r="V1257" s="360" t="s">
        <v>1993</v>
      </c>
      <c r="W1257" s="366"/>
      <c r="X1257" s="359"/>
      <c r="Y1257" s="358"/>
      <c r="Z1257" s="360"/>
      <c r="AA1257" s="360"/>
      <c r="AB1257" s="360"/>
      <c r="AC1257" s="360"/>
      <c r="AD1257" s="360"/>
      <c r="AE1257" s="360"/>
      <c r="AF1257" s="16"/>
      <c r="AG1257" s="367" t="s">
        <v>1992</v>
      </c>
    </row>
    <row r="1258" spans="1:33" ht="15.75" thickBot="1" x14ac:dyDescent="0.3">
      <c r="A1258" s="356">
        <v>145</v>
      </c>
      <c r="B1258" s="357">
        <v>46210</v>
      </c>
      <c r="C1258" s="358" t="s">
        <v>87</v>
      </c>
      <c r="D1258" s="359"/>
      <c r="E1258" s="360"/>
      <c r="F1258" s="361"/>
      <c r="G1258" s="213" t="str">
        <f>IFERROR(VLOOKUP(Tabla3[[#This Row],[NUM ECONOMICO]],MAQUINARIA!B:H,7,0), " MAQ")</f>
        <v>INACTIVA</v>
      </c>
      <c r="H1258" s="362" t="s">
        <v>1345</v>
      </c>
      <c r="I1258" s="363" t="s">
        <v>1913</v>
      </c>
      <c r="J1258" s="358" t="s">
        <v>220</v>
      </c>
      <c r="K1258" s="358">
        <v>2</v>
      </c>
      <c r="L1258" s="364">
        <v>27.57</v>
      </c>
      <c r="M1258" s="364">
        <f t="shared" si="23"/>
        <v>55.14</v>
      </c>
      <c r="N1258" s="41" t="s">
        <v>1990</v>
      </c>
      <c r="O1258" s="358"/>
      <c r="P1258" s="365">
        <f>Tabla3[[#This Row],[COSTO UNITARIO DOLARES EN HAWTHORNE]]*Tabla3[[#This Row],[CANTIDAD SOLICTADA]]</f>
        <v>0</v>
      </c>
      <c r="Q1258" s="41"/>
      <c r="R1258" s="229"/>
      <c r="S1258" s="229">
        <f>+Tabla3[[#This Row],[COSTO UNITARIO DOLARES CTP]]*Tabla3[[#This Row],[CANTIDAD SOLICTADA]]</f>
        <v>0</v>
      </c>
      <c r="T1258" s="41"/>
      <c r="U1258" s="358" t="s">
        <v>5</v>
      </c>
      <c r="V1258" s="360" t="s">
        <v>1993</v>
      </c>
      <c r="W1258" s="366"/>
      <c r="X1258" s="359"/>
      <c r="Y1258" s="358"/>
      <c r="Z1258" s="360"/>
      <c r="AA1258" s="360"/>
      <c r="AB1258" s="360"/>
      <c r="AC1258" s="360"/>
      <c r="AD1258" s="360"/>
      <c r="AE1258" s="360"/>
      <c r="AF1258" s="16"/>
      <c r="AG1258" s="367" t="s">
        <v>1992</v>
      </c>
    </row>
    <row r="1259" spans="1:33" ht="15.75" thickBot="1" x14ac:dyDescent="0.3">
      <c r="A1259" s="356">
        <v>145</v>
      </c>
      <c r="B1259" s="357">
        <v>46210</v>
      </c>
      <c r="C1259" s="358" t="s">
        <v>87</v>
      </c>
      <c r="D1259" s="359"/>
      <c r="E1259" s="360"/>
      <c r="F1259" s="361"/>
      <c r="G1259" s="213" t="str">
        <f>IFERROR(VLOOKUP(Tabla3[[#This Row],[NUM ECONOMICO]],MAQUINARIA!B:H,7,0), " MAQ")</f>
        <v>INACTIVA</v>
      </c>
      <c r="H1259" s="362" t="s">
        <v>1345</v>
      </c>
      <c r="I1259" s="363" t="s">
        <v>1057</v>
      </c>
      <c r="J1259" s="358" t="s">
        <v>1975</v>
      </c>
      <c r="K1259" s="358">
        <v>1</v>
      </c>
      <c r="L1259" s="364">
        <v>152.87</v>
      </c>
      <c r="M1259" s="364">
        <f t="shared" si="23"/>
        <v>152.87</v>
      </c>
      <c r="N1259" s="41" t="s">
        <v>1990</v>
      </c>
      <c r="O1259" s="358"/>
      <c r="P1259" s="365">
        <f>Tabla3[[#This Row],[COSTO UNITARIO DOLARES EN HAWTHORNE]]*Tabla3[[#This Row],[CANTIDAD SOLICTADA]]</f>
        <v>0</v>
      </c>
      <c r="Q1259" s="41"/>
      <c r="R1259" s="229"/>
      <c r="S1259" s="229">
        <f>+Tabla3[[#This Row],[COSTO UNITARIO DOLARES CTP]]*Tabla3[[#This Row],[CANTIDAD SOLICTADA]]</f>
        <v>0</v>
      </c>
      <c r="T1259" s="41"/>
      <c r="U1259" s="358" t="s">
        <v>5</v>
      </c>
      <c r="V1259" s="360" t="s">
        <v>1993</v>
      </c>
      <c r="W1259" s="366"/>
      <c r="X1259" s="359"/>
      <c r="Y1259" s="358"/>
      <c r="Z1259" s="360"/>
      <c r="AA1259" s="360"/>
      <c r="AB1259" s="360"/>
      <c r="AC1259" s="360"/>
      <c r="AD1259" s="360"/>
      <c r="AE1259" s="360"/>
      <c r="AF1259" s="16"/>
      <c r="AG1259" s="367" t="s">
        <v>1992</v>
      </c>
    </row>
    <row r="1260" spans="1:33" ht="15.75" thickBot="1" x14ac:dyDescent="0.3">
      <c r="A1260" s="356">
        <v>145</v>
      </c>
      <c r="B1260" s="357">
        <v>46210</v>
      </c>
      <c r="C1260" s="358" t="s">
        <v>87</v>
      </c>
      <c r="D1260" s="359"/>
      <c r="E1260" s="360"/>
      <c r="F1260" s="361"/>
      <c r="G1260" s="213" t="str">
        <f>IFERROR(VLOOKUP(Tabla3[[#This Row],[NUM ECONOMICO]],MAQUINARIA!B:H,7,0), " MAQ")</f>
        <v>INACTIVA</v>
      </c>
      <c r="H1260" s="362" t="s">
        <v>1345</v>
      </c>
      <c r="I1260" s="363" t="s">
        <v>1915</v>
      </c>
      <c r="J1260" s="358" t="s">
        <v>1961</v>
      </c>
      <c r="K1260" s="358">
        <v>1</v>
      </c>
      <c r="L1260" s="364">
        <v>279.24</v>
      </c>
      <c r="M1260" s="364">
        <f t="shared" si="23"/>
        <v>279.24</v>
      </c>
      <c r="N1260" s="41" t="s">
        <v>1990</v>
      </c>
      <c r="O1260" s="358"/>
      <c r="P1260" s="365">
        <f>Tabla3[[#This Row],[COSTO UNITARIO DOLARES EN HAWTHORNE]]*Tabla3[[#This Row],[CANTIDAD SOLICTADA]]</f>
        <v>0</v>
      </c>
      <c r="Q1260" s="41"/>
      <c r="R1260" s="229"/>
      <c r="S1260" s="229">
        <f>+Tabla3[[#This Row],[COSTO UNITARIO DOLARES CTP]]*Tabla3[[#This Row],[CANTIDAD SOLICTADA]]</f>
        <v>0</v>
      </c>
      <c r="T1260" s="41"/>
      <c r="U1260" s="358" t="s">
        <v>5</v>
      </c>
      <c r="V1260" s="360" t="s">
        <v>1993</v>
      </c>
      <c r="W1260" s="366"/>
      <c r="X1260" s="359"/>
      <c r="Y1260" s="358"/>
      <c r="Z1260" s="360"/>
      <c r="AA1260" s="360"/>
      <c r="AB1260" s="360"/>
      <c r="AC1260" s="360"/>
      <c r="AD1260" s="360"/>
      <c r="AE1260" s="360"/>
      <c r="AF1260" s="16"/>
      <c r="AG1260" s="367" t="s">
        <v>1992</v>
      </c>
    </row>
    <row r="1261" spans="1:33" ht="15.75" thickBot="1" x14ac:dyDescent="0.3">
      <c r="A1261" s="356">
        <v>145</v>
      </c>
      <c r="B1261" s="357">
        <v>46210</v>
      </c>
      <c r="C1261" s="358" t="s">
        <v>87</v>
      </c>
      <c r="D1261" s="359"/>
      <c r="E1261" s="360"/>
      <c r="F1261" s="361"/>
      <c r="G1261" s="213" t="str">
        <f>IFERROR(VLOOKUP(Tabla3[[#This Row],[NUM ECONOMICO]],MAQUINARIA!B:H,7,0), " MAQ")</f>
        <v>INACTIVA</v>
      </c>
      <c r="H1261" s="362" t="s">
        <v>1345</v>
      </c>
      <c r="I1261" s="363" t="s">
        <v>1916</v>
      </c>
      <c r="J1261" s="358" t="s">
        <v>1962</v>
      </c>
      <c r="K1261" s="358">
        <v>3</v>
      </c>
      <c r="L1261" s="364">
        <v>151.97</v>
      </c>
      <c r="M1261" s="364">
        <f t="shared" si="23"/>
        <v>455.90999999999997</v>
      </c>
      <c r="N1261" s="41" t="s">
        <v>1990</v>
      </c>
      <c r="O1261" s="358"/>
      <c r="P1261" s="365">
        <f>Tabla3[[#This Row],[COSTO UNITARIO DOLARES EN HAWTHORNE]]*Tabla3[[#This Row],[CANTIDAD SOLICTADA]]</f>
        <v>0</v>
      </c>
      <c r="Q1261" s="41"/>
      <c r="R1261" s="229"/>
      <c r="S1261" s="229">
        <f>+Tabla3[[#This Row],[COSTO UNITARIO DOLARES CTP]]*Tabla3[[#This Row],[CANTIDAD SOLICTADA]]</f>
        <v>0</v>
      </c>
      <c r="T1261" s="41"/>
      <c r="U1261" s="358" t="s">
        <v>5</v>
      </c>
      <c r="V1261" s="360" t="s">
        <v>1993</v>
      </c>
      <c r="W1261" s="366"/>
      <c r="X1261" s="359"/>
      <c r="Y1261" s="358"/>
      <c r="Z1261" s="360"/>
      <c r="AA1261" s="360"/>
      <c r="AB1261" s="360"/>
      <c r="AC1261" s="360"/>
      <c r="AD1261" s="360"/>
      <c r="AE1261" s="360"/>
      <c r="AF1261" s="16"/>
      <c r="AG1261" s="367" t="s">
        <v>1992</v>
      </c>
    </row>
    <row r="1262" spans="1:33" ht="15.75" thickBot="1" x14ac:dyDescent="0.3">
      <c r="A1262" s="356">
        <v>145</v>
      </c>
      <c r="B1262" s="357">
        <v>46210</v>
      </c>
      <c r="C1262" s="358" t="s">
        <v>87</v>
      </c>
      <c r="D1262" s="359"/>
      <c r="E1262" s="360"/>
      <c r="F1262" s="361"/>
      <c r="G1262" s="213" t="str">
        <f>IFERROR(VLOOKUP(Tabla3[[#This Row],[NUM ECONOMICO]],MAQUINARIA!B:H,7,0), " MAQ")</f>
        <v>INACTIVA</v>
      </c>
      <c r="H1262" s="362" t="s">
        <v>1345</v>
      </c>
      <c r="I1262" s="363" t="s">
        <v>1917</v>
      </c>
      <c r="J1262" s="358" t="s">
        <v>1961</v>
      </c>
      <c r="K1262" s="358">
        <v>1</v>
      </c>
      <c r="L1262" s="364">
        <v>177.39</v>
      </c>
      <c r="M1262" s="364">
        <f t="shared" si="23"/>
        <v>177.39</v>
      </c>
      <c r="N1262" s="41" t="s">
        <v>1990</v>
      </c>
      <c r="O1262" s="358"/>
      <c r="P1262" s="365">
        <f>Tabla3[[#This Row],[COSTO UNITARIO DOLARES EN HAWTHORNE]]*Tabla3[[#This Row],[CANTIDAD SOLICTADA]]</f>
        <v>0</v>
      </c>
      <c r="Q1262" s="41"/>
      <c r="R1262" s="229"/>
      <c r="S1262" s="229">
        <f>+Tabla3[[#This Row],[COSTO UNITARIO DOLARES CTP]]*Tabla3[[#This Row],[CANTIDAD SOLICTADA]]</f>
        <v>0</v>
      </c>
      <c r="T1262" s="41"/>
      <c r="U1262" s="358" t="s">
        <v>5</v>
      </c>
      <c r="V1262" s="360" t="s">
        <v>1993</v>
      </c>
      <c r="W1262" s="366"/>
      <c r="X1262" s="359"/>
      <c r="Y1262" s="358"/>
      <c r="Z1262" s="360"/>
      <c r="AA1262" s="360"/>
      <c r="AB1262" s="360"/>
      <c r="AC1262" s="360"/>
      <c r="AD1262" s="360"/>
      <c r="AE1262" s="360"/>
      <c r="AF1262" s="16"/>
      <c r="AG1262" s="367" t="s">
        <v>1992</v>
      </c>
    </row>
    <row r="1263" spans="1:33" ht="15.75" thickBot="1" x14ac:dyDescent="0.3">
      <c r="A1263" s="356">
        <v>145</v>
      </c>
      <c r="B1263" s="357">
        <v>46210</v>
      </c>
      <c r="C1263" s="358" t="s">
        <v>87</v>
      </c>
      <c r="D1263" s="359"/>
      <c r="E1263" s="360"/>
      <c r="F1263" s="361"/>
      <c r="G1263" s="213" t="str">
        <f>IFERROR(VLOOKUP(Tabla3[[#This Row],[NUM ECONOMICO]],MAQUINARIA!B:H,7,0), " MAQ")</f>
        <v>INACTIVA</v>
      </c>
      <c r="H1263" s="362" t="s">
        <v>1345</v>
      </c>
      <c r="I1263" s="363" t="s">
        <v>555</v>
      </c>
      <c r="J1263" s="358" t="s">
        <v>1961</v>
      </c>
      <c r="K1263" s="358">
        <v>1</v>
      </c>
      <c r="L1263" s="364">
        <v>51.91</v>
      </c>
      <c r="M1263" s="364">
        <f t="shared" si="23"/>
        <v>51.91</v>
      </c>
      <c r="N1263" s="41" t="s">
        <v>1990</v>
      </c>
      <c r="O1263" s="358"/>
      <c r="P1263" s="365">
        <f>Tabla3[[#This Row],[COSTO UNITARIO DOLARES EN HAWTHORNE]]*Tabla3[[#This Row],[CANTIDAD SOLICTADA]]</f>
        <v>0</v>
      </c>
      <c r="Q1263" s="41"/>
      <c r="R1263" s="229"/>
      <c r="S1263" s="229">
        <f>+Tabla3[[#This Row],[COSTO UNITARIO DOLARES CTP]]*Tabla3[[#This Row],[CANTIDAD SOLICTADA]]</f>
        <v>0</v>
      </c>
      <c r="T1263" s="41"/>
      <c r="U1263" s="358" t="s">
        <v>5</v>
      </c>
      <c r="V1263" s="360" t="s">
        <v>1993</v>
      </c>
      <c r="W1263" s="366"/>
      <c r="X1263" s="359"/>
      <c r="Y1263" s="358"/>
      <c r="Z1263" s="360"/>
      <c r="AA1263" s="360"/>
      <c r="AB1263" s="360"/>
      <c r="AC1263" s="360"/>
      <c r="AD1263" s="360"/>
      <c r="AE1263" s="360"/>
      <c r="AF1263" s="16"/>
      <c r="AG1263" s="367" t="s">
        <v>1992</v>
      </c>
    </row>
    <row r="1264" spans="1:33" ht="15.75" thickBot="1" x14ac:dyDescent="0.3">
      <c r="A1264" s="356">
        <v>145</v>
      </c>
      <c r="B1264" s="357">
        <v>46210</v>
      </c>
      <c r="C1264" s="358" t="s">
        <v>87</v>
      </c>
      <c r="D1264" s="359"/>
      <c r="E1264" s="360"/>
      <c r="F1264" s="361"/>
      <c r="G1264" s="213" t="str">
        <f>IFERROR(VLOOKUP(Tabla3[[#This Row],[NUM ECONOMICO]],MAQUINARIA!B:H,7,0), " MAQ")</f>
        <v>INACTIVA</v>
      </c>
      <c r="H1264" s="362" t="s">
        <v>1345</v>
      </c>
      <c r="I1264" s="363" t="s">
        <v>1918</v>
      </c>
      <c r="J1264" s="358" t="s">
        <v>1962</v>
      </c>
      <c r="K1264" s="358">
        <v>1</v>
      </c>
      <c r="L1264" s="364">
        <v>56.03</v>
      </c>
      <c r="M1264" s="364">
        <f t="shared" si="23"/>
        <v>56.03</v>
      </c>
      <c r="N1264" s="41" t="s">
        <v>1990</v>
      </c>
      <c r="O1264" s="358"/>
      <c r="P1264" s="365">
        <f>Tabla3[[#This Row],[COSTO UNITARIO DOLARES EN HAWTHORNE]]*Tabla3[[#This Row],[CANTIDAD SOLICTADA]]</f>
        <v>0</v>
      </c>
      <c r="Q1264" s="41"/>
      <c r="R1264" s="229"/>
      <c r="S1264" s="229">
        <f>+Tabla3[[#This Row],[COSTO UNITARIO DOLARES CTP]]*Tabla3[[#This Row],[CANTIDAD SOLICTADA]]</f>
        <v>0</v>
      </c>
      <c r="T1264" s="41"/>
      <c r="U1264" s="358" t="s">
        <v>5</v>
      </c>
      <c r="V1264" s="360" t="s">
        <v>1993</v>
      </c>
      <c r="W1264" s="366"/>
      <c r="X1264" s="359"/>
      <c r="Y1264" s="358"/>
      <c r="Z1264" s="360"/>
      <c r="AA1264" s="360"/>
      <c r="AB1264" s="360"/>
      <c r="AC1264" s="360"/>
      <c r="AD1264" s="360"/>
      <c r="AE1264" s="360"/>
      <c r="AF1264" s="16"/>
      <c r="AG1264" s="367" t="s">
        <v>1992</v>
      </c>
    </row>
    <row r="1265" spans="1:33" ht="15.75" thickBot="1" x14ac:dyDescent="0.3">
      <c r="A1265" s="356">
        <v>145</v>
      </c>
      <c r="B1265" s="357">
        <v>46210</v>
      </c>
      <c r="C1265" s="358" t="s">
        <v>87</v>
      </c>
      <c r="D1265" s="359"/>
      <c r="E1265" s="360"/>
      <c r="F1265" s="361"/>
      <c r="G1265" s="213" t="str">
        <f>IFERROR(VLOOKUP(Tabla3[[#This Row],[NUM ECONOMICO]],MAQUINARIA!B:H,7,0), " MAQ")</f>
        <v>INACTIVA</v>
      </c>
      <c r="H1265" s="362" t="s">
        <v>1345</v>
      </c>
      <c r="I1265" s="363" t="s">
        <v>1919</v>
      </c>
      <c r="J1265" s="358" t="s">
        <v>1961</v>
      </c>
      <c r="K1265" s="358">
        <v>4</v>
      </c>
      <c r="L1265" s="364">
        <v>70.709999999999994</v>
      </c>
      <c r="M1265" s="364">
        <f t="shared" si="23"/>
        <v>282.83999999999997</v>
      </c>
      <c r="N1265" s="41" t="s">
        <v>1990</v>
      </c>
      <c r="O1265" s="358"/>
      <c r="P1265" s="365">
        <f>Tabla3[[#This Row],[COSTO UNITARIO DOLARES EN HAWTHORNE]]*Tabla3[[#This Row],[CANTIDAD SOLICTADA]]</f>
        <v>0</v>
      </c>
      <c r="Q1265" s="41"/>
      <c r="R1265" s="229"/>
      <c r="S1265" s="229">
        <f>+Tabla3[[#This Row],[COSTO UNITARIO DOLARES CTP]]*Tabla3[[#This Row],[CANTIDAD SOLICTADA]]</f>
        <v>0</v>
      </c>
      <c r="T1265" s="41"/>
      <c r="U1265" s="358" t="s">
        <v>5</v>
      </c>
      <c r="V1265" s="360" t="s">
        <v>1993</v>
      </c>
      <c r="W1265" s="366"/>
      <c r="X1265" s="359"/>
      <c r="Y1265" s="358"/>
      <c r="Z1265" s="360"/>
      <c r="AA1265" s="360"/>
      <c r="AB1265" s="360"/>
      <c r="AC1265" s="360"/>
      <c r="AD1265" s="360"/>
      <c r="AE1265" s="360"/>
      <c r="AF1265" s="16"/>
      <c r="AG1265" s="367" t="s">
        <v>1992</v>
      </c>
    </row>
    <row r="1266" spans="1:33" ht="15.75" thickBot="1" x14ac:dyDescent="0.3">
      <c r="A1266" s="356">
        <v>145</v>
      </c>
      <c r="B1266" s="357">
        <v>46210</v>
      </c>
      <c r="C1266" s="358" t="s">
        <v>87</v>
      </c>
      <c r="D1266" s="359"/>
      <c r="E1266" s="360"/>
      <c r="F1266" s="361"/>
      <c r="G1266" s="213" t="str">
        <f>IFERROR(VLOOKUP(Tabla3[[#This Row],[NUM ECONOMICO]],MAQUINARIA!B:H,7,0), " MAQ")</f>
        <v>INACTIVA</v>
      </c>
      <c r="H1266" s="362" t="s">
        <v>1345</v>
      </c>
      <c r="I1266" s="363" t="s">
        <v>1920</v>
      </c>
      <c r="J1266" s="358" t="s">
        <v>220</v>
      </c>
      <c r="K1266" s="358">
        <v>5</v>
      </c>
      <c r="L1266" s="364">
        <v>108.47</v>
      </c>
      <c r="M1266" s="364">
        <f t="shared" si="23"/>
        <v>542.35</v>
      </c>
      <c r="N1266" s="41" t="s">
        <v>1990</v>
      </c>
      <c r="O1266" s="358"/>
      <c r="P1266" s="365">
        <f>Tabla3[[#This Row],[COSTO UNITARIO DOLARES EN HAWTHORNE]]*Tabla3[[#This Row],[CANTIDAD SOLICTADA]]</f>
        <v>0</v>
      </c>
      <c r="Q1266" s="41"/>
      <c r="R1266" s="229"/>
      <c r="S1266" s="229">
        <f>+Tabla3[[#This Row],[COSTO UNITARIO DOLARES CTP]]*Tabla3[[#This Row],[CANTIDAD SOLICTADA]]</f>
        <v>0</v>
      </c>
      <c r="T1266" s="41"/>
      <c r="U1266" s="358" t="s">
        <v>5</v>
      </c>
      <c r="V1266" s="360" t="s">
        <v>1993</v>
      </c>
      <c r="W1266" s="366"/>
      <c r="X1266" s="359"/>
      <c r="Y1266" s="358"/>
      <c r="Z1266" s="360"/>
      <c r="AA1266" s="360"/>
      <c r="AB1266" s="360"/>
      <c r="AC1266" s="360"/>
      <c r="AD1266" s="360"/>
      <c r="AE1266" s="360"/>
      <c r="AF1266" s="16"/>
      <c r="AG1266" s="367" t="s">
        <v>1992</v>
      </c>
    </row>
    <row r="1267" spans="1:33" ht="15.75" thickBot="1" x14ac:dyDescent="0.3">
      <c r="A1267" s="356">
        <v>145</v>
      </c>
      <c r="B1267" s="357">
        <v>46210</v>
      </c>
      <c r="C1267" s="358" t="s">
        <v>87</v>
      </c>
      <c r="D1267" s="359"/>
      <c r="E1267" s="360"/>
      <c r="F1267" s="361"/>
      <c r="G1267" s="213" t="str">
        <f>IFERROR(VLOOKUP(Tabla3[[#This Row],[NUM ECONOMICO]],MAQUINARIA!B:H,7,0), " MAQ")</f>
        <v>INACTIVA</v>
      </c>
      <c r="H1267" s="362" t="s">
        <v>1345</v>
      </c>
      <c r="I1267" s="363" t="s">
        <v>1921</v>
      </c>
      <c r="J1267" s="358" t="s">
        <v>546</v>
      </c>
      <c r="K1267" s="358">
        <v>1</v>
      </c>
      <c r="L1267" s="364">
        <v>1229.55</v>
      </c>
      <c r="M1267" s="364">
        <f t="shared" si="23"/>
        <v>1229.55</v>
      </c>
      <c r="N1267" s="41" t="s">
        <v>1990</v>
      </c>
      <c r="O1267" s="358"/>
      <c r="P1267" s="365">
        <f>Tabla3[[#This Row],[COSTO UNITARIO DOLARES EN HAWTHORNE]]*Tabla3[[#This Row],[CANTIDAD SOLICTADA]]</f>
        <v>0</v>
      </c>
      <c r="Q1267" s="41"/>
      <c r="R1267" s="229"/>
      <c r="S1267" s="229">
        <f>+Tabla3[[#This Row],[COSTO UNITARIO DOLARES CTP]]*Tabla3[[#This Row],[CANTIDAD SOLICTADA]]</f>
        <v>0</v>
      </c>
      <c r="T1267" s="41"/>
      <c r="U1267" s="358" t="s">
        <v>5</v>
      </c>
      <c r="V1267" s="360" t="s">
        <v>1993</v>
      </c>
      <c r="W1267" s="366"/>
      <c r="X1267" s="359"/>
      <c r="Y1267" s="358"/>
      <c r="Z1267" s="360"/>
      <c r="AA1267" s="360"/>
      <c r="AB1267" s="360"/>
      <c r="AC1267" s="360"/>
      <c r="AD1267" s="360"/>
      <c r="AE1267" s="360"/>
      <c r="AF1267" s="16"/>
      <c r="AG1267" s="367" t="s">
        <v>1992</v>
      </c>
    </row>
    <row r="1268" spans="1:33" ht="15.75" thickBot="1" x14ac:dyDescent="0.3">
      <c r="A1268" s="356">
        <v>145</v>
      </c>
      <c r="B1268" s="357">
        <v>46210</v>
      </c>
      <c r="C1268" s="358" t="s">
        <v>87</v>
      </c>
      <c r="D1268" s="359"/>
      <c r="E1268" s="360"/>
      <c r="F1268" s="361"/>
      <c r="G1268" s="213" t="str">
        <f>IFERROR(VLOOKUP(Tabla3[[#This Row],[NUM ECONOMICO]],MAQUINARIA!B:H,7,0), " MAQ")</f>
        <v>INACTIVA</v>
      </c>
      <c r="H1268" s="362" t="s">
        <v>1345</v>
      </c>
      <c r="I1268" s="363" t="s">
        <v>1922</v>
      </c>
      <c r="J1268" s="358" t="s">
        <v>506</v>
      </c>
      <c r="K1268" s="358">
        <v>1</v>
      </c>
      <c r="L1268" s="364">
        <v>8452.2000000000007</v>
      </c>
      <c r="M1268" s="364">
        <f t="shared" si="23"/>
        <v>8452.2000000000007</v>
      </c>
      <c r="N1268" s="41" t="s">
        <v>1990</v>
      </c>
      <c r="O1268" s="358"/>
      <c r="P1268" s="365">
        <f>Tabla3[[#This Row],[COSTO UNITARIO DOLARES EN HAWTHORNE]]*Tabla3[[#This Row],[CANTIDAD SOLICTADA]]</f>
        <v>0</v>
      </c>
      <c r="Q1268" s="41"/>
      <c r="R1268" s="229"/>
      <c r="S1268" s="229">
        <f>+Tabla3[[#This Row],[COSTO UNITARIO DOLARES CTP]]*Tabla3[[#This Row],[CANTIDAD SOLICTADA]]</f>
        <v>0</v>
      </c>
      <c r="T1268" s="41"/>
      <c r="U1268" s="358" t="s">
        <v>5</v>
      </c>
      <c r="V1268" s="360" t="s">
        <v>1993</v>
      </c>
      <c r="W1268" s="366"/>
      <c r="X1268" s="359"/>
      <c r="Y1268" s="358"/>
      <c r="Z1268" s="360"/>
      <c r="AA1268" s="360"/>
      <c r="AB1268" s="360"/>
      <c r="AC1268" s="360"/>
      <c r="AD1268" s="360"/>
      <c r="AE1268" s="360"/>
      <c r="AF1268" s="16"/>
      <c r="AG1268" s="367" t="s">
        <v>1992</v>
      </c>
    </row>
    <row r="1269" spans="1:33" ht="15.75" thickBot="1" x14ac:dyDescent="0.3">
      <c r="A1269" s="356">
        <v>145</v>
      </c>
      <c r="B1269" s="357">
        <v>46210</v>
      </c>
      <c r="C1269" s="358" t="s">
        <v>87</v>
      </c>
      <c r="D1269" s="359"/>
      <c r="E1269" s="360"/>
      <c r="F1269" s="361"/>
      <c r="G1269" s="213" t="str">
        <f>IFERROR(VLOOKUP(Tabla3[[#This Row],[NUM ECONOMICO]],MAQUINARIA!B:H,7,0), " MAQ")</f>
        <v>INACTIVA</v>
      </c>
      <c r="H1269" s="362" t="s">
        <v>1345</v>
      </c>
      <c r="I1269" s="363" t="s">
        <v>1923</v>
      </c>
      <c r="J1269" s="358" t="s">
        <v>1976</v>
      </c>
      <c r="K1269" s="358">
        <v>1</v>
      </c>
      <c r="L1269" s="364">
        <v>1310.46</v>
      </c>
      <c r="M1269" s="364">
        <f t="shared" si="23"/>
        <v>1310.46</v>
      </c>
      <c r="N1269" s="41" t="s">
        <v>1990</v>
      </c>
      <c r="O1269" s="358"/>
      <c r="P1269" s="365">
        <f>Tabla3[[#This Row],[COSTO UNITARIO DOLARES EN HAWTHORNE]]*Tabla3[[#This Row],[CANTIDAD SOLICTADA]]</f>
        <v>0</v>
      </c>
      <c r="Q1269" s="41"/>
      <c r="R1269" s="229"/>
      <c r="S1269" s="229">
        <f>+Tabla3[[#This Row],[COSTO UNITARIO DOLARES CTP]]*Tabla3[[#This Row],[CANTIDAD SOLICTADA]]</f>
        <v>0</v>
      </c>
      <c r="T1269" s="41"/>
      <c r="U1269" s="358" t="s">
        <v>5</v>
      </c>
      <c r="V1269" s="360" t="s">
        <v>1993</v>
      </c>
      <c r="W1269" s="366"/>
      <c r="X1269" s="359"/>
      <c r="Y1269" s="358"/>
      <c r="Z1269" s="360"/>
      <c r="AA1269" s="360"/>
      <c r="AB1269" s="360"/>
      <c r="AC1269" s="360"/>
      <c r="AD1269" s="360"/>
      <c r="AE1269" s="360"/>
      <c r="AF1269" s="16"/>
      <c r="AG1269" s="367" t="s">
        <v>1992</v>
      </c>
    </row>
    <row r="1270" spans="1:33" ht="15.75" thickBot="1" x14ac:dyDescent="0.3">
      <c r="A1270" s="356">
        <v>145</v>
      </c>
      <c r="B1270" s="357">
        <v>46210</v>
      </c>
      <c r="C1270" s="358" t="s">
        <v>87</v>
      </c>
      <c r="D1270" s="359"/>
      <c r="E1270" s="360"/>
      <c r="F1270" s="361"/>
      <c r="G1270" s="213" t="str">
        <f>IFERROR(VLOOKUP(Tabla3[[#This Row],[NUM ECONOMICO]],MAQUINARIA!B:H,7,0), " MAQ")</f>
        <v>INACTIVA</v>
      </c>
      <c r="H1270" s="362" t="s">
        <v>1345</v>
      </c>
      <c r="I1270" s="363" t="s">
        <v>1924</v>
      </c>
      <c r="J1270" s="358" t="s">
        <v>1962</v>
      </c>
      <c r="K1270" s="358">
        <v>1</v>
      </c>
      <c r="L1270" s="364">
        <v>857.23</v>
      </c>
      <c r="M1270" s="364">
        <f t="shared" si="23"/>
        <v>857.23</v>
      </c>
      <c r="N1270" s="41" t="s">
        <v>1990</v>
      </c>
      <c r="O1270" s="358"/>
      <c r="P1270" s="365">
        <f>Tabla3[[#This Row],[COSTO UNITARIO DOLARES EN HAWTHORNE]]*Tabla3[[#This Row],[CANTIDAD SOLICTADA]]</f>
        <v>0</v>
      </c>
      <c r="Q1270" s="41"/>
      <c r="R1270" s="229"/>
      <c r="S1270" s="229">
        <f>+Tabla3[[#This Row],[COSTO UNITARIO DOLARES CTP]]*Tabla3[[#This Row],[CANTIDAD SOLICTADA]]</f>
        <v>0</v>
      </c>
      <c r="T1270" s="41"/>
      <c r="U1270" s="358" t="s">
        <v>5</v>
      </c>
      <c r="V1270" s="360" t="s">
        <v>1993</v>
      </c>
      <c r="W1270" s="366"/>
      <c r="X1270" s="359"/>
      <c r="Y1270" s="358"/>
      <c r="Z1270" s="360"/>
      <c r="AA1270" s="360"/>
      <c r="AB1270" s="360"/>
      <c r="AC1270" s="360"/>
      <c r="AD1270" s="360"/>
      <c r="AE1270" s="360"/>
      <c r="AF1270" s="16"/>
      <c r="AG1270" s="367" t="s">
        <v>1992</v>
      </c>
    </row>
    <row r="1271" spans="1:33" ht="15.75" thickBot="1" x14ac:dyDescent="0.3">
      <c r="A1271" s="356">
        <v>145</v>
      </c>
      <c r="B1271" s="357">
        <v>46210</v>
      </c>
      <c r="C1271" s="358" t="s">
        <v>87</v>
      </c>
      <c r="D1271" s="359"/>
      <c r="E1271" s="360"/>
      <c r="F1271" s="361"/>
      <c r="G1271" s="213" t="str">
        <f>IFERROR(VLOOKUP(Tabla3[[#This Row],[NUM ECONOMICO]],MAQUINARIA!B:H,7,0), " MAQ")</f>
        <v>INACTIVA</v>
      </c>
      <c r="H1271" s="362" t="s">
        <v>1345</v>
      </c>
      <c r="I1271" s="363" t="s">
        <v>1925</v>
      </c>
      <c r="J1271" s="358" t="s">
        <v>1962</v>
      </c>
      <c r="K1271" s="358">
        <v>1</v>
      </c>
      <c r="L1271" s="364">
        <v>1394.95</v>
      </c>
      <c r="M1271" s="364">
        <f t="shared" si="23"/>
        <v>1394.95</v>
      </c>
      <c r="N1271" s="41" t="s">
        <v>1990</v>
      </c>
      <c r="O1271" s="358"/>
      <c r="P1271" s="365">
        <f>Tabla3[[#This Row],[COSTO UNITARIO DOLARES EN HAWTHORNE]]*Tabla3[[#This Row],[CANTIDAD SOLICTADA]]</f>
        <v>0</v>
      </c>
      <c r="Q1271" s="41"/>
      <c r="R1271" s="229"/>
      <c r="S1271" s="229">
        <f>+Tabla3[[#This Row],[COSTO UNITARIO DOLARES CTP]]*Tabla3[[#This Row],[CANTIDAD SOLICTADA]]</f>
        <v>0</v>
      </c>
      <c r="T1271" s="41"/>
      <c r="U1271" s="358" t="s">
        <v>5</v>
      </c>
      <c r="V1271" s="360" t="s">
        <v>1993</v>
      </c>
      <c r="W1271" s="366"/>
      <c r="X1271" s="359"/>
      <c r="Y1271" s="358"/>
      <c r="Z1271" s="360"/>
      <c r="AA1271" s="360"/>
      <c r="AB1271" s="360"/>
      <c r="AC1271" s="360"/>
      <c r="AD1271" s="360"/>
      <c r="AE1271" s="360"/>
      <c r="AF1271" s="16"/>
      <c r="AG1271" s="367" t="s">
        <v>1992</v>
      </c>
    </row>
    <row r="1272" spans="1:33" ht="15.75" thickBot="1" x14ac:dyDescent="0.3">
      <c r="A1272" s="356">
        <v>145</v>
      </c>
      <c r="B1272" s="357">
        <v>46210</v>
      </c>
      <c r="C1272" s="358" t="s">
        <v>87</v>
      </c>
      <c r="D1272" s="359"/>
      <c r="E1272" s="360"/>
      <c r="F1272" s="361"/>
      <c r="G1272" s="213" t="str">
        <f>IFERROR(VLOOKUP(Tabla3[[#This Row],[NUM ECONOMICO]],MAQUINARIA!B:H,7,0), " MAQ")</f>
        <v>INACTIVA</v>
      </c>
      <c r="H1272" s="362" t="s">
        <v>1345</v>
      </c>
      <c r="I1272" s="363" t="s">
        <v>1926</v>
      </c>
      <c r="J1272" s="358" t="s">
        <v>1962</v>
      </c>
      <c r="K1272" s="358">
        <v>1</v>
      </c>
      <c r="L1272" s="364">
        <v>2172.34</v>
      </c>
      <c r="M1272" s="364">
        <f t="shared" si="23"/>
        <v>2172.34</v>
      </c>
      <c r="N1272" s="41" t="s">
        <v>1990</v>
      </c>
      <c r="O1272" s="358"/>
      <c r="P1272" s="365">
        <f>Tabla3[[#This Row],[COSTO UNITARIO DOLARES EN HAWTHORNE]]*Tabla3[[#This Row],[CANTIDAD SOLICTADA]]</f>
        <v>0</v>
      </c>
      <c r="Q1272" s="41"/>
      <c r="R1272" s="229"/>
      <c r="S1272" s="229">
        <f>+Tabla3[[#This Row],[COSTO UNITARIO DOLARES CTP]]*Tabla3[[#This Row],[CANTIDAD SOLICTADA]]</f>
        <v>0</v>
      </c>
      <c r="T1272" s="41"/>
      <c r="U1272" s="358" t="s">
        <v>5</v>
      </c>
      <c r="V1272" s="360" t="s">
        <v>1993</v>
      </c>
      <c r="W1272" s="366"/>
      <c r="X1272" s="359"/>
      <c r="Y1272" s="358"/>
      <c r="Z1272" s="360"/>
      <c r="AA1272" s="360"/>
      <c r="AB1272" s="360"/>
      <c r="AC1272" s="360"/>
      <c r="AD1272" s="360"/>
      <c r="AE1272" s="360"/>
      <c r="AF1272" s="16"/>
      <c r="AG1272" s="367" t="s">
        <v>1992</v>
      </c>
    </row>
    <row r="1273" spans="1:33" ht="15.75" thickBot="1" x14ac:dyDescent="0.3">
      <c r="A1273" s="356">
        <v>145</v>
      </c>
      <c r="B1273" s="357">
        <v>46210</v>
      </c>
      <c r="C1273" s="358" t="s">
        <v>87</v>
      </c>
      <c r="D1273" s="359"/>
      <c r="E1273" s="360"/>
      <c r="F1273" s="361"/>
      <c r="G1273" s="213" t="str">
        <f>IFERROR(VLOOKUP(Tabla3[[#This Row],[NUM ECONOMICO]],MAQUINARIA!B:H,7,0), " MAQ")</f>
        <v>INACTIVA</v>
      </c>
      <c r="H1273" s="362" t="s">
        <v>1345</v>
      </c>
      <c r="I1273" s="363" t="s">
        <v>1927</v>
      </c>
      <c r="J1273" s="358" t="s">
        <v>220</v>
      </c>
      <c r="K1273" s="358">
        <v>2</v>
      </c>
      <c r="L1273" s="364">
        <v>2152.12</v>
      </c>
      <c r="M1273" s="364">
        <f t="shared" si="23"/>
        <v>4304.24</v>
      </c>
      <c r="N1273" s="41" t="s">
        <v>1990</v>
      </c>
      <c r="O1273" s="358"/>
      <c r="P1273" s="365">
        <f>Tabla3[[#This Row],[COSTO UNITARIO DOLARES EN HAWTHORNE]]*Tabla3[[#This Row],[CANTIDAD SOLICTADA]]</f>
        <v>0</v>
      </c>
      <c r="Q1273" s="41"/>
      <c r="R1273" s="229"/>
      <c r="S1273" s="229">
        <f>+Tabla3[[#This Row],[COSTO UNITARIO DOLARES CTP]]*Tabla3[[#This Row],[CANTIDAD SOLICTADA]]</f>
        <v>0</v>
      </c>
      <c r="T1273" s="41"/>
      <c r="U1273" s="358" t="s">
        <v>5</v>
      </c>
      <c r="V1273" s="360" t="s">
        <v>1993</v>
      </c>
      <c r="W1273" s="366"/>
      <c r="X1273" s="359"/>
      <c r="Y1273" s="358"/>
      <c r="Z1273" s="360"/>
      <c r="AA1273" s="360"/>
      <c r="AB1273" s="360"/>
      <c r="AC1273" s="360"/>
      <c r="AD1273" s="360"/>
      <c r="AE1273" s="360"/>
      <c r="AF1273" s="16"/>
      <c r="AG1273" s="367" t="s">
        <v>1992</v>
      </c>
    </row>
    <row r="1274" spans="1:33" ht="15.75" thickBot="1" x14ac:dyDescent="0.3">
      <c r="A1274" s="356">
        <v>145</v>
      </c>
      <c r="B1274" s="357">
        <v>46210</v>
      </c>
      <c r="C1274" s="358" t="s">
        <v>87</v>
      </c>
      <c r="D1274" s="359"/>
      <c r="E1274" s="360"/>
      <c r="F1274" s="361"/>
      <c r="G1274" s="213" t="str">
        <f>IFERROR(VLOOKUP(Tabla3[[#This Row],[NUM ECONOMICO]],MAQUINARIA!B:H,7,0), " MAQ")</f>
        <v>INACTIVA</v>
      </c>
      <c r="H1274" s="362" t="s">
        <v>1345</v>
      </c>
      <c r="I1274" s="363" t="s">
        <v>1928</v>
      </c>
      <c r="J1274" s="358" t="s">
        <v>1961</v>
      </c>
      <c r="K1274" s="358">
        <v>1</v>
      </c>
      <c r="L1274" s="364">
        <v>931.87</v>
      </c>
      <c r="M1274" s="364">
        <f t="shared" si="23"/>
        <v>931.87</v>
      </c>
      <c r="N1274" s="41" t="s">
        <v>1990</v>
      </c>
      <c r="O1274" s="358"/>
      <c r="P1274" s="365">
        <f>Tabla3[[#This Row],[COSTO UNITARIO DOLARES EN HAWTHORNE]]*Tabla3[[#This Row],[CANTIDAD SOLICTADA]]</f>
        <v>0</v>
      </c>
      <c r="Q1274" s="41"/>
      <c r="R1274" s="229"/>
      <c r="S1274" s="229">
        <f>+Tabla3[[#This Row],[COSTO UNITARIO DOLARES CTP]]*Tabla3[[#This Row],[CANTIDAD SOLICTADA]]</f>
        <v>0</v>
      </c>
      <c r="T1274" s="41"/>
      <c r="U1274" s="358" t="s">
        <v>5</v>
      </c>
      <c r="V1274" s="360" t="s">
        <v>1993</v>
      </c>
      <c r="W1274" s="366"/>
      <c r="X1274" s="359"/>
      <c r="Y1274" s="358"/>
      <c r="Z1274" s="360"/>
      <c r="AA1274" s="360"/>
      <c r="AB1274" s="360"/>
      <c r="AC1274" s="360"/>
      <c r="AD1274" s="360"/>
      <c r="AE1274" s="360"/>
      <c r="AF1274" s="16"/>
      <c r="AG1274" s="367" t="s">
        <v>1992</v>
      </c>
    </row>
    <row r="1275" spans="1:33" ht="15.75" thickBot="1" x14ac:dyDescent="0.3">
      <c r="A1275" s="356">
        <v>145</v>
      </c>
      <c r="B1275" s="357">
        <v>46210</v>
      </c>
      <c r="C1275" s="358" t="s">
        <v>87</v>
      </c>
      <c r="D1275" s="359"/>
      <c r="E1275" s="360"/>
      <c r="F1275" s="361"/>
      <c r="G1275" s="213" t="str">
        <f>IFERROR(VLOOKUP(Tabla3[[#This Row],[NUM ECONOMICO]],MAQUINARIA!B:H,7,0), " MAQ")</f>
        <v>INACTIVA</v>
      </c>
      <c r="H1275" s="362" t="s">
        <v>1345</v>
      </c>
      <c r="I1275" s="363" t="s">
        <v>1929</v>
      </c>
      <c r="J1275" s="358" t="s">
        <v>546</v>
      </c>
      <c r="K1275" s="358">
        <v>1</v>
      </c>
      <c r="L1275" s="364">
        <v>857.23</v>
      </c>
      <c r="M1275" s="364">
        <f t="shared" si="23"/>
        <v>857.23</v>
      </c>
      <c r="N1275" s="41" t="s">
        <v>1990</v>
      </c>
      <c r="O1275" s="358"/>
      <c r="P1275" s="365">
        <f>Tabla3[[#This Row],[COSTO UNITARIO DOLARES EN HAWTHORNE]]*Tabla3[[#This Row],[CANTIDAD SOLICTADA]]</f>
        <v>0</v>
      </c>
      <c r="Q1275" s="41"/>
      <c r="R1275" s="229"/>
      <c r="S1275" s="229">
        <f>+Tabla3[[#This Row],[COSTO UNITARIO DOLARES CTP]]*Tabla3[[#This Row],[CANTIDAD SOLICTADA]]</f>
        <v>0</v>
      </c>
      <c r="T1275" s="41"/>
      <c r="U1275" s="358" t="s">
        <v>5</v>
      </c>
      <c r="V1275" s="360" t="s">
        <v>1993</v>
      </c>
      <c r="W1275" s="366"/>
      <c r="X1275" s="359"/>
      <c r="Y1275" s="358"/>
      <c r="Z1275" s="360"/>
      <c r="AA1275" s="360"/>
      <c r="AB1275" s="360"/>
      <c r="AC1275" s="360"/>
      <c r="AD1275" s="360"/>
      <c r="AE1275" s="360"/>
      <c r="AF1275" s="16"/>
      <c r="AG1275" s="367" t="s">
        <v>1992</v>
      </c>
    </row>
    <row r="1276" spans="1:33" ht="15.75" thickBot="1" x14ac:dyDescent="0.3">
      <c r="A1276" s="356">
        <v>145</v>
      </c>
      <c r="B1276" s="357">
        <v>46210</v>
      </c>
      <c r="C1276" s="358" t="s">
        <v>87</v>
      </c>
      <c r="D1276" s="359"/>
      <c r="E1276" s="360"/>
      <c r="F1276" s="361"/>
      <c r="G1276" s="213" t="str">
        <f>IFERROR(VLOOKUP(Tabla3[[#This Row],[NUM ECONOMICO]],MAQUINARIA!B:H,7,0), " MAQ")</f>
        <v>INACTIVA</v>
      </c>
      <c r="H1276" s="362" t="s">
        <v>1345</v>
      </c>
      <c r="I1276" s="363" t="s">
        <v>1930</v>
      </c>
      <c r="J1276" s="358" t="s">
        <v>546</v>
      </c>
      <c r="K1276" s="358">
        <v>1</v>
      </c>
      <c r="L1276" s="364">
        <v>1394.95</v>
      </c>
      <c r="M1276" s="364">
        <f t="shared" si="23"/>
        <v>1394.95</v>
      </c>
      <c r="N1276" s="41" t="s">
        <v>1990</v>
      </c>
      <c r="O1276" s="358"/>
      <c r="P1276" s="365">
        <f>Tabla3[[#This Row],[COSTO UNITARIO DOLARES EN HAWTHORNE]]*Tabla3[[#This Row],[CANTIDAD SOLICTADA]]</f>
        <v>0</v>
      </c>
      <c r="Q1276" s="41"/>
      <c r="R1276" s="229"/>
      <c r="S1276" s="229">
        <f>+Tabla3[[#This Row],[COSTO UNITARIO DOLARES CTP]]*Tabla3[[#This Row],[CANTIDAD SOLICTADA]]</f>
        <v>0</v>
      </c>
      <c r="T1276" s="41"/>
      <c r="U1276" s="358" t="s">
        <v>5</v>
      </c>
      <c r="V1276" s="360" t="s">
        <v>1993</v>
      </c>
      <c r="W1276" s="366"/>
      <c r="X1276" s="359"/>
      <c r="Y1276" s="358"/>
      <c r="Z1276" s="360"/>
      <c r="AA1276" s="360"/>
      <c r="AB1276" s="360"/>
      <c r="AC1276" s="360"/>
      <c r="AD1276" s="360"/>
      <c r="AE1276" s="360"/>
      <c r="AF1276" s="16"/>
      <c r="AG1276" s="367" t="s">
        <v>1992</v>
      </c>
    </row>
    <row r="1277" spans="1:33" ht="15.75" thickBot="1" x14ac:dyDescent="0.3">
      <c r="A1277" s="356">
        <v>145</v>
      </c>
      <c r="B1277" s="357">
        <v>46210</v>
      </c>
      <c r="C1277" s="358" t="s">
        <v>87</v>
      </c>
      <c r="D1277" s="359"/>
      <c r="E1277" s="360"/>
      <c r="F1277" s="361"/>
      <c r="G1277" s="213" t="str">
        <f>IFERROR(VLOOKUP(Tabla3[[#This Row],[NUM ECONOMICO]],MAQUINARIA!B:H,7,0), " MAQ")</f>
        <v>INACTIVA</v>
      </c>
      <c r="H1277" s="362" t="s">
        <v>1345</v>
      </c>
      <c r="I1277" s="363" t="s">
        <v>558</v>
      </c>
      <c r="J1277" s="358" t="s">
        <v>1977</v>
      </c>
      <c r="K1277" s="358">
        <v>1</v>
      </c>
      <c r="L1277" s="364">
        <v>2172.34</v>
      </c>
      <c r="M1277" s="364">
        <f t="shared" si="23"/>
        <v>2172.34</v>
      </c>
      <c r="N1277" s="41" t="s">
        <v>1990</v>
      </c>
      <c r="O1277" s="358"/>
      <c r="P1277" s="365">
        <f>Tabla3[[#This Row],[COSTO UNITARIO DOLARES EN HAWTHORNE]]*Tabla3[[#This Row],[CANTIDAD SOLICTADA]]</f>
        <v>0</v>
      </c>
      <c r="Q1277" s="41"/>
      <c r="R1277" s="229"/>
      <c r="S1277" s="229">
        <f>+Tabla3[[#This Row],[COSTO UNITARIO DOLARES CTP]]*Tabla3[[#This Row],[CANTIDAD SOLICTADA]]</f>
        <v>0</v>
      </c>
      <c r="T1277" s="41"/>
      <c r="U1277" s="358" t="s">
        <v>5</v>
      </c>
      <c r="V1277" s="360" t="s">
        <v>1993</v>
      </c>
      <c r="W1277" s="366"/>
      <c r="X1277" s="359"/>
      <c r="Y1277" s="358"/>
      <c r="Z1277" s="360"/>
      <c r="AA1277" s="360"/>
      <c r="AB1277" s="360"/>
      <c r="AC1277" s="360"/>
      <c r="AD1277" s="360"/>
      <c r="AE1277" s="360"/>
      <c r="AF1277" s="16"/>
      <c r="AG1277" s="367" t="s">
        <v>1992</v>
      </c>
    </row>
    <row r="1278" spans="1:33" ht="15.75" thickBot="1" x14ac:dyDescent="0.3">
      <c r="A1278" s="356">
        <v>145</v>
      </c>
      <c r="B1278" s="357">
        <v>46210</v>
      </c>
      <c r="C1278" s="358" t="s">
        <v>87</v>
      </c>
      <c r="D1278" s="359"/>
      <c r="E1278" s="360"/>
      <c r="F1278" s="361"/>
      <c r="G1278" s="213" t="str">
        <f>IFERROR(VLOOKUP(Tabla3[[#This Row],[NUM ECONOMICO]],MAQUINARIA!B:H,7,0), " MAQ")</f>
        <v>INACTIVA</v>
      </c>
      <c r="H1278" s="362" t="s">
        <v>1345</v>
      </c>
      <c r="I1278" s="363" t="s">
        <v>323</v>
      </c>
      <c r="J1278" s="358" t="s">
        <v>220</v>
      </c>
      <c r="K1278" s="358">
        <v>1</v>
      </c>
      <c r="L1278" s="364">
        <v>2152.12</v>
      </c>
      <c r="M1278" s="364">
        <f t="shared" si="23"/>
        <v>2152.12</v>
      </c>
      <c r="N1278" s="41" t="s">
        <v>1990</v>
      </c>
      <c r="O1278" s="358"/>
      <c r="P1278" s="365">
        <f>Tabla3[[#This Row],[COSTO UNITARIO DOLARES EN HAWTHORNE]]*Tabla3[[#This Row],[CANTIDAD SOLICTADA]]</f>
        <v>0</v>
      </c>
      <c r="Q1278" s="41"/>
      <c r="R1278" s="229"/>
      <c r="S1278" s="229">
        <f>+Tabla3[[#This Row],[COSTO UNITARIO DOLARES CTP]]*Tabla3[[#This Row],[CANTIDAD SOLICTADA]]</f>
        <v>0</v>
      </c>
      <c r="T1278" s="41"/>
      <c r="U1278" s="358" t="s">
        <v>5</v>
      </c>
      <c r="V1278" s="360" t="s">
        <v>1993</v>
      </c>
      <c r="W1278" s="366"/>
      <c r="X1278" s="359"/>
      <c r="Y1278" s="358"/>
      <c r="Z1278" s="360"/>
      <c r="AA1278" s="360"/>
      <c r="AB1278" s="360"/>
      <c r="AC1278" s="360"/>
      <c r="AD1278" s="360"/>
      <c r="AE1278" s="360"/>
      <c r="AF1278" s="16"/>
      <c r="AG1278" s="367" t="s">
        <v>1992</v>
      </c>
    </row>
    <row r="1279" spans="1:33" ht="15.75" thickBot="1" x14ac:dyDescent="0.3">
      <c r="A1279" s="356">
        <v>145</v>
      </c>
      <c r="B1279" s="357">
        <v>46210</v>
      </c>
      <c r="C1279" s="358" t="s">
        <v>87</v>
      </c>
      <c r="D1279" s="359"/>
      <c r="E1279" s="360"/>
      <c r="F1279" s="361"/>
      <c r="G1279" s="213" t="str">
        <f>IFERROR(VLOOKUP(Tabla3[[#This Row],[NUM ECONOMICO]],MAQUINARIA!B:H,7,0), " MAQ")</f>
        <v>INACTIVA</v>
      </c>
      <c r="H1279" s="362" t="s">
        <v>1345</v>
      </c>
      <c r="I1279" s="363" t="s">
        <v>334</v>
      </c>
      <c r="J1279" s="358" t="s">
        <v>1961</v>
      </c>
      <c r="K1279" s="358">
        <v>1</v>
      </c>
      <c r="L1279" s="364">
        <v>931.87</v>
      </c>
      <c r="M1279" s="364">
        <f t="shared" si="23"/>
        <v>931.87</v>
      </c>
      <c r="N1279" s="41" t="s">
        <v>1990</v>
      </c>
      <c r="O1279" s="358"/>
      <c r="P1279" s="365">
        <f>Tabla3[[#This Row],[COSTO UNITARIO DOLARES EN HAWTHORNE]]*Tabla3[[#This Row],[CANTIDAD SOLICTADA]]</f>
        <v>0</v>
      </c>
      <c r="Q1279" s="41"/>
      <c r="R1279" s="229"/>
      <c r="S1279" s="229">
        <f>+Tabla3[[#This Row],[COSTO UNITARIO DOLARES CTP]]*Tabla3[[#This Row],[CANTIDAD SOLICTADA]]</f>
        <v>0</v>
      </c>
      <c r="T1279" s="41"/>
      <c r="U1279" s="358" t="s">
        <v>5</v>
      </c>
      <c r="V1279" s="360" t="s">
        <v>1993</v>
      </c>
      <c r="W1279" s="366"/>
      <c r="X1279" s="359"/>
      <c r="Y1279" s="358"/>
      <c r="Z1279" s="360"/>
      <c r="AA1279" s="360"/>
      <c r="AB1279" s="360"/>
      <c r="AC1279" s="360"/>
      <c r="AD1279" s="360"/>
      <c r="AE1279" s="360"/>
      <c r="AF1279" s="16"/>
      <c r="AG1279" s="367" t="s">
        <v>1992</v>
      </c>
    </row>
    <row r="1280" spans="1:33" ht="15.75" thickBot="1" x14ac:dyDescent="0.3">
      <c r="A1280" s="356">
        <v>145</v>
      </c>
      <c r="B1280" s="357">
        <v>46210</v>
      </c>
      <c r="C1280" s="358" t="s">
        <v>87</v>
      </c>
      <c r="D1280" s="359"/>
      <c r="E1280" s="360"/>
      <c r="F1280" s="361"/>
      <c r="G1280" s="213" t="str">
        <f>IFERROR(VLOOKUP(Tabla3[[#This Row],[NUM ECONOMICO]],MAQUINARIA!B:H,7,0), " MAQ")</f>
        <v>INACTIVA</v>
      </c>
      <c r="H1280" s="362" t="s">
        <v>1345</v>
      </c>
      <c r="I1280" s="363" t="s">
        <v>333</v>
      </c>
      <c r="J1280" s="358" t="s">
        <v>546</v>
      </c>
      <c r="K1280" s="358">
        <v>3</v>
      </c>
      <c r="L1280" s="364">
        <v>76.430000000000007</v>
      </c>
      <c r="M1280" s="364">
        <f t="shared" si="23"/>
        <v>229.29000000000002</v>
      </c>
      <c r="N1280" s="41" t="s">
        <v>1990</v>
      </c>
      <c r="O1280" s="358"/>
      <c r="P1280" s="365">
        <f>Tabla3[[#This Row],[COSTO UNITARIO DOLARES EN HAWTHORNE]]*Tabla3[[#This Row],[CANTIDAD SOLICTADA]]</f>
        <v>0</v>
      </c>
      <c r="Q1280" s="41"/>
      <c r="R1280" s="229"/>
      <c r="S1280" s="229">
        <f>+Tabla3[[#This Row],[COSTO UNITARIO DOLARES CTP]]*Tabla3[[#This Row],[CANTIDAD SOLICTADA]]</f>
        <v>0</v>
      </c>
      <c r="T1280" s="41"/>
      <c r="U1280" s="358" t="s">
        <v>5</v>
      </c>
      <c r="V1280" s="360" t="s">
        <v>1993</v>
      </c>
      <c r="W1280" s="366"/>
      <c r="X1280" s="359"/>
      <c r="Y1280" s="358"/>
      <c r="Z1280" s="360"/>
      <c r="AA1280" s="360"/>
      <c r="AB1280" s="360"/>
      <c r="AC1280" s="360"/>
      <c r="AD1280" s="360"/>
      <c r="AE1280" s="360"/>
      <c r="AF1280" s="16"/>
      <c r="AG1280" s="367" t="s">
        <v>1992</v>
      </c>
    </row>
    <row r="1281" spans="1:33" ht="15.75" thickBot="1" x14ac:dyDescent="0.3">
      <c r="A1281" s="356">
        <v>145</v>
      </c>
      <c r="B1281" s="357">
        <v>46210</v>
      </c>
      <c r="C1281" s="358" t="s">
        <v>87</v>
      </c>
      <c r="D1281" s="359"/>
      <c r="E1281" s="360"/>
      <c r="F1281" s="361"/>
      <c r="G1281" s="213" t="str">
        <f>IFERROR(VLOOKUP(Tabla3[[#This Row],[NUM ECONOMICO]],MAQUINARIA!B:H,7,0), " MAQ")</f>
        <v>INACTIVA</v>
      </c>
      <c r="H1281" s="362" t="s">
        <v>1345</v>
      </c>
      <c r="I1281" s="363" t="s">
        <v>1931</v>
      </c>
      <c r="J1281" s="358" t="s">
        <v>1977</v>
      </c>
      <c r="K1281" s="358">
        <v>4</v>
      </c>
      <c r="L1281" s="364">
        <v>48.33</v>
      </c>
      <c r="M1281" s="364">
        <f t="shared" si="23"/>
        <v>193.32</v>
      </c>
      <c r="N1281" s="41" t="s">
        <v>1990</v>
      </c>
      <c r="O1281" s="358"/>
      <c r="P1281" s="365">
        <f>Tabla3[[#This Row],[COSTO UNITARIO DOLARES EN HAWTHORNE]]*Tabla3[[#This Row],[CANTIDAD SOLICTADA]]</f>
        <v>0</v>
      </c>
      <c r="Q1281" s="41"/>
      <c r="R1281" s="229"/>
      <c r="S1281" s="229">
        <f>+Tabla3[[#This Row],[COSTO UNITARIO DOLARES CTP]]*Tabla3[[#This Row],[CANTIDAD SOLICTADA]]</f>
        <v>0</v>
      </c>
      <c r="T1281" s="41"/>
      <c r="U1281" s="358" t="s">
        <v>5</v>
      </c>
      <c r="V1281" s="360" t="s">
        <v>1993</v>
      </c>
      <c r="W1281" s="366"/>
      <c r="X1281" s="359"/>
      <c r="Y1281" s="358"/>
      <c r="Z1281" s="360"/>
      <c r="AA1281" s="360"/>
      <c r="AB1281" s="360"/>
      <c r="AC1281" s="360"/>
      <c r="AD1281" s="360"/>
      <c r="AE1281" s="360"/>
      <c r="AF1281" s="16"/>
      <c r="AG1281" s="367" t="s">
        <v>1992</v>
      </c>
    </row>
    <row r="1282" spans="1:33" ht="15.75" thickBot="1" x14ac:dyDescent="0.3">
      <c r="A1282" s="356">
        <v>145</v>
      </c>
      <c r="B1282" s="357">
        <v>46210</v>
      </c>
      <c r="C1282" s="358" t="s">
        <v>87</v>
      </c>
      <c r="D1282" s="359"/>
      <c r="E1282" s="360"/>
      <c r="F1282" s="361"/>
      <c r="G1282" s="213" t="str">
        <f>IFERROR(VLOOKUP(Tabla3[[#This Row],[NUM ECONOMICO]],MAQUINARIA!B:H,7,0), " MAQ")</f>
        <v>INACTIVA</v>
      </c>
      <c r="H1282" s="362" t="s">
        <v>1345</v>
      </c>
      <c r="I1282" s="363" t="s">
        <v>1932</v>
      </c>
      <c r="J1282" s="358" t="s">
        <v>1962</v>
      </c>
      <c r="K1282" s="358">
        <v>1</v>
      </c>
      <c r="L1282" s="364">
        <v>31.5</v>
      </c>
      <c r="M1282" s="364">
        <f t="shared" si="23"/>
        <v>31.5</v>
      </c>
      <c r="N1282" s="41" t="s">
        <v>1990</v>
      </c>
      <c r="O1282" s="358"/>
      <c r="P1282" s="365">
        <f>Tabla3[[#This Row],[COSTO UNITARIO DOLARES EN HAWTHORNE]]*Tabla3[[#This Row],[CANTIDAD SOLICTADA]]</f>
        <v>0</v>
      </c>
      <c r="Q1282" s="41"/>
      <c r="R1282" s="229"/>
      <c r="S1282" s="229">
        <f>+Tabla3[[#This Row],[COSTO UNITARIO DOLARES CTP]]*Tabla3[[#This Row],[CANTIDAD SOLICTADA]]</f>
        <v>0</v>
      </c>
      <c r="T1282" s="41"/>
      <c r="U1282" s="358" t="s">
        <v>5</v>
      </c>
      <c r="V1282" s="360" t="s">
        <v>1993</v>
      </c>
      <c r="W1282" s="366"/>
      <c r="X1282" s="359"/>
      <c r="Y1282" s="358"/>
      <c r="Z1282" s="360"/>
      <c r="AA1282" s="360"/>
      <c r="AB1282" s="360"/>
      <c r="AC1282" s="360"/>
      <c r="AD1282" s="360"/>
      <c r="AE1282" s="360"/>
      <c r="AF1282" s="16"/>
      <c r="AG1282" s="367" t="s">
        <v>1992</v>
      </c>
    </row>
    <row r="1283" spans="1:33" ht="15.75" thickBot="1" x14ac:dyDescent="0.3">
      <c r="A1283" s="356">
        <v>145</v>
      </c>
      <c r="B1283" s="357">
        <v>46210</v>
      </c>
      <c r="C1283" s="358" t="s">
        <v>87</v>
      </c>
      <c r="D1283" s="359"/>
      <c r="E1283" s="360"/>
      <c r="F1283" s="361"/>
      <c r="G1283" s="213" t="str">
        <f>IFERROR(VLOOKUP(Tabla3[[#This Row],[NUM ECONOMICO]],MAQUINARIA!B:H,7,0), " MAQ")</f>
        <v>INACTIVA</v>
      </c>
      <c r="H1283" s="362" t="s">
        <v>1345</v>
      </c>
      <c r="I1283" s="363" t="s">
        <v>333</v>
      </c>
      <c r="J1283" s="358" t="s">
        <v>1971</v>
      </c>
      <c r="K1283" s="358">
        <v>1</v>
      </c>
      <c r="L1283" s="364">
        <v>28.28</v>
      </c>
      <c r="M1283" s="364">
        <f t="shared" si="23"/>
        <v>28.28</v>
      </c>
      <c r="N1283" s="41" t="s">
        <v>1990</v>
      </c>
      <c r="O1283" s="358"/>
      <c r="P1283" s="365">
        <f>Tabla3[[#This Row],[COSTO UNITARIO DOLARES EN HAWTHORNE]]*Tabla3[[#This Row],[CANTIDAD SOLICTADA]]</f>
        <v>0</v>
      </c>
      <c r="Q1283" s="41"/>
      <c r="R1283" s="229"/>
      <c r="S1283" s="229">
        <f>+Tabla3[[#This Row],[COSTO UNITARIO DOLARES CTP]]*Tabla3[[#This Row],[CANTIDAD SOLICTADA]]</f>
        <v>0</v>
      </c>
      <c r="T1283" s="41"/>
      <c r="U1283" s="358" t="s">
        <v>5</v>
      </c>
      <c r="V1283" s="360" t="s">
        <v>1993</v>
      </c>
      <c r="W1283" s="366"/>
      <c r="X1283" s="359"/>
      <c r="Y1283" s="358"/>
      <c r="Z1283" s="360"/>
      <c r="AA1283" s="360"/>
      <c r="AB1283" s="360"/>
      <c r="AC1283" s="360"/>
      <c r="AD1283" s="360"/>
      <c r="AE1283" s="360"/>
      <c r="AF1283" s="16"/>
      <c r="AG1283" s="367" t="s">
        <v>1992</v>
      </c>
    </row>
    <row r="1284" spans="1:33" ht="15.75" thickBot="1" x14ac:dyDescent="0.3">
      <c r="A1284" s="356">
        <v>145</v>
      </c>
      <c r="B1284" s="357">
        <v>46210</v>
      </c>
      <c r="C1284" s="358" t="s">
        <v>87</v>
      </c>
      <c r="D1284" s="359"/>
      <c r="E1284" s="360"/>
      <c r="F1284" s="361"/>
      <c r="G1284" s="213" t="str">
        <f>IFERROR(VLOOKUP(Tabla3[[#This Row],[NUM ECONOMICO]],MAQUINARIA!B:H,7,0), " MAQ")</f>
        <v>INACTIVA</v>
      </c>
      <c r="H1284" s="362" t="s">
        <v>1345</v>
      </c>
      <c r="I1284" s="363" t="s">
        <v>1931</v>
      </c>
      <c r="J1284" s="358" t="s">
        <v>1978</v>
      </c>
      <c r="K1284" s="358">
        <v>1</v>
      </c>
      <c r="L1284" s="364">
        <v>85.38</v>
      </c>
      <c r="M1284" s="364">
        <f t="shared" si="23"/>
        <v>85.38</v>
      </c>
      <c r="N1284" s="41" t="s">
        <v>1990</v>
      </c>
      <c r="O1284" s="358"/>
      <c r="P1284" s="365">
        <f>Tabla3[[#This Row],[COSTO UNITARIO DOLARES EN HAWTHORNE]]*Tabla3[[#This Row],[CANTIDAD SOLICTADA]]</f>
        <v>0</v>
      </c>
      <c r="Q1284" s="41"/>
      <c r="R1284" s="229"/>
      <c r="S1284" s="229">
        <f>+Tabla3[[#This Row],[COSTO UNITARIO DOLARES CTP]]*Tabla3[[#This Row],[CANTIDAD SOLICTADA]]</f>
        <v>0</v>
      </c>
      <c r="T1284" s="41"/>
      <c r="U1284" s="358" t="s">
        <v>5</v>
      </c>
      <c r="V1284" s="360" t="s">
        <v>1993</v>
      </c>
      <c r="W1284" s="366"/>
      <c r="X1284" s="359"/>
      <c r="Y1284" s="358"/>
      <c r="Z1284" s="360"/>
      <c r="AA1284" s="360"/>
      <c r="AB1284" s="360"/>
      <c r="AC1284" s="360"/>
      <c r="AD1284" s="360"/>
      <c r="AE1284" s="360"/>
      <c r="AF1284" s="16"/>
      <c r="AG1284" s="367" t="s">
        <v>1992</v>
      </c>
    </row>
    <row r="1285" spans="1:33" ht="15.75" thickBot="1" x14ac:dyDescent="0.3">
      <c r="A1285" s="356">
        <v>145</v>
      </c>
      <c r="B1285" s="357">
        <v>46210</v>
      </c>
      <c r="C1285" s="358" t="s">
        <v>87</v>
      </c>
      <c r="D1285" s="359"/>
      <c r="E1285" s="360"/>
      <c r="F1285" s="361"/>
      <c r="G1285" s="213" t="str">
        <f>IFERROR(VLOOKUP(Tabla3[[#This Row],[NUM ECONOMICO]],MAQUINARIA!B:H,7,0), " MAQ")</f>
        <v>INACTIVA</v>
      </c>
      <c r="H1285" s="362" t="s">
        <v>1345</v>
      </c>
      <c r="I1285" s="363" t="s">
        <v>1932</v>
      </c>
      <c r="J1285" s="358" t="s">
        <v>1979</v>
      </c>
      <c r="K1285" s="358">
        <v>1</v>
      </c>
      <c r="L1285" s="364">
        <v>84.49</v>
      </c>
      <c r="M1285" s="364">
        <f t="shared" si="23"/>
        <v>84.49</v>
      </c>
      <c r="N1285" s="41" t="s">
        <v>1990</v>
      </c>
      <c r="O1285" s="358"/>
      <c r="P1285" s="365">
        <f>Tabla3[[#This Row],[COSTO UNITARIO DOLARES EN HAWTHORNE]]*Tabla3[[#This Row],[CANTIDAD SOLICTADA]]</f>
        <v>0</v>
      </c>
      <c r="Q1285" s="41"/>
      <c r="R1285" s="229"/>
      <c r="S1285" s="229">
        <f>+Tabla3[[#This Row],[COSTO UNITARIO DOLARES CTP]]*Tabla3[[#This Row],[CANTIDAD SOLICTADA]]</f>
        <v>0</v>
      </c>
      <c r="T1285" s="41"/>
      <c r="U1285" s="358" t="s">
        <v>5</v>
      </c>
      <c r="V1285" s="360" t="s">
        <v>1993</v>
      </c>
      <c r="W1285" s="366"/>
      <c r="X1285" s="359"/>
      <c r="Y1285" s="358"/>
      <c r="Z1285" s="360"/>
      <c r="AA1285" s="360"/>
      <c r="AB1285" s="360"/>
      <c r="AC1285" s="360"/>
      <c r="AD1285" s="360"/>
      <c r="AE1285" s="360"/>
      <c r="AF1285" s="16"/>
      <c r="AG1285" s="367" t="s">
        <v>1992</v>
      </c>
    </row>
    <row r="1286" spans="1:33" ht="15.75" thickBot="1" x14ac:dyDescent="0.3">
      <c r="A1286" s="356">
        <v>145</v>
      </c>
      <c r="B1286" s="357">
        <v>46210</v>
      </c>
      <c r="C1286" s="358" t="s">
        <v>87</v>
      </c>
      <c r="D1286" s="359"/>
      <c r="E1286" s="360"/>
      <c r="F1286" s="361"/>
      <c r="G1286" s="213" t="str">
        <f>IFERROR(VLOOKUP(Tabla3[[#This Row],[NUM ECONOMICO]],MAQUINARIA!B:H,7,0), " MAQ")</f>
        <v>INACTIVA</v>
      </c>
      <c r="H1286" s="362" t="s">
        <v>1345</v>
      </c>
      <c r="I1286" s="363" t="s">
        <v>338</v>
      </c>
      <c r="J1286" s="358" t="s">
        <v>1961</v>
      </c>
      <c r="K1286" s="358">
        <v>4</v>
      </c>
      <c r="L1286" s="364">
        <v>130.49</v>
      </c>
      <c r="M1286" s="364">
        <f t="shared" si="23"/>
        <v>521.96</v>
      </c>
      <c r="N1286" s="41" t="s">
        <v>1990</v>
      </c>
      <c r="O1286" s="358"/>
      <c r="P1286" s="365">
        <f>Tabla3[[#This Row],[COSTO UNITARIO DOLARES EN HAWTHORNE]]*Tabla3[[#This Row],[CANTIDAD SOLICTADA]]</f>
        <v>0</v>
      </c>
      <c r="Q1286" s="41"/>
      <c r="R1286" s="229"/>
      <c r="S1286" s="229">
        <f>+Tabla3[[#This Row],[COSTO UNITARIO DOLARES CTP]]*Tabla3[[#This Row],[CANTIDAD SOLICTADA]]</f>
        <v>0</v>
      </c>
      <c r="T1286" s="41"/>
      <c r="U1286" s="358" t="s">
        <v>5</v>
      </c>
      <c r="V1286" s="360" t="s">
        <v>1993</v>
      </c>
      <c r="W1286" s="366"/>
      <c r="X1286" s="359"/>
      <c r="Y1286" s="358"/>
      <c r="Z1286" s="360"/>
      <c r="AA1286" s="360"/>
      <c r="AB1286" s="360"/>
      <c r="AC1286" s="360"/>
      <c r="AD1286" s="360"/>
      <c r="AE1286" s="360"/>
      <c r="AF1286" s="16"/>
      <c r="AG1286" s="367" t="s">
        <v>1992</v>
      </c>
    </row>
    <row r="1287" spans="1:33" ht="15.75" thickBot="1" x14ac:dyDescent="0.3">
      <c r="A1287" s="356">
        <v>145</v>
      </c>
      <c r="B1287" s="357">
        <v>46210</v>
      </c>
      <c r="C1287" s="358" t="s">
        <v>87</v>
      </c>
      <c r="D1287" s="359"/>
      <c r="E1287" s="360"/>
      <c r="F1287" s="361"/>
      <c r="G1287" s="213" t="str">
        <f>IFERROR(VLOOKUP(Tabla3[[#This Row],[NUM ECONOMICO]],MAQUINARIA!B:H,7,0), " MAQ")</f>
        <v>INACTIVA</v>
      </c>
      <c r="H1287" s="362" t="s">
        <v>1345</v>
      </c>
      <c r="I1287" s="363" t="s">
        <v>1933</v>
      </c>
      <c r="J1287" s="358" t="s">
        <v>1961</v>
      </c>
      <c r="K1287" s="358">
        <v>4</v>
      </c>
      <c r="L1287" s="364">
        <v>116.89</v>
      </c>
      <c r="M1287" s="364">
        <f t="shared" si="23"/>
        <v>467.56</v>
      </c>
      <c r="N1287" s="41" t="s">
        <v>1990</v>
      </c>
      <c r="O1287" s="358"/>
      <c r="P1287" s="365">
        <f>Tabla3[[#This Row],[COSTO UNITARIO DOLARES EN HAWTHORNE]]*Tabla3[[#This Row],[CANTIDAD SOLICTADA]]</f>
        <v>0</v>
      </c>
      <c r="Q1287" s="41"/>
      <c r="R1287" s="229"/>
      <c r="S1287" s="229">
        <f>+Tabla3[[#This Row],[COSTO UNITARIO DOLARES CTP]]*Tabla3[[#This Row],[CANTIDAD SOLICTADA]]</f>
        <v>0</v>
      </c>
      <c r="T1287" s="41"/>
      <c r="U1287" s="358" t="s">
        <v>5</v>
      </c>
      <c r="V1287" s="360" t="s">
        <v>1993</v>
      </c>
      <c r="W1287" s="366"/>
      <c r="X1287" s="359"/>
      <c r="Y1287" s="358"/>
      <c r="Z1287" s="360"/>
      <c r="AA1287" s="360"/>
      <c r="AB1287" s="360"/>
      <c r="AC1287" s="360"/>
      <c r="AD1287" s="360"/>
      <c r="AE1287" s="360"/>
      <c r="AF1287" s="16"/>
      <c r="AG1287" s="367" t="s">
        <v>1992</v>
      </c>
    </row>
    <row r="1288" spans="1:33" ht="15.75" thickBot="1" x14ac:dyDescent="0.3">
      <c r="A1288" s="356">
        <v>145</v>
      </c>
      <c r="B1288" s="357">
        <v>46210</v>
      </c>
      <c r="C1288" s="358" t="s">
        <v>87</v>
      </c>
      <c r="D1288" s="359"/>
      <c r="E1288" s="360"/>
      <c r="F1288" s="361"/>
      <c r="G1288" s="213" t="str">
        <f>IFERROR(VLOOKUP(Tabla3[[#This Row],[NUM ECONOMICO]],MAQUINARIA!B:H,7,0), " MAQ")</f>
        <v>INACTIVA</v>
      </c>
      <c r="H1288" s="362" t="s">
        <v>1345</v>
      </c>
      <c r="I1288" s="363" t="s">
        <v>1908</v>
      </c>
      <c r="J1288" s="358" t="s">
        <v>1961</v>
      </c>
      <c r="K1288" s="358">
        <v>2</v>
      </c>
      <c r="L1288" s="364">
        <v>97.73</v>
      </c>
      <c r="M1288" s="364">
        <f t="shared" si="23"/>
        <v>195.46</v>
      </c>
      <c r="N1288" s="41" t="s">
        <v>1990</v>
      </c>
      <c r="O1288" s="358"/>
      <c r="P1288" s="365">
        <f>Tabla3[[#This Row],[COSTO UNITARIO DOLARES EN HAWTHORNE]]*Tabla3[[#This Row],[CANTIDAD SOLICTADA]]</f>
        <v>0</v>
      </c>
      <c r="Q1288" s="41"/>
      <c r="R1288" s="229"/>
      <c r="S1288" s="229">
        <f>+Tabla3[[#This Row],[COSTO UNITARIO DOLARES CTP]]*Tabla3[[#This Row],[CANTIDAD SOLICTADA]]</f>
        <v>0</v>
      </c>
      <c r="T1288" s="41"/>
      <c r="U1288" s="358" t="s">
        <v>5</v>
      </c>
      <c r="V1288" s="360" t="s">
        <v>1993</v>
      </c>
      <c r="W1288" s="366"/>
      <c r="X1288" s="359"/>
      <c r="Y1288" s="358"/>
      <c r="Z1288" s="360"/>
      <c r="AA1288" s="360"/>
      <c r="AB1288" s="360"/>
      <c r="AC1288" s="360"/>
      <c r="AD1288" s="360"/>
      <c r="AE1288" s="360"/>
      <c r="AF1288" s="16"/>
      <c r="AG1288" s="367" t="s">
        <v>1992</v>
      </c>
    </row>
    <row r="1289" spans="1:33" ht="15.75" thickBot="1" x14ac:dyDescent="0.3">
      <c r="A1289" s="356">
        <v>145</v>
      </c>
      <c r="B1289" s="357">
        <v>46210</v>
      </c>
      <c r="C1289" s="358" t="s">
        <v>87</v>
      </c>
      <c r="D1289" s="359"/>
      <c r="E1289" s="360"/>
      <c r="F1289" s="361"/>
      <c r="G1289" s="213" t="str">
        <f>IFERROR(VLOOKUP(Tabla3[[#This Row],[NUM ECONOMICO]],MAQUINARIA!B:H,7,0), " MAQ")</f>
        <v>INACTIVA</v>
      </c>
      <c r="H1289" s="362" t="s">
        <v>1345</v>
      </c>
      <c r="I1289" s="363" t="s">
        <v>1934</v>
      </c>
      <c r="J1289" s="358" t="s">
        <v>546</v>
      </c>
      <c r="K1289" s="358">
        <v>1</v>
      </c>
      <c r="L1289" s="364">
        <v>171.3</v>
      </c>
      <c r="M1289" s="364">
        <f t="shared" si="23"/>
        <v>171.3</v>
      </c>
      <c r="N1289" s="41" t="s">
        <v>1990</v>
      </c>
      <c r="O1289" s="358"/>
      <c r="P1289" s="365">
        <f>Tabla3[[#This Row],[COSTO UNITARIO DOLARES EN HAWTHORNE]]*Tabla3[[#This Row],[CANTIDAD SOLICTADA]]</f>
        <v>0</v>
      </c>
      <c r="Q1289" s="41"/>
      <c r="R1289" s="229"/>
      <c r="S1289" s="229">
        <f>+Tabla3[[#This Row],[COSTO UNITARIO DOLARES CTP]]*Tabla3[[#This Row],[CANTIDAD SOLICTADA]]</f>
        <v>0</v>
      </c>
      <c r="T1289" s="41"/>
      <c r="U1289" s="358" t="s">
        <v>5</v>
      </c>
      <c r="V1289" s="360" t="s">
        <v>1993</v>
      </c>
      <c r="W1289" s="366"/>
      <c r="X1289" s="359"/>
      <c r="Y1289" s="358"/>
      <c r="Z1289" s="360"/>
      <c r="AA1289" s="360"/>
      <c r="AB1289" s="360"/>
      <c r="AC1289" s="360"/>
      <c r="AD1289" s="360"/>
      <c r="AE1289" s="360"/>
      <c r="AF1289" s="16"/>
      <c r="AG1289" s="367" t="s">
        <v>1992</v>
      </c>
    </row>
    <row r="1290" spans="1:33" ht="15.75" thickBot="1" x14ac:dyDescent="0.3">
      <c r="A1290" s="356">
        <v>145</v>
      </c>
      <c r="B1290" s="357">
        <v>46210</v>
      </c>
      <c r="C1290" s="358" t="s">
        <v>87</v>
      </c>
      <c r="D1290" s="359"/>
      <c r="E1290" s="360"/>
      <c r="F1290" s="361"/>
      <c r="G1290" s="213" t="str">
        <f>IFERROR(VLOOKUP(Tabla3[[#This Row],[NUM ECONOMICO]],MAQUINARIA!B:H,7,0), " MAQ")</f>
        <v>INACTIVA</v>
      </c>
      <c r="H1290" s="362" t="s">
        <v>1345</v>
      </c>
      <c r="I1290" s="363" t="s">
        <v>1935</v>
      </c>
      <c r="J1290" s="358" t="s">
        <v>546</v>
      </c>
      <c r="K1290" s="358">
        <v>1</v>
      </c>
      <c r="L1290" s="364">
        <v>113.13</v>
      </c>
      <c r="M1290" s="364">
        <f t="shared" si="23"/>
        <v>113.13</v>
      </c>
      <c r="N1290" s="41" t="s">
        <v>1990</v>
      </c>
      <c r="O1290" s="358"/>
      <c r="P1290" s="365">
        <f>Tabla3[[#This Row],[COSTO UNITARIO DOLARES EN HAWTHORNE]]*Tabla3[[#This Row],[CANTIDAD SOLICTADA]]</f>
        <v>0</v>
      </c>
      <c r="Q1290" s="41"/>
      <c r="R1290" s="229"/>
      <c r="S1290" s="229">
        <f>+Tabla3[[#This Row],[COSTO UNITARIO DOLARES CTP]]*Tabla3[[#This Row],[CANTIDAD SOLICTADA]]</f>
        <v>0</v>
      </c>
      <c r="T1290" s="41"/>
      <c r="U1290" s="358" t="s">
        <v>5</v>
      </c>
      <c r="V1290" s="360" t="s">
        <v>1993</v>
      </c>
      <c r="W1290" s="366"/>
      <c r="X1290" s="359"/>
      <c r="Y1290" s="358"/>
      <c r="Z1290" s="360"/>
      <c r="AA1290" s="360"/>
      <c r="AB1290" s="360"/>
      <c r="AC1290" s="360"/>
      <c r="AD1290" s="360"/>
      <c r="AE1290" s="360"/>
      <c r="AF1290" s="16"/>
      <c r="AG1290" s="367" t="s">
        <v>1992</v>
      </c>
    </row>
    <row r="1291" spans="1:33" ht="15.75" thickBot="1" x14ac:dyDescent="0.3">
      <c r="A1291" s="356">
        <v>145</v>
      </c>
      <c r="B1291" s="357">
        <v>46210</v>
      </c>
      <c r="C1291" s="358" t="s">
        <v>87</v>
      </c>
      <c r="D1291" s="359"/>
      <c r="E1291" s="360"/>
      <c r="F1291" s="361"/>
      <c r="G1291" s="213" t="str">
        <f>IFERROR(VLOOKUP(Tabla3[[#This Row],[NUM ECONOMICO]],MAQUINARIA!B:H,7,0), " MAQ")</f>
        <v>INACTIVA</v>
      </c>
      <c r="H1291" s="362" t="s">
        <v>1345</v>
      </c>
      <c r="I1291" s="363" t="s">
        <v>266</v>
      </c>
      <c r="J1291" s="358" t="s">
        <v>1961</v>
      </c>
      <c r="K1291" s="358">
        <v>6</v>
      </c>
      <c r="L1291" s="364">
        <v>153.76</v>
      </c>
      <c r="M1291" s="364">
        <f t="shared" si="23"/>
        <v>922.56</v>
      </c>
      <c r="N1291" s="41" t="s">
        <v>1990</v>
      </c>
      <c r="O1291" s="358"/>
      <c r="P1291" s="365">
        <f>Tabla3[[#This Row],[COSTO UNITARIO DOLARES EN HAWTHORNE]]*Tabla3[[#This Row],[CANTIDAD SOLICTADA]]</f>
        <v>0</v>
      </c>
      <c r="Q1291" s="41"/>
      <c r="R1291" s="229"/>
      <c r="S1291" s="229">
        <f>+Tabla3[[#This Row],[COSTO UNITARIO DOLARES CTP]]*Tabla3[[#This Row],[CANTIDAD SOLICTADA]]</f>
        <v>0</v>
      </c>
      <c r="T1291" s="41"/>
      <c r="U1291" s="358" t="s">
        <v>5</v>
      </c>
      <c r="V1291" s="360" t="s">
        <v>1993</v>
      </c>
      <c r="W1291" s="366"/>
      <c r="X1291" s="359"/>
      <c r="Y1291" s="358"/>
      <c r="Z1291" s="360"/>
      <c r="AA1291" s="360"/>
      <c r="AB1291" s="360"/>
      <c r="AC1291" s="360"/>
      <c r="AD1291" s="360"/>
      <c r="AE1291" s="360"/>
      <c r="AF1291" s="16"/>
      <c r="AG1291" s="367" t="s">
        <v>1992</v>
      </c>
    </row>
    <row r="1292" spans="1:33" ht="15.75" thickBot="1" x14ac:dyDescent="0.3">
      <c r="A1292" s="356">
        <v>145</v>
      </c>
      <c r="B1292" s="357">
        <v>46210</v>
      </c>
      <c r="C1292" s="358" t="s">
        <v>87</v>
      </c>
      <c r="D1292" s="359"/>
      <c r="E1292" s="360"/>
      <c r="F1292" s="361"/>
      <c r="G1292" s="213" t="str">
        <f>IFERROR(VLOOKUP(Tabla3[[#This Row],[NUM ECONOMICO]],MAQUINARIA!B:H,7,0), " MAQ")</f>
        <v>INACTIVA</v>
      </c>
      <c r="H1292" s="362" t="s">
        <v>1345</v>
      </c>
      <c r="I1292" s="363" t="s">
        <v>1936</v>
      </c>
      <c r="J1292" s="358" t="s">
        <v>1974</v>
      </c>
      <c r="K1292" s="358">
        <v>1</v>
      </c>
      <c r="L1292" s="364">
        <v>50.48</v>
      </c>
      <c r="M1292" s="364">
        <f t="shared" si="23"/>
        <v>50.48</v>
      </c>
      <c r="N1292" s="41" t="s">
        <v>1990</v>
      </c>
      <c r="O1292" s="358"/>
      <c r="P1292" s="365">
        <f>Tabla3[[#This Row],[COSTO UNITARIO DOLARES EN HAWTHORNE]]*Tabla3[[#This Row],[CANTIDAD SOLICTADA]]</f>
        <v>0</v>
      </c>
      <c r="Q1292" s="41"/>
      <c r="R1292" s="229"/>
      <c r="S1292" s="229">
        <f>+Tabla3[[#This Row],[COSTO UNITARIO DOLARES CTP]]*Tabla3[[#This Row],[CANTIDAD SOLICTADA]]</f>
        <v>0</v>
      </c>
      <c r="T1292" s="41"/>
      <c r="U1292" s="358" t="s">
        <v>5</v>
      </c>
      <c r="V1292" s="360" t="s">
        <v>1993</v>
      </c>
      <c r="W1292" s="366"/>
      <c r="X1292" s="359"/>
      <c r="Y1292" s="358"/>
      <c r="Z1292" s="360"/>
      <c r="AA1292" s="360"/>
      <c r="AB1292" s="360"/>
      <c r="AC1292" s="360"/>
      <c r="AD1292" s="360"/>
      <c r="AE1292" s="360"/>
      <c r="AF1292" s="16"/>
      <c r="AG1292" s="367" t="s">
        <v>1992</v>
      </c>
    </row>
    <row r="1293" spans="1:33" ht="15.75" thickBot="1" x14ac:dyDescent="0.3">
      <c r="A1293" s="356">
        <v>145</v>
      </c>
      <c r="B1293" s="357">
        <v>46210</v>
      </c>
      <c r="C1293" s="358" t="s">
        <v>87</v>
      </c>
      <c r="D1293" s="359"/>
      <c r="E1293" s="360"/>
      <c r="F1293" s="361"/>
      <c r="G1293" s="213" t="str">
        <f>IFERROR(VLOOKUP(Tabla3[[#This Row],[NUM ECONOMICO]],MAQUINARIA!B:H,7,0), " MAQ")</f>
        <v>INACTIVA</v>
      </c>
      <c r="H1293" s="362" t="s">
        <v>1345</v>
      </c>
      <c r="I1293" s="363" t="s">
        <v>329</v>
      </c>
      <c r="J1293" s="358" t="s">
        <v>1961</v>
      </c>
      <c r="K1293" s="358">
        <v>1</v>
      </c>
      <c r="L1293" s="364">
        <v>209.61</v>
      </c>
      <c r="M1293" s="364">
        <f t="shared" si="23"/>
        <v>209.61</v>
      </c>
      <c r="N1293" s="41" t="s">
        <v>1990</v>
      </c>
      <c r="O1293" s="358"/>
      <c r="P1293" s="365">
        <f>Tabla3[[#This Row],[COSTO UNITARIO DOLARES EN HAWTHORNE]]*Tabla3[[#This Row],[CANTIDAD SOLICTADA]]</f>
        <v>0</v>
      </c>
      <c r="Q1293" s="41"/>
      <c r="R1293" s="229"/>
      <c r="S1293" s="229">
        <f>+Tabla3[[#This Row],[COSTO UNITARIO DOLARES CTP]]*Tabla3[[#This Row],[CANTIDAD SOLICTADA]]</f>
        <v>0</v>
      </c>
      <c r="T1293" s="41"/>
      <c r="U1293" s="358" t="s">
        <v>5</v>
      </c>
      <c r="V1293" s="360" t="s">
        <v>1993</v>
      </c>
      <c r="W1293" s="366"/>
      <c r="X1293" s="359"/>
      <c r="Y1293" s="358"/>
      <c r="Z1293" s="360"/>
      <c r="AA1293" s="360"/>
      <c r="AB1293" s="360"/>
      <c r="AC1293" s="360"/>
      <c r="AD1293" s="360"/>
      <c r="AE1293" s="360"/>
      <c r="AF1293" s="16"/>
      <c r="AG1293" s="367" t="s">
        <v>1992</v>
      </c>
    </row>
    <row r="1294" spans="1:33" ht="15.75" thickBot="1" x14ac:dyDescent="0.3">
      <c r="A1294" s="356">
        <v>145</v>
      </c>
      <c r="B1294" s="357">
        <v>46210</v>
      </c>
      <c r="C1294" s="358" t="s">
        <v>87</v>
      </c>
      <c r="D1294" s="359"/>
      <c r="E1294" s="360"/>
      <c r="F1294" s="361"/>
      <c r="G1294" s="213" t="str">
        <f>IFERROR(VLOOKUP(Tabla3[[#This Row],[NUM ECONOMICO]],MAQUINARIA!B:H,7,0), " MAQ")</f>
        <v>INACTIVA</v>
      </c>
      <c r="H1294" s="362" t="s">
        <v>1345</v>
      </c>
      <c r="I1294" s="363" t="s">
        <v>333</v>
      </c>
      <c r="J1294" s="358" t="s">
        <v>1971</v>
      </c>
      <c r="K1294" s="358">
        <v>1</v>
      </c>
      <c r="L1294" s="364">
        <v>28.28</v>
      </c>
      <c r="M1294" s="364">
        <f t="shared" si="23"/>
        <v>28.28</v>
      </c>
      <c r="N1294" s="41" t="s">
        <v>1990</v>
      </c>
      <c r="O1294" s="358"/>
      <c r="P1294" s="365">
        <f>Tabla3[[#This Row],[COSTO UNITARIO DOLARES EN HAWTHORNE]]*Tabla3[[#This Row],[CANTIDAD SOLICTADA]]</f>
        <v>0</v>
      </c>
      <c r="Q1294" s="41"/>
      <c r="R1294" s="229"/>
      <c r="S1294" s="229">
        <f>+Tabla3[[#This Row],[COSTO UNITARIO DOLARES CTP]]*Tabla3[[#This Row],[CANTIDAD SOLICTADA]]</f>
        <v>0</v>
      </c>
      <c r="T1294" s="41"/>
      <c r="U1294" s="358" t="s">
        <v>5</v>
      </c>
      <c r="V1294" s="360" t="s">
        <v>1993</v>
      </c>
      <c r="W1294" s="366"/>
      <c r="X1294" s="359"/>
      <c r="Y1294" s="358"/>
      <c r="Z1294" s="360"/>
      <c r="AA1294" s="360"/>
      <c r="AB1294" s="360"/>
      <c r="AC1294" s="360"/>
      <c r="AD1294" s="360"/>
      <c r="AE1294" s="360"/>
      <c r="AF1294" s="16"/>
      <c r="AG1294" s="367" t="s">
        <v>1992</v>
      </c>
    </row>
    <row r="1295" spans="1:33" ht="15.75" thickBot="1" x14ac:dyDescent="0.3">
      <c r="A1295" s="356">
        <v>145</v>
      </c>
      <c r="B1295" s="357">
        <v>46210</v>
      </c>
      <c r="C1295" s="358" t="s">
        <v>87</v>
      </c>
      <c r="D1295" s="359"/>
      <c r="E1295" s="360"/>
      <c r="F1295" s="361"/>
      <c r="G1295" s="213" t="str">
        <f>IFERROR(VLOOKUP(Tabla3[[#This Row],[NUM ECONOMICO]],MAQUINARIA!B:H,7,0), " MAQ")</f>
        <v>INACTIVA</v>
      </c>
      <c r="H1295" s="362" t="s">
        <v>1345</v>
      </c>
      <c r="I1295" s="363" t="s">
        <v>1931</v>
      </c>
      <c r="J1295" s="358" t="s">
        <v>1978</v>
      </c>
      <c r="K1295" s="358">
        <v>1</v>
      </c>
      <c r="L1295" s="364">
        <v>85.38</v>
      </c>
      <c r="M1295" s="364">
        <f t="shared" si="23"/>
        <v>85.38</v>
      </c>
      <c r="N1295" s="41" t="s">
        <v>1990</v>
      </c>
      <c r="O1295" s="358"/>
      <c r="P1295" s="365">
        <f>Tabla3[[#This Row],[COSTO UNITARIO DOLARES EN HAWTHORNE]]*Tabla3[[#This Row],[CANTIDAD SOLICTADA]]</f>
        <v>0</v>
      </c>
      <c r="Q1295" s="41"/>
      <c r="R1295" s="229"/>
      <c r="S1295" s="229">
        <f>+Tabla3[[#This Row],[COSTO UNITARIO DOLARES CTP]]*Tabla3[[#This Row],[CANTIDAD SOLICTADA]]</f>
        <v>0</v>
      </c>
      <c r="T1295" s="41"/>
      <c r="U1295" s="358" t="s">
        <v>5</v>
      </c>
      <c r="V1295" s="360" t="s">
        <v>1993</v>
      </c>
      <c r="W1295" s="366"/>
      <c r="X1295" s="359"/>
      <c r="Y1295" s="358"/>
      <c r="Z1295" s="360"/>
      <c r="AA1295" s="360"/>
      <c r="AB1295" s="360"/>
      <c r="AC1295" s="360"/>
      <c r="AD1295" s="360"/>
      <c r="AE1295" s="360"/>
      <c r="AF1295" s="16"/>
      <c r="AG1295" s="367" t="s">
        <v>1992</v>
      </c>
    </row>
    <row r="1296" spans="1:33" ht="15.75" thickBot="1" x14ac:dyDescent="0.3">
      <c r="A1296" s="356">
        <v>145</v>
      </c>
      <c r="B1296" s="357">
        <v>46210</v>
      </c>
      <c r="C1296" s="358" t="s">
        <v>87</v>
      </c>
      <c r="D1296" s="359"/>
      <c r="E1296" s="360"/>
      <c r="F1296" s="361"/>
      <c r="G1296" s="213" t="str">
        <f>IFERROR(VLOOKUP(Tabla3[[#This Row],[NUM ECONOMICO]],MAQUINARIA!B:H,7,0), " MAQ")</f>
        <v>INACTIVA</v>
      </c>
      <c r="H1296" s="362" t="s">
        <v>1345</v>
      </c>
      <c r="I1296" s="363" t="s">
        <v>1932</v>
      </c>
      <c r="J1296" s="358" t="s">
        <v>1979</v>
      </c>
      <c r="K1296" s="358">
        <v>1</v>
      </c>
      <c r="L1296" s="364">
        <v>84.49</v>
      </c>
      <c r="M1296" s="364">
        <f t="shared" si="23"/>
        <v>84.49</v>
      </c>
      <c r="N1296" s="41" t="s">
        <v>1990</v>
      </c>
      <c r="O1296" s="358"/>
      <c r="P1296" s="365">
        <f>Tabla3[[#This Row],[COSTO UNITARIO DOLARES EN HAWTHORNE]]*Tabla3[[#This Row],[CANTIDAD SOLICTADA]]</f>
        <v>0</v>
      </c>
      <c r="Q1296" s="41"/>
      <c r="R1296" s="229"/>
      <c r="S1296" s="229">
        <f>+Tabla3[[#This Row],[COSTO UNITARIO DOLARES CTP]]*Tabla3[[#This Row],[CANTIDAD SOLICTADA]]</f>
        <v>0</v>
      </c>
      <c r="T1296" s="41"/>
      <c r="U1296" s="358" t="s">
        <v>5</v>
      </c>
      <c r="V1296" s="360" t="s">
        <v>1993</v>
      </c>
      <c r="W1296" s="366"/>
      <c r="X1296" s="359"/>
      <c r="Y1296" s="358"/>
      <c r="Z1296" s="360"/>
      <c r="AA1296" s="360"/>
      <c r="AB1296" s="360"/>
      <c r="AC1296" s="360"/>
      <c r="AD1296" s="360"/>
      <c r="AE1296" s="360"/>
      <c r="AF1296" s="16"/>
      <c r="AG1296" s="367" t="s">
        <v>1992</v>
      </c>
    </row>
    <row r="1297" spans="1:33" ht="15.75" thickBot="1" x14ac:dyDescent="0.3">
      <c r="A1297" s="356">
        <v>145</v>
      </c>
      <c r="B1297" s="357">
        <v>46210</v>
      </c>
      <c r="C1297" s="358" t="s">
        <v>87</v>
      </c>
      <c r="D1297" s="359"/>
      <c r="E1297" s="360"/>
      <c r="F1297" s="361"/>
      <c r="G1297" s="213" t="str">
        <f>IFERROR(VLOOKUP(Tabla3[[#This Row],[NUM ECONOMICO]],MAQUINARIA!B:H,7,0), " MAQ")</f>
        <v>INACTIVA</v>
      </c>
      <c r="H1297" s="362" t="s">
        <v>1345</v>
      </c>
      <c r="I1297" s="363" t="s">
        <v>338</v>
      </c>
      <c r="J1297" s="358" t="s">
        <v>1961</v>
      </c>
      <c r="K1297" s="358">
        <v>4</v>
      </c>
      <c r="L1297" s="364">
        <v>130.49</v>
      </c>
      <c r="M1297" s="364">
        <f t="shared" ref="M1297:M1326" si="24">+L1297*K1297</f>
        <v>521.96</v>
      </c>
      <c r="N1297" s="41" t="s">
        <v>1990</v>
      </c>
      <c r="O1297" s="358"/>
      <c r="P1297" s="365">
        <f>Tabla3[[#This Row],[COSTO UNITARIO DOLARES EN HAWTHORNE]]*Tabla3[[#This Row],[CANTIDAD SOLICTADA]]</f>
        <v>0</v>
      </c>
      <c r="Q1297" s="41"/>
      <c r="R1297" s="229"/>
      <c r="S1297" s="229">
        <f>+Tabla3[[#This Row],[COSTO UNITARIO DOLARES CTP]]*Tabla3[[#This Row],[CANTIDAD SOLICTADA]]</f>
        <v>0</v>
      </c>
      <c r="T1297" s="41"/>
      <c r="U1297" s="358" t="s">
        <v>5</v>
      </c>
      <c r="V1297" s="360" t="s">
        <v>1993</v>
      </c>
      <c r="W1297" s="366"/>
      <c r="X1297" s="359"/>
      <c r="Y1297" s="358"/>
      <c r="Z1297" s="360"/>
      <c r="AA1297" s="360"/>
      <c r="AB1297" s="360"/>
      <c r="AC1297" s="360"/>
      <c r="AD1297" s="360"/>
      <c r="AE1297" s="360"/>
      <c r="AF1297" s="16"/>
      <c r="AG1297" s="367" t="s">
        <v>1992</v>
      </c>
    </row>
    <row r="1298" spans="1:33" ht="15.75" thickBot="1" x14ac:dyDescent="0.3">
      <c r="A1298" s="356">
        <v>145</v>
      </c>
      <c r="B1298" s="357">
        <v>46210</v>
      </c>
      <c r="C1298" s="358" t="s">
        <v>87</v>
      </c>
      <c r="D1298" s="359"/>
      <c r="E1298" s="360"/>
      <c r="F1298" s="361"/>
      <c r="G1298" s="213" t="str">
        <f>IFERROR(VLOOKUP(Tabla3[[#This Row],[NUM ECONOMICO]],MAQUINARIA!B:H,7,0), " MAQ")</f>
        <v>INACTIVA</v>
      </c>
      <c r="H1298" s="362" t="s">
        <v>1345</v>
      </c>
      <c r="I1298" s="363" t="s">
        <v>1933</v>
      </c>
      <c r="J1298" s="358" t="s">
        <v>1961</v>
      </c>
      <c r="K1298" s="358">
        <v>4</v>
      </c>
      <c r="L1298" s="364">
        <v>116.89</v>
      </c>
      <c r="M1298" s="364">
        <f t="shared" si="24"/>
        <v>467.56</v>
      </c>
      <c r="N1298" s="41" t="s">
        <v>1990</v>
      </c>
      <c r="O1298" s="358"/>
      <c r="P1298" s="365">
        <f>Tabla3[[#This Row],[COSTO UNITARIO DOLARES EN HAWTHORNE]]*Tabla3[[#This Row],[CANTIDAD SOLICTADA]]</f>
        <v>0</v>
      </c>
      <c r="Q1298" s="41"/>
      <c r="R1298" s="229"/>
      <c r="S1298" s="229">
        <f>+Tabla3[[#This Row],[COSTO UNITARIO DOLARES CTP]]*Tabla3[[#This Row],[CANTIDAD SOLICTADA]]</f>
        <v>0</v>
      </c>
      <c r="T1298" s="41"/>
      <c r="U1298" s="358" t="s">
        <v>5</v>
      </c>
      <c r="V1298" s="360" t="s">
        <v>1993</v>
      </c>
      <c r="W1298" s="366"/>
      <c r="X1298" s="359"/>
      <c r="Y1298" s="358"/>
      <c r="Z1298" s="360"/>
      <c r="AA1298" s="360"/>
      <c r="AB1298" s="360"/>
      <c r="AC1298" s="360"/>
      <c r="AD1298" s="360"/>
      <c r="AE1298" s="360"/>
      <c r="AF1298" s="16"/>
      <c r="AG1298" s="367" t="s">
        <v>1992</v>
      </c>
    </row>
    <row r="1299" spans="1:33" ht="15.75" thickBot="1" x14ac:dyDescent="0.3">
      <c r="A1299" s="356">
        <v>145</v>
      </c>
      <c r="B1299" s="357">
        <v>46210</v>
      </c>
      <c r="C1299" s="358" t="s">
        <v>87</v>
      </c>
      <c r="D1299" s="359"/>
      <c r="E1299" s="360"/>
      <c r="F1299" s="361"/>
      <c r="G1299" s="213" t="str">
        <f>IFERROR(VLOOKUP(Tabla3[[#This Row],[NUM ECONOMICO]],MAQUINARIA!B:H,7,0), " MAQ")</f>
        <v>INACTIVA</v>
      </c>
      <c r="H1299" s="362" t="s">
        <v>1345</v>
      </c>
      <c r="I1299" s="363" t="s">
        <v>1934</v>
      </c>
      <c r="J1299" s="358" t="s">
        <v>546</v>
      </c>
      <c r="K1299" s="358">
        <v>1</v>
      </c>
      <c r="L1299" s="364">
        <v>171.3</v>
      </c>
      <c r="M1299" s="364">
        <f t="shared" si="24"/>
        <v>171.3</v>
      </c>
      <c r="N1299" s="41" t="s">
        <v>1990</v>
      </c>
      <c r="O1299" s="358"/>
      <c r="P1299" s="365">
        <f>Tabla3[[#This Row],[COSTO UNITARIO DOLARES EN HAWTHORNE]]*Tabla3[[#This Row],[CANTIDAD SOLICTADA]]</f>
        <v>0</v>
      </c>
      <c r="Q1299" s="41"/>
      <c r="R1299" s="229"/>
      <c r="S1299" s="229">
        <f>+Tabla3[[#This Row],[COSTO UNITARIO DOLARES CTP]]*Tabla3[[#This Row],[CANTIDAD SOLICTADA]]</f>
        <v>0</v>
      </c>
      <c r="T1299" s="41"/>
      <c r="U1299" s="358" t="s">
        <v>5</v>
      </c>
      <c r="V1299" s="360" t="s">
        <v>1993</v>
      </c>
      <c r="W1299" s="366"/>
      <c r="X1299" s="359"/>
      <c r="Y1299" s="358"/>
      <c r="Z1299" s="360"/>
      <c r="AA1299" s="360"/>
      <c r="AB1299" s="360"/>
      <c r="AC1299" s="360"/>
      <c r="AD1299" s="360"/>
      <c r="AE1299" s="360"/>
      <c r="AF1299" s="16"/>
      <c r="AG1299" s="367" t="s">
        <v>1992</v>
      </c>
    </row>
    <row r="1300" spans="1:33" ht="15.75" thickBot="1" x14ac:dyDescent="0.3">
      <c r="A1300" s="356">
        <v>145</v>
      </c>
      <c r="B1300" s="357">
        <v>46210</v>
      </c>
      <c r="C1300" s="358" t="s">
        <v>87</v>
      </c>
      <c r="D1300" s="359"/>
      <c r="E1300" s="360"/>
      <c r="F1300" s="361"/>
      <c r="G1300" s="213" t="str">
        <f>IFERROR(VLOOKUP(Tabla3[[#This Row],[NUM ECONOMICO]],MAQUINARIA!B:H,7,0), " MAQ")</f>
        <v>INACTIVA</v>
      </c>
      <c r="H1300" s="362" t="s">
        <v>1345</v>
      </c>
      <c r="I1300" s="363" t="s">
        <v>1935</v>
      </c>
      <c r="J1300" s="358" t="s">
        <v>546</v>
      </c>
      <c r="K1300" s="358">
        <v>1</v>
      </c>
      <c r="L1300" s="364">
        <v>113.13</v>
      </c>
      <c r="M1300" s="364">
        <f t="shared" si="24"/>
        <v>113.13</v>
      </c>
      <c r="N1300" s="41" t="s">
        <v>1990</v>
      </c>
      <c r="O1300" s="358"/>
      <c r="P1300" s="365">
        <f>Tabla3[[#This Row],[COSTO UNITARIO DOLARES EN HAWTHORNE]]*Tabla3[[#This Row],[CANTIDAD SOLICTADA]]</f>
        <v>0</v>
      </c>
      <c r="Q1300" s="41"/>
      <c r="R1300" s="229"/>
      <c r="S1300" s="229">
        <f>+Tabla3[[#This Row],[COSTO UNITARIO DOLARES CTP]]*Tabla3[[#This Row],[CANTIDAD SOLICTADA]]</f>
        <v>0</v>
      </c>
      <c r="T1300" s="41"/>
      <c r="U1300" s="358" t="s">
        <v>5</v>
      </c>
      <c r="V1300" s="360" t="s">
        <v>1993</v>
      </c>
      <c r="W1300" s="366"/>
      <c r="X1300" s="359"/>
      <c r="Y1300" s="358"/>
      <c r="Z1300" s="360"/>
      <c r="AA1300" s="360"/>
      <c r="AB1300" s="360"/>
      <c r="AC1300" s="360"/>
      <c r="AD1300" s="360"/>
      <c r="AE1300" s="360"/>
      <c r="AF1300" s="16"/>
      <c r="AG1300" s="367" t="s">
        <v>1992</v>
      </c>
    </row>
    <row r="1301" spans="1:33" ht="15.75" thickBot="1" x14ac:dyDescent="0.3">
      <c r="A1301" s="356">
        <v>145</v>
      </c>
      <c r="B1301" s="357">
        <v>46210</v>
      </c>
      <c r="C1301" s="358" t="s">
        <v>87</v>
      </c>
      <c r="D1301" s="359"/>
      <c r="E1301" s="360"/>
      <c r="F1301" s="361"/>
      <c r="G1301" s="213" t="str">
        <f>IFERROR(VLOOKUP(Tabla3[[#This Row],[NUM ECONOMICO]],MAQUINARIA!B:H,7,0), " MAQ")</f>
        <v>INACTIVA</v>
      </c>
      <c r="H1301" s="362" t="s">
        <v>1345</v>
      </c>
      <c r="I1301" s="363" t="s">
        <v>266</v>
      </c>
      <c r="J1301" s="358" t="s">
        <v>1961</v>
      </c>
      <c r="K1301" s="358">
        <v>6</v>
      </c>
      <c r="L1301" s="364">
        <v>153.76</v>
      </c>
      <c r="M1301" s="364">
        <f t="shared" si="24"/>
        <v>922.56</v>
      </c>
      <c r="N1301" s="41" t="s">
        <v>1990</v>
      </c>
      <c r="O1301" s="358"/>
      <c r="P1301" s="365">
        <f>Tabla3[[#This Row],[COSTO UNITARIO DOLARES EN HAWTHORNE]]*Tabla3[[#This Row],[CANTIDAD SOLICTADA]]</f>
        <v>0</v>
      </c>
      <c r="Q1301" s="41"/>
      <c r="R1301" s="229"/>
      <c r="S1301" s="229">
        <f>+Tabla3[[#This Row],[COSTO UNITARIO DOLARES CTP]]*Tabla3[[#This Row],[CANTIDAD SOLICTADA]]</f>
        <v>0</v>
      </c>
      <c r="T1301" s="41"/>
      <c r="U1301" s="358" t="s">
        <v>5</v>
      </c>
      <c r="V1301" s="360" t="s">
        <v>1993</v>
      </c>
      <c r="W1301" s="366"/>
      <c r="X1301" s="359"/>
      <c r="Y1301" s="358"/>
      <c r="Z1301" s="360"/>
      <c r="AA1301" s="360"/>
      <c r="AB1301" s="360"/>
      <c r="AC1301" s="360"/>
      <c r="AD1301" s="360"/>
      <c r="AE1301" s="360"/>
      <c r="AF1301" s="16"/>
      <c r="AG1301" s="367" t="s">
        <v>1992</v>
      </c>
    </row>
    <row r="1302" spans="1:33" ht="15.75" thickBot="1" x14ac:dyDescent="0.3">
      <c r="A1302" s="356">
        <v>145</v>
      </c>
      <c r="B1302" s="357">
        <v>46210</v>
      </c>
      <c r="C1302" s="358" t="s">
        <v>87</v>
      </c>
      <c r="D1302" s="359"/>
      <c r="E1302" s="360"/>
      <c r="F1302" s="361"/>
      <c r="G1302" s="213" t="str">
        <f>IFERROR(VLOOKUP(Tabla3[[#This Row],[NUM ECONOMICO]],MAQUINARIA!B:H,7,0), " MAQ")</f>
        <v>INACTIVA</v>
      </c>
      <c r="H1302" s="362" t="s">
        <v>1345</v>
      </c>
      <c r="I1302" s="363" t="s">
        <v>1936</v>
      </c>
      <c r="J1302" s="358" t="s">
        <v>1974</v>
      </c>
      <c r="K1302" s="358">
        <v>1</v>
      </c>
      <c r="L1302" s="364">
        <v>50.48</v>
      </c>
      <c r="M1302" s="364">
        <f t="shared" si="24"/>
        <v>50.48</v>
      </c>
      <c r="N1302" s="41" t="s">
        <v>1990</v>
      </c>
      <c r="O1302" s="358"/>
      <c r="P1302" s="365">
        <f>Tabla3[[#This Row],[COSTO UNITARIO DOLARES EN HAWTHORNE]]*Tabla3[[#This Row],[CANTIDAD SOLICTADA]]</f>
        <v>0</v>
      </c>
      <c r="Q1302" s="41"/>
      <c r="R1302" s="229"/>
      <c r="S1302" s="229">
        <f>+Tabla3[[#This Row],[COSTO UNITARIO DOLARES CTP]]*Tabla3[[#This Row],[CANTIDAD SOLICTADA]]</f>
        <v>0</v>
      </c>
      <c r="T1302" s="41"/>
      <c r="U1302" s="358" t="s">
        <v>5</v>
      </c>
      <c r="V1302" s="360" t="s">
        <v>1993</v>
      </c>
      <c r="W1302" s="366"/>
      <c r="X1302" s="359"/>
      <c r="Y1302" s="358"/>
      <c r="Z1302" s="360"/>
      <c r="AA1302" s="360"/>
      <c r="AB1302" s="360"/>
      <c r="AC1302" s="360"/>
      <c r="AD1302" s="360"/>
      <c r="AE1302" s="360"/>
      <c r="AF1302" s="16"/>
      <c r="AG1302" s="367" t="s">
        <v>1992</v>
      </c>
    </row>
    <row r="1303" spans="1:33" ht="15.75" thickBot="1" x14ac:dyDescent="0.3">
      <c r="A1303" s="356">
        <v>145</v>
      </c>
      <c r="B1303" s="357">
        <v>46210</v>
      </c>
      <c r="C1303" s="358" t="s">
        <v>87</v>
      </c>
      <c r="D1303" s="359"/>
      <c r="E1303" s="360"/>
      <c r="F1303" s="361"/>
      <c r="G1303" s="213" t="str">
        <f>IFERROR(VLOOKUP(Tabla3[[#This Row],[NUM ECONOMICO]],MAQUINARIA!B:H,7,0), " MAQ")</f>
        <v>INACTIVA</v>
      </c>
      <c r="H1303" s="362" t="s">
        <v>1345</v>
      </c>
      <c r="I1303" s="363" t="s">
        <v>329</v>
      </c>
      <c r="J1303" s="358" t="s">
        <v>1961</v>
      </c>
      <c r="K1303" s="358">
        <v>1</v>
      </c>
      <c r="L1303" s="364">
        <v>209.61</v>
      </c>
      <c r="M1303" s="364">
        <f t="shared" si="24"/>
        <v>209.61</v>
      </c>
      <c r="N1303" s="41" t="s">
        <v>1990</v>
      </c>
      <c r="O1303" s="358"/>
      <c r="P1303" s="365">
        <f>Tabla3[[#This Row],[COSTO UNITARIO DOLARES EN HAWTHORNE]]*Tabla3[[#This Row],[CANTIDAD SOLICTADA]]</f>
        <v>0</v>
      </c>
      <c r="Q1303" s="41"/>
      <c r="R1303" s="229"/>
      <c r="S1303" s="229">
        <f>+Tabla3[[#This Row],[COSTO UNITARIO DOLARES CTP]]*Tabla3[[#This Row],[CANTIDAD SOLICTADA]]</f>
        <v>0</v>
      </c>
      <c r="T1303" s="41"/>
      <c r="U1303" s="358" t="s">
        <v>5</v>
      </c>
      <c r="V1303" s="360" t="s">
        <v>1993</v>
      </c>
      <c r="W1303" s="366"/>
      <c r="X1303" s="359"/>
      <c r="Y1303" s="358"/>
      <c r="Z1303" s="360"/>
      <c r="AA1303" s="360"/>
      <c r="AB1303" s="360"/>
      <c r="AC1303" s="360"/>
      <c r="AD1303" s="360"/>
      <c r="AE1303" s="360"/>
      <c r="AF1303" s="16"/>
      <c r="AG1303" s="367" t="s">
        <v>1992</v>
      </c>
    </row>
    <row r="1304" spans="1:33" ht="15.75" thickBot="1" x14ac:dyDescent="0.3">
      <c r="A1304" s="356">
        <v>145</v>
      </c>
      <c r="B1304" s="357">
        <v>46210</v>
      </c>
      <c r="C1304" s="358" t="s">
        <v>87</v>
      </c>
      <c r="D1304" s="359"/>
      <c r="E1304" s="360"/>
      <c r="F1304" s="361"/>
      <c r="G1304" s="213" t="str">
        <f>IFERROR(VLOOKUP(Tabla3[[#This Row],[NUM ECONOMICO]],MAQUINARIA!B:H,7,0), " MAQ")</f>
        <v>INACTIVA</v>
      </c>
      <c r="H1304" s="362" t="s">
        <v>1345</v>
      </c>
      <c r="I1304" s="363" t="s">
        <v>1937</v>
      </c>
      <c r="J1304" s="358" t="s">
        <v>1980</v>
      </c>
      <c r="K1304" s="358">
        <v>1</v>
      </c>
      <c r="L1304" s="364">
        <v>42353.91</v>
      </c>
      <c r="M1304" s="364">
        <f t="shared" si="24"/>
        <v>42353.91</v>
      </c>
      <c r="N1304" s="41" t="s">
        <v>1990</v>
      </c>
      <c r="O1304" s="358"/>
      <c r="P1304" s="365">
        <f>Tabla3[[#This Row],[COSTO UNITARIO DOLARES EN HAWTHORNE]]*Tabla3[[#This Row],[CANTIDAD SOLICTADA]]</f>
        <v>0</v>
      </c>
      <c r="Q1304" s="41"/>
      <c r="R1304" s="229"/>
      <c r="S1304" s="229">
        <f>+Tabla3[[#This Row],[COSTO UNITARIO DOLARES CTP]]*Tabla3[[#This Row],[CANTIDAD SOLICTADA]]</f>
        <v>0</v>
      </c>
      <c r="T1304" s="41"/>
      <c r="U1304" s="358" t="s">
        <v>5</v>
      </c>
      <c r="V1304" s="360" t="s">
        <v>1993</v>
      </c>
      <c r="W1304" s="366"/>
      <c r="X1304" s="359"/>
      <c r="Y1304" s="358"/>
      <c r="Z1304" s="360"/>
      <c r="AA1304" s="360"/>
      <c r="AB1304" s="360"/>
      <c r="AC1304" s="360"/>
      <c r="AD1304" s="360"/>
      <c r="AE1304" s="360"/>
      <c r="AF1304" s="16"/>
      <c r="AG1304" s="367" t="s">
        <v>1992</v>
      </c>
    </row>
    <row r="1305" spans="1:33" ht="15.75" thickBot="1" x14ac:dyDescent="0.3">
      <c r="A1305" s="356">
        <v>145</v>
      </c>
      <c r="B1305" s="357">
        <v>46210</v>
      </c>
      <c r="C1305" s="358" t="s">
        <v>87</v>
      </c>
      <c r="D1305" s="359"/>
      <c r="E1305" s="360"/>
      <c r="F1305" s="361"/>
      <c r="G1305" s="213" t="str">
        <f>IFERROR(VLOOKUP(Tabla3[[#This Row],[NUM ECONOMICO]],MAQUINARIA!B:H,7,0), " MAQ")</f>
        <v>INACTIVA</v>
      </c>
      <c r="H1305" s="362" t="s">
        <v>1345</v>
      </c>
      <c r="I1305" s="363" t="s">
        <v>1938</v>
      </c>
      <c r="J1305" s="358" t="s">
        <v>1979</v>
      </c>
      <c r="K1305" s="358">
        <v>1</v>
      </c>
      <c r="L1305" s="364">
        <v>464.15</v>
      </c>
      <c r="M1305" s="364">
        <f t="shared" si="24"/>
        <v>464.15</v>
      </c>
      <c r="N1305" s="41" t="s">
        <v>1990</v>
      </c>
      <c r="O1305" s="358"/>
      <c r="P1305" s="365">
        <f>Tabla3[[#This Row],[COSTO UNITARIO DOLARES EN HAWTHORNE]]*Tabla3[[#This Row],[CANTIDAD SOLICTADA]]</f>
        <v>0</v>
      </c>
      <c r="Q1305" s="41"/>
      <c r="R1305" s="229"/>
      <c r="S1305" s="229">
        <f>+Tabla3[[#This Row],[COSTO UNITARIO DOLARES CTP]]*Tabla3[[#This Row],[CANTIDAD SOLICTADA]]</f>
        <v>0</v>
      </c>
      <c r="T1305" s="41"/>
      <c r="U1305" s="358" t="s">
        <v>5</v>
      </c>
      <c r="V1305" s="360" t="s">
        <v>1993</v>
      </c>
      <c r="W1305" s="366"/>
      <c r="X1305" s="359"/>
      <c r="Y1305" s="358"/>
      <c r="Z1305" s="360"/>
      <c r="AA1305" s="360"/>
      <c r="AB1305" s="360"/>
      <c r="AC1305" s="360"/>
      <c r="AD1305" s="360"/>
      <c r="AE1305" s="360"/>
      <c r="AF1305" s="16"/>
      <c r="AG1305" s="367" t="s">
        <v>1992</v>
      </c>
    </row>
    <row r="1306" spans="1:33" ht="15.75" thickBot="1" x14ac:dyDescent="0.3">
      <c r="A1306" s="356">
        <v>145</v>
      </c>
      <c r="B1306" s="357">
        <v>46210</v>
      </c>
      <c r="C1306" s="358" t="s">
        <v>87</v>
      </c>
      <c r="D1306" s="359"/>
      <c r="E1306" s="360"/>
      <c r="F1306" s="361"/>
      <c r="G1306" s="213" t="str">
        <f>IFERROR(VLOOKUP(Tabla3[[#This Row],[NUM ECONOMICO]],MAQUINARIA!B:H,7,0), " MAQ")</f>
        <v>INACTIVA</v>
      </c>
      <c r="H1306" s="362" t="s">
        <v>1345</v>
      </c>
      <c r="I1306" s="363" t="s">
        <v>1939</v>
      </c>
      <c r="J1306" s="358" t="s">
        <v>1979</v>
      </c>
      <c r="K1306" s="358">
        <v>1</v>
      </c>
      <c r="L1306" s="364">
        <v>85.38</v>
      </c>
      <c r="M1306" s="364">
        <f t="shared" si="24"/>
        <v>85.38</v>
      </c>
      <c r="N1306" s="41" t="s">
        <v>1990</v>
      </c>
      <c r="O1306" s="358"/>
      <c r="P1306" s="365">
        <f>Tabla3[[#This Row],[COSTO UNITARIO DOLARES EN HAWTHORNE]]*Tabla3[[#This Row],[CANTIDAD SOLICTADA]]</f>
        <v>0</v>
      </c>
      <c r="Q1306" s="41"/>
      <c r="R1306" s="229"/>
      <c r="S1306" s="229">
        <f>+Tabla3[[#This Row],[COSTO UNITARIO DOLARES CTP]]*Tabla3[[#This Row],[CANTIDAD SOLICTADA]]</f>
        <v>0</v>
      </c>
      <c r="T1306" s="41"/>
      <c r="U1306" s="358" t="s">
        <v>5</v>
      </c>
      <c r="V1306" s="360" t="s">
        <v>1993</v>
      </c>
      <c r="W1306" s="366"/>
      <c r="X1306" s="359"/>
      <c r="Y1306" s="358"/>
      <c r="Z1306" s="360"/>
      <c r="AA1306" s="360"/>
      <c r="AB1306" s="360"/>
      <c r="AC1306" s="360"/>
      <c r="AD1306" s="360"/>
      <c r="AE1306" s="360"/>
      <c r="AF1306" s="16"/>
      <c r="AG1306" s="367" t="s">
        <v>1992</v>
      </c>
    </row>
    <row r="1307" spans="1:33" ht="15.75" thickBot="1" x14ac:dyDescent="0.3">
      <c r="A1307" s="356">
        <v>145</v>
      </c>
      <c r="B1307" s="357">
        <v>46210</v>
      </c>
      <c r="C1307" s="358" t="s">
        <v>87</v>
      </c>
      <c r="D1307" s="359"/>
      <c r="E1307" s="360"/>
      <c r="F1307" s="361"/>
      <c r="G1307" s="213" t="str">
        <f>IFERROR(VLOOKUP(Tabla3[[#This Row],[NUM ECONOMICO]],MAQUINARIA!B:H,7,0), " MAQ")</f>
        <v>INACTIVA</v>
      </c>
      <c r="H1307" s="362" t="s">
        <v>1345</v>
      </c>
      <c r="I1307" s="363" t="s">
        <v>1940</v>
      </c>
      <c r="J1307" s="358" t="s">
        <v>1979</v>
      </c>
      <c r="K1307" s="358">
        <v>1</v>
      </c>
      <c r="L1307" s="364">
        <v>56.74</v>
      </c>
      <c r="M1307" s="364">
        <f t="shared" si="24"/>
        <v>56.74</v>
      </c>
      <c r="N1307" s="41" t="s">
        <v>1990</v>
      </c>
      <c r="O1307" s="358"/>
      <c r="P1307" s="365">
        <f>Tabla3[[#This Row],[COSTO UNITARIO DOLARES EN HAWTHORNE]]*Tabla3[[#This Row],[CANTIDAD SOLICTADA]]</f>
        <v>0</v>
      </c>
      <c r="Q1307" s="41"/>
      <c r="R1307" s="229"/>
      <c r="S1307" s="229">
        <f>+Tabla3[[#This Row],[COSTO UNITARIO DOLARES CTP]]*Tabla3[[#This Row],[CANTIDAD SOLICTADA]]</f>
        <v>0</v>
      </c>
      <c r="T1307" s="41"/>
      <c r="U1307" s="358" t="s">
        <v>5</v>
      </c>
      <c r="V1307" s="360" t="s">
        <v>1993</v>
      </c>
      <c r="W1307" s="366"/>
      <c r="X1307" s="359"/>
      <c r="Y1307" s="358"/>
      <c r="Z1307" s="360"/>
      <c r="AA1307" s="360"/>
      <c r="AB1307" s="360"/>
      <c r="AC1307" s="360"/>
      <c r="AD1307" s="360"/>
      <c r="AE1307" s="360"/>
      <c r="AF1307" s="16"/>
      <c r="AG1307" s="367" t="s">
        <v>1992</v>
      </c>
    </row>
    <row r="1308" spans="1:33" ht="15.75" thickBot="1" x14ac:dyDescent="0.3">
      <c r="A1308" s="356">
        <v>145</v>
      </c>
      <c r="B1308" s="357">
        <v>46210</v>
      </c>
      <c r="C1308" s="358" t="s">
        <v>87</v>
      </c>
      <c r="D1308" s="359"/>
      <c r="E1308" s="360"/>
      <c r="F1308" s="361"/>
      <c r="G1308" s="213" t="str">
        <f>IFERROR(VLOOKUP(Tabla3[[#This Row],[NUM ECONOMICO]],MAQUINARIA!B:H,7,0), " MAQ")</f>
        <v>INACTIVA</v>
      </c>
      <c r="H1308" s="362" t="s">
        <v>1345</v>
      </c>
      <c r="I1308" s="363" t="s">
        <v>1941</v>
      </c>
      <c r="J1308" s="358" t="s">
        <v>1979</v>
      </c>
      <c r="K1308" s="358">
        <v>1</v>
      </c>
      <c r="L1308" s="364">
        <v>280.85000000000002</v>
      </c>
      <c r="M1308" s="364">
        <f t="shared" si="24"/>
        <v>280.85000000000002</v>
      </c>
      <c r="N1308" s="41" t="s">
        <v>1990</v>
      </c>
      <c r="O1308" s="358"/>
      <c r="P1308" s="365">
        <f>Tabla3[[#This Row],[COSTO UNITARIO DOLARES EN HAWTHORNE]]*Tabla3[[#This Row],[CANTIDAD SOLICTADA]]</f>
        <v>0</v>
      </c>
      <c r="Q1308" s="41"/>
      <c r="R1308" s="229"/>
      <c r="S1308" s="229">
        <f>+Tabla3[[#This Row],[COSTO UNITARIO DOLARES CTP]]*Tabla3[[#This Row],[CANTIDAD SOLICTADA]]</f>
        <v>0</v>
      </c>
      <c r="T1308" s="41"/>
      <c r="U1308" s="358" t="s">
        <v>5</v>
      </c>
      <c r="V1308" s="360" t="s">
        <v>1993</v>
      </c>
      <c r="W1308" s="366"/>
      <c r="X1308" s="359"/>
      <c r="Y1308" s="358"/>
      <c r="Z1308" s="360"/>
      <c r="AA1308" s="360"/>
      <c r="AB1308" s="360"/>
      <c r="AC1308" s="360"/>
      <c r="AD1308" s="360"/>
      <c r="AE1308" s="360"/>
      <c r="AF1308" s="16"/>
      <c r="AG1308" s="367" t="s">
        <v>1992</v>
      </c>
    </row>
    <row r="1309" spans="1:33" ht="15.75" thickBot="1" x14ac:dyDescent="0.3">
      <c r="A1309" s="356">
        <v>145</v>
      </c>
      <c r="B1309" s="357">
        <v>46210</v>
      </c>
      <c r="C1309" s="358" t="s">
        <v>87</v>
      </c>
      <c r="D1309" s="359"/>
      <c r="E1309" s="360"/>
      <c r="F1309" s="361"/>
      <c r="G1309" s="213" t="str">
        <f>IFERROR(VLOOKUP(Tabla3[[#This Row],[NUM ECONOMICO]],MAQUINARIA!B:H,7,0), " MAQ")</f>
        <v>INACTIVA</v>
      </c>
      <c r="H1309" s="362" t="s">
        <v>1345</v>
      </c>
      <c r="I1309" s="363" t="s">
        <v>1942</v>
      </c>
      <c r="J1309" s="358" t="s">
        <v>1809</v>
      </c>
      <c r="K1309" s="358">
        <v>2</v>
      </c>
      <c r="L1309" s="364">
        <v>1160.0999999999999</v>
      </c>
      <c r="M1309" s="364">
        <f t="shared" si="24"/>
        <v>2320.1999999999998</v>
      </c>
      <c r="N1309" s="41" t="s">
        <v>1990</v>
      </c>
      <c r="O1309" s="358"/>
      <c r="P1309" s="365">
        <f>Tabla3[[#This Row],[COSTO UNITARIO DOLARES EN HAWTHORNE]]*Tabla3[[#This Row],[CANTIDAD SOLICTADA]]</f>
        <v>0</v>
      </c>
      <c r="Q1309" s="41"/>
      <c r="R1309" s="229"/>
      <c r="S1309" s="229">
        <f>+Tabla3[[#This Row],[COSTO UNITARIO DOLARES CTP]]*Tabla3[[#This Row],[CANTIDAD SOLICTADA]]</f>
        <v>0</v>
      </c>
      <c r="T1309" s="41"/>
      <c r="U1309" s="358" t="s">
        <v>5</v>
      </c>
      <c r="V1309" s="360" t="s">
        <v>1993</v>
      </c>
      <c r="W1309" s="366"/>
      <c r="X1309" s="359"/>
      <c r="Y1309" s="358"/>
      <c r="Z1309" s="360"/>
      <c r="AA1309" s="360"/>
      <c r="AB1309" s="360"/>
      <c r="AC1309" s="360"/>
      <c r="AD1309" s="360"/>
      <c r="AE1309" s="360"/>
      <c r="AF1309" s="16"/>
      <c r="AG1309" s="367" t="s">
        <v>1992</v>
      </c>
    </row>
    <row r="1310" spans="1:33" ht="15.75" thickBot="1" x14ac:dyDescent="0.3">
      <c r="A1310" s="356">
        <v>145</v>
      </c>
      <c r="B1310" s="357">
        <v>46210</v>
      </c>
      <c r="C1310" s="358" t="s">
        <v>87</v>
      </c>
      <c r="D1310" s="359"/>
      <c r="E1310" s="360"/>
      <c r="F1310" s="361"/>
      <c r="G1310" s="213" t="str">
        <f>IFERROR(VLOOKUP(Tabla3[[#This Row],[NUM ECONOMICO]],MAQUINARIA!B:H,7,0), " MAQ")</f>
        <v>INACTIVA</v>
      </c>
      <c r="H1310" s="362" t="s">
        <v>1345</v>
      </c>
      <c r="I1310" s="363" t="s">
        <v>1943</v>
      </c>
      <c r="J1310" s="358" t="s">
        <v>1981</v>
      </c>
      <c r="K1310" s="358">
        <v>1</v>
      </c>
      <c r="L1310" s="364">
        <v>16391.21</v>
      </c>
      <c r="M1310" s="364">
        <f t="shared" si="24"/>
        <v>16391.21</v>
      </c>
      <c r="N1310" s="41" t="s">
        <v>1990</v>
      </c>
      <c r="O1310" s="358"/>
      <c r="P1310" s="365">
        <f>Tabla3[[#This Row],[COSTO UNITARIO DOLARES EN HAWTHORNE]]*Tabla3[[#This Row],[CANTIDAD SOLICTADA]]</f>
        <v>0</v>
      </c>
      <c r="Q1310" s="41"/>
      <c r="R1310" s="229"/>
      <c r="S1310" s="229">
        <f>+Tabla3[[#This Row],[COSTO UNITARIO DOLARES CTP]]*Tabla3[[#This Row],[CANTIDAD SOLICTADA]]</f>
        <v>0</v>
      </c>
      <c r="T1310" s="41"/>
      <c r="U1310" s="358" t="s">
        <v>5</v>
      </c>
      <c r="V1310" s="360" t="s">
        <v>1993</v>
      </c>
      <c r="W1310" s="366"/>
      <c r="X1310" s="359"/>
      <c r="Y1310" s="358"/>
      <c r="Z1310" s="360"/>
      <c r="AA1310" s="360"/>
      <c r="AB1310" s="360"/>
      <c r="AC1310" s="360"/>
      <c r="AD1310" s="360"/>
      <c r="AE1310" s="360"/>
      <c r="AF1310" s="16"/>
      <c r="AG1310" s="367" t="s">
        <v>1992</v>
      </c>
    </row>
    <row r="1311" spans="1:33" ht="15.75" thickBot="1" x14ac:dyDescent="0.3">
      <c r="A1311" s="356">
        <v>145</v>
      </c>
      <c r="B1311" s="357">
        <v>46210</v>
      </c>
      <c r="C1311" s="358" t="s">
        <v>87</v>
      </c>
      <c r="D1311" s="359"/>
      <c r="E1311" s="360"/>
      <c r="F1311" s="361"/>
      <c r="G1311" s="213" t="str">
        <f>IFERROR(VLOOKUP(Tabla3[[#This Row],[NUM ECONOMICO]],MAQUINARIA!B:H,7,0), " MAQ")</f>
        <v>INACTIVA</v>
      </c>
      <c r="H1311" s="362" t="s">
        <v>1345</v>
      </c>
      <c r="I1311" s="363" t="s">
        <v>1944</v>
      </c>
      <c r="J1311" s="358" t="s">
        <v>650</v>
      </c>
      <c r="K1311" s="358">
        <v>1</v>
      </c>
      <c r="L1311" s="364">
        <v>721.19</v>
      </c>
      <c r="M1311" s="364">
        <f t="shared" si="24"/>
        <v>721.19</v>
      </c>
      <c r="N1311" s="41" t="s">
        <v>1990</v>
      </c>
      <c r="O1311" s="358"/>
      <c r="P1311" s="365">
        <f>Tabla3[[#This Row],[COSTO UNITARIO DOLARES EN HAWTHORNE]]*Tabla3[[#This Row],[CANTIDAD SOLICTADA]]</f>
        <v>0</v>
      </c>
      <c r="Q1311" s="41"/>
      <c r="R1311" s="229"/>
      <c r="S1311" s="229">
        <f>+Tabla3[[#This Row],[COSTO UNITARIO DOLARES CTP]]*Tabla3[[#This Row],[CANTIDAD SOLICTADA]]</f>
        <v>0</v>
      </c>
      <c r="T1311" s="41"/>
      <c r="U1311" s="358" t="s">
        <v>5</v>
      </c>
      <c r="V1311" s="360" t="s">
        <v>1993</v>
      </c>
      <c r="W1311" s="366"/>
      <c r="X1311" s="359"/>
      <c r="Y1311" s="358"/>
      <c r="Z1311" s="360"/>
      <c r="AA1311" s="360"/>
      <c r="AB1311" s="360"/>
      <c r="AC1311" s="360"/>
      <c r="AD1311" s="360"/>
      <c r="AE1311" s="360"/>
      <c r="AF1311" s="16"/>
      <c r="AG1311" s="367" t="s">
        <v>1992</v>
      </c>
    </row>
    <row r="1312" spans="1:33" ht="15.75" thickBot="1" x14ac:dyDescent="0.3">
      <c r="A1312" s="356">
        <v>145</v>
      </c>
      <c r="B1312" s="357">
        <v>46210</v>
      </c>
      <c r="C1312" s="358" t="s">
        <v>87</v>
      </c>
      <c r="D1312" s="359"/>
      <c r="E1312" s="360"/>
      <c r="F1312" s="361"/>
      <c r="G1312" s="213" t="str">
        <f>IFERROR(VLOOKUP(Tabla3[[#This Row],[NUM ECONOMICO]],MAQUINARIA!B:H,7,0), " MAQ")</f>
        <v>INACTIVA</v>
      </c>
      <c r="H1312" s="362" t="s">
        <v>1345</v>
      </c>
      <c r="I1312" s="363" t="s">
        <v>1945</v>
      </c>
      <c r="J1312" s="358" t="s">
        <v>1982</v>
      </c>
      <c r="K1312" s="358">
        <v>1</v>
      </c>
      <c r="L1312" s="364">
        <v>202.09</v>
      </c>
      <c r="M1312" s="364">
        <f t="shared" si="24"/>
        <v>202.09</v>
      </c>
      <c r="N1312" s="41" t="s">
        <v>1990</v>
      </c>
      <c r="O1312" s="358"/>
      <c r="P1312" s="365">
        <f>Tabla3[[#This Row],[COSTO UNITARIO DOLARES EN HAWTHORNE]]*Tabla3[[#This Row],[CANTIDAD SOLICTADA]]</f>
        <v>0</v>
      </c>
      <c r="Q1312" s="41"/>
      <c r="R1312" s="229"/>
      <c r="S1312" s="229">
        <f>+Tabla3[[#This Row],[COSTO UNITARIO DOLARES CTP]]*Tabla3[[#This Row],[CANTIDAD SOLICTADA]]</f>
        <v>0</v>
      </c>
      <c r="T1312" s="41"/>
      <c r="U1312" s="358" t="s">
        <v>5</v>
      </c>
      <c r="V1312" s="360" t="s">
        <v>1993</v>
      </c>
      <c r="W1312" s="366"/>
      <c r="X1312" s="359"/>
      <c r="Y1312" s="358"/>
      <c r="Z1312" s="360"/>
      <c r="AA1312" s="360"/>
      <c r="AB1312" s="360"/>
      <c r="AC1312" s="360"/>
      <c r="AD1312" s="360"/>
      <c r="AE1312" s="360"/>
      <c r="AF1312" s="16"/>
      <c r="AG1312" s="367" t="s">
        <v>1992</v>
      </c>
    </row>
    <row r="1313" spans="1:33" ht="15.75" thickBot="1" x14ac:dyDescent="0.3">
      <c r="A1313" s="356">
        <v>145</v>
      </c>
      <c r="B1313" s="357">
        <v>46210</v>
      </c>
      <c r="C1313" s="358" t="s">
        <v>87</v>
      </c>
      <c r="D1313" s="359"/>
      <c r="E1313" s="360"/>
      <c r="F1313" s="361"/>
      <c r="G1313" s="213" t="str">
        <f>IFERROR(VLOOKUP(Tabla3[[#This Row],[NUM ECONOMICO]],MAQUINARIA!B:H,7,0), " MAQ")</f>
        <v>INACTIVA</v>
      </c>
      <c r="H1313" s="362" t="s">
        <v>1345</v>
      </c>
      <c r="I1313" s="363" t="s">
        <v>1946</v>
      </c>
      <c r="J1313" s="358" t="s">
        <v>1979</v>
      </c>
      <c r="K1313" s="358">
        <v>1</v>
      </c>
      <c r="L1313" s="364">
        <v>398.45</v>
      </c>
      <c r="M1313" s="364">
        <f t="shared" si="24"/>
        <v>398.45</v>
      </c>
      <c r="N1313" s="41" t="s">
        <v>1990</v>
      </c>
      <c r="O1313" s="358"/>
      <c r="P1313" s="365">
        <f>Tabla3[[#This Row],[COSTO UNITARIO DOLARES EN HAWTHORNE]]*Tabla3[[#This Row],[CANTIDAD SOLICTADA]]</f>
        <v>0</v>
      </c>
      <c r="Q1313" s="41"/>
      <c r="R1313" s="229"/>
      <c r="S1313" s="229">
        <f>+Tabla3[[#This Row],[COSTO UNITARIO DOLARES CTP]]*Tabla3[[#This Row],[CANTIDAD SOLICTADA]]</f>
        <v>0</v>
      </c>
      <c r="T1313" s="41"/>
      <c r="U1313" s="358" t="s">
        <v>5</v>
      </c>
      <c r="V1313" s="360" t="s">
        <v>1993</v>
      </c>
      <c r="W1313" s="366"/>
      <c r="X1313" s="359"/>
      <c r="Y1313" s="358"/>
      <c r="Z1313" s="360"/>
      <c r="AA1313" s="360"/>
      <c r="AB1313" s="360"/>
      <c r="AC1313" s="360"/>
      <c r="AD1313" s="360"/>
      <c r="AE1313" s="360"/>
      <c r="AF1313" s="16"/>
      <c r="AG1313" s="367" t="s">
        <v>1992</v>
      </c>
    </row>
    <row r="1314" spans="1:33" ht="15.75" thickBot="1" x14ac:dyDescent="0.3">
      <c r="A1314" s="356">
        <v>145</v>
      </c>
      <c r="B1314" s="357">
        <v>46210</v>
      </c>
      <c r="C1314" s="358" t="s">
        <v>87</v>
      </c>
      <c r="D1314" s="359"/>
      <c r="E1314" s="360"/>
      <c r="F1314" s="361"/>
      <c r="G1314" s="213" t="str">
        <f>IFERROR(VLOOKUP(Tabla3[[#This Row],[NUM ECONOMICO]],MAQUINARIA!B:H,7,0), " MAQ")</f>
        <v>INACTIVA</v>
      </c>
      <c r="H1314" s="362" t="s">
        <v>1345</v>
      </c>
      <c r="I1314" s="363" t="s">
        <v>1947</v>
      </c>
      <c r="J1314" s="358" t="s">
        <v>650</v>
      </c>
      <c r="K1314" s="358">
        <v>1</v>
      </c>
      <c r="L1314" s="364">
        <v>1605.63</v>
      </c>
      <c r="M1314" s="364">
        <f t="shared" si="24"/>
        <v>1605.63</v>
      </c>
      <c r="N1314" s="41" t="s">
        <v>1990</v>
      </c>
      <c r="O1314" s="358"/>
      <c r="P1314" s="365">
        <f>Tabla3[[#This Row],[COSTO UNITARIO DOLARES EN HAWTHORNE]]*Tabla3[[#This Row],[CANTIDAD SOLICTADA]]</f>
        <v>0</v>
      </c>
      <c r="Q1314" s="41"/>
      <c r="R1314" s="229"/>
      <c r="S1314" s="229">
        <f>+Tabla3[[#This Row],[COSTO UNITARIO DOLARES CTP]]*Tabla3[[#This Row],[CANTIDAD SOLICTADA]]</f>
        <v>0</v>
      </c>
      <c r="T1314" s="41"/>
      <c r="U1314" s="358" t="s">
        <v>5</v>
      </c>
      <c r="V1314" s="360" t="s">
        <v>1993</v>
      </c>
      <c r="W1314" s="366"/>
      <c r="X1314" s="359"/>
      <c r="Y1314" s="358"/>
      <c r="Z1314" s="360"/>
      <c r="AA1314" s="360"/>
      <c r="AB1314" s="360"/>
      <c r="AC1314" s="360"/>
      <c r="AD1314" s="360"/>
      <c r="AE1314" s="360"/>
      <c r="AF1314" s="16"/>
      <c r="AG1314" s="367" t="s">
        <v>1992</v>
      </c>
    </row>
    <row r="1315" spans="1:33" ht="15.75" thickBot="1" x14ac:dyDescent="0.3">
      <c r="A1315" s="356">
        <v>145</v>
      </c>
      <c r="B1315" s="357">
        <v>46210</v>
      </c>
      <c r="C1315" s="358" t="s">
        <v>87</v>
      </c>
      <c r="D1315" s="359"/>
      <c r="E1315" s="360"/>
      <c r="F1315" s="361"/>
      <c r="G1315" s="213" t="str">
        <f>IFERROR(VLOOKUP(Tabla3[[#This Row],[NUM ECONOMICO]],MAQUINARIA!B:H,7,0), " MAQ")</f>
        <v>INACTIVA</v>
      </c>
      <c r="H1315" s="362" t="s">
        <v>1345</v>
      </c>
      <c r="I1315" s="363" t="s">
        <v>1948</v>
      </c>
      <c r="J1315" s="358" t="s">
        <v>1983</v>
      </c>
      <c r="K1315" s="358">
        <v>1</v>
      </c>
      <c r="L1315" s="364">
        <v>1397.99</v>
      </c>
      <c r="M1315" s="364">
        <f t="shared" si="24"/>
        <v>1397.99</v>
      </c>
      <c r="N1315" s="41" t="s">
        <v>1990</v>
      </c>
      <c r="O1315" s="358"/>
      <c r="P1315" s="365">
        <f>Tabla3[[#This Row],[COSTO UNITARIO DOLARES EN HAWTHORNE]]*Tabla3[[#This Row],[CANTIDAD SOLICTADA]]</f>
        <v>0</v>
      </c>
      <c r="Q1315" s="41"/>
      <c r="R1315" s="229"/>
      <c r="S1315" s="229">
        <f>+Tabla3[[#This Row],[COSTO UNITARIO DOLARES CTP]]*Tabla3[[#This Row],[CANTIDAD SOLICTADA]]</f>
        <v>0</v>
      </c>
      <c r="T1315" s="41"/>
      <c r="U1315" s="358" t="s">
        <v>5</v>
      </c>
      <c r="V1315" s="360" t="s">
        <v>1993</v>
      </c>
      <c r="W1315" s="366"/>
      <c r="X1315" s="359"/>
      <c r="Y1315" s="358"/>
      <c r="Z1315" s="360"/>
      <c r="AA1315" s="360"/>
      <c r="AB1315" s="360"/>
      <c r="AC1315" s="360"/>
      <c r="AD1315" s="360"/>
      <c r="AE1315" s="360"/>
      <c r="AF1315" s="16"/>
      <c r="AG1315" s="367" t="s">
        <v>1992</v>
      </c>
    </row>
    <row r="1316" spans="1:33" ht="15.75" thickBot="1" x14ac:dyDescent="0.3">
      <c r="A1316" s="356">
        <v>145</v>
      </c>
      <c r="B1316" s="357">
        <v>46210</v>
      </c>
      <c r="C1316" s="358" t="s">
        <v>87</v>
      </c>
      <c r="D1316" s="359"/>
      <c r="E1316" s="360"/>
      <c r="F1316" s="361"/>
      <c r="G1316" s="213" t="str">
        <f>IFERROR(VLOOKUP(Tabla3[[#This Row],[NUM ECONOMICO]],MAQUINARIA!B:H,7,0), " MAQ")</f>
        <v>INACTIVA</v>
      </c>
      <c r="H1316" s="362" t="s">
        <v>1345</v>
      </c>
      <c r="I1316" s="363" t="s">
        <v>1949</v>
      </c>
      <c r="J1316" s="358" t="s">
        <v>1984</v>
      </c>
      <c r="K1316" s="358">
        <v>1</v>
      </c>
      <c r="L1316" s="364">
        <v>45101.2</v>
      </c>
      <c r="M1316" s="364">
        <f t="shared" si="24"/>
        <v>45101.2</v>
      </c>
      <c r="N1316" s="41" t="s">
        <v>1990</v>
      </c>
      <c r="O1316" s="358"/>
      <c r="P1316" s="365">
        <f>Tabla3[[#This Row],[COSTO UNITARIO DOLARES EN HAWTHORNE]]*Tabla3[[#This Row],[CANTIDAD SOLICTADA]]</f>
        <v>0</v>
      </c>
      <c r="Q1316" s="41"/>
      <c r="R1316" s="229"/>
      <c r="S1316" s="229">
        <f>+Tabla3[[#This Row],[COSTO UNITARIO DOLARES CTP]]*Tabla3[[#This Row],[CANTIDAD SOLICTADA]]</f>
        <v>0</v>
      </c>
      <c r="T1316" s="41"/>
      <c r="U1316" s="358" t="s">
        <v>5</v>
      </c>
      <c r="V1316" s="360" t="s">
        <v>1993</v>
      </c>
      <c r="W1316" s="366"/>
      <c r="X1316" s="359"/>
      <c r="Y1316" s="358"/>
      <c r="Z1316" s="360"/>
      <c r="AA1316" s="360"/>
      <c r="AB1316" s="360"/>
      <c r="AC1316" s="360"/>
      <c r="AD1316" s="360"/>
      <c r="AE1316" s="360"/>
      <c r="AF1316" s="16"/>
      <c r="AG1316" s="367" t="s">
        <v>1992</v>
      </c>
    </row>
    <row r="1317" spans="1:33" ht="15.75" thickBot="1" x14ac:dyDescent="0.3">
      <c r="A1317" s="356">
        <v>145</v>
      </c>
      <c r="B1317" s="357">
        <v>46210</v>
      </c>
      <c r="C1317" s="358" t="s">
        <v>87</v>
      </c>
      <c r="D1317" s="359"/>
      <c r="E1317" s="360"/>
      <c r="F1317" s="361"/>
      <c r="G1317" s="213" t="str">
        <f>IFERROR(VLOOKUP(Tabla3[[#This Row],[NUM ECONOMICO]],MAQUINARIA!B:H,7,0), " MAQ")</f>
        <v>INACTIVA</v>
      </c>
      <c r="H1317" s="362" t="s">
        <v>1345</v>
      </c>
      <c r="I1317" s="363" t="s">
        <v>1950</v>
      </c>
      <c r="J1317" s="358" t="s">
        <v>670</v>
      </c>
      <c r="K1317" s="358">
        <v>11</v>
      </c>
      <c r="L1317" s="364">
        <v>171.48</v>
      </c>
      <c r="M1317" s="364">
        <f t="shared" si="24"/>
        <v>1886.28</v>
      </c>
      <c r="N1317" s="41" t="s">
        <v>1990</v>
      </c>
      <c r="O1317" s="358"/>
      <c r="P1317" s="365">
        <f>Tabla3[[#This Row],[COSTO UNITARIO DOLARES EN HAWTHORNE]]*Tabla3[[#This Row],[CANTIDAD SOLICTADA]]</f>
        <v>0</v>
      </c>
      <c r="Q1317" s="41"/>
      <c r="R1317" s="229"/>
      <c r="S1317" s="229">
        <f>+Tabla3[[#This Row],[COSTO UNITARIO DOLARES CTP]]*Tabla3[[#This Row],[CANTIDAD SOLICTADA]]</f>
        <v>0</v>
      </c>
      <c r="T1317" s="41"/>
      <c r="U1317" s="358" t="s">
        <v>5</v>
      </c>
      <c r="V1317" s="360" t="s">
        <v>1993</v>
      </c>
      <c r="W1317" s="366"/>
      <c r="X1317" s="359"/>
      <c r="Y1317" s="358"/>
      <c r="Z1317" s="360"/>
      <c r="AA1317" s="360"/>
      <c r="AB1317" s="360"/>
      <c r="AC1317" s="360"/>
      <c r="AD1317" s="360"/>
      <c r="AE1317" s="360"/>
      <c r="AF1317" s="16"/>
      <c r="AG1317" s="367" t="s">
        <v>1992</v>
      </c>
    </row>
    <row r="1318" spans="1:33" ht="15.75" thickBot="1" x14ac:dyDescent="0.3">
      <c r="A1318" s="356">
        <v>145</v>
      </c>
      <c r="B1318" s="357">
        <v>46210</v>
      </c>
      <c r="C1318" s="358" t="s">
        <v>87</v>
      </c>
      <c r="D1318" s="359"/>
      <c r="E1318" s="360"/>
      <c r="F1318" s="361"/>
      <c r="G1318" s="213" t="str">
        <f>IFERROR(VLOOKUP(Tabla3[[#This Row],[NUM ECONOMICO]],MAQUINARIA!B:H,7,0), " MAQ")</f>
        <v>INACTIVA</v>
      </c>
      <c r="H1318" s="362" t="s">
        <v>1345</v>
      </c>
      <c r="I1318" s="363" t="s">
        <v>1951</v>
      </c>
      <c r="J1318" s="358" t="s">
        <v>1985</v>
      </c>
      <c r="K1318" s="358">
        <v>11</v>
      </c>
      <c r="L1318" s="364">
        <v>182.4</v>
      </c>
      <c r="M1318" s="364">
        <f t="shared" si="24"/>
        <v>2006.4</v>
      </c>
      <c r="N1318" s="41" t="s">
        <v>1990</v>
      </c>
      <c r="O1318" s="358"/>
      <c r="P1318" s="365">
        <f>Tabla3[[#This Row],[COSTO UNITARIO DOLARES EN HAWTHORNE]]*Tabla3[[#This Row],[CANTIDAD SOLICTADA]]</f>
        <v>0</v>
      </c>
      <c r="Q1318" s="41"/>
      <c r="R1318" s="229"/>
      <c r="S1318" s="229">
        <f>+Tabla3[[#This Row],[COSTO UNITARIO DOLARES CTP]]*Tabla3[[#This Row],[CANTIDAD SOLICTADA]]</f>
        <v>0</v>
      </c>
      <c r="T1318" s="41"/>
      <c r="U1318" s="358" t="s">
        <v>5</v>
      </c>
      <c r="V1318" s="360" t="s">
        <v>1993</v>
      </c>
      <c r="W1318" s="366"/>
      <c r="X1318" s="359"/>
      <c r="Y1318" s="358"/>
      <c r="Z1318" s="360"/>
      <c r="AA1318" s="360"/>
      <c r="AB1318" s="360"/>
      <c r="AC1318" s="360"/>
      <c r="AD1318" s="360"/>
      <c r="AE1318" s="360"/>
      <c r="AF1318" s="16"/>
      <c r="AG1318" s="367" t="s">
        <v>1992</v>
      </c>
    </row>
    <row r="1319" spans="1:33" ht="15.75" thickBot="1" x14ac:dyDescent="0.3">
      <c r="A1319" s="356">
        <v>145</v>
      </c>
      <c r="B1319" s="357">
        <v>46210</v>
      </c>
      <c r="C1319" s="358" t="s">
        <v>87</v>
      </c>
      <c r="D1319" s="359"/>
      <c r="E1319" s="360"/>
      <c r="F1319" s="361"/>
      <c r="G1319" s="213" t="str">
        <f>IFERROR(VLOOKUP(Tabla3[[#This Row],[NUM ECONOMICO]],MAQUINARIA!B:H,7,0), " MAQ")</f>
        <v>INACTIVA</v>
      </c>
      <c r="H1319" s="362" t="s">
        <v>1345</v>
      </c>
      <c r="I1319" s="363" t="s">
        <v>1952</v>
      </c>
      <c r="J1319" s="358" t="s">
        <v>1986</v>
      </c>
      <c r="K1319" s="358">
        <v>1</v>
      </c>
      <c r="L1319" s="364">
        <v>34357.440000000002</v>
      </c>
      <c r="M1319" s="364">
        <f t="shared" si="24"/>
        <v>34357.440000000002</v>
      </c>
      <c r="N1319" s="41" t="s">
        <v>1990</v>
      </c>
      <c r="O1319" s="358"/>
      <c r="P1319" s="365">
        <f>Tabla3[[#This Row],[COSTO UNITARIO DOLARES EN HAWTHORNE]]*Tabla3[[#This Row],[CANTIDAD SOLICTADA]]</f>
        <v>0</v>
      </c>
      <c r="Q1319" s="41"/>
      <c r="R1319" s="229"/>
      <c r="S1319" s="229">
        <f>+Tabla3[[#This Row],[COSTO UNITARIO DOLARES CTP]]*Tabla3[[#This Row],[CANTIDAD SOLICTADA]]</f>
        <v>0</v>
      </c>
      <c r="T1319" s="41"/>
      <c r="U1319" s="358" t="s">
        <v>5</v>
      </c>
      <c r="V1319" s="360" t="s">
        <v>1993</v>
      </c>
      <c r="W1319" s="366"/>
      <c r="X1319" s="359"/>
      <c r="Y1319" s="358"/>
      <c r="Z1319" s="360"/>
      <c r="AA1319" s="360"/>
      <c r="AB1319" s="360"/>
      <c r="AC1319" s="360"/>
      <c r="AD1319" s="360"/>
      <c r="AE1319" s="360"/>
      <c r="AF1319" s="16"/>
      <c r="AG1319" s="367" t="s">
        <v>1992</v>
      </c>
    </row>
    <row r="1320" spans="1:33" ht="15.75" thickBot="1" x14ac:dyDescent="0.3">
      <c r="A1320" s="356">
        <v>145</v>
      </c>
      <c r="B1320" s="357">
        <v>46210</v>
      </c>
      <c r="C1320" s="358" t="s">
        <v>87</v>
      </c>
      <c r="D1320" s="359"/>
      <c r="E1320" s="360"/>
      <c r="F1320" s="361"/>
      <c r="G1320" s="213" t="str">
        <f>IFERROR(VLOOKUP(Tabla3[[#This Row],[NUM ECONOMICO]],MAQUINARIA!B:H,7,0), " MAQ")</f>
        <v>INACTIVA</v>
      </c>
      <c r="H1320" s="362" t="s">
        <v>1345</v>
      </c>
      <c r="I1320" s="363" t="s">
        <v>1953</v>
      </c>
      <c r="J1320" s="358" t="s">
        <v>1979</v>
      </c>
      <c r="K1320" s="358">
        <v>1</v>
      </c>
      <c r="L1320" s="364">
        <v>11675.1</v>
      </c>
      <c r="M1320" s="364">
        <f t="shared" si="24"/>
        <v>11675.1</v>
      </c>
      <c r="N1320" s="41" t="s">
        <v>1990</v>
      </c>
      <c r="O1320" s="358"/>
      <c r="P1320" s="365">
        <f>Tabla3[[#This Row],[COSTO UNITARIO DOLARES EN HAWTHORNE]]*Tabla3[[#This Row],[CANTIDAD SOLICTADA]]</f>
        <v>0</v>
      </c>
      <c r="Q1320" s="41"/>
      <c r="R1320" s="229"/>
      <c r="S1320" s="229">
        <f>+Tabla3[[#This Row],[COSTO UNITARIO DOLARES CTP]]*Tabla3[[#This Row],[CANTIDAD SOLICTADA]]</f>
        <v>0</v>
      </c>
      <c r="T1320" s="41"/>
      <c r="U1320" s="358" t="s">
        <v>5</v>
      </c>
      <c r="V1320" s="360" t="s">
        <v>1993</v>
      </c>
      <c r="W1320" s="366"/>
      <c r="X1320" s="359"/>
      <c r="Y1320" s="358"/>
      <c r="Z1320" s="360"/>
      <c r="AA1320" s="360"/>
      <c r="AB1320" s="360"/>
      <c r="AC1320" s="360"/>
      <c r="AD1320" s="360"/>
      <c r="AE1320" s="360"/>
      <c r="AF1320" s="16"/>
      <c r="AG1320" s="367" t="s">
        <v>1992</v>
      </c>
    </row>
    <row r="1321" spans="1:33" ht="15.75" thickBot="1" x14ac:dyDescent="0.3">
      <c r="A1321" s="356">
        <v>145</v>
      </c>
      <c r="B1321" s="357">
        <v>46210</v>
      </c>
      <c r="C1321" s="358" t="s">
        <v>87</v>
      </c>
      <c r="D1321" s="359"/>
      <c r="E1321" s="360"/>
      <c r="F1321" s="361"/>
      <c r="G1321" s="213" t="str">
        <f>IFERROR(VLOOKUP(Tabla3[[#This Row],[NUM ECONOMICO]],MAQUINARIA!B:H,7,0), " MAQ")</f>
        <v>INACTIVA</v>
      </c>
      <c r="H1321" s="362" t="s">
        <v>1345</v>
      </c>
      <c r="I1321" s="363" t="s">
        <v>1954</v>
      </c>
      <c r="J1321" s="358" t="s">
        <v>1987</v>
      </c>
      <c r="K1321" s="358">
        <v>1</v>
      </c>
      <c r="L1321" s="364">
        <v>1236.71</v>
      </c>
      <c r="M1321" s="364">
        <f t="shared" si="24"/>
        <v>1236.71</v>
      </c>
      <c r="N1321" s="41" t="s">
        <v>1990</v>
      </c>
      <c r="O1321" s="358"/>
      <c r="P1321" s="365">
        <f>Tabla3[[#This Row],[COSTO UNITARIO DOLARES EN HAWTHORNE]]*Tabla3[[#This Row],[CANTIDAD SOLICTADA]]</f>
        <v>0</v>
      </c>
      <c r="Q1321" s="41"/>
      <c r="R1321" s="229"/>
      <c r="S1321" s="229">
        <f>+Tabla3[[#This Row],[COSTO UNITARIO DOLARES CTP]]*Tabla3[[#This Row],[CANTIDAD SOLICTADA]]</f>
        <v>0</v>
      </c>
      <c r="T1321" s="41"/>
      <c r="U1321" s="358" t="s">
        <v>5</v>
      </c>
      <c r="V1321" s="360" t="s">
        <v>1993</v>
      </c>
      <c r="W1321" s="366"/>
      <c r="X1321" s="359"/>
      <c r="Y1321" s="358"/>
      <c r="Z1321" s="360"/>
      <c r="AA1321" s="360"/>
      <c r="AB1321" s="360"/>
      <c r="AC1321" s="360"/>
      <c r="AD1321" s="360"/>
      <c r="AE1321" s="360"/>
      <c r="AF1321" s="16"/>
      <c r="AG1321" s="367" t="s">
        <v>1992</v>
      </c>
    </row>
    <row r="1322" spans="1:33" ht="15.75" thickBot="1" x14ac:dyDescent="0.3">
      <c r="A1322" s="356">
        <v>145</v>
      </c>
      <c r="B1322" s="357">
        <v>46210</v>
      </c>
      <c r="C1322" s="358" t="s">
        <v>87</v>
      </c>
      <c r="D1322" s="359"/>
      <c r="E1322" s="360"/>
      <c r="F1322" s="361"/>
      <c r="G1322" s="213" t="str">
        <f>IFERROR(VLOOKUP(Tabla3[[#This Row],[NUM ECONOMICO]],MAQUINARIA!B:H,7,0), " MAQ")</f>
        <v>INACTIVA</v>
      </c>
      <c r="H1322" s="362" t="s">
        <v>1345</v>
      </c>
      <c r="I1322" s="363" t="s">
        <v>1955</v>
      </c>
      <c r="J1322" s="358" t="s">
        <v>1828</v>
      </c>
      <c r="K1322" s="358">
        <v>1</v>
      </c>
      <c r="L1322" s="364">
        <v>700.43</v>
      </c>
      <c r="M1322" s="364">
        <f t="shared" si="24"/>
        <v>700.43</v>
      </c>
      <c r="N1322" s="41" t="s">
        <v>1990</v>
      </c>
      <c r="O1322" s="358"/>
      <c r="P1322" s="365">
        <f>Tabla3[[#This Row],[COSTO UNITARIO DOLARES EN HAWTHORNE]]*Tabla3[[#This Row],[CANTIDAD SOLICTADA]]</f>
        <v>0</v>
      </c>
      <c r="Q1322" s="41"/>
      <c r="R1322" s="229"/>
      <c r="S1322" s="229">
        <f>+Tabla3[[#This Row],[COSTO UNITARIO DOLARES CTP]]*Tabla3[[#This Row],[CANTIDAD SOLICTADA]]</f>
        <v>0</v>
      </c>
      <c r="T1322" s="41"/>
      <c r="U1322" s="358" t="s">
        <v>5</v>
      </c>
      <c r="V1322" s="360" t="s">
        <v>1993</v>
      </c>
      <c r="W1322" s="366"/>
      <c r="X1322" s="359"/>
      <c r="Y1322" s="358"/>
      <c r="Z1322" s="360"/>
      <c r="AA1322" s="360"/>
      <c r="AB1322" s="360"/>
      <c r="AC1322" s="360"/>
      <c r="AD1322" s="360"/>
      <c r="AE1322" s="360"/>
      <c r="AF1322" s="16"/>
      <c r="AG1322" s="367" t="s">
        <v>1992</v>
      </c>
    </row>
    <row r="1323" spans="1:33" ht="15.75" thickBot="1" x14ac:dyDescent="0.3">
      <c r="A1323" s="356">
        <v>145</v>
      </c>
      <c r="B1323" s="357">
        <v>46210</v>
      </c>
      <c r="C1323" s="358" t="s">
        <v>87</v>
      </c>
      <c r="D1323" s="359"/>
      <c r="E1323" s="360"/>
      <c r="F1323" s="361"/>
      <c r="G1323" s="213" t="str">
        <f>IFERROR(VLOOKUP(Tabla3[[#This Row],[NUM ECONOMICO]],MAQUINARIA!B:H,7,0), " MAQ")</f>
        <v>INACTIVA</v>
      </c>
      <c r="H1323" s="362" t="s">
        <v>1345</v>
      </c>
      <c r="I1323" s="363" t="s">
        <v>1956</v>
      </c>
      <c r="J1323" s="358" t="s">
        <v>1987</v>
      </c>
      <c r="K1323" s="358">
        <v>3</v>
      </c>
      <c r="L1323" s="364">
        <v>1295.24</v>
      </c>
      <c r="M1323" s="364">
        <f t="shared" si="24"/>
        <v>3885.7200000000003</v>
      </c>
      <c r="N1323" s="41" t="s">
        <v>1990</v>
      </c>
      <c r="O1323" s="358"/>
      <c r="P1323" s="365">
        <f>Tabla3[[#This Row],[COSTO UNITARIO DOLARES EN HAWTHORNE]]*Tabla3[[#This Row],[CANTIDAD SOLICTADA]]</f>
        <v>0</v>
      </c>
      <c r="Q1323" s="41"/>
      <c r="R1323" s="229"/>
      <c r="S1323" s="229">
        <f>+Tabla3[[#This Row],[COSTO UNITARIO DOLARES CTP]]*Tabla3[[#This Row],[CANTIDAD SOLICTADA]]</f>
        <v>0</v>
      </c>
      <c r="T1323" s="41"/>
      <c r="U1323" s="358" t="s">
        <v>5</v>
      </c>
      <c r="V1323" s="360" t="s">
        <v>1993</v>
      </c>
      <c r="W1323" s="366"/>
      <c r="X1323" s="359"/>
      <c r="Y1323" s="358"/>
      <c r="Z1323" s="360"/>
      <c r="AA1323" s="360"/>
      <c r="AB1323" s="360"/>
      <c r="AC1323" s="360"/>
      <c r="AD1323" s="360"/>
      <c r="AE1323" s="360"/>
      <c r="AF1323" s="16"/>
      <c r="AG1323" s="367" t="s">
        <v>1992</v>
      </c>
    </row>
    <row r="1324" spans="1:33" ht="15.75" thickBot="1" x14ac:dyDescent="0.3">
      <c r="A1324" s="356">
        <v>145</v>
      </c>
      <c r="B1324" s="357">
        <v>46210</v>
      </c>
      <c r="C1324" s="358" t="s">
        <v>87</v>
      </c>
      <c r="D1324" s="359"/>
      <c r="E1324" s="360"/>
      <c r="F1324" s="361"/>
      <c r="G1324" s="213" t="str">
        <f>IFERROR(VLOOKUP(Tabla3[[#This Row],[NUM ECONOMICO]],MAQUINARIA!B:H,7,0), " MAQ")</f>
        <v>INACTIVA</v>
      </c>
      <c r="H1324" s="362" t="s">
        <v>1345</v>
      </c>
      <c r="I1324" s="363" t="s">
        <v>1957</v>
      </c>
      <c r="J1324" s="358" t="s">
        <v>1809</v>
      </c>
      <c r="K1324" s="358">
        <v>2</v>
      </c>
      <c r="L1324" s="364">
        <v>3990.63</v>
      </c>
      <c r="M1324" s="364">
        <f t="shared" si="24"/>
        <v>7981.26</v>
      </c>
      <c r="N1324" s="41" t="s">
        <v>1990</v>
      </c>
      <c r="O1324" s="358"/>
      <c r="P1324" s="365">
        <f>Tabla3[[#This Row],[COSTO UNITARIO DOLARES EN HAWTHORNE]]*Tabla3[[#This Row],[CANTIDAD SOLICTADA]]</f>
        <v>0</v>
      </c>
      <c r="Q1324" s="41"/>
      <c r="R1324" s="229"/>
      <c r="S1324" s="229">
        <f>+Tabla3[[#This Row],[COSTO UNITARIO DOLARES CTP]]*Tabla3[[#This Row],[CANTIDAD SOLICTADA]]</f>
        <v>0</v>
      </c>
      <c r="T1324" s="41"/>
      <c r="U1324" s="358" t="s">
        <v>5</v>
      </c>
      <c r="V1324" s="360" t="s">
        <v>1993</v>
      </c>
      <c r="W1324" s="366"/>
      <c r="X1324" s="359"/>
      <c r="Y1324" s="358"/>
      <c r="Z1324" s="360"/>
      <c r="AA1324" s="360"/>
      <c r="AB1324" s="360"/>
      <c r="AC1324" s="360"/>
      <c r="AD1324" s="360"/>
      <c r="AE1324" s="360"/>
      <c r="AF1324" s="16"/>
      <c r="AG1324" s="367" t="s">
        <v>1992</v>
      </c>
    </row>
    <row r="1325" spans="1:33" ht="15.75" thickBot="1" x14ac:dyDescent="0.3">
      <c r="A1325" s="356">
        <v>145</v>
      </c>
      <c r="B1325" s="357">
        <v>46210</v>
      </c>
      <c r="C1325" s="358" t="s">
        <v>87</v>
      </c>
      <c r="D1325" s="359"/>
      <c r="E1325" s="360"/>
      <c r="F1325" s="361"/>
      <c r="G1325" s="213" t="str">
        <f>IFERROR(VLOOKUP(Tabla3[[#This Row],[NUM ECONOMICO]],MAQUINARIA!B:H,7,0), " MAQ")</f>
        <v>INACTIVA</v>
      </c>
      <c r="H1325" s="362" t="s">
        <v>1345</v>
      </c>
      <c r="I1325" s="363" t="s">
        <v>1958</v>
      </c>
      <c r="J1325" s="358" t="s">
        <v>1988</v>
      </c>
      <c r="K1325" s="358">
        <v>1</v>
      </c>
      <c r="L1325" s="364">
        <v>46311.95</v>
      </c>
      <c r="M1325" s="364">
        <f t="shared" si="24"/>
        <v>46311.95</v>
      </c>
      <c r="N1325" s="41" t="s">
        <v>1990</v>
      </c>
      <c r="O1325" s="358"/>
      <c r="P1325" s="365">
        <f>Tabla3[[#This Row],[COSTO UNITARIO DOLARES EN HAWTHORNE]]*Tabla3[[#This Row],[CANTIDAD SOLICTADA]]</f>
        <v>0</v>
      </c>
      <c r="Q1325" s="41"/>
      <c r="R1325" s="229"/>
      <c r="S1325" s="229">
        <f>+Tabla3[[#This Row],[COSTO UNITARIO DOLARES CTP]]*Tabla3[[#This Row],[CANTIDAD SOLICTADA]]</f>
        <v>0</v>
      </c>
      <c r="T1325" s="41"/>
      <c r="U1325" s="358" t="s">
        <v>5</v>
      </c>
      <c r="V1325" s="360" t="s">
        <v>1993</v>
      </c>
      <c r="W1325" s="366"/>
      <c r="X1325" s="359"/>
      <c r="Y1325" s="358"/>
      <c r="Z1325" s="360"/>
      <c r="AA1325" s="360"/>
      <c r="AB1325" s="360"/>
      <c r="AC1325" s="360"/>
      <c r="AD1325" s="360"/>
      <c r="AE1325" s="360"/>
      <c r="AF1325" s="16"/>
      <c r="AG1325" s="367" t="s">
        <v>1992</v>
      </c>
    </row>
    <row r="1326" spans="1:33" ht="15.75" thickBot="1" x14ac:dyDescent="0.3">
      <c r="A1326" s="356">
        <v>145</v>
      </c>
      <c r="B1326" s="369">
        <v>46210</v>
      </c>
      <c r="C1326" s="370" t="s">
        <v>87</v>
      </c>
      <c r="D1326" s="371"/>
      <c r="E1326" s="372"/>
      <c r="F1326" s="373"/>
      <c r="G1326" s="213" t="str">
        <f>IFERROR(VLOOKUP(Tabla3[[#This Row],[NUM ECONOMICO]],MAQUINARIA!B:H,7,0), " MAQ")</f>
        <v>INACTIVA</v>
      </c>
      <c r="H1326" s="362" t="s">
        <v>1345</v>
      </c>
      <c r="I1326" s="375" t="s">
        <v>1959</v>
      </c>
      <c r="J1326" s="370" t="s">
        <v>1989</v>
      </c>
      <c r="K1326" s="370">
        <v>1</v>
      </c>
      <c r="L1326" s="376">
        <v>368.2</v>
      </c>
      <c r="M1326" s="376">
        <f t="shared" si="24"/>
        <v>368.2</v>
      </c>
      <c r="N1326" s="41" t="s">
        <v>1990</v>
      </c>
      <c r="O1326" s="370"/>
      <c r="P1326" s="377">
        <f>Tabla3[[#This Row],[COSTO UNITARIO DOLARES EN HAWTHORNE]]*Tabla3[[#This Row],[CANTIDAD SOLICTADA]]</f>
        <v>0</v>
      </c>
      <c r="Q1326" s="43"/>
      <c r="R1326" s="230"/>
      <c r="S1326" s="230">
        <f>+Tabla3[[#This Row],[COSTO UNITARIO DOLARES CTP]]*Tabla3[[#This Row],[CANTIDAD SOLICTADA]]</f>
        <v>0</v>
      </c>
      <c r="T1326" s="43"/>
      <c r="U1326" s="358" t="s">
        <v>5</v>
      </c>
      <c r="V1326" s="360" t="s">
        <v>1993</v>
      </c>
      <c r="W1326" s="378"/>
      <c r="X1326" s="371"/>
      <c r="Y1326" s="370"/>
      <c r="Z1326" s="372"/>
      <c r="AA1326" s="372"/>
      <c r="AB1326" s="372"/>
      <c r="AC1326" s="372"/>
      <c r="AD1326" s="372"/>
      <c r="AE1326" s="372"/>
      <c r="AF1326" s="204"/>
      <c r="AG1326" s="367" t="s">
        <v>1992</v>
      </c>
    </row>
    <row r="1327" spans="1:33" x14ac:dyDescent="0.25">
      <c r="A1327" s="368">
        <v>146</v>
      </c>
      <c r="B1327" s="369">
        <v>46210</v>
      </c>
      <c r="C1327" s="370" t="s">
        <v>87</v>
      </c>
      <c r="D1327" s="371"/>
      <c r="E1327" s="372"/>
      <c r="F1327" s="373"/>
      <c r="G1327" s="213" t="str">
        <f>IFERROR(VLOOKUP(Tabla3[[#This Row],[NUM ECONOMICO]],MAQUINARIA!B:H,7,0), " MAQ")</f>
        <v>INACTIVA</v>
      </c>
      <c r="H1327" s="374" t="s">
        <v>935</v>
      </c>
      <c r="I1327" s="375" t="s">
        <v>1997</v>
      </c>
      <c r="J1327" s="370" t="s">
        <v>1998</v>
      </c>
      <c r="K1327" s="370">
        <v>1</v>
      </c>
      <c r="L1327" s="376">
        <v>22788.31</v>
      </c>
      <c r="M1327" s="376">
        <f>+L1327*K1327</f>
        <v>22788.31</v>
      </c>
      <c r="N1327" s="43"/>
      <c r="O1327" s="370"/>
      <c r="P1327" s="377">
        <f>Tabla3[[#This Row],[COSTO UNITARIO DOLARES EN HAWTHORNE]]*Tabla3[[#This Row],[CANTIDAD SOLICTADA]]</f>
        <v>0</v>
      </c>
      <c r="Q1327" s="43"/>
      <c r="R1327" s="230"/>
      <c r="S1327" s="230">
        <f>+Tabla3[[#This Row],[COSTO UNITARIO DOLARES CTP]]*Tabla3[[#This Row],[CANTIDAD SOLICTADA]]</f>
        <v>0</v>
      </c>
      <c r="T1327" s="43"/>
      <c r="U1327" s="370" t="s">
        <v>5</v>
      </c>
      <c r="V1327" s="372" t="s">
        <v>1999</v>
      </c>
      <c r="W1327" s="378"/>
      <c r="X1327" s="371"/>
      <c r="Y1327" s="370"/>
      <c r="Z1327" s="372"/>
      <c r="AA1327" s="372"/>
      <c r="AB1327" s="372"/>
      <c r="AC1327" s="372"/>
      <c r="AD1327" s="372"/>
      <c r="AE1327" s="372"/>
      <c r="AF1327" s="204"/>
      <c r="AG1327" s="380"/>
    </row>
  </sheetData>
  <conditionalFormatting sqref="G2:G1327">
    <cfRule type="containsText" dxfId="4483" priority="2" operator="containsText" text="MAQ">
      <formula>NOT(ISERROR(SEARCH("MAQ",G2)))</formula>
    </cfRule>
    <cfRule type="containsText" dxfId="4482" priority="3" operator="containsText" text="SINIESTRADO">
      <formula>NOT(ISERROR(SEARCH("SINIESTRADO",G2)))</formula>
    </cfRule>
    <cfRule type="cellIs" dxfId="4481" priority="4" operator="equal">
      <formula>"ACTIVA"</formula>
    </cfRule>
    <cfRule type="containsText" dxfId="4480" priority="5" operator="containsText" text="INACTIVA">
      <formula>NOT(ISERROR(SEARCH("INACTIVA",G2)))</formula>
    </cfRule>
  </conditionalFormatting>
  <conditionalFormatting sqref="U1:U1048576">
    <cfRule type="containsText" dxfId="4479" priority="1" operator="containsText" text="EN ALMACEN">
      <formula>NOT(ISERROR(SEARCH("EN ALMACEN",U1)))</formula>
    </cfRule>
    <cfRule type="containsText" dxfId="4478" priority="7" operator="containsText" text="CANCELADO">
      <formula>NOT(ISERROR(SEARCH("CANCELADO",U1)))</formula>
    </cfRule>
    <cfRule type="containsText" dxfId="4477" priority="8" operator="containsText" text="COTIZANDO">
      <formula>NOT(ISERROR(SEARCH("COTIZANDO",U1)))</formula>
    </cfRule>
    <cfRule type="containsText" dxfId="4476" priority="9" operator="containsText" text="ENTREGADO">
      <formula>NOT(ISERROR(SEARCH("ENTREGADO",U1)))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FC4E-E4B5-4E56-B825-2120D32D4C49}">
  <dimension ref="A1:Z200"/>
  <sheetViews>
    <sheetView showGridLines="0" zoomScaleNormal="100" workbookViewId="0">
      <pane xSplit="1" ySplit="9" topLeftCell="B10" activePane="bottomRight" state="frozen"/>
      <selection pane="topRight" sqref="A1:XFD1048576"/>
      <selection pane="bottomLeft" sqref="A1:XFD1048576"/>
      <selection pane="bottomRight" activeCell="E35" sqref="E35"/>
    </sheetView>
  </sheetViews>
  <sheetFormatPr baseColWidth="10" defaultColWidth="8.7109375" defaultRowHeight="12" x14ac:dyDescent="0.2"/>
  <cols>
    <col min="1" max="1" width="2.140625" style="219" customWidth="1"/>
    <col min="2" max="2" width="14.42578125" style="219" bestFit="1" customWidth="1"/>
    <col min="3" max="3" width="13.140625" style="219" bestFit="1" customWidth="1"/>
    <col min="4" max="4" width="34.28515625" style="219" bestFit="1" customWidth="1"/>
    <col min="5" max="5" width="20.5703125" style="219" bestFit="1" customWidth="1"/>
    <col min="6" max="6" width="19" style="219" bestFit="1" customWidth="1"/>
    <col min="7" max="7" width="19.28515625" style="219" bestFit="1" customWidth="1"/>
    <col min="8" max="8" width="22.7109375" style="219" bestFit="1" customWidth="1"/>
    <col min="9" max="10" width="16.28515625" style="219" bestFit="1" customWidth="1"/>
    <col min="11" max="11" width="13" style="219" bestFit="1" customWidth="1"/>
    <col min="12" max="12" width="11.5703125" style="219" bestFit="1" customWidth="1"/>
    <col min="13" max="13" width="8.7109375" style="219"/>
    <col min="14" max="14" width="12.42578125" style="219" bestFit="1" customWidth="1"/>
    <col min="15" max="15" width="12.7109375" style="219" bestFit="1" customWidth="1"/>
    <col min="16" max="16384" width="8.7109375" style="219"/>
  </cols>
  <sheetData>
    <row r="1" spans="1:26" ht="15" x14ac:dyDescent="0.25">
      <c r="A1" s="217"/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Z1"/>
    </row>
    <row r="2" spans="1:26" ht="15" x14ac:dyDescent="0.25">
      <c r="A2" s="217"/>
      <c r="B2" s="320" t="s">
        <v>1091</v>
      </c>
      <c r="C2" s="320"/>
      <c r="D2" s="320"/>
      <c r="E2" s="320"/>
      <c r="F2" s="320"/>
      <c r="G2" s="320"/>
      <c r="H2" s="320"/>
      <c r="I2" s="320"/>
      <c r="J2" s="320"/>
      <c r="K2" s="320"/>
      <c r="L2" s="320"/>
      <c r="Z2"/>
    </row>
    <row r="3" spans="1:26" ht="24" customHeight="1" x14ac:dyDescent="0.25">
      <c r="B3" s="321" t="s">
        <v>1092</v>
      </c>
      <c r="C3" s="321"/>
      <c r="D3" s="321"/>
      <c r="E3" s="233">
        <v>17</v>
      </c>
      <c r="F3" s="322" t="s">
        <v>1093</v>
      </c>
      <c r="G3" s="322"/>
      <c r="H3" s="322"/>
      <c r="Z3"/>
    </row>
    <row r="4" spans="1:26" ht="15" x14ac:dyDescent="0.25">
      <c r="Z4"/>
    </row>
    <row r="5" spans="1:26" ht="25.5" customHeight="1" x14ac:dyDescent="0.25">
      <c r="B5" s="323" t="s">
        <v>1094</v>
      </c>
      <c r="C5" s="323"/>
      <c r="D5" s="323"/>
      <c r="E5" s="323"/>
      <c r="F5" s="323"/>
      <c r="G5" s="323"/>
      <c r="H5" s="323"/>
      <c r="I5" s="323"/>
      <c r="J5" s="323"/>
      <c r="K5" s="323"/>
      <c r="L5" s="323"/>
      <c r="N5" s="444" t="s">
        <v>2001</v>
      </c>
      <c r="O5" s="444" t="s">
        <v>2002</v>
      </c>
      <c r="Z5"/>
    </row>
    <row r="6" spans="1:26" ht="36" x14ac:dyDescent="0.25">
      <c r="B6" s="402" t="s">
        <v>1095</v>
      </c>
      <c r="C6" s="402" t="s">
        <v>1096</v>
      </c>
      <c r="D6" s="402" t="s">
        <v>1097</v>
      </c>
      <c r="E6" s="402" t="s">
        <v>1868</v>
      </c>
      <c r="F6" s="402" t="s">
        <v>1869</v>
      </c>
      <c r="G6" s="402" t="s">
        <v>1870</v>
      </c>
      <c r="H6" s="402" t="s">
        <v>1098</v>
      </c>
      <c r="I6" s="402" t="s">
        <v>1099</v>
      </c>
      <c r="J6" s="402" t="s">
        <v>1100</v>
      </c>
      <c r="K6" s="417" t="s">
        <v>1101</v>
      </c>
      <c r="N6" s="445" t="s">
        <v>44</v>
      </c>
      <c r="O6" s="446">
        <f>E8</f>
        <v>6047671.97000001</v>
      </c>
      <c r="Z6"/>
    </row>
    <row r="7" spans="1:26" ht="24" customHeight="1" x14ac:dyDescent="0.25">
      <c r="B7" s="447" cm="1">
        <f t="array" ref="B7">ROWS(_xlfn.UNIQUE(_xlfn._xlws.FILTER(Tabla3[NUM ECONOMICO],(Tabla3[STATUS]="COTIZANDO")*(Tabla3[TEMA]&lt;&gt;"SERVICIO DE FILTROS"))))</f>
        <v>13</v>
      </c>
      <c r="C7" s="447" cm="1">
        <f t="array" ref="C7">ROWS(_xlfn.UNIQUE(_xlfn._xlws.FILTER(Tabla3[PEDIDO],(Tabla3[STATUS]="COTIZANDO")*(Tabla3[TEMA]&lt;&gt;"SERVICIO DE FILTROS"))))</f>
        <v>18</v>
      </c>
      <c r="D7" s="447">
        <f>COUNTIFS(Tabla3[STATUS],"COTIZANDO",Tabla3[TEMA],"&lt;&gt;SERVICIO DE FILTROS")</f>
        <v>704</v>
      </c>
      <c r="E7" s="448">
        <f>SUMIFS(Tabla3[COSTO TOTAL SIN IVA PESOS EN MATCO],Tabla3[STATUS],"COTIZANDO",Tabla3[TEMA],"&lt;&gt;SERVICIO DE FILTROS")</f>
        <v>6047671.97000001</v>
      </c>
      <c r="F7" s="449">
        <f>SUMIFS(Tabla3[COSTO TOTAL DOLARES EN HAWTHORNE],Tabla3[STATUS],"COTIZANDO",Tabla3[TEMA],"&lt;&gt;SERVICIO DE FILTROS")</f>
        <v>191410.87999999998</v>
      </c>
      <c r="G7" s="449">
        <f>SUMIFS(Tabla3[COSTO TOTAL DOLARES CTP],Tabla3[STATUS],"COTIZANDO",Tabla3[TEMA],"&lt;&gt;SERVICIO DE FILTROS")</f>
        <v>23109.760000000002</v>
      </c>
      <c r="H7" s="447">
        <f>COUNTIFS(Tabla3[STATUS],"COTIZANDO",Tabla3[COSTO TOTAL SIN IVA PESOS EN MATCO],"&gt;0",Tabla3[TEMA],"&lt;&gt;SERVICIO DE FILTROS")</f>
        <v>699</v>
      </c>
      <c r="I7" s="447">
        <f>COUNTIFS(Tabla3[STATUS],"COTIZANDO",Tabla3[COSTO TOTAL SIN IVA PESOS EN MATCO],"=0",Tabla3[TEMA],"&lt;&gt;SERVICIO DE FILTROS")</f>
        <v>5</v>
      </c>
      <c r="J7" s="447">
        <f>COUNTIFS(Tabla3[STATUS],"COTIZANDO",Tabla3[COSTO TOTAL DOLARES EN HAWTHORNE],"&gt;0",Tabla3[TEMA],"&lt;&gt;SERVICIO DE FILTROS")</f>
        <v>190</v>
      </c>
      <c r="K7" s="450">
        <f>COUNTIFS(Tabla3[STATUS],"COTIZANDO",Tabla3[COSTO TOTAL DOLARES CTP],"&gt;0",Tabla3[TEMA],"&lt;&gt;SERVICIO DE FILTROS")</f>
        <v>153</v>
      </c>
      <c r="N7" s="445" t="s">
        <v>46</v>
      </c>
      <c r="O7" s="446">
        <f>F8</f>
        <v>3253984.9599999995</v>
      </c>
      <c r="Z7"/>
    </row>
    <row r="8" spans="1:26" ht="27" customHeight="1" x14ac:dyDescent="0.25">
      <c r="B8" s="451"/>
      <c r="C8" s="451"/>
      <c r="D8" s="452" t="s">
        <v>2000</v>
      </c>
      <c r="E8" s="453">
        <f>E7</f>
        <v>6047671.97000001</v>
      </c>
      <c r="F8" s="453">
        <f>IF($E$3&gt;0,F7*$E$3,0)</f>
        <v>3253984.9599999995</v>
      </c>
      <c r="G8" s="453">
        <f>IF($E$3&gt;0,G7*$E$3,0)</f>
        <v>392865.92000000004</v>
      </c>
      <c r="H8" s="451"/>
      <c r="I8" s="451"/>
      <c r="J8" s="451"/>
      <c r="K8" s="451"/>
      <c r="N8" s="445" t="s">
        <v>48</v>
      </c>
      <c r="O8" s="446">
        <f>G8</f>
        <v>392865.92000000004</v>
      </c>
      <c r="Z8"/>
    </row>
    <row r="9" spans="1:26" ht="29.25" customHeight="1" x14ac:dyDescent="0.25">
      <c r="Z9"/>
    </row>
    <row r="10" spans="1:26" ht="15" x14ac:dyDescent="0.25">
      <c r="B10" s="323" t="s">
        <v>1102</v>
      </c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Z10"/>
    </row>
    <row r="11" spans="1:26" ht="24" x14ac:dyDescent="0.2">
      <c r="B11" s="402" t="s">
        <v>1103</v>
      </c>
      <c r="C11" s="402" t="s">
        <v>35</v>
      </c>
      <c r="D11" s="402" t="s">
        <v>1104</v>
      </c>
      <c r="E11" s="402" t="s">
        <v>1105</v>
      </c>
      <c r="F11" s="402" t="s">
        <v>51</v>
      </c>
      <c r="G11" s="402" t="s">
        <v>1106</v>
      </c>
      <c r="H11" s="402" t="s">
        <v>1107</v>
      </c>
      <c r="I11" s="402" t="s">
        <v>1108</v>
      </c>
      <c r="J11" s="402" t="s">
        <v>1109</v>
      </c>
      <c r="K11" s="402" t="s">
        <v>1110</v>
      </c>
      <c r="L11" s="402" t="s">
        <v>1111</v>
      </c>
    </row>
    <row r="12" spans="1:26" x14ac:dyDescent="0.2">
      <c r="B12" s="403" t="str">
        <f>MAQUINARIA!B421</f>
        <v>BC-01</v>
      </c>
      <c r="C12" s="404" t="str">
        <f>MAQUINARIA!H421</f>
        <v>ACTIVA</v>
      </c>
      <c r="D12" s="405" t="str">
        <f>IFERROR(TRIM(MAQUINARIA!C421&amp;" "&amp;MAQUINARIA!E421),"—")</f>
        <v>BOMBA DE CONCRETO</v>
      </c>
      <c r="E12" s="397" cm="1">
        <f t="array" ref="E12">IF(B12="",0,IFERROR(ROWS(_xlfn.UNIQUE(_xlfn._xlws.FILTER(Tabla3[PEDIDO],(Tabla3[STATUS]="COTIZANDO")*(Tabla3[NUM ECONOMICO]=B12)*(Tabla3[TEMA]&lt;&gt;"SERVICIO DE FILTROS")))),0))</f>
        <v>0</v>
      </c>
      <c r="F12" s="398">
        <f>IF(B12="",0,COUNTIFS(Tabla3[STATUS],"COTIZANDO",Tabla3[NUM ECONOMICO],B12,Tabla3[TEMA],"&lt;&gt;SERVICIO DE FILTROS"))</f>
        <v>0</v>
      </c>
      <c r="G12" s="399">
        <f>IF(B12="",0,SUMIFS(Tabla3[COSTO TOTAL SIN IVA PESOS EN MATCO],Tabla3[STATUS],"COTIZANDO",Tabla3[NUM ECONOMICO],B12,Tabla3[TEMA],"&lt;&gt;SERVICIO DE FILTROS"))</f>
        <v>0</v>
      </c>
      <c r="H12" s="400">
        <f>IF(B12="",0,SUMIFS(Tabla3[COSTO TOTAL DOLARES EN HAWTHORNE],Tabla3[STATUS],"COTIZANDO",Tabla3[NUM ECONOMICO],B12,Tabla3[TEMA],"&lt;&gt;SERVICIO DE FILTROS"))</f>
        <v>0</v>
      </c>
      <c r="I12" s="401" t="str">
        <f>IF(B12="","",_xlfn.LET(_xlpm.totalUSD,SUMIFS(Tabla3[COSTO TOTAL DOLARES EN HAWTHORNE],Tabla3[STATUS],"COTIZANDO",Tabla3[NUM ECONOMICO],B12,Tabla3[TEMA],"&lt;&gt;SERVICIO DE FILTROS"),IF(OR(TC="",_xlpm.totalUSD=0),"—",_xlpm.totalUSD*TC)))</f>
        <v>—</v>
      </c>
      <c r="J12" s="400">
        <f>IF(B12="",0,SUMIFS(Tabla3[COSTO TOTAL DOLARES CTP],Tabla3[STATUS],"COTIZANDO",Tabla3[NUM ECONOMICO],B12,Tabla3[TEMA],"&lt;&gt;SERVICIO DE FILTROS"))</f>
        <v>0</v>
      </c>
      <c r="K12" s="401" t="str">
        <f>IF(B12="","",_xlfn.LET(_xlpm.totalUSD,SUMIFS(Tabla3[COSTO TOTAL DOLARES CTP],Tabla3[STATUS],"COTIZANDO",Tabla3[NUM ECONOMICO],B12,Tabla3[TEMA],"&lt;&gt;SERVICIO DE FILTROS"),IF(OR(TC="",_xlpm.totalUSD=0),"—",_xlpm.totalUSD*TC)))</f>
        <v>—</v>
      </c>
      <c r="L12" s="398" cm="1">
        <f t="array" ref="L12">IF(B12="",0,IFERROR(MAX(_xlfn._xlws.FILTER(Tabla3[DIAS DE ENTREGA TENTATIVO EN MATCO],(Tabla3[STATUS]="COTIZANDO")*(Tabla3[NUM ECONOMICO]=B12)*(Tabla3[TEMA]&lt;&gt;"SERVICIO DE FILTROS"))),0))</f>
        <v>0</v>
      </c>
    </row>
    <row r="13" spans="1:26" x14ac:dyDescent="0.2">
      <c r="B13" s="403" t="str">
        <f>MAQUINARIA!B462</f>
        <v>CGP-01</v>
      </c>
      <c r="C13" s="403" t="str">
        <f>MAQUINARIA!H462</f>
        <v>ACTIVA</v>
      </c>
      <c r="D13" s="405" t="str">
        <f>IFERROR(TRIM(MAQUINARIA!C462&amp;" "&amp;MAQUINARIA!E462),"—")</f>
        <v>CAMION GRUA PERFORADOR</v>
      </c>
      <c r="E13" s="397" cm="1">
        <f t="array" ref="E13">IF(B13="",0,IFERROR(ROWS(_xlfn.UNIQUE(_xlfn._xlws.FILTER(Tabla3[PEDIDO],(Tabla3[STATUS]="COTIZANDO")*(Tabla3[NUM ECONOMICO]=B13)*(Tabla3[TEMA]&lt;&gt;"SERVICIO DE FILTROS")))),0))</f>
        <v>0</v>
      </c>
      <c r="F13" s="398">
        <f>IF(B13="",0,COUNTIFS(Tabla3[STATUS],"COTIZANDO",Tabla3[NUM ECONOMICO],B13,Tabla3[TEMA],"&lt;&gt;SERVICIO DE FILTROS"))</f>
        <v>0</v>
      </c>
      <c r="G13" s="399">
        <f>IF(B13="",0,SUMIFS(Tabla3[COSTO TOTAL SIN IVA PESOS EN MATCO],Tabla3[STATUS],"COTIZANDO",Tabla3[NUM ECONOMICO],B13,Tabla3[TEMA],"&lt;&gt;SERVICIO DE FILTROS"))</f>
        <v>0</v>
      </c>
      <c r="H13" s="400">
        <f>IF(B13="",0,SUMIFS(Tabla3[COSTO TOTAL DOLARES EN HAWTHORNE],Tabla3[STATUS],"COTIZANDO",Tabla3[NUM ECONOMICO],B13,Tabla3[TEMA],"&lt;&gt;SERVICIO DE FILTROS"))</f>
        <v>0</v>
      </c>
      <c r="I13" s="401" t="str">
        <f>IF(B13="","",_xlfn.LET(_xlpm.totalUSD,SUMIFS(Tabla3[COSTO TOTAL DOLARES EN HAWTHORNE],Tabla3[STATUS],"COTIZANDO",Tabla3[NUM ECONOMICO],B13,Tabla3[TEMA],"&lt;&gt;SERVICIO DE FILTROS"),IF(OR(TC="",_xlpm.totalUSD=0),"—",_xlpm.totalUSD*TC)))</f>
        <v>—</v>
      </c>
      <c r="J13" s="400">
        <f>IF(B13="",0,SUMIFS(Tabla3[COSTO TOTAL DOLARES CTP],Tabla3[STATUS],"COTIZANDO",Tabla3[NUM ECONOMICO],B13,Tabla3[TEMA],"&lt;&gt;SERVICIO DE FILTROS"))</f>
        <v>0</v>
      </c>
      <c r="K13" s="401" t="str">
        <f>IF(B13="","",_xlfn.LET(_xlpm.totalUSD,SUMIFS(Tabla3[COSTO TOTAL DOLARES CTP],Tabla3[STATUS],"COTIZANDO",Tabla3[NUM ECONOMICO],B13,Tabla3[TEMA],"&lt;&gt;SERVICIO DE FILTROS"),IF(OR(TC="",_xlpm.totalUSD=0),"—",_xlpm.totalUSD*TC)))</f>
        <v>—</v>
      </c>
      <c r="L13" s="398" cm="1">
        <f t="array" ref="L13">IF(B13="",0,IFERROR(MAX(_xlfn._xlws.FILTER(Tabla3[DIAS DE ENTREGA TENTATIVO EN MATCO],(Tabla3[STATUS]="COTIZANDO")*(Tabla3[NUM ECONOMICO]=B13)*(Tabla3[TEMA]&lt;&gt;"SERVICIO DE FILTROS"))),0))</f>
        <v>0</v>
      </c>
    </row>
    <row r="14" spans="1:26" x14ac:dyDescent="0.2">
      <c r="B14" s="403" t="str">
        <f>MAQUINARIA!B493</f>
        <v>CL-01</v>
      </c>
      <c r="C14" s="403" t="str">
        <f>MAQUINARIA!H493</f>
        <v>INACTIVA</v>
      </c>
      <c r="D14" s="405" t="str">
        <f>IFERROR(TRIM(MAQUINARIA!C493&amp;" "&amp;MAQUINARIA!E493),"—")</f>
        <v>CAMION DE LAVADO 650</v>
      </c>
      <c r="E14" s="397" cm="1">
        <f t="array" ref="E14">IF(B14="",0,IFERROR(ROWS(_xlfn.UNIQUE(_xlfn._xlws.FILTER(Tabla3[PEDIDO],(Tabla3[STATUS]="COTIZANDO")*(Tabla3[NUM ECONOMICO]=B14)*(Tabla3[TEMA]&lt;&gt;"SERVICIO DE FILTROS")))),0))</f>
        <v>0</v>
      </c>
      <c r="F14" s="398">
        <f>IF(B14="",0,COUNTIFS(Tabla3[STATUS],"COTIZANDO",Tabla3[NUM ECONOMICO],B14,Tabla3[TEMA],"&lt;&gt;SERVICIO DE FILTROS"))</f>
        <v>0</v>
      </c>
      <c r="G14" s="399">
        <f>IF(B14="",0,SUMIFS(Tabla3[COSTO TOTAL SIN IVA PESOS EN MATCO],Tabla3[STATUS],"COTIZANDO",Tabla3[NUM ECONOMICO],B14,Tabla3[TEMA],"&lt;&gt;SERVICIO DE FILTROS"))</f>
        <v>0</v>
      </c>
      <c r="H14" s="400">
        <f>IF(B14="",0,SUMIFS(Tabla3[COSTO TOTAL DOLARES EN HAWTHORNE],Tabla3[STATUS],"COTIZANDO",Tabla3[NUM ECONOMICO],B14,Tabla3[TEMA],"&lt;&gt;SERVICIO DE FILTROS"))</f>
        <v>0</v>
      </c>
      <c r="I14" s="401" t="str">
        <f>IF(B14="","",_xlfn.LET(_xlpm.totalUSD,SUMIFS(Tabla3[COSTO TOTAL DOLARES EN HAWTHORNE],Tabla3[STATUS],"COTIZANDO",Tabla3[NUM ECONOMICO],B14,Tabla3[TEMA],"&lt;&gt;SERVICIO DE FILTROS"),IF(OR(TC="",_xlpm.totalUSD=0),"—",_xlpm.totalUSD*TC)))</f>
        <v>—</v>
      </c>
      <c r="J14" s="400">
        <f>IF(B14="",0,SUMIFS(Tabla3[COSTO TOTAL DOLARES CTP],Tabla3[STATUS],"COTIZANDO",Tabla3[NUM ECONOMICO],B14,Tabla3[TEMA],"&lt;&gt;SERVICIO DE FILTROS"))</f>
        <v>0</v>
      </c>
      <c r="K14" s="401" t="str">
        <f>IF(B14="","",_xlfn.LET(_xlpm.totalUSD,SUMIFS(Tabla3[COSTO TOTAL DOLARES CTP],Tabla3[STATUS],"COTIZANDO",Tabla3[NUM ECONOMICO],B14,Tabla3[TEMA],"&lt;&gt;SERVICIO DE FILTROS"),IF(OR(TC="",_xlpm.totalUSD=0),"—",_xlpm.totalUSD*TC)))</f>
        <v>—</v>
      </c>
      <c r="L14" s="398" cm="1">
        <f t="array" ref="L14">IF(B14="",0,IFERROR(MAX(_xlfn._xlws.FILTER(Tabla3[DIAS DE ENTREGA TENTATIVO EN MATCO],(Tabla3[STATUS]="COTIZANDO")*(Tabla3[NUM ECONOMICO]=B14)*(Tabla3[TEMA]&lt;&gt;"SERVICIO DE FILTROS"))),0))</f>
        <v>0</v>
      </c>
    </row>
    <row r="15" spans="1:26" x14ac:dyDescent="0.2">
      <c r="B15" s="403" t="str">
        <f>MAQUINARIA!B481</f>
        <v>CM-01</v>
      </c>
      <c r="C15" s="403" t="str">
        <f>MAQUINARIA!H481</f>
        <v>ACTIVA</v>
      </c>
      <c r="D15" s="405" t="str">
        <f>IFERROR(TRIM(MAQUINARIA!C481&amp;" "&amp;MAQUINARIA!E481),"—")</f>
        <v>CAMA BAJA</v>
      </c>
      <c r="E15" s="397" cm="1">
        <f t="array" ref="E15">IF(B15="",0,IFERROR(ROWS(_xlfn.UNIQUE(_xlfn._xlws.FILTER(Tabla3[PEDIDO],(Tabla3[STATUS]="COTIZANDO")*(Tabla3[NUM ECONOMICO]=B15)*(Tabla3[TEMA]&lt;&gt;"SERVICIO DE FILTROS")))),0))</f>
        <v>0</v>
      </c>
      <c r="F15" s="398">
        <f>IF(B15="",0,COUNTIFS(Tabla3[STATUS],"COTIZANDO",Tabla3[NUM ECONOMICO],B15,Tabla3[TEMA],"&lt;&gt;SERVICIO DE FILTROS"))</f>
        <v>0</v>
      </c>
      <c r="G15" s="399">
        <f>IF(B15="",0,SUMIFS(Tabla3[COSTO TOTAL SIN IVA PESOS EN MATCO],Tabla3[STATUS],"COTIZANDO",Tabla3[NUM ECONOMICO],B15,Tabla3[TEMA],"&lt;&gt;SERVICIO DE FILTROS"))</f>
        <v>0</v>
      </c>
      <c r="H15" s="400">
        <f>IF(B15="",0,SUMIFS(Tabla3[COSTO TOTAL DOLARES EN HAWTHORNE],Tabla3[STATUS],"COTIZANDO",Tabla3[NUM ECONOMICO],B15,Tabla3[TEMA],"&lt;&gt;SERVICIO DE FILTROS"))</f>
        <v>0</v>
      </c>
      <c r="I15" s="401" t="str">
        <f>IF(B15="","",_xlfn.LET(_xlpm.totalUSD,SUMIFS(Tabla3[COSTO TOTAL DOLARES EN HAWTHORNE],Tabla3[STATUS],"COTIZANDO",Tabla3[NUM ECONOMICO],B15,Tabla3[TEMA],"&lt;&gt;SERVICIO DE FILTROS"),IF(OR(TC="",_xlpm.totalUSD=0),"—",_xlpm.totalUSD*TC)))</f>
        <v>—</v>
      </c>
      <c r="J15" s="400">
        <f>IF(B15="",0,SUMIFS(Tabla3[COSTO TOTAL DOLARES CTP],Tabla3[STATUS],"COTIZANDO",Tabla3[NUM ECONOMICO],B15,Tabla3[TEMA],"&lt;&gt;SERVICIO DE FILTROS"))</f>
        <v>0</v>
      </c>
      <c r="K15" s="401" t="str">
        <f>IF(B15="","",_xlfn.LET(_xlpm.totalUSD,SUMIFS(Tabla3[COSTO TOTAL DOLARES CTP],Tabla3[STATUS],"COTIZANDO",Tabla3[NUM ECONOMICO],B15,Tabla3[TEMA],"&lt;&gt;SERVICIO DE FILTROS"),IF(OR(TC="",_xlpm.totalUSD=0),"—",_xlpm.totalUSD*TC)))</f>
        <v>—</v>
      </c>
      <c r="L15" s="398" cm="1">
        <f t="array" ref="L15">IF(B15="",0,IFERROR(MAX(_xlfn._xlws.FILTER(Tabla3[DIAS DE ENTREGA TENTATIVO EN MATCO],(Tabla3[STATUS]="COTIZANDO")*(Tabla3[NUM ECONOMICO]=B15)*(Tabla3[TEMA]&lt;&gt;"SERVICIO DE FILTROS"))),0))</f>
        <v>0</v>
      </c>
    </row>
    <row r="16" spans="1:26" x14ac:dyDescent="0.2">
      <c r="B16" s="403" t="str">
        <f>MAQUINARIA!B482</f>
        <v>CM-02</v>
      </c>
      <c r="C16" s="404" t="str">
        <f>MAQUINARIA!H482</f>
        <v>ACTIVA</v>
      </c>
      <c r="D16" s="405" t="str">
        <f>IFERROR(TRIM(MAQUINARIA!C482&amp;" "&amp;MAQUINARIA!E482),"—")</f>
        <v>CAMA BAJA WITZCO</v>
      </c>
      <c r="E16" s="398" cm="1">
        <f t="array" ref="E16">IF(B16="",0,IFERROR(ROWS(_xlfn.UNIQUE(_xlfn._xlws.FILTER(Tabla3[PEDIDO],(Tabla3[STATUS]="COTIZANDO")*(Tabla3[NUM ECONOMICO]=B16)*(Tabla3[TEMA]&lt;&gt;"SERVICIO DE FILTROS")))),0))</f>
        <v>0</v>
      </c>
      <c r="F16" s="398">
        <f>IF(B16="",0,COUNTIFS(Tabla3[STATUS],"COTIZANDO",Tabla3[NUM ECONOMICO],B16,Tabla3[TEMA],"&lt;&gt;SERVICIO DE FILTROS"))</f>
        <v>0</v>
      </c>
      <c r="G16" s="399">
        <f>IF(B16="",0,SUMIFS(Tabla3[COSTO TOTAL SIN IVA PESOS EN MATCO],Tabla3[STATUS],"COTIZANDO",Tabla3[NUM ECONOMICO],B16,Tabla3[TEMA],"&lt;&gt;SERVICIO DE FILTROS"))</f>
        <v>0</v>
      </c>
      <c r="H16" s="400">
        <f>IF(B16="",0,SUMIFS(Tabla3[COSTO TOTAL DOLARES EN HAWTHORNE],Tabla3[STATUS],"COTIZANDO",Tabla3[NUM ECONOMICO],B16,Tabla3[TEMA],"&lt;&gt;SERVICIO DE FILTROS"))</f>
        <v>0</v>
      </c>
      <c r="I16" s="401" t="str">
        <f>IF(B16="","",_xlfn.LET(_xlpm.totalUSD,SUMIFS(Tabla3[COSTO TOTAL DOLARES EN HAWTHORNE],Tabla3[STATUS],"COTIZANDO",Tabla3[NUM ECONOMICO],B16,Tabla3[TEMA],"&lt;&gt;SERVICIO DE FILTROS"),IF(OR(TC="",_xlpm.totalUSD=0),"—",_xlpm.totalUSD*TC)))</f>
        <v>—</v>
      </c>
      <c r="J16" s="400">
        <f>IF(B16="",0,SUMIFS(Tabla3[COSTO TOTAL DOLARES CTP],Tabla3[STATUS],"COTIZANDO",Tabla3[NUM ECONOMICO],B16,Tabla3[TEMA],"&lt;&gt;SERVICIO DE FILTROS"))</f>
        <v>0</v>
      </c>
      <c r="K16" s="401" t="str">
        <f>IF(B16="","",_xlfn.LET(_xlpm.totalUSD,SUMIFS(Tabla3[COSTO TOTAL DOLARES CTP],Tabla3[STATUS],"COTIZANDO",Tabla3[NUM ECONOMICO],B16,Tabla3[TEMA],"&lt;&gt;SERVICIO DE FILTROS"),IF(OR(TC="",_xlpm.totalUSD=0),"—",_xlpm.totalUSD*TC)))</f>
        <v>—</v>
      </c>
      <c r="L16" s="398" cm="1">
        <f t="array" ref="L16">IF(B16="",0,IFERROR(MAX(_xlfn._xlws.FILTER(Tabla3[DIAS DE ENTREGA TENTATIVO EN MATCO],(Tabla3[STATUS]="COTIZANDO")*(Tabla3[NUM ECONOMICO]=B16)*(Tabla3[TEMA]&lt;&gt;"SERVICIO DE FILTROS"))),0))</f>
        <v>0</v>
      </c>
    </row>
    <row r="17" spans="2:12" x14ac:dyDescent="0.2">
      <c r="B17" s="403" t="str">
        <f>MAQUINARIA!B483</f>
        <v>CM-03</v>
      </c>
      <c r="C17" s="403" t="str">
        <f>MAQUINARIA!H483</f>
        <v>ACTIVA</v>
      </c>
      <c r="D17" s="405" t="str">
        <f>IFERROR(TRIM(MAQUINARIA!C483&amp;" "&amp;MAQUINARIA!E483),"—")</f>
        <v>CAMA BAJA</v>
      </c>
      <c r="E17" s="397" cm="1">
        <f t="array" ref="E17">IF(B17="",0,IFERROR(ROWS(_xlfn.UNIQUE(_xlfn._xlws.FILTER(Tabla3[PEDIDO],(Tabla3[STATUS]="COTIZANDO")*(Tabla3[NUM ECONOMICO]=B17)*(Tabla3[TEMA]&lt;&gt;"SERVICIO DE FILTROS")))),0))</f>
        <v>0</v>
      </c>
      <c r="F17" s="398">
        <f>IF(B17="",0,COUNTIFS(Tabla3[STATUS],"COTIZANDO",Tabla3[NUM ECONOMICO],B17,Tabla3[TEMA],"&lt;&gt;SERVICIO DE FILTROS"))</f>
        <v>0</v>
      </c>
      <c r="G17" s="399">
        <f>IF(B17="",0,SUMIFS(Tabla3[COSTO TOTAL SIN IVA PESOS EN MATCO],Tabla3[STATUS],"COTIZANDO",Tabla3[NUM ECONOMICO],B17,Tabla3[TEMA],"&lt;&gt;SERVICIO DE FILTROS"))</f>
        <v>0</v>
      </c>
      <c r="H17" s="400">
        <f>IF(B17="",0,SUMIFS(Tabla3[COSTO TOTAL DOLARES EN HAWTHORNE],Tabla3[STATUS],"COTIZANDO",Tabla3[NUM ECONOMICO],B17,Tabla3[TEMA],"&lt;&gt;SERVICIO DE FILTROS"))</f>
        <v>0</v>
      </c>
      <c r="I17" s="401" t="str">
        <f>IF(B17="","",_xlfn.LET(_xlpm.totalUSD,SUMIFS(Tabla3[COSTO TOTAL DOLARES EN HAWTHORNE],Tabla3[STATUS],"COTIZANDO",Tabla3[NUM ECONOMICO],B17,Tabla3[TEMA],"&lt;&gt;SERVICIO DE FILTROS"),IF(OR(TC="",_xlpm.totalUSD=0),"—",_xlpm.totalUSD*TC)))</f>
        <v>—</v>
      </c>
      <c r="J17" s="400">
        <f>IF(B17="",0,SUMIFS(Tabla3[COSTO TOTAL DOLARES CTP],Tabla3[STATUS],"COTIZANDO",Tabla3[NUM ECONOMICO],B17,Tabla3[TEMA],"&lt;&gt;SERVICIO DE FILTROS"))</f>
        <v>0</v>
      </c>
      <c r="K17" s="401" t="str">
        <f>IF(B17="","",_xlfn.LET(_xlpm.totalUSD,SUMIFS(Tabla3[COSTO TOTAL DOLARES CTP],Tabla3[STATUS],"COTIZANDO",Tabla3[NUM ECONOMICO],B17,Tabla3[TEMA],"&lt;&gt;SERVICIO DE FILTROS"),IF(OR(TC="",_xlpm.totalUSD=0),"—",_xlpm.totalUSD*TC)))</f>
        <v>—</v>
      </c>
      <c r="L17" s="398" cm="1">
        <f t="array" ref="L17">IF(B17="",0,IFERROR(MAX(_xlfn._xlws.FILTER(Tabla3[DIAS DE ENTREGA TENTATIVO EN MATCO],(Tabla3[STATUS]="COTIZANDO")*(Tabla3[NUM ECONOMICO]=B17)*(Tabla3[TEMA]&lt;&gt;"SERVICIO DE FILTROS"))),0))</f>
        <v>0</v>
      </c>
    </row>
    <row r="18" spans="2:12" x14ac:dyDescent="0.2">
      <c r="B18" s="403" t="str">
        <f>MAQUINARIA!B484</f>
        <v>CM-04</v>
      </c>
      <c r="C18" s="403" t="str">
        <f>MAQUINARIA!H484</f>
        <v>INACTIVA</v>
      </c>
      <c r="D18" s="405" t="str">
        <f>IFERROR(TRIM(MAQUINARIA!C484&amp;" "&amp;MAQUINARIA!E484),"—")</f>
        <v>CAMA BAJA DOLLY</v>
      </c>
      <c r="E18" s="397" cm="1">
        <f t="array" ref="E18">IF(B18="",0,IFERROR(ROWS(_xlfn.UNIQUE(_xlfn._xlws.FILTER(Tabla3[PEDIDO],(Tabla3[STATUS]="COTIZANDO")*(Tabla3[NUM ECONOMICO]=B18)*(Tabla3[TEMA]&lt;&gt;"SERVICIO DE FILTROS")))),0))</f>
        <v>0</v>
      </c>
      <c r="F18" s="398">
        <f>IF(B18="",0,COUNTIFS(Tabla3[STATUS],"COTIZANDO",Tabla3[NUM ECONOMICO],B18,Tabla3[TEMA],"&lt;&gt;SERVICIO DE FILTROS"))</f>
        <v>0</v>
      </c>
      <c r="G18" s="399">
        <f>IF(B18="",0,SUMIFS(Tabla3[COSTO TOTAL SIN IVA PESOS EN MATCO],Tabla3[STATUS],"COTIZANDO",Tabla3[NUM ECONOMICO],B18,Tabla3[TEMA],"&lt;&gt;SERVICIO DE FILTROS"))</f>
        <v>0</v>
      </c>
      <c r="H18" s="400">
        <f>IF(B18="",0,SUMIFS(Tabla3[COSTO TOTAL DOLARES EN HAWTHORNE],Tabla3[STATUS],"COTIZANDO",Tabla3[NUM ECONOMICO],B18,Tabla3[TEMA],"&lt;&gt;SERVICIO DE FILTROS"))</f>
        <v>0</v>
      </c>
      <c r="I18" s="401" t="str">
        <f>IF(B18="","",_xlfn.LET(_xlpm.totalUSD,SUMIFS(Tabla3[COSTO TOTAL DOLARES EN HAWTHORNE],Tabla3[STATUS],"COTIZANDO",Tabla3[NUM ECONOMICO],B18,Tabla3[TEMA],"&lt;&gt;SERVICIO DE FILTROS"),IF(OR(TC="",_xlpm.totalUSD=0),"—",_xlpm.totalUSD*TC)))</f>
        <v>—</v>
      </c>
      <c r="J18" s="400">
        <f>IF(B18="",0,SUMIFS(Tabla3[COSTO TOTAL DOLARES CTP],Tabla3[STATUS],"COTIZANDO",Tabla3[NUM ECONOMICO],B18,Tabla3[TEMA],"&lt;&gt;SERVICIO DE FILTROS"))</f>
        <v>0</v>
      </c>
      <c r="K18" s="401" t="str">
        <f>IF(B18="","",_xlfn.LET(_xlpm.totalUSD,SUMIFS(Tabla3[COSTO TOTAL DOLARES CTP],Tabla3[STATUS],"COTIZANDO",Tabla3[NUM ECONOMICO],B18,Tabla3[TEMA],"&lt;&gt;SERVICIO DE FILTROS"),IF(OR(TC="",_xlpm.totalUSD=0),"—",_xlpm.totalUSD*TC)))</f>
        <v>—</v>
      </c>
      <c r="L18" s="398" cm="1">
        <f t="array" ref="L18">IF(B18="",0,IFERROR(MAX(_xlfn._xlws.FILTER(Tabla3[DIAS DE ENTREGA TENTATIVO EN MATCO],(Tabla3[STATUS]="COTIZANDO")*(Tabla3[NUM ECONOMICO]=B18)*(Tabla3[TEMA]&lt;&gt;"SERVICIO DE FILTROS"))),0))</f>
        <v>0</v>
      </c>
    </row>
    <row r="19" spans="2:12" x14ac:dyDescent="0.2">
      <c r="B19" s="403" t="str">
        <f>MAQUINARIA!B420</f>
        <v>CMX-01</v>
      </c>
      <c r="C19" s="403" t="str">
        <f>MAQUINARIA!H420</f>
        <v>ACTIVA</v>
      </c>
      <c r="D19" s="405" t="str">
        <f>IFERROR(TRIM(MAQUINARIA!C420&amp;" "&amp;MAQUINARIA!E420),"—")</f>
        <v>PLANTA DE CONCRETO MOVIL</v>
      </c>
      <c r="E19" s="397" cm="1">
        <f t="array" ref="E19">IF(B19="",0,IFERROR(ROWS(_xlfn.UNIQUE(_xlfn._xlws.FILTER(Tabla3[PEDIDO],(Tabla3[STATUS]="COTIZANDO")*(Tabla3[NUM ECONOMICO]=B19)*(Tabla3[TEMA]&lt;&gt;"SERVICIO DE FILTROS")))),0))</f>
        <v>0</v>
      </c>
      <c r="F19" s="398">
        <f>IF(B19="",0,COUNTIFS(Tabla3[STATUS],"COTIZANDO",Tabla3[NUM ECONOMICO],B19,Tabla3[TEMA],"&lt;&gt;SERVICIO DE FILTROS"))</f>
        <v>0</v>
      </c>
      <c r="G19" s="399">
        <f>IF(B19="",0,SUMIFS(Tabla3[COSTO TOTAL SIN IVA PESOS EN MATCO],Tabla3[STATUS],"COTIZANDO",Tabla3[NUM ECONOMICO],B19,Tabla3[TEMA],"&lt;&gt;SERVICIO DE FILTROS"))</f>
        <v>0</v>
      </c>
      <c r="H19" s="400">
        <f>IF(B19="",0,SUMIFS(Tabla3[COSTO TOTAL DOLARES EN HAWTHORNE],Tabla3[STATUS],"COTIZANDO",Tabla3[NUM ECONOMICO],B19,Tabla3[TEMA],"&lt;&gt;SERVICIO DE FILTROS"))</f>
        <v>0</v>
      </c>
      <c r="I19" s="401" t="str">
        <f>IF(B19="","",_xlfn.LET(_xlpm.totalUSD,SUMIFS(Tabla3[COSTO TOTAL DOLARES EN HAWTHORNE],Tabla3[STATUS],"COTIZANDO",Tabla3[NUM ECONOMICO],B19,Tabla3[TEMA],"&lt;&gt;SERVICIO DE FILTROS"),IF(OR(TC="",_xlpm.totalUSD=0),"—",_xlpm.totalUSD*TC)))</f>
        <v>—</v>
      </c>
      <c r="J19" s="400">
        <f>IF(B19="",0,SUMIFS(Tabla3[COSTO TOTAL DOLARES CTP],Tabla3[STATUS],"COTIZANDO",Tabla3[NUM ECONOMICO],B19,Tabla3[TEMA],"&lt;&gt;SERVICIO DE FILTROS"))</f>
        <v>0</v>
      </c>
      <c r="K19" s="401" t="str">
        <f>IF(B19="","",_xlfn.LET(_xlpm.totalUSD,SUMIFS(Tabla3[COSTO TOTAL DOLARES CTP],Tabla3[STATUS],"COTIZANDO",Tabla3[NUM ECONOMICO],B19,Tabla3[TEMA],"&lt;&gt;SERVICIO DE FILTROS"),IF(OR(TC="",_xlpm.totalUSD=0),"—",_xlpm.totalUSD*TC)))</f>
        <v>—</v>
      </c>
      <c r="L19" s="398" cm="1">
        <f t="array" ref="L19">IF(B19="",0,IFERROR(MAX(_xlfn._xlws.FILTER(Tabla3[DIAS DE ENTREGA TENTATIVO EN MATCO],(Tabla3[STATUS]="COTIZANDO")*(Tabla3[NUM ECONOMICO]=B19)*(Tabla3[TEMA]&lt;&gt;"SERVICIO DE FILTROS"))),0))</f>
        <v>0</v>
      </c>
    </row>
    <row r="20" spans="2:12" x14ac:dyDescent="0.2">
      <c r="B20" s="403" t="str">
        <f>MAQUINARIA!B422</f>
        <v>CRC-03</v>
      </c>
      <c r="C20" s="403" t="str">
        <f>MAQUINARIA!H422</f>
        <v>ACTIVA</v>
      </c>
      <c r="D20" s="405" t="str">
        <f>IFERROR(TRIM(MAQUINARIA!C422&amp;" "&amp;MAQUINARIA!E422),"—")</f>
        <v>CAMION REVOLVEDOR 7 MTS</v>
      </c>
      <c r="E20" s="397" cm="1">
        <f t="array" ref="E20">IF(B20="",0,IFERROR(ROWS(_xlfn.UNIQUE(_xlfn._xlws.FILTER(Tabla3[PEDIDO],(Tabla3[STATUS]="COTIZANDO")*(Tabla3[NUM ECONOMICO]=B20)*(Tabla3[TEMA]&lt;&gt;"SERVICIO DE FILTROS")))),0))</f>
        <v>0</v>
      </c>
      <c r="F20" s="398">
        <f>IF(B20="",0,COUNTIFS(Tabla3[STATUS],"COTIZANDO",Tabla3[NUM ECONOMICO],B20,Tabla3[TEMA],"&lt;&gt;SERVICIO DE FILTROS"))</f>
        <v>0</v>
      </c>
      <c r="G20" s="399">
        <f>IF(B20="",0,SUMIFS(Tabla3[COSTO TOTAL SIN IVA PESOS EN MATCO],Tabla3[STATUS],"COTIZANDO",Tabla3[NUM ECONOMICO],B20,Tabla3[TEMA],"&lt;&gt;SERVICIO DE FILTROS"))</f>
        <v>0</v>
      </c>
      <c r="H20" s="400">
        <f>IF(B20="",0,SUMIFS(Tabla3[COSTO TOTAL DOLARES EN HAWTHORNE],Tabla3[STATUS],"COTIZANDO",Tabla3[NUM ECONOMICO],B20,Tabla3[TEMA],"&lt;&gt;SERVICIO DE FILTROS"))</f>
        <v>0</v>
      </c>
      <c r="I20" s="401" t="str">
        <f>IF(B20="","",_xlfn.LET(_xlpm.totalUSD,SUMIFS(Tabla3[COSTO TOTAL DOLARES EN HAWTHORNE],Tabla3[STATUS],"COTIZANDO",Tabla3[NUM ECONOMICO],B20,Tabla3[TEMA],"&lt;&gt;SERVICIO DE FILTROS"),IF(OR(TC="",_xlpm.totalUSD=0),"—",_xlpm.totalUSD*TC)))</f>
        <v>—</v>
      </c>
      <c r="J20" s="400">
        <f>IF(B20="",0,SUMIFS(Tabla3[COSTO TOTAL DOLARES CTP],Tabla3[STATUS],"COTIZANDO",Tabla3[NUM ECONOMICO],B20,Tabla3[TEMA],"&lt;&gt;SERVICIO DE FILTROS"))</f>
        <v>0</v>
      </c>
      <c r="K20" s="401" t="str">
        <f>IF(B20="","",_xlfn.LET(_xlpm.totalUSD,SUMIFS(Tabla3[COSTO TOTAL DOLARES CTP],Tabla3[STATUS],"COTIZANDO",Tabla3[NUM ECONOMICO],B20,Tabla3[TEMA],"&lt;&gt;SERVICIO DE FILTROS"),IF(OR(TC="",_xlpm.totalUSD=0),"—",_xlpm.totalUSD*TC)))</f>
        <v>—</v>
      </c>
      <c r="L20" s="398" cm="1">
        <f t="array" ref="L20">IF(B20="",0,IFERROR(MAX(_xlfn._xlws.FILTER(Tabla3[DIAS DE ENTREGA TENTATIVO EN MATCO],(Tabla3[STATUS]="COTIZANDO")*(Tabla3[NUM ECONOMICO]=B20)*(Tabla3[TEMA]&lt;&gt;"SERVICIO DE FILTROS"))),0))</f>
        <v>0</v>
      </c>
    </row>
    <row r="21" spans="2:12" x14ac:dyDescent="0.2">
      <c r="B21" s="403" t="str">
        <f>MAQUINARIA!B423</f>
        <v>CRC-04</v>
      </c>
      <c r="C21" s="404" t="str">
        <f>MAQUINARIA!H423</f>
        <v>INACTIVA</v>
      </c>
      <c r="D21" s="405" t="str">
        <f>IFERROR(TRIM(MAQUINARIA!C423&amp;" "&amp;MAQUINARIA!E423),"—")</f>
        <v>CAMION REVOLVEDOR 7 MTS</v>
      </c>
      <c r="E21" s="397" cm="1">
        <f t="array" ref="E21">IF(B21="",0,IFERROR(ROWS(_xlfn.UNIQUE(_xlfn._xlws.FILTER(Tabla3[PEDIDO],(Tabla3[STATUS]="COTIZANDO")*(Tabla3[NUM ECONOMICO]=B21)*(Tabla3[TEMA]&lt;&gt;"SERVICIO DE FILTROS")))),0))</f>
        <v>0</v>
      </c>
      <c r="F21" s="398">
        <f>IF(B21="",0,COUNTIFS(Tabla3[STATUS],"COTIZANDO",Tabla3[NUM ECONOMICO],B21,Tabla3[TEMA],"&lt;&gt;SERVICIO DE FILTROS"))</f>
        <v>0</v>
      </c>
      <c r="G21" s="399">
        <f>IF(B21="",0,SUMIFS(Tabla3[COSTO TOTAL SIN IVA PESOS EN MATCO],Tabla3[STATUS],"COTIZANDO",Tabla3[NUM ECONOMICO],B21,Tabla3[TEMA],"&lt;&gt;SERVICIO DE FILTROS"))</f>
        <v>0</v>
      </c>
      <c r="H21" s="400">
        <f>IF(B21="",0,SUMIFS(Tabla3[COSTO TOTAL DOLARES EN HAWTHORNE],Tabla3[STATUS],"COTIZANDO",Tabla3[NUM ECONOMICO],B21,Tabla3[TEMA],"&lt;&gt;SERVICIO DE FILTROS"))</f>
        <v>0</v>
      </c>
      <c r="I21" s="401" t="str">
        <f>IF(B21="","",_xlfn.LET(_xlpm.totalUSD,SUMIFS(Tabla3[COSTO TOTAL DOLARES EN HAWTHORNE],Tabla3[STATUS],"COTIZANDO",Tabla3[NUM ECONOMICO],B21,Tabla3[TEMA],"&lt;&gt;SERVICIO DE FILTROS"),IF(OR(TC="",_xlpm.totalUSD=0),"—",_xlpm.totalUSD*TC)))</f>
        <v>—</v>
      </c>
      <c r="J21" s="400">
        <f>IF(B21="",0,SUMIFS(Tabla3[COSTO TOTAL DOLARES CTP],Tabla3[STATUS],"COTIZANDO",Tabla3[NUM ECONOMICO],B21,Tabla3[TEMA],"&lt;&gt;SERVICIO DE FILTROS"))</f>
        <v>0</v>
      </c>
      <c r="K21" s="401" t="str">
        <f>IF(B21="","",_xlfn.LET(_xlpm.totalUSD,SUMIFS(Tabla3[COSTO TOTAL DOLARES CTP],Tabla3[STATUS],"COTIZANDO",Tabla3[NUM ECONOMICO],B21,Tabla3[TEMA],"&lt;&gt;SERVICIO DE FILTROS"),IF(OR(TC="",_xlpm.totalUSD=0),"—",_xlpm.totalUSD*TC)))</f>
        <v>—</v>
      </c>
      <c r="L21" s="398" cm="1">
        <f t="array" ref="L21">IF(B21="",0,IFERROR(MAX(_xlfn._xlws.FILTER(Tabla3[DIAS DE ENTREGA TENTATIVO EN MATCO],(Tabla3[STATUS]="COTIZANDO")*(Tabla3[NUM ECONOMICO]=B21)*(Tabla3[TEMA]&lt;&gt;"SERVICIO DE FILTROS"))),0))</f>
        <v>0</v>
      </c>
    </row>
    <row r="22" spans="2:12" x14ac:dyDescent="0.2">
      <c r="B22" s="403" t="str">
        <f>MAQUINARIA!B424</f>
        <v>CRC-05</v>
      </c>
      <c r="C22" s="403" t="str">
        <f>MAQUINARIA!H424</f>
        <v>ACTIVA</v>
      </c>
      <c r="D22" s="405" t="str">
        <f>IFERROR(TRIM(MAQUINARIA!C424&amp;" "&amp;MAQUINARIA!E424),"—")</f>
        <v>CAMION REVOLVEDOR 7 MTS</v>
      </c>
      <c r="E22" s="397" cm="1">
        <f t="array" ref="E22">IF(B22="",0,IFERROR(ROWS(_xlfn.UNIQUE(_xlfn._xlws.FILTER(Tabla3[PEDIDO],(Tabla3[STATUS]="COTIZANDO")*(Tabla3[NUM ECONOMICO]=B22)*(Tabla3[TEMA]&lt;&gt;"SERVICIO DE FILTROS")))),0))</f>
        <v>0</v>
      </c>
      <c r="F22" s="398">
        <f>IF(B22="",0,COUNTIFS(Tabla3[STATUS],"COTIZANDO",Tabla3[NUM ECONOMICO],B22,Tabla3[TEMA],"&lt;&gt;SERVICIO DE FILTROS"))</f>
        <v>0</v>
      </c>
      <c r="G22" s="399">
        <f>IF(B22="",0,SUMIFS(Tabla3[COSTO TOTAL SIN IVA PESOS EN MATCO],Tabla3[STATUS],"COTIZANDO",Tabla3[NUM ECONOMICO],B22,Tabla3[TEMA],"&lt;&gt;SERVICIO DE FILTROS"))</f>
        <v>0</v>
      </c>
      <c r="H22" s="400">
        <f>IF(B22="",0,SUMIFS(Tabla3[COSTO TOTAL DOLARES EN HAWTHORNE],Tabla3[STATUS],"COTIZANDO",Tabla3[NUM ECONOMICO],B22,Tabla3[TEMA],"&lt;&gt;SERVICIO DE FILTROS"))</f>
        <v>0</v>
      </c>
      <c r="I22" s="401" t="str">
        <f>IF(B22="","",_xlfn.LET(_xlpm.totalUSD,SUMIFS(Tabla3[COSTO TOTAL DOLARES EN HAWTHORNE],Tabla3[STATUS],"COTIZANDO",Tabla3[NUM ECONOMICO],B22,Tabla3[TEMA],"&lt;&gt;SERVICIO DE FILTROS"),IF(OR(TC="",_xlpm.totalUSD=0),"—",_xlpm.totalUSD*TC)))</f>
        <v>—</v>
      </c>
      <c r="J22" s="400">
        <f>IF(B22="",0,SUMIFS(Tabla3[COSTO TOTAL DOLARES CTP],Tabla3[STATUS],"COTIZANDO",Tabla3[NUM ECONOMICO],B22,Tabla3[TEMA],"&lt;&gt;SERVICIO DE FILTROS"))</f>
        <v>0</v>
      </c>
      <c r="K22" s="401" t="str">
        <f>IF(B22="","",_xlfn.LET(_xlpm.totalUSD,SUMIFS(Tabla3[COSTO TOTAL DOLARES CTP],Tabla3[STATUS],"COTIZANDO",Tabla3[NUM ECONOMICO],B22,Tabla3[TEMA],"&lt;&gt;SERVICIO DE FILTROS"),IF(OR(TC="",_xlpm.totalUSD=0),"—",_xlpm.totalUSD*TC)))</f>
        <v>—</v>
      </c>
      <c r="L22" s="398" cm="1">
        <f t="array" ref="L22">IF(B22="",0,IFERROR(MAX(_xlfn._xlws.FILTER(Tabla3[DIAS DE ENTREGA TENTATIVO EN MATCO],(Tabla3[STATUS]="COTIZANDO")*(Tabla3[NUM ECONOMICO]=B22)*(Tabla3[TEMA]&lt;&gt;"SERVICIO DE FILTROS"))),0))</f>
        <v>0</v>
      </c>
    </row>
    <row r="23" spans="2:12" x14ac:dyDescent="0.2">
      <c r="B23" s="403" t="str">
        <f>MAQUINARIA!B361</f>
        <v>CV-01</v>
      </c>
      <c r="C23" s="403" t="str">
        <f>MAQUINARIA!H361</f>
        <v>ACTIVA</v>
      </c>
      <c r="D23" s="405" t="str">
        <f>IFERROR(TRIM(MAQUINARIA!C361&amp;" "&amp;MAQUINARIA!E361),"—")</f>
        <v>CAMION VOLTEO 7 M3</v>
      </c>
      <c r="E23" s="397" cm="1">
        <f t="array" ref="E23">IF(B23="",0,IFERROR(ROWS(_xlfn.UNIQUE(_xlfn._xlws.FILTER(Tabla3[PEDIDO],(Tabla3[STATUS]="COTIZANDO")*(Tabla3[NUM ECONOMICO]=B23)*(Tabla3[TEMA]&lt;&gt;"SERVICIO DE FILTROS")))),0))</f>
        <v>0</v>
      </c>
      <c r="F23" s="398">
        <f>IF(B23="",0,COUNTIFS(Tabla3[STATUS],"COTIZANDO",Tabla3[NUM ECONOMICO],B23,Tabla3[TEMA],"&lt;&gt;SERVICIO DE FILTROS"))</f>
        <v>0</v>
      </c>
      <c r="G23" s="399">
        <f>IF(B23="",0,SUMIFS(Tabla3[COSTO TOTAL SIN IVA PESOS EN MATCO],Tabla3[STATUS],"COTIZANDO",Tabla3[NUM ECONOMICO],B23,Tabla3[TEMA],"&lt;&gt;SERVICIO DE FILTROS"))</f>
        <v>0</v>
      </c>
      <c r="H23" s="400">
        <f>IF(B23="",0,SUMIFS(Tabla3[COSTO TOTAL DOLARES EN HAWTHORNE],Tabla3[STATUS],"COTIZANDO",Tabla3[NUM ECONOMICO],B23,Tabla3[TEMA],"&lt;&gt;SERVICIO DE FILTROS"))</f>
        <v>0</v>
      </c>
      <c r="I23" s="401" t="str">
        <f>IF(B23="","",_xlfn.LET(_xlpm.totalUSD,SUMIFS(Tabla3[COSTO TOTAL DOLARES EN HAWTHORNE],Tabla3[STATUS],"COTIZANDO",Tabla3[NUM ECONOMICO],B23,Tabla3[TEMA],"&lt;&gt;SERVICIO DE FILTROS"),IF(OR(TC="",_xlpm.totalUSD=0),"—",_xlpm.totalUSD*TC)))</f>
        <v>—</v>
      </c>
      <c r="J23" s="400">
        <f>IF(B23="",0,SUMIFS(Tabla3[COSTO TOTAL DOLARES CTP],Tabla3[STATUS],"COTIZANDO",Tabla3[NUM ECONOMICO],B23,Tabla3[TEMA],"&lt;&gt;SERVICIO DE FILTROS"))</f>
        <v>0</v>
      </c>
      <c r="K23" s="401" t="str">
        <f>IF(B23="","",_xlfn.LET(_xlpm.totalUSD,SUMIFS(Tabla3[COSTO TOTAL DOLARES CTP],Tabla3[STATUS],"COTIZANDO",Tabla3[NUM ECONOMICO],B23,Tabla3[TEMA],"&lt;&gt;SERVICIO DE FILTROS"),IF(OR(TC="",_xlpm.totalUSD=0),"—",_xlpm.totalUSD*TC)))</f>
        <v>—</v>
      </c>
      <c r="L23" s="398" cm="1">
        <f t="array" ref="L23">IF(B23="",0,IFERROR(MAX(_xlfn._xlws.FILTER(Tabla3[DIAS DE ENTREGA TENTATIVO EN MATCO],(Tabla3[STATUS]="COTIZANDO")*(Tabla3[NUM ECONOMICO]=B23)*(Tabla3[TEMA]&lt;&gt;"SERVICIO DE FILTROS"))),0))</f>
        <v>0</v>
      </c>
    </row>
    <row r="24" spans="2:12" x14ac:dyDescent="0.2">
      <c r="B24" s="403" t="str">
        <f>MAQUINARIA!B366</f>
        <v>CV-02</v>
      </c>
      <c r="C24" s="403" t="str">
        <f>MAQUINARIA!H366</f>
        <v>ACTIVA</v>
      </c>
      <c r="D24" s="405" t="str">
        <f>IFERROR(TRIM(MAQUINARIA!C366&amp;" "&amp;MAQUINARIA!E366),"—")</f>
        <v>CAMION VOLTEO 11 M3</v>
      </c>
      <c r="E24" s="397" cm="1">
        <f t="array" ref="E24">IF(B24="",0,IFERROR(ROWS(_xlfn.UNIQUE(_xlfn._xlws.FILTER(Tabla3[PEDIDO],(Tabla3[STATUS]="COTIZANDO")*(Tabla3[NUM ECONOMICO]=B24)*(Tabla3[TEMA]&lt;&gt;"SERVICIO DE FILTROS")))),0))</f>
        <v>0</v>
      </c>
      <c r="F24" s="398">
        <f>IF(B24="",0,COUNTIFS(Tabla3[STATUS],"COTIZANDO",Tabla3[NUM ECONOMICO],B24,Tabla3[TEMA],"&lt;&gt;SERVICIO DE FILTROS"))</f>
        <v>0</v>
      </c>
      <c r="G24" s="399">
        <f>IF(B24="",0,SUMIFS(Tabla3[COSTO TOTAL SIN IVA PESOS EN MATCO],Tabla3[STATUS],"COTIZANDO",Tabla3[NUM ECONOMICO],B24,Tabla3[TEMA],"&lt;&gt;SERVICIO DE FILTROS"))</f>
        <v>0</v>
      </c>
      <c r="H24" s="400">
        <f>IF(B24="",0,SUMIFS(Tabla3[COSTO TOTAL DOLARES EN HAWTHORNE],Tabla3[STATUS],"COTIZANDO",Tabla3[NUM ECONOMICO],B24,Tabla3[TEMA],"&lt;&gt;SERVICIO DE FILTROS"))</f>
        <v>0</v>
      </c>
      <c r="I24" s="401" t="str">
        <f>IF(B24="","",_xlfn.LET(_xlpm.totalUSD,SUMIFS(Tabla3[COSTO TOTAL DOLARES EN HAWTHORNE],Tabla3[STATUS],"COTIZANDO",Tabla3[NUM ECONOMICO],B24,Tabla3[TEMA],"&lt;&gt;SERVICIO DE FILTROS"),IF(OR(TC="",_xlpm.totalUSD=0),"—",_xlpm.totalUSD*TC)))</f>
        <v>—</v>
      </c>
      <c r="J24" s="400">
        <f>IF(B24="",0,SUMIFS(Tabla3[COSTO TOTAL DOLARES CTP],Tabla3[STATUS],"COTIZANDO",Tabla3[NUM ECONOMICO],B24,Tabla3[TEMA],"&lt;&gt;SERVICIO DE FILTROS"))</f>
        <v>0</v>
      </c>
      <c r="K24" s="401" t="str">
        <f>IF(B24="","",_xlfn.LET(_xlpm.totalUSD,SUMIFS(Tabla3[COSTO TOTAL DOLARES CTP],Tabla3[STATUS],"COTIZANDO",Tabla3[NUM ECONOMICO],B24,Tabla3[TEMA],"&lt;&gt;SERVICIO DE FILTROS"),IF(OR(TC="",_xlpm.totalUSD=0),"—",_xlpm.totalUSD*TC)))</f>
        <v>—</v>
      </c>
      <c r="L24" s="398" cm="1">
        <f t="array" ref="L24">IF(B24="",0,IFERROR(MAX(_xlfn._xlws.FILTER(Tabla3[DIAS DE ENTREGA TENTATIVO EN MATCO],(Tabla3[STATUS]="COTIZANDO")*(Tabla3[NUM ECONOMICO]=B24)*(Tabla3[TEMA]&lt;&gt;"SERVICIO DE FILTROS"))),0))</f>
        <v>0</v>
      </c>
    </row>
    <row r="25" spans="2:12" x14ac:dyDescent="0.2">
      <c r="B25" s="403" t="str">
        <f>MAQUINARIA!B372</f>
        <v>CV-03</v>
      </c>
      <c r="C25" s="404" t="str">
        <f>MAQUINARIA!H372</f>
        <v>ACTIVA</v>
      </c>
      <c r="D25" s="405" t="str">
        <f>IFERROR(TRIM(MAQUINARIA!C372&amp;" "&amp;MAQUINARIA!E372),"—")</f>
        <v>CAMION VOLTEO 9 M3</v>
      </c>
      <c r="E25" s="398" cm="1">
        <f t="array" ref="E25">IF(B25="",0,IFERROR(ROWS(_xlfn.UNIQUE(_xlfn._xlws.FILTER(Tabla3[PEDIDO],(Tabla3[STATUS]="COTIZANDO")*(Tabla3[NUM ECONOMICO]=B25)*(Tabla3[TEMA]&lt;&gt;"SERVICIO DE FILTROS")))),0))</f>
        <v>0</v>
      </c>
      <c r="F25" s="398">
        <f>IF(B25="",0,COUNTIFS(Tabla3[STATUS],"COTIZANDO",Tabla3[NUM ECONOMICO],B25,Tabla3[TEMA],"&lt;&gt;SERVICIO DE FILTROS"))</f>
        <v>0</v>
      </c>
      <c r="G25" s="399">
        <f>IF(B25="",0,SUMIFS(Tabla3[COSTO TOTAL SIN IVA PESOS EN MATCO],Tabla3[STATUS],"COTIZANDO",Tabla3[NUM ECONOMICO],B25,Tabla3[TEMA],"&lt;&gt;SERVICIO DE FILTROS"))</f>
        <v>0</v>
      </c>
      <c r="H25" s="400">
        <f>IF(B25="",0,SUMIFS(Tabla3[COSTO TOTAL DOLARES EN HAWTHORNE],Tabla3[STATUS],"COTIZANDO",Tabla3[NUM ECONOMICO],B25,Tabla3[TEMA],"&lt;&gt;SERVICIO DE FILTROS"))</f>
        <v>0</v>
      </c>
      <c r="I25" s="401" t="str">
        <f>IF(B25="","",_xlfn.LET(_xlpm.totalUSD,SUMIFS(Tabla3[COSTO TOTAL DOLARES EN HAWTHORNE],Tabla3[STATUS],"COTIZANDO",Tabla3[NUM ECONOMICO],B25,Tabla3[TEMA],"&lt;&gt;SERVICIO DE FILTROS"),IF(OR(TC="",_xlpm.totalUSD=0),"—",_xlpm.totalUSD*TC)))</f>
        <v>—</v>
      </c>
      <c r="J25" s="400">
        <f>IF(B25="",0,SUMIFS(Tabla3[COSTO TOTAL DOLARES CTP],Tabla3[STATUS],"COTIZANDO",Tabla3[NUM ECONOMICO],B25,Tabla3[TEMA],"&lt;&gt;SERVICIO DE FILTROS"))</f>
        <v>0</v>
      </c>
      <c r="K25" s="401" t="str">
        <f>IF(B25="","",_xlfn.LET(_xlpm.totalUSD,SUMIFS(Tabla3[COSTO TOTAL DOLARES CTP],Tabla3[STATUS],"COTIZANDO",Tabla3[NUM ECONOMICO],B25,Tabla3[TEMA],"&lt;&gt;SERVICIO DE FILTROS"),IF(OR(TC="",_xlpm.totalUSD=0),"—",_xlpm.totalUSD*TC)))</f>
        <v>—</v>
      </c>
      <c r="L25" s="398" cm="1">
        <f t="array" ref="L25">IF(B25="",0,IFERROR(MAX(_xlfn._xlws.FILTER(Tabla3[DIAS DE ENTREGA TENTATIVO EN MATCO],(Tabla3[STATUS]="COTIZANDO")*(Tabla3[NUM ECONOMICO]=B25)*(Tabla3[TEMA]&lt;&gt;"SERVICIO DE FILTROS"))),0))</f>
        <v>0</v>
      </c>
    </row>
    <row r="26" spans="2:12" x14ac:dyDescent="0.2">
      <c r="B26" s="403" t="str">
        <f>MAQUINARIA!B377</f>
        <v>CV-05</v>
      </c>
      <c r="C26" s="403" t="str">
        <f>MAQUINARIA!H377</f>
        <v>ACTIVA</v>
      </c>
      <c r="D26" s="405" t="str">
        <f>IFERROR(TRIM(MAQUINARIA!C377&amp;" "&amp;MAQUINARIA!E377),"—")</f>
        <v>CAMION VOLTEO 11 M3</v>
      </c>
      <c r="E26" s="397" cm="1">
        <f t="array" ref="E26">IF(B26="",0,IFERROR(ROWS(_xlfn.UNIQUE(_xlfn._xlws.FILTER(Tabla3[PEDIDO],(Tabla3[STATUS]="COTIZANDO")*(Tabla3[NUM ECONOMICO]=B26)*(Tabla3[TEMA]&lt;&gt;"SERVICIO DE FILTROS")))),0))</f>
        <v>0</v>
      </c>
      <c r="F26" s="398">
        <f>IF(B26="",0,COUNTIFS(Tabla3[STATUS],"COTIZANDO",Tabla3[NUM ECONOMICO],B26,Tabla3[TEMA],"&lt;&gt;SERVICIO DE FILTROS"))</f>
        <v>0</v>
      </c>
      <c r="G26" s="399">
        <f>IF(B26="",0,SUMIFS(Tabla3[COSTO TOTAL SIN IVA PESOS EN MATCO],Tabla3[STATUS],"COTIZANDO",Tabla3[NUM ECONOMICO],B26,Tabla3[TEMA],"&lt;&gt;SERVICIO DE FILTROS"))</f>
        <v>0</v>
      </c>
      <c r="H26" s="400">
        <f>IF(B26="",0,SUMIFS(Tabla3[COSTO TOTAL DOLARES EN HAWTHORNE],Tabla3[STATUS],"COTIZANDO",Tabla3[NUM ECONOMICO],B26,Tabla3[TEMA],"&lt;&gt;SERVICIO DE FILTROS"))</f>
        <v>0</v>
      </c>
      <c r="I26" s="401" t="str">
        <f>IF(B26="","",_xlfn.LET(_xlpm.totalUSD,SUMIFS(Tabla3[COSTO TOTAL DOLARES EN HAWTHORNE],Tabla3[STATUS],"COTIZANDO",Tabla3[NUM ECONOMICO],B26,Tabla3[TEMA],"&lt;&gt;SERVICIO DE FILTROS"),IF(OR(TC="",_xlpm.totalUSD=0),"—",_xlpm.totalUSD*TC)))</f>
        <v>—</v>
      </c>
      <c r="J26" s="400">
        <f>IF(B26="",0,SUMIFS(Tabla3[COSTO TOTAL DOLARES CTP],Tabla3[STATUS],"COTIZANDO",Tabla3[NUM ECONOMICO],B26,Tabla3[TEMA],"&lt;&gt;SERVICIO DE FILTROS"))</f>
        <v>0</v>
      </c>
      <c r="K26" s="401" t="str">
        <f>IF(B26="","",_xlfn.LET(_xlpm.totalUSD,SUMIFS(Tabla3[COSTO TOTAL DOLARES CTP],Tabla3[STATUS],"COTIZANDO",Tabla3[NUM ECONOMICO],B26,Tabla3[TEMA],"&lt;&gt;SERVICIO DE FILTROS"),IF(OR(TC="",_xlpm.totalUSD=0),"—",_xlpm.totalUSD*TC)))</f>
        <v>—</v>
      </c>
      <c r="L26" s="398" cm="1">
        <f t="array" ref="L26">IF(B26="",0,IFERROR(MAX(_xlfn._xlws.FILTER(Tabla3[DIAS DE ENTREGA TENTATIVO EN MATCO],(Tabla3[STATUS]="COTIZANDO")*(Tabla3[NUM ECONOMICO]=B26)*(Tabla3[TEMA]&lt;&gt;"SERVICIO DE FILTROS"))),0))</f>
        <v>0</v>
      </c>
    </row>
    <row r="27" spans="2:12" x14ac:dyDescent="0.2">
      <c r="B27" s="403" t="str">
        <f>MAQUINARIA!B455</f>
        <v>GR-01</v>
      </c>
      <c r="C27" s="403" t="str">
        <f>MAQUINARIA!H455</f>
        <v>ACTIVA</v>
      </c>
      <c r="D27" s="405" t="str">
        <f>IFERROR(TRIM(MAQUINARIA!C455&amp;" "&amp;MAQUINARIA!E455),"—")</f>
        <v>GRUA FMC LINK-BELT</v>
      </c>
      <c r="E27" s="397" cm="1">
        <f t="array" ref="E27">IF(B27="",0,IFERROR(ROWS(_xlfn.UNIQUE(_xlfn._xlws.FILTER(Tabla3[PEDIDO],(Tabla3[STATUS]="COTIZANDO")*(Tabla3[NUM ECONOMICO]=B27)*(Tabla3[TEMA]&lt;&gt;"SERVICIO DE FILTROS")))),0))</f>
        <v>0</v>
      </c>
      <c r="F27" s="398">
        <f>IF(B27="",0,COUNTIFS(Tabla3[STATUS],"COTIZANDO",Tabla3[NUM ECONOMICO],B27,Tabla3[TEMA],"&lt;&gt;SERVICIO DE FILTROS"))</f>
        <v>0</v>
      </c>
      <c r="G27" s="399">
        <f>IF(B27="",0,SUMIFS(Tabla3[COSTO TOTAL SIN IVA PESOS EN MATCO],Tabla3[STATUS],"COTIZANDO",Tabla3[NUM ECONOMICO],B27,Tabla3[TEMA],"&lt;&gt;SERVICIO DE FILTROS"))</f>
        <v>0</v>
      </c>
      <c r="H27" s="400">
        <f>IF(B27="",0,SUMIFS(Tabla3[COSTO TOTAL DOLARES EN HAWTHORNE],Tabla3[STATUS],"COTIZANDO",Tabla3[NUM ECONOMICO],B27,Tabla3[TEMA],"&lt;&gt;SERVICIO DE FILTROS"))</f>
        <v>0</v>
      </c>
      <c r="I27" s="401" t="str">
        <f>IF(B27="","",_xlfn.LET(_xlpm.totalUSD,SUMIFS(Tabla3[COSTO TOTAL DOLARES EN HAWTHORNE],Tabla3[STATUS],"COTIZANDO",Tabla3[NUM ECONOMICO],B27,Tabla3[TEMA],"&lt;&gt;SERVICIO DE FILTROS"),IF(OR(TC="",_xlpm.totalUSD=0),"—",_xlpm.totalUSD*TC)))</f>
        <v>—</v>
      </c>
      <c r="J27" s="400">
        <f>IF(B27="",0,SUMIFS(Tabla3[COSTO TOTAL DOLARES CTP],Tabla3[STATUS],"COTIZANDO",Tabla3[NUM ECONOMICO],B27,Tabla3[TEMA],"&lt;&gt;SERVICIO DE FILTROS"))</f>
        <v>0</v>
      </c>
      <c r="K27" s="401" t="str">
        <f>IF(B27="","",_xlfn.LET(_xlpm.totalUSD,SUMIFS(Tabla3[COSTO TOTAL DOLARES CTP],Tabla3[STATUS],"COTIZANDO",Tabla3[NUM ECONOMICO],B27,Tabla3[TEMA],"&lt;&gt;SERVICIO DE FILTROS"),IF(OR(TC="",_xlpm.totalUSD=0),"—",_xlpm.totalUSD*TC)))</f>
        <v>—</v>
      </c>
      <c r="L27" s="398" cm="1">
        <f t="array" ref="L27">IF(B27="",0,IFERROR(MAX(_xlfn._xlws.FILTER(Tabla3[DIAS DE ENTREGA TENTATIVO EN MATCO],(Tabla3[STATUS]="COTIZANDO")*(Tabla3[NUM ECONOMICO]=B27)*(Tabla3[TEMA]&lt;&gt;"SERVICIO DE FILTROS"))),0))</f>
        <v>0</v>
      </c>
    </row>
    <row r="28" spans="2:12" x14ac:dyDescent="0.2">
      <c r="B28" s="403" t="str">
        <f>MAQUINARIA!B460</f>
        <v>GR-02</v>
      </c>
      <c r="C28" s="403" t="str">
        <f>MAQUINARIA!H460</f>
        <v>ACTIVA</v>
      </c>
      <c r="D28" s="405" t="str">
        <f>IFERROR(TRIM(MAQUINARIA!C460&amp;" "&amp;MAQUINARIA!E460),"—")</f>
        <v>GRUA TITAN FORD</v>
      </c>
      <c r="E28" s="397" cm="1">
        <f t="array" ref="E28">IF(B28="",0,IFERROR(ROWS(_xlfn.UNIQUE(_xlfn._xlws.FILTER(Tabla3[PEDIDO],(Tabla3[STATUS]="COTIZANDO")*(Tabla3[NUM ECONOMICO]=B28)*(Tabla3[TEMA]&lt;&gt;"SERVICIO DE FILTROS")))),0))</f>
        <v>0</v>
      </c>
      <c r="F28" s="398">
        <f>IF(B28="",0,COUNTIFS(Tabla3[STATUS],"COTIZANDO",Tabla3[NUM ECONOMICO],B28,Tabla3[TEMA],"&lt;&gt;SERVICIO DE FILTROS"))</f>
        <v>0</v>
      </c>
      <c r="G28" s="399">
        <f>IF(B28="",0,SUMIFS(Tabla3[COSTO TOTAL SIN IVA PESOS EN MATCO],Tabla3[STATUS],"COTIZANDO",Tabla3[NUM ECONOMICO],B28,Tabla3[TEMA],"&lt;&gt;SERVICIO DE FILTROS"))</f>
        <v>0</v>
      </c>
      <c r="H28" s="400">
        <f>IF(B28="",0,SUMIFS(Tabla3[COSTO TOTAL DOLARES EN HAWTHORNE],Tabla3[STATUS],"COTIZANDO",Tabla3[NUM ECONOMICO],B28,Tabla3[TEMA],"&lt;&gt;SERVICIO DE FILTROS"))</f>
        <v>0</v>
      </c>
      <c r="I28" s="401" t="str">
        <f>IF(B28="","",_xlfn.LET(_xlpm.totalUSD,SUMIFS(Tabla3[COSTO TOTAL DOLARES EN HAWTHORNE],Tabla3[STATUS],"COTIZANDO",Tabla3[NUM ECONOMICO],B28,Tabla3[TEMA],"&lt;&gt;SERVICIO DE FILTROS"),IF(OR(TC="",_xlpm.totalUSD=0),"—",_xlpm.totalUSD*TC)))</f>
        <v>—</v>
      </c>
      <c r="J28" s="400">
        <f>IF(B28="",0,SUMIFS(Tabla3[COSTO TOTAL DOLARES CTP],Tabla3[STATUS],"COTIZANDO",Tabla3[NUM ECONOMICO],B28,Tabla3[TEMA],"&lt;&gt;SERVICIO DE FILTROS"))</f>
        <v>0</v>
      </c>
      <c r="K28" s="401" t="str">
        <f>IF(B28="","",_xlfn.LET(_xlpm.totalUSD,SUMIFS(Tabla3[COSTO TOTAL DOLARES CTP],Tabla3[STATUS],"COTIZANDO",Tabla3[NUM ECONOMICO],B28,Tabla3[TEMA],"&lt;&gt;SERVICIO DE FILTROS"),IF(OR(TC="",_xlpm.totalUSD=0),"—",_xlpm.totalUSD*TC)))</f>
        <v>—</v>
      </c>
      <c r="L28" s="398" cm="1">
        <f t="array" ref="L28">IF(B28="",0,IFERROR(MAX(_xlfn._xlws.FILTER(Tabla3[DIAS DE ENTREGA TENTATIVO EN MATCO],(Tabla3[STATUS]="COTIZANDO")*(Tabla3[NUM ECONOMICO]=B28)*(Tabla3[TEMA]&lt;&gt;"SERVICIO DE FILTROS"))),0))</f>
        <v>0</v>
      </c>
    </row>
    <row r="29" spans="2:12" x14ac:dyDescent="0.2">
      <c r="B29" s="403" t="str">
        <f>MAQUINARIA!B497</f>
        <v>HT-01</v>
      </c>
      <c r="C29" s="403" t="str">
        <f>MAQUINARIA!H497</f>
        <v>ACTIVA</v>
      </c>
      <c r="D29" s="404" t="str">
        <f>IFERROR(TRIM(MAQUINARIA!C497&amp;" "&amp;MAQUINARIA!E497),"—")</f>
        <v>HIDROTRACK DC700</v>
      </c>
      <c r="E29" s="397" cm="1">
        <f t="array" ref="E29">IF(B29="",0,IFERROR(ROWS(_xlfn.UNIQUE(_xlfn._xlws.FILTER(Tabla3[PEDIDO],(Tabla3[STATUS]="COTIZANDO")*(Tabla3[NUM ECONOMICO]=B29)*(Tabla3[TEMA]&lt;&gt;"SERVICIO DE FILTROS")))),0))</f>
        <v>0</v>
      </c>
      <c r="F29" s="398">
        <f>IF(B29="",0,COUNTIFS(Tabla3[STATUS],"COTIZANDO",Tabla3[NUM ECONOMICO],B29,Tabla3[TEMA],"&lt;&gt;SERVICIO DE FILTROS"))</f>
        <v>0</v>
      </c>
      <c r="G29" s="399">
        <f>IF(B29="",0,SUMIFS(Tabla3[COSTO TOTAL SIN IVA PESOS EN MATCO],Tabla3[STATUS],"COTIZANDO",Tabla3[NUM ECONOMICO],B29,Tabla3[TEMA],"&lt;&gt;SERVICIO DE FILTROS"))</f>
        <v>0</v>
      </c>
      <c r="H29" s="400">
        <f>IF(B29="",0,SUMIFS(Tabla3[COSTO TOTAL DOLARES EN HAWTHORNE],Tabla3[STATUS],"COTIZANDO",Tabla3[NUM ECONOMICO],B29,Tabla3[TEMA],"&lt;&gt;SERVICIO DE FILTROS"))</f>
        <v>0</v>
      </c>
      <c r="I29" s="401" t="str">
        <f>IF(B29="","",_xlfn.LET(_xlpm.totalUSD,SUMIFS(Tabla3[COSTO TOTAL DOLARES EN HAWTHORNE],Tabla3[STATUS],"COTIZANDO",Tabla3[NUM ECONOMICO],B29,Tabla3[TEMA],"&lt;&gt;SERVICIO DE FILTROS"),IF(OR(TC="",_xlpm.totalUSD=0),"—",_xlpm.totalUSD*TC)))</f>
        <v>—</v>
      </c>
      <c r="J29" s="400">
        <f>IF(B29="",0,SUMIFS(Tabla3[COSTO TOTAL DOLARES CTP],Tabla3[STATUS],"COTIZANDO",Tabla3[NUM ECONOMICO],B29,Tabla3[TEMA],"&lt;&gt;SERVICIO DE FILTROS"))</f>
        <v>0</v>
      </c>
      <c r="K29" s="401" t="str">
        <f>IF(B29="","",_xlfn.LET(_xlpm.totalUSD,SUMIFS(Tabla3[COSTO TOTAL DOLARES CTP],Tabla3[STATUS],"COTIZANDO",Tabla3[NUM ECONOMICO],B29,Tabla3[TEMA],"&lt;&gt;SERVICIO DE FILTROS"),IF(OR(TC="",_xlpm.totalUSD=0),"—",_xlpm.totalUSD*TC)))</f>
        <v>—</v>
      </c>
      <c r="L29" s="398" cm="1">
        <f t="array" ref="L29">IF(B29="",0,IFERROR(MAX(_xlfn._xlws.FILTER(Tabla3[DIAS DE ENTREGA TENTATIVO EN MATCO],(Tabla3[STATUS]="COTIZANDO")*(Tabla3[NUM ECONOMICO]=B29)*(Tabla3[TEMA]&lt;&gt;"SERVICIO DE FILTROS"))),0))</f>
        <v>0</v>
      </c>
    </row>
    <row r="30" spans="2:12" x14ac:dyDescent="0.2">
      <c r="B30" s="403" t="str">
        <f>MAQUINARIA!B490</f>
        <v>MB-01</v>
      </c>
      <c r="C30" s="404" t="str">
        <f>MAQUINARIA!H490</f>
        <v>ACTIVA</v>
      </c>
      <c r="D30" s="404" t="str">
        <f>IFERROR(TRIM(MAQUINARIA!C490&amp;" "&amp;MAQUINARIA!E490),"—")</f>
        <v>MOTOBOMBA PERKIN</v>
      </c>
      <c r="E30" s="397" cm="1">
        <f t="array" ref="E30">IF(B30="",0,IFERROR(ROWS(_xlfn.UNIQUE(_xlfn._xlws.FILTER(Tabla3[PEDIDO],(Tabla3[STATUS]="COTIZANDO")*(Tabla3[NUM ECONOMICO]=B30)*(Tabla3[TEMA]&lt;&gt;"SERVICIO DE FILTROS")))),0))</f>
        <v>0</v>
      </c>
      <c r="F30" s="398">
        <f>IF(B30="",0,COUNTIFS(Tabla3[STATUS],"COTIZANDO",Tabla3[NUM ECONOMICO],B30,Tabla3[TEMA],"&lt;&gt;SERVICIO DE FILTROS"))</f>
        <v>0</v>
      </c>
      <c r="G30" s="399">
        <f>IF(B30="",0,SUMIFS(Tabla3[COSTO TOTAL SIN IVA PESOS EN MATCO],Tabla3[STATUS],"COTIZANDO",Tabla3[NUM ECONOMICO],B30,Tabla3[TEMA],"&lt;&gt;SERVICIO DE FILTROS"))</f>
        <v>0</v>
      </c>
      <c r="H30" s="400">
        <f>IF(B30="",0,SUMIFS(Tabla3[COSTO TOTAL DOLARES EN HAWTHORNE],Tabla3[STATUS],"COTIZANDO",Tabla3[NUM ECONOMICO],B30,Tabla3[TEMA],"&lt;&gt;SERVICIO DE FILTROS"))</f>
        <v>0</v>
      </c>
      <c r="I30" s="401" t="str">
        <f>IF(B30="","",_xlfn.LET(_xlpm.totalUSD,SUMIFS(Tabla3[COSTO TOTAL DOLARES EN HAWTHORNE],Tabla3[STATUS],"COTIZANDO",Tabla3[NUM ECONOMICO],B30,Tabla3[TEMA],"&lt;&gt;SERVICIO DE FILTROS"),IF(OR(TC="",_xlpm.totalUSD=0),"—",_xlpm.totalUSD*TC)))</f>
        <v>—</v>
      </c>
      <c r="J30" s="400">
        <f>IF(B30="",0,SUMIFS(Tabla3[COSTO TOTAL DOLARES CTP],Tabla3[STATUS],"COTIZANDO",Tabla3[NUM ECONOMICO],B30,Tabla3[TEMA],"&lt;&gt;SERVICIO DE FILTROS"))</f>
        <v>0</v>
      </c>
      <c r="K30" s="401" t="str">
        <f>IF(B30="","",_xlfn.LET(_xlpm.totalUSD,SUMIFS(Tabla3[COSTO TOTAL DOLARES CTP],Tabla3[STATUS],"COTIZANDO",Tabla3[NUM ECONOMICO],B30,Tabla3[TEMA],"&lt;&gt;SERVICIO DE FILTROS"),IF(OR(TC="",_xlpm.totalUSD=0),"—",_xlpm.totalUSD*TC)))</f>
        <v>—</v>
      </c>
      <c r="L30" s="398" cm="1">
        <f t="array" ref="L30">IF(B30="",0,IFERROR(MAX(_xlfn._xlws.FILTER(Tabla3[DIAS DE ENTREGA TENTATIVO EN MATCO],(Tabla3[STATUS]="COTIZANDO")*(Tabla3[NUM ECONOMICO]=B30)*(Tabla3[TEMA]&lt;&gt;"SERVICIO DE FILTROS"))),0))</f>
        <v>0</v>
      </c>
    </row>
    <row r="31" spans="2:12" x14ac:dyDescent="0.2">
      <c r="B31" s="403" t="str">
        <f>MAQUINARIA!B491</f>
        <v>MB-02</v>
      </c>
      <c r="C31" s="403" t="str">
        <f>MAQUINARIA!H491</f>
        <v>ACTIVA</v>
      </c>
      <c r="D31" s="404" t="str">
        <f>IFERROR(TRIM(MAQUINARIA!C491&amp;" "&amp;MAQUINARIA!E491),"—")</f>
        <v>MOTOBOMBA PERKIN</v>
      </c>
      <c r="E31" s="397" cm="1">
        <f t="array" ref="E31">IF(B31="",0,IFERROR(ROWS(_xlfn.UNIQUE(_xlfn._xlws.FILTER(Tabla3[PEDIDO],(Tabla3[STATUS]="COTIZANDO")*(Tabla3[NUM ECONOMICO]=B31)*(Tabla3[TEMA]&lt;&gt;"SERVICIO DE FILTROS")))),0))</f>
        <v>0</v>
      </c>
      <c r="F31" s="398">
        <f>IF(B31="",0,COUNTIFS(Tabla3[STATUS],"COTIZANDO",Tabla3[NUM ECONOMICO],B31,Tabla3[TEMA],"&lt;&gt;SERVICIO DE FILTROS"))</f>
        <v>0</v>
      </c>
      <c r="G31" s="399">
        <f>IF(B31="",0,SUMIFS(Tabla3[COSTO TOTAL SIN IVA PESOS EN MATCO],Tabla3[STATUS],"COTIZANDO",Tabla3[NUM ECONOMICO],B31,Tabla3[TEMA],"&lt;&gt;SERVICIO DE FILTROS"))</f>
        <v>0</v>
      </c>
      <c r="H31" s="400">
        <f>IF(B31="",0,SUMIFS(Tabla3[COSTO TOTAL DOLARES EN HAWTHORNE],Tabla3[STATUS],"COTIZANDO",Tabla3[NUM ECONOMICO],B31,Tabla3[TEMA],"&lt;&gt;SERVICIO DE FILTROS"))</f>
        <v>0</v>
      </c>
      <c r="I31" s="401" t="str">
        <f>IF(B31="","",_xlfn.LET(_xlpm.totalUSD,SUMIFS(Tabla3[COSTO TOTAL DOLARES EN HAWTHORNE],Tabla3[STATUS],"COTIZANDO",Tabla3[NUM ECONOMICO],B31,Tabla3[TEMA],"&lt;&gt;SERVICIO DE FILTROS"),IF(OR(TC="",_xlpm.totalUSD=0),"—",_xlpm.totalUSD*TC)))</f>
        <v>—</v>
      </c>
      <c r="J31" s="400">
        <f>IF(B31="",0,SUMIFS(Tabla3[COSTO TOTAL DOLARES CTP],Tabla3[STATUS],"COTIZANDO",Tabla3[NUM ECONOMICO],B31,Tabla3[TEMA],"&lt;&gt;SERVICIO DE FILTROS"))</f>
        <v>0</v>
      </c>
      <c r="K31" s="401" t="str">
        <f>IF(B31="","",_xlfn.LET(_xlpm.totalUSD,SUMIFS(Tabla3[COSTO TOTAL DOLARES CTP],Tabla3[STATUS],"COTIZANDO",Tabla3[NUM ECONOMICO],B31,Tabla3[TEMA],"&lt;&gt;SERVICIO DE FILTROS"),IF(OR(TC="",_xlpm.totalUSD=0),"—",_xlpm.totalUSD*TC)))</f>
        <v>—</v>
      </c>
      <c r="L31" s="398" cm="1">
        <f t="array" ref="L31">IF(B31="",0,IFERROR(MAX(_xlfn._xlws.FILTER(Tabla3[DIAS DE ENTREGA TENTATIVO EN MATCO],(Tabla3[STATUS]="COTIZANDO")*(Tabla3[NUM ECONOMICO]=B31)*(Tabla3[TEMA]&lt;&gt;"SERVICIO DE FILTROS"))),0))</f>
        <v>0</v>
      </c>
    </row>
    <row r="32" spans="2:12" x14ac:dyDescent="0.2">
      <c r="B32" s="403" t="str">
        <f>MAQUINARIA!B492</f>
        <v>MB-03</v>
      </c>
      <c r="C32" s="403" t="str">
        <f>MAQUINARIA!H492</f>
        <v>INACTIVA</v>
      </c>
      <c r="D32" s="404" t="str">
        <f>IFERROR(TRIM(MAQUINARIA!C492&amp;" "&amp;MAQUINARIA!E492),"—")</f>
        <v>MOTOBOMBA PERKIN</v>
      </c>
      <c r="E32" s="397" cm="1">
        <f t="array" ref="E32">IF(B32="",0,IFERROR(ROWS(_xlfn.UNIQUE(_xlfn._xlws.FILTER(Tabla3[PEDIDO],(Tabla3[STATUS]="COTIZANDO")*(Tabla3[NUM ECONOMICO]=B32)*(Tabla3[TEMA]&lt;&gt;"SERVICIO DE FILTROS")))),0))</f>
        <v>0</v>
      </c>
      <c r="F32" s="398">
        <f>IF(B32="",0,COUNTIFS(Tabla3[STATUS],"COTIZANDO",Tabla3[NUM ECONOMICO],B32,Tabla3[TEMA],"&lt;&gt;SERVICIO DE FILTROS"))</f>
        <v>0</v>
      </c>
      <c r="G32" s="399">
        <f>IF(B32="",0,SUMIFS(Tabla3[COSTO TOTAL SIN IVA PESOS EN MATCO],Tabla3[STATUS],"COTIZANDO",Tabla3[NUM ECONOMICO],B32,Tabla3[TEMA],"&lt;&gt;SERVICIO DE FILTROS"))</f>
        <v>0</v>
      </c>
      <c r="H32" s="400">
        <f>IF(B32="",0,SUMIFS(Tabla3[COSTO TOTAL DOLARES EN HAWTHORNE],Tabla3[STATUS],"COTIZANDO",Tabla3[NUM ECONOMICO],B32,Tabla3[TEMA],"&lt;&gt;SERVICIO DE FILTROS"))</f>
        <v>0</v>
      </c>
      <c r="I32" s="401" t="str">
        <f>IF(B32="","",_xlfn.LET(_xlpm.totalUSD,SUMIFS(Tabla3[COSTO TOTAL DOLARES EN HAWTHORNE],Tabla3[STATUS],"COTIZANDO",Tabla3[NUM ECONOMICO],B32,Tabla3[TEMA],"&lt;&gt;SERVICIO DE FILTROS"),IF(OR(TC="",_xlpm.totalUSD=0),"—",_xlpm.totalUSD*TC)))</f>
        <v>—</v>
      </c>
      <c r="J32" s="400">
        <f>IF(B32="",0,SUMIFS(Tabla3[COSTO TOTAL DOLARES CTP],Tabla3[STATUS],"COTIZANDO",Tabla3[NUM ECONOMICO],B32,Tabla3[TEMA],"&lt;&gt;SERVICIO DE FILTROS"))</f>
        <v>0</v>
      </c>
      <c r="K32" s="401" t="str">
        <f>IF(B32="","",_xlfn.LET(_xlpm.totalUSD,SUMIFS(Tabla3[COSTO TOTAL DOLARES CTP],Tabla3[STATUS],"COTIZANDO",Tabla3[NUM ECONOMICO],B32,Tabla3[TEMA],"&lt;&gt;SERVICIO DE FILTROS"),IF(OR(TC="",_xlpm.totalUSD=0),"—",_xlpm.totalUSD*TC)))</f>
        <v>—</v>
      </c>
      <c r="L32" s="398" cm="1">
        <f t="array" ref="L32">IF(B32="",0,IFERROR(MAX(_xlfn._xlws.FILTER(Tabla3[DIAS DE ENTREGA TENTATIVO EN MATCO],(Tabla3[STATUS]="COTIZANDO")*(Tabla3[NUM ECONOMICO]=B32)*(Tabla3[TEMA]&lt;&gt;"SERVICIO DE FILTROS"))),0))</f>
        <v>0</v>
      </c>
    </row>
    <row r="33" spans="2:12" x14ac:dyDescent="0.2">
      <c r="B33" s="403" t="str">
        <f>MAQUINARIA!B270</f>
        <v>MC-01</v>
      </c>
      <c r="C33" s="403" t="str">
        <f>MAQUINARIA!H270</f>
        <v>ACTIVA</v>
      </c>
      <c r="D33" s="404" t="str">
        <f>IFERROR(TRIM(MAQUINARIA!C270&amp;" "&amp;MAQUINARIA!E270),"—")</f>
        <v>TRACTOCOMPACTADOR 815 F</v>
      </c>
      <c r="E33" s="397" cm="1">
        <f t="array" ref="E33">IF(B33="",0,IFERROR(ROWS(_xlfn.UNIQUE(_xlfn._xlws.FILTER(Tabla3[PEDIDO],(Tabla3[STATUS]="COTIZANDO")*(Tabla3[NUM ECONOMICO]=B33)*(Tabla3[TEMA]&lt;&gt;"SERVICIO DE FILTROS")))),0))</f>
        <v>0</v>
      </c>
      <c r="F33" s="398">
        <f>IF(B33="",0,COUNTIFS(Tabla3[STATUS],"COTIZANDO",Tabla3[NUM ECONOMICO],B33,Tabla3[TEMA],"&lt;&gt;SERVICIO DE FILTROS"))</f>
        <v>0</v>
      </c>
      <c r="G33" s="399">
        <f>IF(B33="",0,SUMIFS(Tabla3[COSTO TOTAL SIN IVA PESOS EN MATCO],Tabla3[STATUS],"COTIZANDO",Tabla3[NUM ECONOMICO],B33,Tabla3[TEMA],"&lt;&gt;SERVICIO DE FILTROS"))</f>
        <v>0</v>
      </c>
      <c r="H33" s="400">
        <f>IF(B33="",0,SUMIFS(Tabla3[COSTO TOTAL DOLARES EN HAWTHORNE],Tabla3[STATUS],"COTIZANDO",Tabla3[NUM ECONOMICO],B33,Tabla3[TEMA],"&lt;&gt;SERVICIO DE FILTROS"))</f>
        <v>0</v>
      </c>
      <c r="I33" s="401" t="str">
        <f>IF(B33="","",_xlfn.LET(_xlpm.totalUSD,SUMIFS(Tabla3[COSTO TOTAL DOLARES EN HAWTHORNE],Tabla3[STATUS],"COTIZANDO",Tabla3[NUM ECONOMICO],B33,Tabla3[TEMA],"&lt;&gt;SERVICIO DE FILTROS"),IF(OR(TC="",_xlpm.totalUSD=0),"—",_xlpm.totalUSD*TC)))</f>
        <v>—</v>
      </c>
      <c r="J33" s="400">
        <f>IF(B33="",0,SUMIFS(Tabla3[COSTO TOTAL DOLARES CTP],Tabla3[STATUS],"COTIZANDO",Tabla3[NUM ECONOMICO],B33,Tabla3[TEMA],"&lt;&gt;SERVICIO DE FILTROS"))</f>
        <v>0</v>
      </c>
      <c r="K33" s="401" t="str">
        <f>IF(B33="","",_xlfn.LET(_xlpm.totalUSD,SUMIFS(Tabla3[COSTO TOTAL DOLARES CTP],Tabla3[STATUS],"COTIZANDO",Tabla3[NUM ECONOMICO],B33,Tabla3[TEMA],"&lt;&gt;SERVICIO DE FILTROS"),IF(OR(TC="",_xlpm.totalUSD=0),"—",_xlpm.totalUSD*TC)))</f>
        <v>—</v>
      </c>
      <c r="L33" s="398" cm="1">
        <f t="array" ref="L33">IF(B33="",0,IFERROR(MAX(_xlfn._xlws.FILTER(Tabla3[DIAS DE ENTREGA TENTATIVO EN MATCO],(Tabla3[STATUS]="COTIZANDO")*(Tabla3[NUM ECONOMICO]=B33)*(Tabla3[TEMA]&lt;&gt;"SERVICIO DE FILTROS"))),0))</f>
        <v>0</v>
      </c>
    </row>
    <row r="34" spans="2:12" x14ac:dyDescent="0.2">
      <c r="B34" s="403" t="str">
        <f>MAQUINARIA!B278</f>
        <v>MC-02</v>
      </c>
      <c r="C34" s="404" t="str">
        <f>MAQUINARIA!H278</f>
        <v>ACTIVA</v>
      </c>
      <c r="D34" s="404" t="str">
        <f>IFERROR(TRIM(MAQUINARIA!C278&amp;" "&amp;MAQUINARIA!E278),"—")</f>
        <v>TRACTOCOMPACTADOR 815 F</v>
      </c>
      <c r="E34" s="398" cm="1">
        <f t="array" ref="E34">IF(B34="",0,IFERROR(ROWS(_xlfn.UNIQUE(_xlfn._xlws.FILTER(Tabla3[PEDIDO],(Tabla3[STATUS]="COTIZANDO")*(Tabla3[NUM ECONOMICO]=B34)*(Tabla3[TEMA]&lt;&gt;"SERVICIO DE FILTROS")))),0))</f>
        <v>0</v>
      </c>
      <c r="F34" s="398">
        <f>IF(B34="",0,COUNTIFS(Tabla3[STATUS],"COTIZANDO",Tabla3[NUM ECONOMICO],B34,Tabla3[TEMA],"&lt;&gt;SERVICIO DE FILTROS"))</f>
        <v>0</v>
      </c>
      <c r="G34" s="399">
        <f>IF(B34="",0,SUMIFS(Tabla3[COSTO TOTAL SIN IVA PESOS EN MATCO],Tabla3[STATUS],"COTIZANDO",Tabla3[NUM ECONOMICO],B34,Tabla3[TEMA],"&lt;&gt;SERVICIO DE FILTROS"))</f>
        <v>0</v>
      </c>
      <c r="H34" s="400">
        <f>IF(B34="",0,SUMIFS(Tabla3[COSTO TOTAL DOLARES EN HAWTHORNE],Tabla3[STATUS],"COTIZANDO",Tabla3[NUM ECONOMICO],B34,Tabla3[TEMA],"&lt;&gt;SERVICIO DE FILTROS"))</f>
        <v>0</v>
      </c>
      <c r="I34" s="401" t="str">
        <f>IF(B34="","",_xlfn.LET(_xlpm.totalUSD,SUMIFS(Tabla3[COSTO TOTAL DOLARES EN HAWTHORNE],Tabla3[STATUS],"COTIZANDO",Tabla3[NUM ECONOMICO],B34,Tabla3[TEMA],"&lt;&gt;SERVICIO DE FILTROS"),IF(OR(TC="",_xlpm.totalUSD=0),"—",_xlpm.totalUSD*TC)))</f>
        <v>—</v>
      </c>
      <c r="J34" s="400">
        <f>IF(B34="",0,SUMIFS(Tabla3[COSTO TOTAL DOLARES CTP],Tabla3[STATUS],"COTIZANDO",Tabla3[NUM ECONOMICO],B34,Tabla3[TEMA],"&lt;&gt;SERVICIO DE FILTROS"))</f>
        <v>0</v>
      </c>
      <c r="K34" s="401" t="str">
        <f>IF(B34="","",_xlfn.LET(_xlpm.totalUSD,SUMIFS(Tabla3[COSTO TOTAL DOLARES CTP],Tabla3[STATUS],"COTIZANDO",Tabla3[NUM ECONOMICO],B34,Tabla3[TEMA],"&lt;&gt;SERVICIO DE FILTROS"),IF(OR(TC="",_xlpm.totalUSD=0),"—",_xlpm.totalUSD*TC)))</f>
        <v>—</v>
      </c>
      <c r="L34" s="398" cm="1">
        <f t="array" ref="L34">IF(B34="",0,IFERROR(MAX(_xlfn._xlws.FILTER(Tabla3[DIAS DE ENTREGA TENTATIVO EN MATCO],(Tabla3[STATUS]="COTIZANDO")*(Tabla3[NUM ECONOMICO]=B34)*(Tabla3[TEMA]&lt;&gt;"SERVICIO DE FILTROS"))),0))</f>
        <v>0</v>
      </c>
    </row>
    <row r="35" spans="2:12" x14ac:dyDescent="0.2">
      <c r="B35" s="403" t="str">
        <f>MAQUINARIA!B281</f>
        <v>MC-03</v>
      </c>
      <c r="C35" s="403" t="str">
        <f>MAQUINARIA!H281</f>
        <v>INACTIVA</v>
      </c>
      <c r="D35" s="404" t="str">
        <f>IFERROR(TRIM(MAQUINARIA!C281&amp;" "&amp;MAQUINARIA!E281),"—")</f>
        <v>TRACTOCOMPACTADOR 825 C</v>
      </c>
      <c r="E35" s="397" cm="1">
        <f t="array" ref="E35">IF(B35="",0,IFERROR(ROWS(_xlfn.UNIQUE(_xlfn._xlws.FILTER(Tabla3[PEDIDO],(Tabla3[STATUS]="COTIZANDO")*(Tabla3[NUM ECONOMICO]=B35)*(Tabla3[TEMA]&lt;&gt;"SERVICIO DE FILTROS")))),0))</f>
        <v>0</v>
      </c>
      <c r="F35" s="398">
        <f>IF(B35="",0,COUNTIFS(Tabla3[STATUS],"COTIZANDO",Tabla3[NUM ECONOMICO],B35,Tabla3[TEMA],"&lt;&gt;SERVICIO DE FILTROS"))</f>
        <v>0</v>
      </c>
      <c r="G35" s="399">
        <f>IF(B35="",0,SUMIFS(Tabla3[COSTO TOTAL SIN IVA PESOS EN MATCO],Tabla3[STATUS],"COTIZANDO",Tabla3[NUM ECONOMICO],B35,Tabla3[TEMA],"&lt;&gt;SERVICIO DE FILTROS"))</f>
        <v>0</v>
      </c>
      <c r="H35" s="400">
        <f>IF(B35="",0,SUMIFS(Tabla3[COSTO TOTAL DOLARES EN HAWTHORNE],Tabla3[STATUS],"COTIZANDO",Tabla3[NUM ECONOMICO],B35,Tabla3[TEMA],"&lt;&gt;SERVICIO DE FILTROS"))</f>
        <v>0</v>
      </c>
      <c r="I35" s="401" t="str">
        <f>IF(B35="","",_xlfn.LET(_xlpm.totalUSD,SUMIFS(Tabla3[COSTO TOTAL DOLARES EN HAWTHORNE],Tabla3[STATUS],"COTIZANDO",Tabla3[NUM ECONOMICO],B35,Tabla3[TEMA],"&lt;&gt;SERVICIO DE FILTROS"),IF(OR(TC="",_xlpm.totalUSD=0),"—",_xlpm.totalUSD*TC)))</f>
        <v>—</v>
      </c>
      <c r="J35" s="400">
        <f>IF(B35="",0,SUMIFS(Tabla3[COSTO TOTAL DOLARES CTP],Tabla3[STATUS],"COTIZANDO",Tabla3[NUM ECONOMICO],B35,Tabla3[TEMA],"&lt;&gt;SERVICIO DE FILTROS"))</f>
        <v>0</v>
      </c>
      <c r="K35" s="401" t="str">
        <f>IF(B35="","",_xlfn.LET(_xlpm.totalUSD,SUMIFS(Tabla3[COSTO TOTAL DOLARES CTP],Tabla3[STATUS],"COTIZANDO",Tabla3[NUM ECONOMICO],B35,Tabla3[TEMA],"&lt;&gt;SERVICIO DE FILTROS"),IF(OR(TC="",_xlpm.totalUSD=0),"—",_xlpm.totalUSD*TC)))</f>
        <v>—</v>
      </c>
      <c r="L35" s="398" cm="1">
        <f t="array" ref="L35">IF(B35="",0,IFERROR(MAX(_xlfn._xlws.FILTER(Tabla3[DIAS DE ENTREGA TENTATIVO EN MATCO],(Tabla3[STATUS]="COTIZANDO")*(Tabla3[NUM ECONOMICO]=B35)*(Tabla3[TEMA]&lt;&gt;"SERVICIO DE FILTROS"))),0))</f>
        <v>0</v>
      </c>
    </row>
    <row r="36" spans="2:12" x14ac:dyDescent="0.2">
      <c r="B36" s="403" t="str">
        <f>MAQUINARIA!B285</f>
        <v>MC-04</v>
      </c>
      <c r="C36" s="403" t="str">
        <f>MAQUINARIA!H285</f>
        <v>ACTIVA</v>
      </c>
      <c r="D36" s="404" t="str">
        <f>IFERROR(TRIM(MAQUINARIA!C285&amp;" "&amp;MAQUINARIA!E285),"—")</f>
        <v>TRACTOCOMPACTADOR 825 G</v>
      </c>
      <c r="E36" s="397" cm="1">
        <f t="array" ref="E36">IF(B36="",0,IFERROR(ROWS(_xlfn.UNIQUE(_xlfn._xlws.FILTER(Tabla3[PEDIDO],(Tabla3[STATUS]="COTIZANDO")*(Tabla3[NUM ECONOMICO]=B36)*(Tabla3[TEMA]&lt;&gt;"SERVICIO DE FILTROS")))),0))</f>
        <v>0</v>
      </c>
      <c r="F36" s="398">
        <f>IF(B36="",0,COUNTIFS(Tabla3[STATUS],"COTIZANDO",Tabla3[NUM ECONOMICO],B36,Tabla3[TEMA],"&lt;&gt;SERVICIO DE FILTROS"))</f>
        <v>0</v>
      </c>
      <c r="G36" s="399">
        <f>IF(B36="",0,SUMIFS(Tabla3[COSTO TOTAL SIN IVA PESOS EN MATCO],Tabla3[STATUS],"COTIZANDO",Tabla3[NUM ECONOMICO],B36,Tabla3[TEMA],"&lt;&gt;SERVICIO DE FILTROS"))</f>
        <v>0</v>
      </c>
      <c r="H36" s="400">
        <f>IF(B36="",0,SUMIFS(Tabla3[COSTO TOTAL DOLARES EN HAWTHORNE],Tabla3[STATUS],"COTIZANDO",Tabla3[NUM ECONOMICO],B36,Tabla3[TEMA],"&lt;&gt;SERVICIO DE FILTROS"))</f>
        <v>0</v>
      </c>
      <c r="I36" s="401" t="str">
        <f>IF(B36="","",_xlfn.LET(_xlpm.totalUSD,SUMIFS(Tabla3[COSTO TOTAL DOLARES EN HAWTHORNE],Tabla3[STATUS],"COTIZANDO",Tabla3[NUM ECONOMICO],B36,Tabla3[TEMA],"&lt;&gt;SERVICIO DE FILTROS"),IF(OR(TC="",_xlpm.totalUSD=0),"—",_xlpm.totalUSD*TC)))</f>
        <v>—</v>
      </c>
      <c r="J36" s="400">
        <f>IF(B36="",0,SUMIFS(Tabla3[COSTO TOTAL DOLARES CTP],Tabla3[STATUS],"COTIZANDO",Tabla3[NUM ECONOMICO],B36,Tabla3[TEMA],"&lt;&gt;SERVICIO DE FILTROS"))</f>
        <v>0</v>
      </c>
      <c r="K36" s="401" t="str">
        <f>IF(B36="","",_xlfn.LET(_xlpm.totalUSD,SUMIFS(Tabla3[COSTO TOTAL DOLARES CTP],Tabla3[STATUS],"COTIZANDO",Tabla3[NUM ECONOMICO],B36,Tabla3[TEMA],"&lt;&gt;SERVICIO DE FILTROS"),IF(OR(TC="",_xlpm.totalUSD=0),"—",_xlpm.totalUSD*TC)))</f>
        <v>—</v>
      </c>
      <c r="L36" s="398" cm="1">
        <f t="array" ref="L36">IF(B36="",0,IFERROR(MAX(_xlfn._xlws.FILTER(Tabla3[DIAS DE ENTREGA TENTATIVO EN MATCO],(Tabla3[STATUS]="COTIZANDO")*(Tabla3[NUM ECONOMICO]=B36)*(Tabla3[TEMA]&lt;&gt;"SERVICIO DE FILTROS"))),0))</f>
        <v>0</v>
      </c>
    </row>
    <row r="37" spans="2:12" x14ac:dyDescent="0.2">
      <c r="B37" s="403" t="str">
        <f>MAQUINARIA!B300</f>
        <v>MC-05</v>
      </c>
      <c r="C37" s="403" t="str">
        <f>MAQUINARIA!H300</f>
        <v>INACTIVA</v>
      </c>
      <c r="D37" s="404" t="str">
        <f>IFERROR(TRIM(MAQUINARIA!C300&amp;" "&amp;MAQUINARIA!E300),"—")</f>
        <v>TRACTOCOMPACTADOR 815 B</v>
      </c>
      <c r="E37" s="397" cm="1">
        <f t="array" ref="E37">IF(B37="",0,IFERROR(ROWS(_xlfn.UNIQUE(_xlfn._xlws.FILTER(Tabla3[PEDIDO],(Tabla3[STATUS]="COTIZANDO")*(Tabla3[NUM ECONOMICO]=B37)*(Tabla3[TEMA]&lt;&gt;"SERVICIO DE FILTROS")))),0))</f>
        <v>0</v>
      </c>
      <c r="F37" s="398">
        <f>IF(B37="",0,COUNTIFS(Tabla3[STATUS],"COTIZANDO",Tabla3[NUM ECONOMICO],B37,Tabla3[TEMA],"&lt;&gt;SERVICIO DE FILTROS"))</f>
        <v>0</v>
      </c>
      <c r="G37" s="399">
        <f>IF(B37="",0,SUMIFS(Tabla3[COSTO TOTAL SIN IVA PESOS EN MATCO],Tabla3[STATUS],"COTIZANDO",Tabla3[NUM ECONOMICO],B37,Tabla3[TEMA],"&lt;&gt;SERVICIO DE FILTROS"))</f>
        <v>0</v>
      </c>
      <c r="H37" s="400">
        <f>IF(B37="",0,SUMIFS(Tabla3[COSTO TOTAL DOLARES EN HAWTHORNE],Tabla3[STATUS],"COTIZANDO",Tabla3[NUM ECONOMICO],B37,Tabla3[TEMA],"&lt;&gt;SERVICIO DE FILTROS"))</f>
        <v>0</v>
      </c>
      <c r="I37" s="401" t="str">
        <f>IF(B37="","",_xlfn.LET(_xlpm.totalUSD,SUMIFS(Tabla3[COSTO TOTAL DOLARES EN HAWTHORNE],Tabla3[STATUS],"COTIZANDO",Tabla3[NUM ECONOMICO],B37,Tabla3[TEMA],"&lt;&gt;SERVICIO DE FILTROS"),IF(OR(TC="",_xlpm.totalUSD=0),"—",_xlpm.totalUSD*TC)))</f>
        <v>—</v>
      </c>
      <c r="J37" s="400">
        <f>IF(B37="",0,SUMIFS(Tabla3[COSTO TOTAL DOLARES CTP],Tabla3[STATUS],"COTIZANDO",Tabla3[NUM ECONOMICO],B37,Tabla3[TEMA],"&lt;&gt;SERVICIO DE FILTROS"))</f>
        <v>0</v>
      </c>
      <c r="K37" s="401" t="str">
        <f>IF(B37="","",_xlfn.LET(_xlpm.totalUSD,SUMIFS(Tabla3[COSTO TOTAL DOLARES CTP],Tabla3[STATUS],"COTIZANDO",Tabla3[NUM ECONOMICO],B37,Tabla3[TEMA],"&lt;&gt;SERVICIO DE FILTROS"),IF(OR(TC="",_xlpm.totalUSD=0),"—",_xlpm.totalUSD*TC)))</f>
        <v>—</v>
      </c>
      <c r="L37" s="398" cm="1">
        <f t="array" ref="L37">IF(B37="",0,IFERROR(MAX(_xlfn._xlws.FILTER(Tabla3[DIAS DE ENTREGA TENTATIVO EN MATCO],(Tabla3[STATUS]="COTIZANDO")*(Tabla3[NUM ECONOMICO]=B37)*(Tabla3[TEMA]&lt;&gt;"SERVICIO DE FILTROS"))),0))</f>
        <v>0</v>
      </c>
    </row>
    <row r="38" spans="2:12" x14ac:dyDescent="0.2">
      <c r="B38" s="403" t="str">
        <f>MAQUINARIA!B307</f>
        <v>MC-06</v>
      </c>
      <c r="C38" s="403" t="str">
        <f>MAQUINARIA!H307</f>
        <v>ACTIVA</v>
      </c>
      <c r="D38" s="404" t="str">
        <f>IFERROR(TRIM(MAQUINARIA!C307&amp;" "&amp;MAQUINARIA!E307),"—")</f>
        <v>TRACTOCOMPACTADOR 815</v>
      </c>
      <c r="E38" s="397" cm="1">
        <f t="array" ref="E38">IF(B38="",0,IFERROR(ROWS(_xlfn.UNIQUE(_xlfn._xlws.FILTER(Tabla3[PEDIDO],(Tabla3[STATUS]="COTIZANDO")*(Tabla3[NUM ECONOMICO]=B38)*(Tabla3[TEMA]&lt;&gt;"SERVICIO DE FILTROS")))),0))</f>
        <v>0</v>
      </c>
      <c r="F38" s="398">
        <f>IF(B38="",0,COUNTIFS(Tabla3[STATUS],"COTIZANDO",Tabla3[NUM ECONOMICO],B38,Tabla3[TEMA],"&lt;&gt;SERVICIO DE FILTROS"))</f>
        <v>0</v>
      </c>
      <c r="G38" s="399">
        <f>IF(B38="",0,SUMIFS(Tabla3[COSTO TOTAL SIN IVA PESOS EN MATCO],Tabla3[STATUS],"COTIZANDO",Tabla3[NUM ECONOMICO],B38,Tabla3[TEMA],"&lt;&gt;SERVICIO DE FILTROS"))</f>
        <v>0</v>
      </c>
      <c r="H38" s="400">
        <f>IF(B38="",0,SUMIFS(Tabla3[COSTO TOTAL DOLARES EN HAWTHORNE],Tabla3[STATUS],"COTIZANDO",Tabla3[NUM ECONOMICO],B38,Tabla3[TEMA],"&lt;&gt;SERVICIO DE FILTROS"))</f>
        <v>0</v>
      </c>
      <c r="I38" s="401" t="str">
        <f>IF(B38="","",_xlfn.LET(_xlpm.totalUSD,SUMIFS(Tabla3[COSTO TOTAL DOLARES EN HAWTHORNE],Tabla3[STATUS],"COTIZANDO",Tabla3[NUM ECONOMICO],B38,Tabla3[TEMA],"&lt;&gt;SERVICIO DE FILTROS"),IF(OR(TC="",_xlpm.totalUSD=0),"—",_xlpm.totalUSD*TC)))</f>
        <v>—</v>
      </c>
      <c r="J38" s="400">
        <f>IF(B38="",0,SUMIFS(Tabla3[COSTO TOTAL DOLARES CTP],Tabla3[STATUS],"COTIZANDO",Tabla3[NUM ECONOMICO],B38,Tabla3[TEMA],"&lt;&gt;SERVICIO DE FILTROS"))</f>
        <v>0</v>
      </c>
      <c r="K38" s="401" t="str">
        <f>IF(B38="","",_xlfn.LET(_xlpm.totalUSD,SUMIFS(Tabla3[COSTO TOTAL DOLARES CTP],Tabla3[STATUS],"COTIZANDO",Tabla3[NUM ECONOMICO],B38,Tabla3[TEMA],"&lt;&gt;SERVICIO DE FILTROS"),IF(OR(TC="",_xlpm.totalUSD=0),"—",_xlpm.totalUSD*TC)))</f>
        <v>—</v>
      </c>
      <c r="L38" s="398" cm="1">
        <f t="array" ref="L38">IF(B38="",0,IFERROR(MAX(_xlfn._xlws.FILTER(Tabla3[DIAS DE ENTREGA TENTATIVO EN MATCO],(Tabla3[STATUS]="COTIZANDO")*(Tabla3[NUM ECONOMICO]=B38)*(Tabla3[TEMA]&lt;&gt;"SERVICIO DE FILTROS"))),0))</f>
        <v>0</v>
      </c>
    </row>
    <row r="39" spans="2:12" x14ac:dyDescent="0.2">
      <c r="B39" s="403" t="str">
        <f>MAQUINARIA!B308</f>
        <v>MCF-01</v>
      </c>
      <c r="C39" s="404" t="str">
        <f>MAQUINARIA!H308</f>
        <v>ACTIVA</v>
      </c>
      <c r="D39" s="404" t="str">
        <f>IFERROR(TRIM(MAQUINARIA!C308&amp;" "&amp;MAQUINARIA!E308),"—")</f>
        <v>CARGADOR FRONTAL 950 GC</v>
      </c>
      <c r="E39" s="397" cm="1">
        <f t="array" ref="E39">IF(B39="",0,IFERROR(ROWS(_xlfn.UNIQUE(_xlfn._xlws.FILTER(Tabla3[PEDIDO],(Tabla3[STATUS]="COTIZANDO")*(Tabla3[NUM ECONOMICO]=B39)*(Tabla3[TEMA]&lt;&gt;"SERVICIO DE FILTROS")))),0))</f>
        <v>0</v>
      </c>
      <c r="F39" s="398">
        <f>IF(B39="",0,COUNTIFS(Tabla3[STATUS],"COTIZANDO",Tabla3[NUM ECONOMICO],B39,Tabla3[TEMA],"&lt;&gt;SERVICIO DE FILTROS"))</f>
        <v>0</v>
      </c>
      <c r="G39" s="399">
        <f>IF(B39="",0,SUMIFS(Tabla3[COSTO TOTAL SIN IVA PESOS EN MATCO],Tabla3[STATUS],"COTIZANDO",Tabla3[NUM ECONOMICO],B39,Tabla3[TEMA],"&lt;&gt;SERVICIO DE FILTROS"))</f>
        <v>0</v>
      </c>
      <c r="H39" s="400">
        <f>IF(B39="",0,SUMIFS(Tabla3[COSTO TOTAL DOLARES EN HAWTHORNE],Tabla3[STATUS],"COTIZANDO",Tabla3[NUM ECONOMICO],B39,Tabla3[TEMA],"&lt;&gt;SERVICIO DE FILTROS"))</f>
        <v>0</v>
      </c>
      <c r="I39" s="401" t="str">
        <f>IF(B39="","",_xlfn.LET(_xlpm.totalUSD,SUMIFS(Tabla3[COSTO TOTAL DOLARES EN HAWTHORNE],Tabla3[STATUS],"COTIZANDO",Tabla3[NUM ECONOMICO],B39,Tabla3[TEMA],"&lt;&gt;SERVICIO DE FILTROS"),IF(OR(TC="",_xlpm.totalUSD=0),"—",_xlpm.totalUSD*TC)))</f>
        <v>—</v>
      </c>
      <c r="J39" s="400">
        <f>IF(B39="",0,SUMIFS(Tabla3[COSTO TOTAL DOLARES CTP],Tabla3[STATUS],"COTIZANDO",Tabla3[NUM ECONOMICO],B39,Tabla3[TEMA],"&lt;&gt;SERVICIO DE FILTROS"))</f>
        <v>0</v>
      </c>
      <c r="K39" s="401" t="str">
        <f>IF(B39="","",_xlfn.LET(_xlpm.totalUSD,SUMIFS(Tabla3[COSTO TOTAL DOLARES CTP],Tabla3[STATUS],"COTIZANDO",Tabla3[NUM ECONOMICO],B39,Tabla3[TEMA],"&lt;&gt;SERVICIO DE FILTROS"),IF(OR(TC="",_xlpm.totalUSD=0),"—",_xlpm.totalUSD*TC)))</f>
        <v>—</v>
      </c>
      <c r="L39" s="398" cm="1">
        <f t="array" ref="L39">IF(B39="",0,IFERROR(MAX(_xlfn._xlws.FILTER(Tabla3[DIAS DE ENTREGA TENTATIVO EN MATCO],(Tabla3[STATUS]="COTIZANDO")*(Tabla3[NUM ECONOMICO]=B39)*(Tabla3[TEMA]&lt;&gt;"SERVICIO DE FILTROS"))),0))</f>
        <v>0</v>
      </c>
    </row>
    <row r="40" spans="2:12" x14ac:dyDescent="0.2">
      <c r="B40" s="403" t="str">
        <f>MAQUINARIA!B110</f>
        <v>ME-02</v>
      </c>
      <c r="C40" s="403" t="str">
        <f>MAQUINARIA!H110</f>
        <v>INACTIVA</v>
      </c>
      <c r="D40" s="404" t="str">
        <f>IFERROR(TRIM(MAQUINARIA!C110&amp;" "&amp;MAQUINARIA!E110),"—")</f>
        <v>ESCREPA 631 E</v>
      </c>
      <c r="E40" s="397" cm="1">
        <f t="array" ref="E40">IF(B40="",0,IFERROR(ROWS(_xlfn.UNIQUE(_xlfn._xlws.FILTER(Tabla3[PEDIDO],(Tabla3[STATUS]="COTIZANDO")*(Tabla3[NUM ECONOMICO]=B40)*(Tabla3[TEMA]&lt;&gt;"SERVICIO DE FILTROS")))),0))</f>
        <v>0</v>
      </c>
      <c r="F40" s="398">
        <f>IF(B40="",0,COUNTIFS(Tabla3[STATUS],"COTIZANDO",Tabla3[NUM ECONOMICO],B40,Tabla3[TEMA],"&lt;&gt;SERVICIO DE FILTROS"))</f>
        <v>0</v>
      </c>
      <c r="G40" s="399">
        <f>IF(B40="",0,SUMIFS(Tabla3[COSTO TOTAL SIN IVA PESOS EN MATCO],Tabla3[STATUS],"COTIZANDO",Tabla3[NUM ECONOMICO],B40,Tabla3[TEMA],"&lt;&gt;SERVICIO DE FILTROS"))</f>
        <v>0</v>
      </c>
      <c r="H40" s="400">
        <f>IF(B40="",0,SUMIFS(Tabla3[COSTO TOTAL DOLARES EN HAWTHORNE],Tabla3[STATUS],"COTIZANDO",Tabla3[NUM ECONOMICO],B40,Tabla3[TEMA],"&lt;&gt;SERVICIO DE FILTROS"))</f>
        <v>0</v>
      </c>
      <c r="I40" s="401" t="str">
        <f>IF(B40="","",_xlfn.LET(_xlpm.totalUSD,SUMIFS(Tabla3[COSTO TOTAL DOLARES EN HAWTHORNE],Tabla3[STATUS],"COTIZANDO",Tabla3[NUM ECONOMICO],B40,Tabla3[TEMA],"&lt;&gt;SERVICIO DE FILTROS"),IF(OR(TC="",_xlpm.totalUSD=0),"—",_xlpm.totalUSD*TC)))</f>
        <v>—</v>
      </c>
      <c r="J40" s="400">
        <f>IF(B40="",0,SUMIFS(Tabla3[COSTO TOTAL DOLARES CTP],Tabla3[STATUS],"COTIZANDO",Tabla3[NUM ECONOMICO],B40,Tabla3[TEMA],"&lt;&gt;SERVICIO DE FILTROS"))</f>
        <v>0</v>
      </c>
      <c r="K40" s="401" t="str">
        <f>IF(B40="","",_xlfn.LET(_xlpm.totalUSD,SUMIFS(Tabla3[COSTO TOTAL DOLARES CTP],Tabla3[STATUS],"COTIZANDO",Tabla3[NUM ECONOMICO],B40,Tabla3[TEMA],"&lt;&gt;SERVICIO DE FILTROS"),IF(OR(TC="",_xlpm.totalUSD=0),"—",_xlpm.totalUSD*TC)))</f>
        <v>—</v>
      </c>
      <c r="L40" s="398" cm="1">
        <f t="array" ref="L40">IF(B40="",0,IFERROR(MAX(_xlfn._xlws.FILTER(Tabla3[DIAS DE ENTREGA TENTATIVO EN MATCO],(Tabla3[STATUS]="COTIZANDO")*(Tabla3[NUM ECONOMICO]=B40)*(Tabla3[TEMA]&lt;&gt;"SERVICIO DE FILTROS"))),0))</f>
        <v>0</v>
      </c>
    </row>
    <row r="41" spans="2:12" x14ac:dyDescent="0.2">
      <c r="B41" s="403" t="str">
        <f>MAQUINARIA!B114</f>
        <v>ME-03</v>
      </c>
      <c r="C41" s="403" t="str">
        <f>MAQUINARIA!H114</f>
        <v>ACTIVA</v>
      </c>
      <c r="D41" s="404" t="str">
        <f>IFERROR(TRIM(MAQUINARIA!C114&amp;" "&amp;MAQUINARIA!E114),"—")</f>
        <v>ESCREPA 631 E</v>
      </c>
      <c r="E41" s="397" cm="1">
        <f t="array" ref="E41">IF(B41="",0,IFERROR(ROWS(_xlfn.UNIQUE(_xlfn._xlws.FILTER(Tabla3[PEDIDO],(Tabla3[STATUS]="COTIZANDO")*(Tabla3[NUM ECONOMICO]=B41)*(Tabla3[TEMA]&lt;&gt;"SERVICIO DE FILTROS")))),0))</f>
        <v>0</v>
      </c>
      <c r="F41" s="398">
        <f>IF(B41="",0,COUNTIFS(Tabla3[STATUS],"COTIZANDO",Tabla3[NUM ECONOMICO],B41,Tabla3[TEMA],"&lt;&gt;SERVICIO DE FILTROS"))</f>
        <v>0</v>
      </c>
      <c r="G41" s="399">
        <f>IF(B41="",0,SUMIFS(Tabla3[COSTO TOTAL SIN IVA PESOS EN MATCO],Tabla3[STATUS],"COTIZANDO",Tabla3[NUM ECONOMICO],B41,Tabla3[TEMA],"&lt;&gt;SERVICIO DE FILTROS"))</f>
        <v>0</v>
      </c>
      <c r="H41" s="400">
        <f>IF(B41="",0,SUMIFS(Tabla3[COSTO TOTAL DOLARES EN HAWTHORNE],Tabla3[STATUS],"COTIZANDO",Tabla3[NUM ECONOMICO],B41,Tabla3[TEMA],"&lt;&gt;SERVICIO DE FILTROS"))</f>
        <v>0</v>
      </c>
      <c r="I41" s="401" t="str">
        <f>IF(B41="","",_xlfn.LET(_xlpm.totalUSD,SUMIFS(Tabla3[COSTO TOTAL DOLARES EN HAWTHORNE],Tabla3[STATUS],"COTIZANDO",Tabla3[NUM ECONOMICO],B41,Tabla3[TEMA],"&lt;&gt;SERVICIO DE FILTROS"),IF(OR(TC="",_xlpm.totalUSD=0),"—",_xlpm.totalUSD*TC)))</f>
        <v>—</v>
      </c>
      <c r="J41" s="400">
        <f>IF(B41="",0,SUMIFS(Tabla3[COSTO TOTAL DOLARES CTP],Tabla3[STATUS],"COTIZANDO",Tabla3[NUM ECONOMICO],B41,Tabla3[TEMA],"&lt;&gt;SERVICIO DE FILTROS"))</f>
        <v>0</v>
      </c>
      <c r="K41" s="401" t="str">
        <f>IF(B41="","",_xlfn.LET(_xlpm.totalUSD,SUMIFS(Tabla3[COSTO TOTAL DOLARES CTP],Tabla3[STATUS],"COTIZANDO",Tabla3[NUM ECONOMICO],B41,Tabla3[TEMA],"&lt;&gt;SERVICIO DE FILTROS"),IF(OR(TC="",_xlpm.totalUSD=0),"—",_xlpm.totalUSD*TC)))</f>
        <v>—</v>
      </c>
      <c r="L41" s="398" cm="1">
        <f t="array" ref="L41">IF(B41="",0,IFERROR(MAX(_xlfn._xlws.FILTER(Tabla3[DIAS DE ENTREGA TENTATIVO EN MATCO],(Tabla3[STATUS]="COTIZANDO")*(Tabla3[NUM ECONOMICO]=B41)*(Tabla3[TEMA]&lt;&gt;"SERVICIO DE FILTROS"))),0))</f>
        <v>0</v>
      </c>
    </row>
    <row r="42" spans="2:12" x14ac:dyDescent="0.2">
      <c r="B42" s="403" t="str">
        <f>MAQUINARIA!B117</f>
        <v>ME-05</v>
      </c>
      <c r="C42" s="403" t="str">
        <f>MAQUINARIA!H117</f>
        <v>ACTIVA</v>
      </c>
      <c r="D42" s="404" t="str">
        <f>IFERROR(TRIM(MAQUINARIA!C117&amp;" "&amp;MAQUINARIA!E117),"—")</f>
        <v>ESCREPA 631 E</v>
      </c>
      <c r="E42" s="397" cm="1">
        <f t="array" ref="E42">IF(B42="",0,IFERROR(ROWS(_xlfn.UNIQUE(_xlfn._xlws.FILTER(Tabla3[PEDIDO],(Tabla3[STATUS]="COTIZANDO")*(Tabla3[NUM ECONOMICO]=B42)*(Tabla3[TEMA]&lt;&gt;"SERVICIO DE FILTROS")))),0))</f>
        <v>0</v>
      </c>
      <c r="F42" s="398">
        <f>IF(B42="",0,COUNTIFS(Tabla3[STATUS],"COTIZANDO",Tabla3[NUM ECONOMICO],B42,Tabla3[TEMA],"&lt;&gt;SERVICIO DE FILTROS"))</f>
        <v>0</v>
      </c>
      <c r="G42" s="399">
        <f>IF(B42="",0,SUMIFS(Tabla3[COSTO TOTAL SIN IVA PESOS EN MATCO],Tabla3[STATUS],"COTIZANDO",Tabla3[NUM ECONOMICO],B42,Tabla3[TEMA],"&lt;&gt;SERVICIO DE FILTROS"))</f>
        <v>0</v>
      </c>
      <c r="H42" s="400">
        <f>IF(B42="",0,SUMIFS(Tabla3[COSTO TOTAL DOLARES EN HAWTHORNE],Tabla3[STATUS],"COTIZANDO",Tabla3[NUM ECONOMICO],B42,Tabla3[TEMA],"&lt;&gt;SERVICIO DE FILTROS"))</f>
        <v>0</v>
      </c>
      <c r="I42" s="401" t="str">
        <f>IF(B42="","",_xlfn.LET(_xlpm.totalUSD,SUMIFS(Tabla3[COSTO TOTAL DOLARES EN HAWTHORNE],Tabla3[STATUS],"COTIZANDO",Tabla3[NUM ECONOMICO],B42,Tabla3[TEMA],"&lt;&gt;SERVICIO DE FILTROS"),IF(OR(TC="",_xlpm.totalUSD=0),"—",_xlpm.totalUSD*TC)))</f>
        <v>—</v>
      </c>
      <c r="J42" s="400">
        <f>IF(B42="",0,SUMIFS(Tabla3[COSTO TOTAL DOLARES CTP],Tabla3[STATUS],"COTIZANDO",Tabla3[NUM ECONOMICO],B42,Tabla3[TEMA],"&lt;&gt;SERVICIO DE FILTROS"))</f>
        <v>0</v>
      </c>
      <c r="K42" s="401" t="str">
        <f>IF(B42="","",_xlfn.LET(_xlpm.totalUSD,SUMIFS(Tabla3[COSTO TOTAL DOLARES CTP],Tabla3[STATUS],"COTIZANDO",Tabla3[NUM ECONOMICO],B42,Tabla3[TEMA],"&lt;&gt;SERVICIO DE FILTROS"),IF(OR(TC="",_xlpm.totalUSD=0),"—",_xlpm.totalUSD*TC)))</f>
        <v>—</v>
      </c>
      <c r="L42" s="398" cm="1">
        <f t="array" ref="L42">IF(B42="",0,IFERROR(MAX(_xlfn._xlws.FILTER(Tabla3[DIAS DE ENTREGA TENTATIVO EN MATCO],(Tabla3[STATUS]="COTIZANDO")*(Tabla3[NUM ECONOMICO]=B42)*(Tabla3[TEMA]&lt;&gt;"SERVICIO DE FILTROS"))),0))</f>
        <v>0</v>
      </c>
    </row>
    <row r="43" spans="2:12" x14ac:dyDescent="0.2">
      <c r="B43" s="403" t="str">
        <f>MAQUINARIA!B124</f>
        <v>ME-07</v>
      </c>
      <c r="C43" s="404" t="str">
        <f>MAQUINARIA!H124</f>
        <v>INACTIVA</v>
      </c>
      <c r="D43" s="404" t="str">
        <f>IFERROR(TRIM(MAQUINARIA!C124&amp;" "&amp;MAQUINARIA!E124),"—")</f>
        <v>ESCREPA 631 D</v>
      </c>
      <c r="E43" s="398" cm="1">
        <f t="array" ref="E43">IF(B43="",0,IFERROR(ROWS(_xlfn.UNIQUE(_xlfn._xlws.FILTER(Tabla3[PEDIDO],(Tabla3[STATUS]="COTIZANDO")*(Tabla3[NUM ECONOMICO]=B43)*(Tabla3[TEMA]&lt;&gt;"SERVICIO DE FILTROS")))),0))</f>
        <v>0</v>
      </c>
      <c r="F43" s="398">
        <f>IF(B43="",0,COUNTIFS(Tabla3[STATUS],"COTIZANDO",Tabla3[NUM ECONOMICO],B43,Tabla3[TEMA],"&lt;&gt;SERVICIO DE FILTROS"))</f>
        <v>0</v>
      </c>
      <c r="G43" s="399">
        <f>IF(B43="",0,SUMIFS(Tabla3[COSTO TOTAL SIN IVA PESOS EN MATCO],Tabla3[STATUS],"COTIZANDO",Tabla3[NUM ECONOMICO],B43,Tabla3[TEMA],"&lt;&gt;SERVICIO DE FILTROS"))</f>
        <v>0</v>
      </c>
      <c r="H43" s="400">
        <f>IF(B43="",0,SUMIFS(Tabla3[COSTO TOTAL DOLARES EN HAWTHORNE],Tabla3[STATUS],"COTIZANDO",Tabla3[NUM ECONOMICO],B43,Tabla3[TEMA],"&lt;&gt;SERVICIO DE FILTROS"))</f>
        <v>0</v>
      </c>
      <c r="I43" s="401" t="str">
        <f>IF(B43="","",_xlfn.LET(_xlpm.totalUSD,SUMIFS(Tabla3[COSTO TOTAL DOLARES EN HAWTHORNE],Tabla3[STATUS],"COTIZANDO",Tabla3[NUM ECONOMICO],B43,Tabla3[TEMA],"&lt;&gt;SERVICIO DE FILTROS"),IF(OR(TC="",_xlpm.totalUSD=0),"—",_xlpm.totalUSD*TC)))</f>
        <v>—</v>
      </c>
      <c r="J43" s="400">
        <f>IF(B43="",0,SUMIFS(Tabla3[COSTO TOTAL DOLARES CTP],Tabla3[STATUS],"COTIZANDO",Tabla3[NUM ECONOMICO],B43,Tabla3[TEMA],"&lt;&gt;SERVICIO DE FILTROS"))</f>
        <v>0</v>
      </c>
      <c r="K43" s="401" t="str">
        <f>IF(B43="","",_xlfn.LET(_xlpm.totalUSD,SUMIFS(Tabla3[COSTO TOTAL DOLARES CTP],Tabla3[STATUS],"COTIZANDO",Tabla3[NUM ECONOMICO],B43,Tabla3[TEMA],"&lt;&gt;SERVICIO DE FILTROS"),IF(OR(TC="",_xlpm.totalUSD=0),"—",_xlpm.totalUSD*TC)))</f>
        <v>—</v>
      </c>
      <c r="L43" s="398" cm="1">
        <f t="array" ref="L43">IF(B43="",0,IFERROR(MAX(_xlfn._xlws.FILTER(Tabla3[DIAS DE ENTREGA TENTATIVO EN MATCO],(Tabla3[STATUS]="COTIZANDO")*(Tabla3[NUM ECONOMICO]=B43)*(Tabla3[TEMA]&lt;&gt;"SERVICIO DE FILTROS"))),0))</f>
        <v>0</v>
      </c>
    </row>
    <row r="44" spans="2:12" x14ac:dyDescent="0.2">
      <c r="B44" s="403" t="str">
        <f>MAQUINARIA!B128</f>
        <v>ME-08</v>
      </c>
      <c r="C44" s="403" t="str">
        <f>MAQUINARIA!H128</f>
        <v>INACTIVA</v>
      </c>
      <c r="D44" s="404" t="str">
        <f>IFERROR(TRIM(MAQUINARIA!C128&amp;" "&amp;MAQUINARIA!E128),"—")</f>
        <v>ESCREPA 631 E</v>
      </c>
      <c r="E44" s="397" cm="1">
        <f t="array" ref="E44">IF(B44="",0,IFERROR(ROWS(_xlfn.UNIQUE(_xlfn._xlws.FILTER(Tabla3[PEDIDO],(Tabla3[STATUS]="COTIZANDO")*(Tabla3[NUM ECONOMICO]=B44)*(Tabla3[TEMA]&lt;&gt;"SERVICIO DE FILTROS")))),0))</f>
        <v>0</v>
      </c>
      <c r="F44" s="398">
        <f>IF(B44="",0,COUNTIFS(Tabla3[STATUS],"COTIZANDO",Tabla3[NUM ECONOMICO],B44,Tabla3[TEMA],"&lt;&gt;SERVICIO DE FILTROS"))</f>
        <v>0</v>
      </c>
      <c r="G44" s="399">
        <f>IF(B44="",0,SUMIFS(Tabla3[COSTO TOTAL SIN IVA PESOS EN MATCO],Tabla3[STATUS],"COTIZANDO",Tabla3[NUM ECONOMICO],B44,Tabla3[TEMA],"&lt;&gt;SERVICIO DE FILTROS"))</f>
        <v>0</v>
      </c>
      <c r="H44" s="400">
        <f>IF(B44="",0,SUMIFS(Tabla3[COSTO TOTAL DOLARES EN HAWTHORNE],Tabla3[STATUS],"COTIZANDO",Tabla3[NUM ECONOMICO],B44,Tabla3[TEMA],"&lt;&gt;SERVICIO DE FILTROS"))</f>
        <v>0</v>
      </c>
      <c r="I44" s="401" t="str">
        <f>IF(B44="","",_xlfn.LET(_xlpm.totalUSD,SUMIFS(Tabla3[COSTO TOTAL DOLARES EN HAWTHORNE],Tabla3[STATUS],"COTIZANDO",Tabla3[NUM ECONOMICO],B44,Tabla3[TEMA],"&lt;&gt;SERVICIO DE FILTROS"),IF(OR(TC="",_xlpm.totalUSD=0),"—",_xlpm.totalUSD*TC)))</f>
        <v>—</v>
      </c>
      <c r="J44" s="400">
        <f>IF(B44="",0,SUMIFS(Tabla3[COSTO TOTAL DOLARES CTP],Tabla3[STATUS],"COTIZANDO",Tabla3[NUM ECONOMICO],B44,Tabla3[TEMA],"&lt;&gt;SERVICIO DE FILTROS"))</f>
        <v>0</v>
      </c>
      <c r="K44" s="401" t="str">
        <f>IF(B44="","",_xlfn.LET(_xlpm.totalUSD,SUMIFS(Tabla3[COSTO TOTAL DOLARES CTP],Tabla3[STATUS],"COTIZANDO",Tabla3[NUM ECONOMICO],B44,Tabla3[TEMA],"&lt;&gt;SERVICIO DE FILTROS"),IF(OR(TC="",_xlpm.totalUSD=0),"—",_xlpm.totalUSD*TC)))</f>
        <v>—</v>
      </c>
      <c r="L44" s="398" cm="1">
        <f t="array" ref="L44">IF(B44="",0,IFERROR(MAX(_xlfn._xlws.FILTER(Tabla3[DIAS DE ENTREGA TENTATIVO EN MATCO],(Tabla3[STATUS]="COTIZANDO")*(Tabla3[NUM ECONOMICO]=B44)*(Tabla3[TEMA]&lt;&gt;"SERVICIO DE FILTROS"))),0))</f>
        <v>0</v>
      </c>
    </row>
    <row r="45" spans="2:12" x14ac:dyDescent="0.2">
      <c r="B45" s="403" t="str">
        <f>MAQUINARIA!B134</f>
        <v>ME-09</v>
      </c>
      <c r="C45" s="403" t="str">
        <f>MAQUINARIA!H134</f>
        <v>ACTIVA</v>
      </c>
      <c r="D45" s="404" t="str">
        <f>IFERROR(TRIM(MAQUINARIA!C134&amp;" "&amp;MAQUINARIA!E134),"—")</f>
        <v>ESCREPA 631 E</v>
      </c>
      <c r="E45" s="397" cm="1">
        <f t="array" ref="E45">IF(B45="",0,IFERROR(ROWS(_xlfn.UNIQUE(_xlfn._xlws.FILTER(Tabla3[PEDIDO],(Tabla3[STATUS]="COTIZANDO")*(Tabla3[NUM ECONOMICO]=B45)*(Tabla3[TEMA]&lt;&gt;"SERVICIO DE FILTROS")))),0))</f>
        <v>0</v>
      </c>
      <c r="F45" s="398">
        <f>IF(B45="",0,COUNTIFS(Tabla3[STATUS],"COTIZANDO",Tabla3[NUM ECONOMICO],B45,Tabla3[TEMA],"&lt;&gt;SERVICIO DE FILTROS"))</f>
        <v>0</v>
      </c>
      <c r="G45" s="399">
        <f>IF(B45="",0,SUMIFS(Tabla3[COSTO TOTAL SIN IVA PESOS EN MATCO],Tabla3[STATUS],"COTIZANDO",Tabla3[NUM ECONOMICO],B45,Tabla3[TEMA],"&lt;&gt;SERVICIO DE FILTROS"))</f>
        <v>0</v>
      </c>
      <c r="H45" s="400">
        <f>IF(B45="",0,SUMIFS(Tabla3[COSTO TOTAL DOLARES EN HAWTHORNE],Tabla3[STATUS],"COTIZANDO",Tabla3[NUM ECONOMICO],B45,Tabla3[TEMA],"&lt;&gt;SERVICIO DE FILTROS"))</f>
        <v>0</v>
      </c>
      <c r="I45" s="401" t="str">
        <f>IF(B45="","",_xlfn.LET(_xlpm.totalUSD,SUMIFS(Tabla3[COSTO TOTAL DOLARES EN HAWTHORNE],Tabla3[STATUS],"COTIZANDO",Tabla3[NUM ECONOMICO],B45,Tabla3[TEMA],"&lt;&gt;SERVICIO DE FILTROS"),IF(OR(TC="",_xlpm.totalUSD=0),"—",_xlpm.totalUSD*TC)))</f>
        <v>—</v>
      </c>
      <c r="J45" s="400">
        <f>IF(B45="",0,SUMIFS(Tabla3[COSTO TOTAL DOLARES CTP],Tabla3[STATUS],"COTIZANDO",Tabla3[NUM ECONOMICO],B45,Tabla3[TEMA],"&lt;&gt;SERVICIO DE FILTROS"))</f>
        <v>0</v>
      </c>
      <c r="K45" s="401" t="str">
        <f>IF(B45="","",_xlfn.LET(_xlpm.totalUSD,SUMIFS(Tabla3[COSTO TOTAL DOLARES CTP],Tabla3[STATUS],"COTIZANDO",Tabla3[NUM ECONOMICO],B45,Tabla3[TEMA],"&lt;&gt;SERVICIO DE FILTROS"),IF(OR(TC="",_xlpm.totalUSD=0),"—",_xlpm.totalUSD*TC)))</f>
        <v>—</v>
      </c>
      <c r="L45" s="398" cm="1">
        <f t="array" ref="L45">IF(B45="",0,IFERROR(MAX(_xlfn._xlws.FILTER(Tabla3[DIAS DE ENTREGA TENTATIVO EN MATCO],(Tabla3[STATUS]="COTIZANDO")*(Tabla3[NUM ECONOMICO]=B45)*(Tabla3[TEMA]&lt;&gt;"SERVICIO DE FILTROS"))),0))</f>
        <v>0</v>
      </c>
    </row>
    <row r="46" spans="2:12" x14ac:dyDescent="0.2">
      <c r="B46" s="403" t="str">
        <f>MAQUINARIA!B142</f>
        <v>ME-11</v>
      </c>
      <c r="C46" s="403" t="str">
        <f>MAQUINARIA!H142</f>
        <v>INACTIVA</v>
      </c>
      <c r="D46" s="404" t="str">
        <f>IFERROR(TRIM(MAQUINARIA!C142&amp;" "&amp;MAQUINARIA!E142),"—")</f>
        <v>ESCREPA 631 E</v>
      </c>
      <c r="E46" s="397" cm="1">
        <f t="array" ref="E46">IF(B46="",0,IFERROR(ROWS(_xlfn.UNIQUE(_xlfn._xlws.FILTER(Tabla3[PEDIDO],(Tabla3[STATUS]="COTIZANDO")*(Tabla3[NUM ECONOMICO]=B46)*(Tabla3[TEMA]&lt;&gt;"SERVICIO DE FILTROS")))),0))</f>
        <v>1</v>
      </c>
      <c r="F46" s="398">
        <f>IF(B46="",0,COUNTIFS(Tabla3[STATUS],"COTIZANDO",Tabla3[NUM ECONOMICO],B46,Tabla3[TEMA],"&lt;&gt;SERVICIO DE FILTROS"))</f>
        <v>170</v>
      </c>
      <c r="G46" s="399">
        <f>IF(B46="",0,SUMIFS(Tabla3[COSTO TOTAL SIN IVA PESOS EN MATCO],Tabla3[STATUS],"COTIZANDO",Tabla3[NUM ECONOMICO],B46,Tabla3[TEMA],"&lt;&gt;SERVICIO DE FILTROS"))</f>
        <v>675447.06</v>
      </c>
      <c r="H46" s="400">
        <f>IF(B46="",0,SUMIFS(Tabla3[COSTO TOTAL DOLARES EN HAWTHORNE],Tabla3[STATUS],"COTIZANDO",Tabla3[NUM ECONOMICO],B46,Tabla3[TEMA],"&lt;&gt;SERVICIO DE FILTROS"))</f>
        <v>0</v>
      </c>
      <c r="I46" s="401" t="str">
        <f>IF(B46="","",_xlfn.LET(_xlpm.totalUSD,SUMIFS(Tabla3[COSTO TOTAL DOLARES EN HAWTHORNE],Tabla3[STATUS],"COTIZANDO",Tabla3[NUM ECONOMICO],B46,Tabla3[TEMA],"&lt;&gt;SERVICIO DE FILTROS"),IF(OR(TC="",_xlpm.totalUSD=0),"—",_xlpm.totalUSD*TC)))</f>
        <v>—</v>
      </c>
      <c r="J46" s="400">
        <f>IF(B46="",0,SUMIFS(Tabla3[COSTO TOTAL DOLARES CTP],Tabla3[STATUS],"COTIZANDO",Tabla3[NUM ECONOMICO],B46,Tabla3[TEMA],"&lt;&gt;SERVICIO DE FILTROS"))</f>
        <v>0</v>
      </c>
      <c r="K46" s="401" t="str">
        <f>IF(B46="","",_xlfn.LET(_xlpm.totalUSD,SUMIFS(Tabla3[COSTO TOTAL DOLARES CTP],Tabla3[STATUS],"COTIZANDO",Tabla3[NUM ECONOMICO],B46,Tabla3[TEMA],"&lt;&gt;SERVICIO DE FILTROS"),IF(OR(TC="",_xlpm.totalUSD=0),"—",_xlpm.totalUSD*TC)))</f>
        <v>—</v>
      </c>
      <c r="L46" s="398" cm="1">
        <f t="array" ref="L46">IF(B46="",0,IFERROR(MAX(_xlfn._xlws.FILTER(Tabla3[DIAS DE ENTREGA TENTATIVO EN MATCO],(Tabla3[STATUS]="COTIZANDO")*(Tabla3[NUM ECONOMICO]=B46)*(Tabla3[TEMA]&lt;&gt;"SERVICIO DE FILTROS"))),0))</f>
        <v>0</v>
      </c>
    </row>
    <row r="47" spans="2:12" x14ac:dyDescent="0.2">
      <c r="B47" s="403" t="str">
        <f>MAQUINARIA!B147</f>
        <v>ME-12</v>
      </c>
      <c r="C47" s="403" t="str">
        <f>MAQUINARIA!H147</f>
        <v>ACTIVA</v>
      </c>
      <c r="D47" s="404" t="str">
        <f>IFERROR(TRIM(MAQUINARIA!C147&amp;" "&amp;MAQUINARIA!E147),"—")</f>
        <v>ESCREPA 631 E</v>
      </c>
      <c r="E47" s="397" cm="1">
        <f t="array" ref="E47">IF(B47="",0,IFERROR(ROWS(_xlfn.UNIQUE(_xlfn._xlws.FILTER(Tabla3[PEDIDO],(Tabla3[STATUS]="COTIZANDO")*(Tabla3[NUM ECONOMICO]=B47)*(Tabla3[TEMA]&lt;&gt;"SERVICIO DE FILTROS")))),0))</f>
        <v>0</v>
      </c>
      <c r="F47" s="398">
        <f>IF(B47="",0,COUNTIFS(Tabla3[STATUS],"COTIZANDO",Tabla3[NUM ECONOMICO],B47,Tabla3[TEMA],"&lt;&gt;SERVICIO DE FILTROS"))</f>
        <v>0</v>
      </c>
      <c r="G47" s="399">
        <f>IF(B47="",0,SUMIFS(Tabla3[COSTO TOTAL SIN IVA PESOS EN MATCO],Tabla3[STATUS],"COTIZANDO",Tabla3[NUM ECONOMICO],B47,Tabla3[TEMA],"&lt;&gt;SERVICIO DE FILTROS"))</f>
        <v>0</v>
      </c>
      <c r="H47" s="400">
        <f>IF(B47="",0,SUMIFS(Tabla3[COSTO TOTAL DOLARES EN HAWTHORNE],Tabla3[STATUS],"COTIZANDO",Tabla3[NUM ECONOMICO],B47,Tabla3[TEMA],"&lt;&gt;SERVICIO DE FILTROS"))</f>
        <v>0</v>
      </c>
      <c r="I47" s="401" t="str">
        <f>IF(B47="","",_xlfn.LET(_xlpm.totalUSD,SUMIFS(Tabla3[COSTO TOTAL DOLARES EN HAWTHORNE],Tabla3[STATUS],"COTIZANDO",Tabla3[NUM ECONOMICO],B47,Tabla3[TEMA],"&lt;&gt;SERVICIO DE FILTROS"),IF(OR(TC="",_xlpm.totalUSD=0),"—",_xlpm.totalUSD*TC)))</f>
        <v>—</v>
      </c>
      <c r="J47" s="400">
        <f>IF(B47="",0,SUMIFS(Tabla3[COSTO TOTAL DOLARES CTP],Tabla3[STATUS],"COTIZANDO",Tabla3[NUM ECONOMICO],B47,Tabla3[TEMA],"&lt;&gt;SERVICIO DE FILTROS"))</f>
        <v>0</v>
      </c>
      <c r="K47" s="401" t="str">
        <f>IF(B47="","",_xlfn.LET(_xlpm.totalUSD,SUMIFS(Tabla3[COSTO TOTAL DOLARES CTP],Tabla3[STATUS],"COTIZANDO",Tabla3[NUM ECONOMICO],B47,Tabla3[TEMA],"&lt;&gt;SERVICIO DE FILTROS"),IF(OR(TC="",_xlpm.totalUSD=0),"—",_xlpm.totalUSD*TC)))</f>
        <v>—</v>
      </c>
      <c r="L47" s="398" cm="1">
        <f t="array" ref="L47">IF(B47="",0,IFERROR(MAX(_xlfn._xlws.FILTER(Tabla3[DIAS DE ENTREGA TENTATIVO EN MATCO],(Tabla3[STATUS]="COTIZANDO")*(Tabla3[NUM ECONOMICO]=B47)*(Tabla3[TEMA]&lt;&gt;"SERVICIO DE FILTROS"))),0))</f>
        <v>0</v>
      </c>
    </row>
    <row r="48" spans="2:12" x14ac:dyDescent="0.2">
      <c r="B48" s="403" t="str">
        <f>MAQUINARIA!B154</f>
        <v>ME-14</v>
      </c>
      <c r="C48" s="404" t="str">
        <f>MAQUINARIA!H154</f>
        <v>ACTIVA</v>
      </c>
      <c r="D48" s="404" t="str">
        <f>IFERROR(TRIM(MAQUINARIA!C154&amp;" "&amp;MAQUINARIA!E154),"—")</f>
        <v>ESCREPA 631 E</v>
      </c>
      <c r="E48" s="397" cm="1">
        <f t="array" ref="E48">IF(B48="",0,IFERROR(ROWS(_xlfn.UNIQUE(_xlfn._xlws.FILTER(Tabla3[PEDIDO],(Tabla3[STATUS]="COTIZANDO")*(Tabla3[NUM ECONOMICO]=B48)*(Tabla3[TEMA]&lt;&gt;"SERVICIO DE FILTROS")))),0))</f>
        <v>0</v>
      </c>
      <c r="F48" s="398">
        <f>IF(B48="",0,COUNTIFS(Tabla3[STATUS],"COTIZANDO",Tabla3[NUM ECONOMICO],B48,Tabla3[TEMA],"&lt;&gt;SERVICIO DE FILTROS"))</f>
        <v>0</v>
      </c>
      <c r="G48" s="399">
        <f>IF(B48="",0,SUMIFS(Tabla3[COSTO TOTAL SIN IVA PESOS EN MATCO],Tabla3[STATUS],"COTIZANDO",Tabla3[NUM ECONOMICO],B48,Tabla3[TEMA],"&lt;&gt;SERVICIO DE FILTROS"))</f>
        <v>0</v>
      </c>
      <c r="H48" s="400">
        <f>IF(B48="",0,SUMIFS(Tabla3[COSTO TOTAL DOLARES EN HAWTHORNE],Tabla3[STATUS],"COTIZANDO",Tabla3[NUM ECONOMICO],B48,Tabla3[TEMA],"&lt;&gt;SERVICIO DE FILTROS"))</f>
        <v>0</v>
      </c>
      <c r="I48" s="401" t="str">
        <f>IF(B48="","",_xlfn.LET(_xlpm.totalUSD,SUMIFS(Tabla3[COSTO TOTAL DOLARES EN HAWTHORNE],Tabla3[STATUS],"COTIZANDO",Tabla3[NUM ECONOMICO],B48,Tabla3[TEMA],"&lt;&gt;SERVICIO DE FILTROS"),IF(OR(TC="",_xlpm.totalUSD=0),"—",_xlpm.totalUSD*TC)))</f>
        <v>—</v>
      </c>
      <c r="J48" s="400">
        <f>IF(B48="",0,SUMIFS(Tabla3[COSTO TOTAL DOLARES CTP],Tabla3[STATUS],"COTIZANDO",Tabla3[NUM ECONOMICO],B48,Tabla3[TEMA],"&lt;&gt;SERVICIO DE FILTROS"))</f>
        <v>0</v>
      </c>
      <c r="K48" s="401" t="str">
        <f>IF(B48="","",_xlfn.LET(_xlpm.totalUSD,SUMIFS(Tabla3[COSTO TOTAL DOLARES CTP],Tabla3[STATUS],"COTIZANDO",Tabla3[NUM ECONOMICO],B48,Tabla3[TEMA],"&lt;&gt;SERVICIO DE FILTROS"),IF(OR(TC="",_xlpm.totalUSD=0),"—",_xlpm.totalUSD*TC)))</f>
        <v>—</v>
      </c>
      <c r="L48" s="398" cm="1">
        <f t="array" ref="L48">IF(B48="",0,IFERROR(MAX(_xlfn._xlws.FILTER(Tabla3[DIAS DE ENTREGA TENTATIVO EN MATCO],(Tabla3[STATUS]="COTIZANDO")*(Tabla3[NUM ECONOMICO]=B48)*(Tabla3[TEMA]&lt;&gt;"SERVICIO DE FILTROS"))),0))</f>
        <v>0</v>
      </c>
    </row>
    <row r="49" spans="2:12" x14ac:dyDescent="0.2">
      <c r="B49" s="403" t="str">
        <f>MAQUINARIA!B156</f>
        <v>ME-15</v>
      </c>
      <c r="C49" s="403" t="str">
        <f>MAQUINARIA!H156</f>
        <v>INACTIVA</v>
      </c>
      <c r="D49" s="404" t="str">
        <f>IFERROR(TRIM(MAQUINARIA!C156&amp;" "&amp;MAQUINARIA!E156),"—")</f>
        <v>ESCREPA 631 E</v>
      </c>
      <c r="E49" s="397" cm="1">
        <f t="array" ref="E49">IF(B49="",0,IFERROR(ROWS(_xlfn.UNIQUE(_xlfn._xlws.FILTER(Tabla3[PEDIDO],(Tabla3[STATUS]="COTIZANDO")*(Tabla3[NUM ECONOMICO]=B49)*(Tabla3[TEMA]&lt;&gt;"SERVICIO DE FILTROS")))),0))</f>
        <v>1</v>
      </c>
      <c r="F49" s="398">
        <f>IF(B49="",0,COUNTIFS(Tabla3[STATUS],"COTIZANDO",Tabla3[NUM ECONOMICO],B49,Tabla3[TEMA],"&lt;&gt;SERVICIO DE FILTROS"))</f>
        <v>170</v>
      </c>
      <c r="G49" s="399">
        <f>IF(B49="",0,SUMIFS(Tabla3[COSTO TOTAL SIN IVA PESOS EN MATCO],Tabla3[STATUS],"COTIZANDO",Tabla3[NUM ECONOMICO],B49,Tabla3[TEMA],"&lt;&gt;SERVICIO DE FILTROS"))</f>
        <v>675447.06</v>
      </c>
      <c r="H49" s="400">
        <f>IF(B49="",0,SUMIFS(Tabla3[COSTO TOTAL DOLARES EN HAWTHORNE],Tabla3[STATUS],"COTIZANDO",Tabla3[NUM ECONOMICO],B49,Tabla3[TEMA],"&lt;&gt;SERVICIO DE FILTROS"))</f>
        <v>0</v>
      </c>
      <c r="I49" s="401" t="str">
        <f>IF(B49="","",_xlfn.LET(_xlpm.totalUSD,SUMIFS(Tabla3[COSTO TOTAL DOLARES EN HAWTHORNE],Tabla3[STATUS],"COTIZANDO",Tabla3[NUM ECONOMICO],B49,Tabla3[TEMA],"&lt;&gt;SERVICIO DE FILTROS"),IF(OR(TC="",_xlpm.totalUSD=0),"—",_xlpm.totalUSD*TC)))</f>
        <v>—</v>
      </c>
      <c r="J49" s="400">
        <f>IF(B49="",0,SUMIFS(Tabla3[COSTO TOTAL DOLARES CTP],Tabla3[STATUS],"COTIZANDO",Tabla3[NUM ECONOMICO],B49,Tabla3[TEMA],"&lt;&gt;SERVICIO DE FILTROS"))</f>
        <v>0</v>
      </c>
      <c r="K49" s="401" t="str">
        <f>IF(B49="","",_xlfn.LET(_xlpm.totalUSD,SUMIFS(Tabla3[COSTO TOTAL DOLARES CTP],Tabla3[STATUS],"COTIZANDO",Tabla3[NUM ECONOMICO],B49,Tabla3[TEMA],"&lt;&gt;SERVICIO DE FILTROS"),IF(OR(TC="",_xlpm.totalUSD=0),"—",_xlpm.totalUSD*TC)))</f>
        <v>—</v>
      </c>
      <c r="L49" s="398" cm="1">
        <f t="array" ref="L49">IF(B49="",0,IFERROR(MAX(_xlfn._xlws.FILTER(Tabla3[DIAS DE ENTREGA TENTATIVO EN MATCO],(Tabla3[STATUS]="COTIZANDO")*(Tabla3[NUM ECONOMICO]=B49)*(Tabla3[TEMA]&lt;&gt;"SERVICIO DE FILTROS"))),0))</f>
        <v>0</v>
      </c>
    </row>
    <row r="50" spans="2:12" x14ac:dyDescent="0.2">
      <c r="B50" s="403" t="str">
        <f>MAQUINARIA!B160</f>
        <v>ME-16</v>
      </c>
      <c r="C50" s="403" t="str">
        <f>MAQUINARIA!H160</f>
        <v>INACTIVA</v>
      </c>
      <c r="D50" s="404" t="str">
        <f>IFERROR(TRIM(MAQUINARIA!C160&amp;" "&amp;MAQUINARIA!E160),"—")</f>
        <v>ESCREPA 631 E</v>
      </c>
      <c r="E50" s="397" cm="1">
        <f t="array" ref="E50">IF(B50="",0,IFERROR(ROWS(_xlfn.UNIQUE(_xlfn._xlws.FILTER(Tabla3[PEDIDO],(Tabla3[STATUS]="COTIZANDO")*(Tabla3[NUM ECONOMICO]=B50)*(Tabla3[TEMA]&lt;&gt;"SERVICIO DE FILTROS")))),0))</f>
        <v>0</v>
      </c>
      <c r="F50" s="398">
        <f>IF(B50="",0,COUNTIFS(Tabla3[STATUS],"COTIZANDO",Tabla3[NUM ECONOMICO],B50,Tabla3[TEMA],"&lt;&gt;SERVICIO DE FILTROS"))</f>
        <v>0</v>
      </c>
      <c r="G50" s="399">
        <f>IF(B50="",0,SUMIFS(Tabla3[COSTO TOTAL SIN IVA PESOS EN MATCO],Tabla3[STATUS],"COTIZANDO",Tabla3[NUM ECONOMICO],B50,Tabla3[TEMA],"&lt;&gt;SERVICIO DE FILTROS"))</f>
        <v>0</v>
      </c>
      <c r="H50" s="400">
        <f>IF(B50="",0,SUMIFS(Tabla3[COSTO TOTAL DOLARES EN HAWTHORNE],Tabla3[STATUS],"COTIZANDO",Tabla3[NUM ECONOMICO],B50,Tabla3[TEMA],"&lt;&gt;SERVICIO DE FILTROS"))</f>
        <v>0</v>
      </c>
      <c r="I50" s="401" t="str">
        <f>IF(B50="","",_xlfn.LET(_xlpm.totalUSD,SUMIFS(Tabla3[COSTO TOTAL DOLARES EN HAWTHORNE],Tabla3[STATUS],"COTIZANDO",Tabla3[NUM ECONOMICO],B50,Tabla3[TEMA],"&lt;&gt;SERVICIO DE FILTROS"),IF(OR(TC="",_xlpm.totalUSD=0),"—",_xlpm.totalUSD*TC)))</f>
        <v>—</v>
      </c>
      <c r="J50" s="400">
        <f>IF(B50="",0,SUMIFS(Tabla3[COSTO TOTAL DOLARES CTP],Tabla3[STATUS],"COTIZANDO",Tabla3[NUM ECONOMICO],B50,Tabla3[TEMA],"&lt;&gt;SERVICIO DE FILTROS"))</f>
        <v>0</v>
      </c>
      <c r="K50" s="401" t="str">
        <f>IF(B50="","",_xlfn.LET(_xlpm.totalUSD,SUMIFS(Tabla3[COSTO TOTAL DOLARES CTP],Tabla3[STATUS],"COTIZANDO",Tabla3[NUM ECONOMICO],B50,Tabla3[TEMA],"&lt;&gt;SERVICIO DE FILTROS"),IF(OR(TC="",_xlpm.totalUSD=0),"—",_xlpm.totalUSD*TC)))</f>
        <v>—</v>
      </c>
      <c r="L50" s="398" cm="1">
        <f t="array" ref="L50">IF(B50="",0,IFERROR(MAX(_xlfn._xlws.FILTER(Tabla3[DIAS DE ENTREGA TENTATIVO EN MATCO],(Tabla3[STATUS]="COTIZANDO")*(Tabla3[NUM ECONOMICO]=B50)*(Tabla3[TEMA]&lt;&gt;"SERVICIO DE FILTROS"))),0))</f>
        <v>0</v>
      </c>
    </row>
    <row r="51" spans="2:12" x14ac:dyDescent="0.2">
      <c r="B51" s="403" t="str">
        <f>MAQUINARIA!B167</f>
        <v>ME-17</v>
      </c>
      <c r="C51" s="403" t="str">
        <f>MAQUINARIA!H167</f>
        <v>INACTIVA</v>
      </c>
      <c r="D51" s="404" t="str">
        <f>IFERROR(TRIM(MAQUINARIA!C167&amp;" "&amp;MAQUINARIA!E167),"—")</f>
        <v>ESCREPA 631 E</v>
      </c>
      <c r="E51" s="397" cm="1">
        <f t="array" ref="E51">IF(B51="",0,IFERROR(ROWS(_xlfn.UNIQUE(_xlfn._xlws.FILTER(Tabla3[PEDIDO],(Tabla3[STATUS]="COTIZANDO")*(Tabla3[NUM ECONOMICO]=B51)*(Tabla3[TEMA]&lt;&gt;"SERVICIO DE FILTROS")))),0))</f>
        <v>2</v>
      </c>
      <c r="F51" s="398">
        <f>IF(B51="",0,COUNTIFS(Tabla3[STATUS],"COTIZANDO",Tabla3[NUM ECONOMICO],B51,Tabla3[TEMA],"&lt;&gt;SERVICIO DE FILTROS"))</f>
        <v>35</v>
      </c>
      <c r="G51" s="399">
        <f>IF(B51="",0,SUMIFS(Tabla3[COSTO TOTAL SIN IVA PESOS EN MATCO],Tabla3[STATUS],"COTIZANDO",Tabla3[NUM ECONOMICO],B51,Tabla3[TEMA],"&lt;&gt;SERVICIO DE FILTROS"))</f>
        <v>256132.68999999997</v>
      </c>
      <c r="H51" s="400">
        <f>IF(B51="",0,SUMIFS(Tabla3[COSTO TOTAL DOLARES EN HAWTHORNE],Tabla3[STATUS],"COTIZANDO",Tabla3[NUM ECONOMICO],B51,Tabla3[TEMA],"&lt;&gt;SERVICIO DE FILTROS"))</f>
        <v>10643.179999999998</v>
      </c>
      <c r="I51" s="401">
        <f>IF(B51="","",_xlfn.LET(_xlpm.totalUSD,SUMIFS(Tabla3[COSTO TOTAL DOLARES EN HAWTHORNE],Tabla3[STATUS],"COTIZANDO",Tabla3[NUM ECONOMICO],B51,Tabla3[TEMA],"&lt;&gt;SERVICIO DE FILTROS"),IF(OR(TC="",_xlpm.totalUSD=0),"—",_xlpm.totalUSD*TC)))</f>
        <v>180934.05999999997</v>
      </c>
      <c r="J51" s="400">
        <f>IF(B51="",0,SUMIFS(Tabla3[COSTO TOTAL DOLARES CTP],Tabla3[STATUS],"COTIZANDO",Tabla3[NUM ECONOMICO],B51,Tabla3[TEMA],"&lt;&gt;SERVICIO DE FILTROS"))</f>
        <v>1013.98</v>
      </c>
      <c r="K51" s="401">
        <f>IF(B51="","",_xlfn.LET(_xlpm.totalUSD,SUMIFS(Tabla3[COSTO TOTAL DOLARES CTP],Tabla3[STATUS],"COTIZANDO",Tabla3[NUM ECONOMICO],B51,Tabla3[TEMA],"&lt;&gt;SERVICIO DE FILTROS"),IF(OR(TC="",_xlpm.totalUSD=0),"—",_xlpm.totalUSD*TC)))</f>
        <v>17237.66</v>
      </c>
      <c r="L51" s="398" cm="1">
        <f t="array" ref="L51">IF(B51="",0,IFERROR(MAX(_xlfn._xlws.FILTER(Tabla3[DIAS DE ENTREGA TENTATIVO EN MATCO],(Tabla3[STATUS]="COTIZANDO")*(Tabla3[NUM ECONOMICO]=B51)*(Tabla3[TEMA]&lt;&gt;"SERVICIO DE FILTROS"))),0))</f>
        <v>0</v>
      </c>
    </row>
    <row r="52" spans="2:12" x14ac:dyDescent="0.2">
      <c r="B52" s="403" t="str">
        <f>MAQUINARIA!B171</f>
        <v>ME-18</v>
      </c>
      <c r="C52" s="404" t="str">
        <f>MAQUINARIA!H171</f>
        <v>INACTIVA</v>
      </c>
      <c r="D52" s="404" t="str">
        <f>IFERROR(TRIM(MAQUINARIA!C171&amp;" "&amp;MAQUINARIA!E171),"—")</f>
        <v>ESCREPA 631 E</v>
      </c>
      <c r="E52" s="398" cm="1">
        <f t="array" ref="E52">IF(B52="",0,IFERROR(ROWS(_xlfn.UNIQUE(_xlfn._xlws.FILTER(Tabla3[PEDIDO],(Tabla3[STATUS]="COTIZANDO")*(Tabla3[NUM ECONOMICO]=B52)*(Tabla3[TEMA]&lt;&gt;"SERVICIO DE FILTROS")))),0))</f>
        <v>0</v>
      </c>
      <c r="F52" s="398">
        <f>IF(B52="",0,COUNTIFS(Tabla3[STATUS],"COTIZANDO",Tabla3[NUM ECONOMICO],B52,Tabla3[TEMA],"&lt;&gt;SERVICIO DE FILTROS"))</f>
        <v>0</v>
      </c>
      <c r="G52" s="399">
        <f>IF(B52="",0,SUMIFS(Tabla3[COSTO TOTAL SIN IVA PESOS EN MATCO],Tabla3[STATUS],"COTIZANDO",Tabla3[NUM ECONOMICO],B52,Tabla3[TEMA],"&lt;&gt;SERVICIO DE FILTROS"))</f>
        <v>0</v>
      </c>
      <c r="H52" s="400">
        <f>IF(B52="",0,SUMIFS(Tabla3[COSTO TOTAL DOLARES EN HAWTHORNE],Tabla3[STATUS],"COTIZANDO",Tabla3[NUM ECONOMICO],B52,Tabla3[TEMA],"&lt;&gt;SERVICIO DE FILTROS"))</f>
        <v>0</v>
      </c>
      <c r="I52" s="401" t="str">
        <f>IF(B52="","",_xlfn.LET(_xlpm.totalUSD,SUMIFS(Tabla3[COSTO TOTAL DOLARES EN HAWTHORNE],Tabla3[STATUS],"COTIZANDO",Tabla3[NUM ECONOMICO],B52,Tabla3[TEMA],"&lt;&gt;SERVICIO DE FILTROS"),IF(OR(TC="",_xlpm.totalUSD=0),"—",_xlpm.totalUSD*TC)))</f>
        <v>—</v>
      </c>
      <c r="J52" s="400">
        <f>IF(B52="",0,SUMIFS(Tabla3[COSTO TOTAL DOLARES CTP],Tabla3[STATUS],"COTIZANDO",Tabla3[NUM ECONOMICO],B52,Tabla3[TEMA],"&lt;&gt;SERVICIO DE FILTROS"))</f>
        <v>0</v>
      </c>
      <c r="K52" s="401" t="str">
        <f>IF(B52="","",_xlfn.LET(_xlpm.totalUSD,SUMIFS(Tabla3[COSTO TOTAL DOLARES CTP],Tabla3[STATUS],"COTIZANDO",Tabla3[NUM ECONOMICO],B52,Tabla3[TEMA],"&lt;&gt;SERVICIO DE FILTROS"),IF(OR(TC="",_xlpm.totalUSD=0),"—",_xlpm.totalUSD*TC)))</f>
        <v>—</v>
      </c>
      <c r="L52" s="398" cm="1">
        <f t="array" ref="L52">IF(B52="",0,IFERROR(MAX(_xlfn._xlws.FILTER(Tabla3[DIAS DE ENTREGA TENTATIVO EN MATCO],(Tabla3[STATUS]="COTIZANDO")*(Tabla3[NUM ECONOMICO]=B52)*(Tabla3[TEMA]&lt;&gt;"SERVICIO DE FILTROS"))),0))</f>
        <v>0</v>
      </c>
    </row>
    <row r="53" spans="2:12" x14ac:dyDescent="0.2">
      <c r="B53" s="403" t="str">
        <f>MAQUINARIA!B175</f>
        <v>ME-19</v>
      </c>
      <c r="C53" s="403" t="str">
        <f>MAQUINARIA!H175</f>
        <v>INACTIVA</v>
      </c>
      <c r="D53" s="404" t="str">
        <f>IFERROR(TRIM(MAQUINARIA!C175&amp;" "&amp;MAQUINARIA!E175),"—")</f>
        <v>ESCREPA 631 E</v>
      </c>
      <c r="E53" s="397" cm="1">
        <f t="array" ref="E53">IF(B53="",0,IFERROR(ROWS(_xlfn.UNIQUE(_xlfn._xlws.FILTER(Tabla3[PEDIDO],(Tabla3[STATUS]="COTIZANDO")*(Tabla3[NUM ECONOMICO]=B53)*(Tabla3[TEMA]&lt;&gt;"SERVICIO DE FILTROS")))),0))</f>
        <v>1</v>
      </c>
      <c r="F53" s="398">
        <f>IF(B53="",0,COUNTIFS(Tabla3[STATUS],"COTIZANDO",Tabla3[NUM ECONOMICO],B53,Tabla3[TEMA],"&lt;&gt;SERVICIO DE FILTROS"))</f>
        <v>170</v>
      </c>
      <c r="G53" s="399">
        <f>IF(B53="",0,SUMIFS(Tabla3[COSTO TOTAL SIN IVA PESOS EN MATCO],Tabla3[STATUS],"COTIZANDO",Tabla3[NUM ECONOMICO],B53,Tabla3[TEMA],"&lt;&gt;SERVICIO DE FILTROS"))</f>
        <v>675447.06</v>
      </c>
      <c r="H53" s="400">
        <f>IF(B53="",0,SUMIFS(Tabla3[COSTO TOTAL DOLARES EN HAWTHORNE],Tabla3[STATUS],"COTIZANDO",Tabla3[NUM ECONOMICO],B53,Tabla3[TEMA],"&lt;&gt;SERVICIO DE FILTROS"))</f>
        <v>0</v>
      </c>
      <c r="I53" s="401" t="str">
        <f>IF(B53="","",_xlfn.LET(_xlpm.totalUSD,SUMIFS(Tabla3[COSTO TOTAL DOLARES EN HAWTHORNE],Tabla3[STATUS],"COTIZANDO",Tabla3[NUM ECONOMICO],B53,Tabla3[TEMA],"&lt;&gt;SERVICIO DE FILTROS"),IF(OR(TC="",_xlpm.totalUSD=0),"—",_xlpm.totalUSD*TC)))</f>
        <v>—</v>
      </c>
      <c r="J53" s="400">
        <f>IF(B53="",0,SUMIFS(Tabla3[COSTO TOTAL DOLARES CTP],Tabla3[STATUS],"COTIZANDO",Tabla3[NUM ECONOMICO],B53,Tabla3[TEMA],"&lt;&gt;SERVICIO DE FILTROS"))</f>
        <v>0</v>
      </c>
      <c r="K53" s="401" t="str">
        <f>IF(B53="","",_xlfn.LET(_xlpm.totalUSD,SUMIFS(Tabla3[COSTO TOTAL DOLARES CTP],Tabla3[STATUS],"COTIZANDO",Tabla3[NUM ECONOMICO],B53,Tabla3[TEMA],"&lt;&gt;SERVICIO DE FILTROS"),IF(OR(TC="",_xlpm.totalUSD=0),"—",_xlpm.totalUSD*TC)))</f>
        <v>—</v>
      </c>
      <c r="L53" s="398" cm="1">
        <f t="array" ref="L53">IF(B53="",0,IFERROR(MAX(_xlfn._xlws.FILTER(Tabla3[DIAS DE ENTREGA TENTATIVO EN MATCO],(Tabla3[STATUS]="COTIZANDO")*(Tabla3[NUM ECONOMICO]=B53)*(Tabla3[TEMA]&lt;&gt;"SERVICIO DE FILTROS"))),0))</f>
        <v>0</v>
      </c>
    </row>
    <row r="54" spans="2:12" x14ac:dyDescent="0.2">
      <c r="B54" s="403" t="str">
        <f>MAQUINARIA!B183</f>
        <v>ME-20</v>
      </c>
      <c r="C54" s="403" t="str">
        <f>MAQUINARIA!H183</f>
        <v>ACTIVA</v>
      </c>
      <c r="D54" s="404" t="str">
        <f>IFERROR(TRIM(MAQUINARIA!C183&amp;" "&amp;MAQUINARIA!E183),"—")</f>
        <v>ESCREPA 631 E</v>
      </c>
      <c r="E54" s="397" cm="1">
        <f t="array" ref="E54">IF(B54="",0,IFERROR(ROWS(_xlfn.UNIQUE(_xlfn._xlws.FILTER(Tabla3[PEDIDO],(Tabla3[STATUS]="COTIZANDO")*(Tabla3[NUM ECONOMICO]=B54)*(Tabla3[TEMA]&lt;&gt;"SERVICIO DE FILTROS")))),0))</f>
        <v>0</v>
      </c>
      <c r="F54" s="398">
        <f>IF(B54="",0,COUNTIFS(Tabla3[STATUS],"COTIZANDO",Tabla3[NUM ECONOMICO],B54,Tabla3[TEMA],"&lt;&gt;SERVICIO DE FILTROS"))</f>
        <v>0</v>
      </c>
      <c r="G54" s="399">
        <f>IF(B54="",0,SUMIFS(Tabla3[COSTO TOTAL SIN IVA PESOS EN MATCO],Tabla3[STATUS],"COTIZANDO",Tabla3[NUM ECONOMICO],B54,Tabla3[TEMA],"&lt;&gt;SERVICIO DE FILTROS"))</f>
        <v>0</v>
      </c>
      <c r="H54" s="400">
        <f>IF(B54="",0,SUMIFS(Tabla3[COSTO TOTAL DOLARES EN HAWTHORNE],Tabla3[STATUS],"COTIZANDO",Tabla3[NUM ECONOMICO],B54,Tabla3[TEMA],"&lt;&gt;SERVICIO DE FILTROS"))</f>
        <v>0</v>
      </c>
      <c r="I54" s="401" t="str">
        <f>IF(B54="","",_xlfn.LET(_xlpm.totalUSD,SUMIFS(Tabla3[COSTO TOTAL DOLARES EN HAWTHORNE],Tabla3[STATUS],"COTIZANDO",Tabla3[NUM ECONOMICO],B54,Tabla3[TEMA],"&lt;&gt;SERVICIO DE FILTROS"),IF(OR(TC="",_xlpm.totalUSD=0),"—",_xlpm.totalUSD*TC)))</f>
        <v>—</v>
      </c>
      <c r="J54" s="400">
        <f>IF(B54="",0,SUMIFS(Tabla3[COSTO TOTAL DOLARES CTP],Tabla3[STATUS],"COTIZANDO",Tabla3[NUM ECONOMICO],B54,Tabla3[TEMA],"&lt;&gt;SERVICIO DE FILTROS"))</f>
        <v>0</v>
      </c>
      <c r="K54" s="401" t="str">
        <f>IF(B54="","",_xlfn.LET(_xlpm.totalUSD,SUMIFS(Tabla3[COSTO TOTAL DOLARES CTP],Tabla3[STATUS],"COTIZANDO",Tabla3[NUM ECONOMICO],B54,Tabla3[TEMA],"&lt;&gt;SERVICIO DE FILTROS"),IF(OR(TC="",_xlpm.totalUSD=0),"—",_xlpm.totalUSD*TC)))</f>
        <v>—</v>
      </c>
      <c r="L54" s="398" cm="1">
        <f t="array" ref="L54">IF(B54="",0,IFERROR(MAX(_xlfn._xlws.FILTER(Tabla3[DIAS DE ENTREGA TENTATIVO EN MATCO],(Tabla3[STATUS]="COTIZANDO")*(Tabla3[NUM ECONOMICO]=B54)*(Tabla3[TEMA]&lt;&gt;"SERVICIO DE FILTROS"))),0))</f>
        <v>0</v>
      </c>
    </row>
    <row r="55" spans="2:12" x14ac:dyDescent="0.2">
      <c r="B55" s="403" t="str">
        <f>MAQUINARIA!B186</f>
        <v>ME-21</v>
      </c>
      <c r="C55" s="403" t="str">
        <f>MAQUINARIA!H186</f>
        <v>INACTIVA</v>
      </c>
      <c r="D55" s="404" t="str">
        <f>IFERROR(TRIM(MAQUINARIA!C186&amp;" "&amp;MAQUINARIA!E186),"—")</f>
        <v>ESCREPA 631 E</v>
      </c>
      <c r="E55" s="397" cm="1">
        <f t="array" ref="E55">IF(B55="",0,IFERROR(ROWS(_xlfn.UNIQUE(_xlfn._xlws.FILTER(Tabla3[PEDIDO],(Tabla3[STATUS]="COTIZANDO")*(Tabla3[NUM ECONOMICO]=B55)*(Tabla3[TEMA]&lt;&gt;"SERVICIO DE FILTROS")))),0))</f>
        <v>0</v>
      </c>
      <c r="F55" s="398">
        <f>IF(B55="",0,COUNTIFS(Tabla3[STATUS],"COTIZANDO",Tabla3[NUM ECONOMICO],B55,Tabla3[TEMA],"&lt;&gt;SERVICIO DE FILTROS"))</f>
        <v>0</v>
      </c>
      <c r="G55" s="399">
        <f>IF(B55="",0,SUMIFS(Tabla3[COSTO TOTAL SIN IVA PESOS EN MATCO],Tabla3[STATUS],"COTIZANDO",Tabla3[NUM ECONOMICO],B55,Tabla3[TEMA],"&lt;&gt;SERVICIO DE FILTROS"))</f>
        <v>0</v>
      </c>
      <c r="H55" s="400">
        <f>IF(B55="",0,SUMIFS(Tabla3[COSTO TOTAL DOLARES EN HAWTHORNE],Tabla3[STATUS],"COTIZANDO",Tabla3[NUM ECONOMICO],B55,Tabla3[TEMA],"&lt;&gt;SERVICIO DE FILTROS"))</f>
        <v>0</v>
      </c>
      <c r="I55" s="401" t="str">
        <f>IF(B55="","",_xlfn.LET(_xlpm.totalUSD,SUMIFS(Tabla3[COSTO TOTAL DOLARES EN HAWTHORNE],Tabla3[STATUS],"COTIZANDO",Tabla3[NUM ECONOMICO],B55,Tabla3[TEMA],"&lt;&gt;SERVICIO DE FILTROS"),IF(OR(TC="",_xlpm.totalUSD=0),"—",_xlpm.totalUSD*TC)))</f>
        <v>—</v>
      </c>
      <c r="J55" s="400">
        <f>IF(B55="",0,SUMIFS(Tabla3[COSTO TOTAL DOLARES CTP],Tabla3[STATUS],"COTIZANDO",Tabla3[NUM ECONOMICO],B55,Tabla3[TEMA],"&lt;&gt;SERVICIO DE FILTROS"))</f>
        <v>0</v>
      </c>
      <c r="K55" s="401" t="str">
        <f>IF(B55="","",_xlfn.LET(_xlpm.totalUSD,SUMIFS(Tabla3[COSTO TOTAL DOLARES CTP],Tabla3[STATUS],"COTIZANDO",Tabla3[NUM ECONOMICO],B55,Tabla3[TEMA],"&lt;&gt;SERVICIO DE FILTROS"),IF(OR(TC="",_xlpm.totalUSD=0),"—",_xlpm.totalUSD*TC)))</f>
        <v>—</v>
      </c>
      <c r="L55" s="398" cm="1">
        <f t="array" ref="L55">IF(B55="",0,IFERROR(MAX(_xlfn._xlws.FILTER(Tabla3[DIAS DE ENTREGA TENTATIVO EN MATCO],(Tabla3[STATUS]="COTIZANDO")*(Tabla3[NUM ECONOMICO]=B55)*(Tabla3[TEMA]&lt;&gt;"SERVICIO DE FILTROS"))),0))</f>
        <v>0</v>
      </c>
    </row>
    <row r="56" spans="2:12" x14ac:dyDescent="0.2">
      <c r="B56" s="403" t="str">
        <f>MAQUINARIA!B190</f>
        <v>ME-22</v>
      </c>
      <c r="C56" s="403" t="str">
        <f>MAQUINARIA!H190</f>
        <v>ACTIVA</v>
      </c>
      <c r="D56" s="404" t="str">
        <f>IFERROR(TRIM(MAQUINARIA!C190&amp;" "&amp;MAQUINARIA!E190),"—")</f>
        <v>ESCREPA 631 E</v>
      </c>
      <c r="E56" s="397" cm="1">
        <f t="array" ref="E56">IF(B56="",0,IFERROR(ROWS(_xlfn.UNIQUE(_xlfn._xlws.FILTER(Tabla3[PEDIDO],(Tabla3[STATUS]="COTIZANDO")*(Tabla3[NUM ECONOMICO]=B56)*(Tabla3[TEMA]&lt;&gt;"SERVICIO DE FILTROS")))),0))</f>
        <v>0</v>
      </c>
      <c r="F56" s="398">
        <f>IF(B56="",0,COUNTIFS(Tabla3[STATUS],"COTIZANDO",Tabla3[NUM ECONOMICO],B56,Tabla3[TEMA],"&lt;&gt;SERVICIO DE FILTROS"))</f>
        <v>0</v>
      </c>
      <c r="G56" s="399">
        <f>IF(B56="",0,SUMIFS(Tabla3[COSTO TOTAL SIN IVA PESOS EN MATCO],Tabla3[STATUS],"COTIZANDO",Tabla3[NUM ECONOMICO],B56,Tabla3[TEMA],"&lt;&gt;SERVICIO DE FILTROS"))</f>
        <v>0</v>
      </c>
      <c r="H56" s="400">
        <f>IF(B56="",0,SUMIFS(Tabla3[COSTO TOTAL DOLARES EN HAWTHORNE],Tabla3[STATUS],"COTIZANDO",Tabla3[NUM ECONOMICO],B56,Tabla3[TEMA],"&lt;&gt;SERVICIO DE FILTROS"))</f>
        <v>0</v>
      </c>
      <c r="I56" s="401" t="str">
        <f>IF(B56="","",_xlfn.LET(_xlpm.totalUSD,SUMIFS(Tabla3[COSTO TOTAL DOLARES EN HAWTHORNE],Tabla3[STATUS],"COTIZANDO",Tabla3[NUM ECONOMICO],B56,Tabla3[TEMA],"&lt;&gt;SERVICIO DE FILTROS"),IF(OR(TC="",_xlpm.totalUSD=0),"—",_xlpm.totalUSD*TC)))</f>
        <v>—</v>
      </c>
      <c r="J56" s="400">
        <f>IF(B56="",0,SUMIFS(Tabla3[COSTO TOTAL DOLARES CTP],Tabla3[STATUS],"COTIZANDO",Tabla3[NUM ECONOMICO],B56,Tabla3[TEMA],"&lt;&gt;SERVICIO DE FILTROS"))</f>
        <v>0</v>
      </c>
      <c r="K56" s="401" t="str">
        <f>IF(B56="","",_xlfn.LET(_xlpm.totalUSD,SUMIFS(Tabla3[COSTO TOTAL DOLARES CTP],Tabla3[STATUS],"COTIZANDO",Tabla3[NUM ECONOMICO],B56,Tabla3[TEMA],"&lt;&gt;SERVICIO DE FILTROS"),IF(OR(TC="",_xlpm.totalUSD=0),"—",_xlpm.totalUSD*TC)))</f>
        <v>—</v>
      </c>
      <c r="L56" s="398" cm="1">
        <f t="array" ref="L56">IF(B56="",0,IFERROR(MAX(_xlfn._xlws.FILTER(Tabla3[DIAS DE ENTREGA TENTATIVO EN MATCO],(Tabla3[STATUS]="COTIZANDO")*(Tabla3[NUM ECONOMICO]=B56)*(Tabla3[TEMA]&lt;&gt;"SERVICIO DE FILTROS"))),0))</f>
        <v>0</v>
      </c>
    </row>
    <row r="57" spans="2:12" x14ac:dyDescent="0.2">
      <c r="B57" s="403" t="str">
        <f>MAQUINARIA!B194</f>
        <v>ME-23</v>
      </c>
      <c r="C57" s="404" t="str">
        <f>MAQUINARIA!H194</f>
        <v>ACTIVA</v>
      </c>
      <c r="D57" s="404" t="str">
        <f>IFERROR(TRIM(MAQUINARIA!C194&amp;" "&amp;MAQUINARIA!E194),"—")</f>
        <v>ESCREPA 631 E</v>
      </c>
      <c r="E57" s="397" cm="1">
        <f t="array" ref="E57">IF(B57="",0,IFERROR(ROWS(_xlfn.UNIQUE(_xlfn._xlws.FILTER(Tabla3[PEDIDO],(Tabla3[STATUS]="COTIZANDO")*(Tabla3[NUM ECONOMICO]=B57)*(Tabla3[TEMA]&lt;&gt;"SERVICIO DE FILTROS")))),0))</f>
        <v>0</v>
      </c>
      <c r="F57" s="398">
        <f>IF(B57="",0,COUNTIFS(Tabla3[STATUS],"COTIZANDO",Tabla3[NUM ECONOMICO],B57,Tabla3[TEMA],"&lt;&gt;SERVICIO DE FILTROS"))</f>
        <v>0</v>
      </c>
      <c r="G57" s="399">
        <f>IF(B57="",0,SUMIFS(Tabla3[COSTO TOTAL SIN IVA PESOS EN MATCO],Tabla3[STATUS],"COTIZANDO",Tabla3[NUM ECONOMICO],B57,Tabla3[TEMA],"&lt;&gt;SERVICIO DE FILTROS"))</f>
        <v>0</v>
      </c>
      <c r="H57" s="400">
        <f>IF(B57="",0,SUMIFS(Tabla3[COSTO TOTAL DOLARES EN HAWTHORNE],Tabla3[STATUS],"COTIZANDO",Tabla3[NUM ECONOMICO],B57,Tabla3[TEMA],"&lt;&gt;SERVICIO DE FILTROS"))</f>
        <v>0</v>
      </c>
      <c r="I57" s="401" t="str">
        <f>IF(B57="","",_xlfn.LET(_xlpm.totalUSD,SUMIFS(Tabla3[COSTO TOTAL DOLARES EN HAWTHORNE],Tabla3[STATUS],"COTIZANDO",Tabla3[NUM ECONOMICO],B57,Tabla3[TEMA],"&lt;&gt;SERVICIO DE FILTROS"),IF(OR(TC="",_xlpm.totalUSD=0),"—",_xlpm.totalUSD*TC)))</f>
        <v>—</v>
      </c>
      <c r="J57" s="400">
        <f>IF(B57="",0,SUMIFS(Tabla3[COSTO TOTAL DOLARES CTP],Tabla3[STATUS],"COTIZANDO",Tabla3[NUM ECONOMICO],B57,Tabla3[TEMA],"&lt;&gt;SERVICIO DE FILTROS"))</f>
        <v>0</v>
      </c>
      <c r="K57" s="401" t="str">
        <f>IF(B57="","",_xlfn.LET(_xlpm.totalUSD,SUMIFS(Tabla3[COSTO TOTAL DOLARES CTP],Tabla3[STATUS],"COTIZANDO",Tabla3[NUM ECONOMICO],B57,Tabla3[TEMA],"&lt;&gt;SERVICIO DE FILTROS"),IF(OR(TC="",_xlpm.totalUSD=0),"—",_xlpm.totalUSD*TC)))</f>
        <v>—</v>
      </c>
      <c r="L57" s="398" cm="1">
        <f t="array" ref="L57">IF(B57="",0,IFERROR(MAX(_xlfn._xlws.FILTER(Tabla3[DIAS DE ENTREGA TENTATIVO EN MATCO],(Tabla3[STATUS]="COTIZANDO")*(Tabla3[NUM ECONOMICO]=B57)*(Tabla3[TEMA]&lt;&gt;"SERVICIO DE FILTROS"))),0))</f>
        <v>0</v>
      </c>
    </row>
    <row r="58" spans="2:12" x14ac:dyDescent="0.2">
      <c r="B58" s="403" t="str">
        <f>MAQUINARIA!B197</f>
        <v>ME-24</v>
      </c>
      <c r="C58" s="403" t="str">
        <f>MAQUINARIA!H197</f>
        <v>ACTIVA</v>
      </c>
      <c r="D58" s="404" t="str">
        <f>IFERROR(TRIM(MAQUINARIA!C197&amp;" "&amp;MAQUINARIA!E197),"—")</f>
        <v>ESCREPA 631 E</v>
      </c>
      <c r="E58" s="397" cm="1">
        <f t="array" ref="E58">IF(B58="",0,IFERROR(ROWS(_xlfn.UNIQUE(_xlfn._xlws.FILTER(Tabla3[PEDIDO],(Tabla3[STATUS]="COTIZANDO")*(Tabla3[NUM ECONOMICO]=B58)*(Tabla3[TEMA]&lt;&gt;"SERVICIO DE FILTROS")))),0))</f>
        <v>0</v>
      </c>
      <c r="F58" s="398">
        <f>IF(B58="",0,COUNTIFS(Tabla3[STATUS],"COTIZANDO",Tabla3[NUM ECONOMICO],B58,Tabla3[TEMA],"&lt;&gt;SERVICIO DE FILTROS"))</f>
        <v>0</v>
      </c>
      <c r="G58" s="399">
        <f>IF(B58="",0,SUMIFS(Tabla3[COSTO TOTAL SIN IVA PESOS EN MATCO],Tabla3[STATUS],"COTIZANDO",Tabla3[NUM ECONOMICO],B58,Tabla3[TEMA],"&lt;&gt;SERVICIO DE FILTROS"))</f>
        <v>0</v>
      </c>
      <c r="H58" s="400">
        <f>IF(B58="",0,SUMIFS(Tabla3[COSTO TOTAL DOLARES EN HAWTHORNE],Tabla3[STATUS],"COTIZANDO",Tabla3[NUM ECONOMICO],B58,Tabla3[TEMA],"&lt;&gt;SERVICIO DE FILTROS"))</f>
        <v>0</v>
      </c>
      <c r="I58" s="401" t="str">
        <f>IF(B58="","",_xlfn.LET(_xlpm.totalUSD,SUMIFS(Tabla3[COSTO TOTAL DOLARES EN HAWTHORNE],Tabla3[STATUS],"COTIZANDO",Tabla3[NUM ECONOMICO],B58,Tabla3[TEMA],"&lt;&gt;SERVICIO DE FILTROS"),IF(OR(TC="",_xlpm.totalUSD=0),"—",_xlpm.totalUSD*TC)))</f>
        <v>—</v>
      </c>
      <c r="J58" s="400">
        <f>IF(B58="",0,SUMIFS(Tabla3[COSTO TOTAL DOLARES CTP],Tabla3[STATUS],"COTIZANDO",Tabla3[NUM ECONOMICO],B58,Tabla3[TEMA],"&lt;&gt;SERVICIO DE FILTROS"))</f>
        <v>0</v>
      </c>
      <c r="K58" s="401" t="str">
        <f>IF(B58="","",_xlfn.LET(_xlpm.totalUSD,SUMIFS(Tabla3[COSTO TOTAL DOLARES CTP],Tabla3[STATUS],"COTIZANDO",Tabla3[NUM ECONOMICO],B58,Tabla3[TEMA],"&lt;&gt;SERVICIO DE FILTROS"),IF(OR(TC="",_xlpm.totalUSD=0),"—",_xlpm.totalUSD*TC)))</f>
        <v>—</v>
      </c>
      <c r="L58" s="398" cm="1">
        <f t="array" ref="L58">IF(B58="",0,IFERROR(MAX(_xlfn._xlws.FILTER(Tabla3[DIAS DE ENTREGA TENTATIVO EN MATCO],(Tabla3[STATUS]="COTIZANDO")*(Tabla3[NUM ECONOMICO]=B58)*(Tabla3[TEMA]&lt;&gt;"SERVICIO DE FILTROS"))),0))</f>
        <v>0</v>
      </c>
    </row>
    <row r="59" spans="2:12" x14ac:dyDescent="0.2">
      <c r="B59" s="403" t="str">
        <f>MAQUINARIA!B198</f>
        <v>ME-25</v>
      </c>
      <c r="C59" s="403" t="str">
        <f>MAQUINARIA!H198</f>
        <v>ACTIVA</v>
      </c>
      <c r="D59" s="404" t="str">
        <f>IFERROR(TRIM(MAQUINARIA!C198&amp;" "&amp;MAQUINARIA!E198),"—")</f>
        <v>ESCREPA 621 E</v>
      </c>
      <c r="E59" s="397" cm="1">
        <f t="array" ref="E59">IF(B59="",0,IFERROR(ROWS(_xlfn.UNIQUE(_xlfn._xlws.FILTER(Tabla3[PEDIDO],(Tabla3[STATUS]="COTIZANDO")*(Tabla3[NUM ECONOMICO]=B59)*(Tabla3[TEMA]&lt;&gt;"SERVICIO DE FILTROS")))),0))</f>
        <v>0</v>
      </c>
      <c r="F59" s="398">
        <f>IF(B59="",0,COUNTIFS(Tabla3[STATUS],"COTIZANDO",Tabla3[NUM ECONOMICO],B59,Tabla3[TEMA],"&lt;&gt;SERVICIO DE FILTROS"))</f>
        <v>0</v>
      </c>
      <c r="G59" s="399">
        <f>IF(B59="",0,SUMIFS(Tabla3[COSTO TOTAL SIN IVA PESOS EN MATCO],Tabla3[STATUS],"COTIZANDO",Tabla3[NUM ECONOMICO],B59,Tabla3[TEMA],"&lt;&gt;SERVICIO DE FILTROS"))</f>
        <v>0</v>
      </c>
      <c r="H59" s="400">
        <f>IF(B59="",0,SUMIFS(Tabla3[COSTO TOTAL DOLARES EN HAWTHORNE],Tabla3[STATUS],"COTIZANDO",Tabla3[NUM ECONOMICO],B59,Tabla3[TEMA],"&lt;&gt;SERVICIO DE FILTROS"))</f>
        <v>0</v>
      </c>
      <c r="I59" s="401" t="str">
        <f>IF(B59="","",_xlfn.LET(_xlpm.totalUSD,SUMIFS(Tabla3[COSTO TOTAL DOLARES EN HAWTHORNE],Tabla3[STATUS],"COTIZANDO",Tabla3[NUM ECONOMICO],B59,Tabla3[TEMA],"&lt;&gt;SERVICIO DE FILTROS"),IF(OR(TC="",_xlpm.totalUSD=0),"—",_xlpm.totalUSD*TC)))</f>
        <v>—</v>
      </c>
      <c r="J59" s="400">
        <f>IF(B59="",0,SUMIFS(Tabla3[COSTO TOTAL DOLARES CTP],Tabla3[STATUS],"COTIZANDO",Tabla3[NUM ECONOMICO],B59,Tabla3[TEMA],"&lt;&gt;SERVICIO DE FILTROS"))</f>
        <v>0</v>
      </c>
      <c r="K59" s="401" t="str">
        <f>IF(B59="","",_xlfn.LET(_xlpm.totalUSD,SUMIFS(Tabla3[COSTO TOTAL DOLARES CTP],Tabla3[STATUS],"COTIZANDO",Tabla3[NUM ECONOMICO],B59,Tabla3[TEMA],"&lt;&gt;SERVICIO DE FILTROS"),IF(OR(TC="",_xlpm.totalUSD=0),"—",_xlpm.totalUSD*TC)))</f>
        <v>—</v>
      </c>
      <c r="L59" s="398" cm="1">
        <f t="array" ref="L59">IF(B59="",0,IFERROR(MAX(_xlfn._xlws.FILTER(Tabla3[DIAS DE ENTREGA TENTATIVO EN MATCO],(Tabla3[STATUS]="COTIZANDO")*(Tabla3[NUM ECONOMICO]=B59)*(Tabla3[TEMA]&lt;&gt;"SERVICIO DE FILTROS"))),0))</f>
        <v>0</v>
      </c>
    </row>
    <row r="60" spans="2:12" x14ac:dyDescent="0.2">
      <c r="B60" s="403" t="str">
        <f>MAQUINARIA!B203</f>
        <v>ME-26</v>
      </c>
      <c r="C60" s="403" t="str">
        <f>MAQUINARIA!H203</f>
        <v>ACTIVA</v>
      </c>
      <c r="D60" s="404" t="str">
        <f>IFERROR(TRIM(MAQUINARIA!C203&amp;" "&amp;MAQUINARIA!E203),"—")</f>
        <v>ESCREPA 621 E</v>
      </c>
      <c r="E60" s="397" cm="1">
        <f t="array" ref="E60">IF(B60="",0,IFERROR(ROWS(_xlfn.UNIQUE(_xlfn._xlws.FILTER(Tabla3[PEDIDO],(Tabla3[STATUS]="COTIZANDO")*(Tabla3[NUM ECONOMICO]=B60)*(Tabla3[TEMA]&lt;&gt;"SERVICIO DE FILTROS")))),0))</f>
        <v>0</v>
      </c>
      <c r="F60" s="398">
        <f>IF(B60="",0,COUNTIFS(Tabla3[STATUS],"COTIZANDO",Tabla3[NUM ECONOMICO],B60,Tabla3[TEMA],"&lt;&gt;SERVICIO DE FILTROS"))</f>
        <v>0</v>
      </c>
      <c r="G60" s="399">
        <f>IF(B60="",0,SUMIFS(Tabla3[COSTO TOTAL SIN IVA PESOS EN MATCO],Tabla3[STATUS],"COTIZANDO",Tabla3[NUM ECONOMICO],B60,Tabla3[TEMA],"&lt;&gt;SERVICIO DE FILTROS"))</f>
        <v>0</v>
      </c>
      <c r="H60" s="400">
        <f>IF(B60="",0,SUMIFS(Tabla3[COSTO TOTAL DOLARES EN HAWTHORNE],Tabla3[STATUS],"COTIZANDO",Tabla3[NUM ECONOMICO],B60,Tabla3[TEMA],"&lt;&gt;SERVICIO DE FILTROS"))</f>
        <v>0</v>
      </c>
      <c r="I60" s="401" t="str">
        <f>IF(B60="","",_xlfn.LET(_xlpm.totalUSD,SUMIFS(Tabla3[COSTO TOTAL DOLARES EN HAWTHORNE],Tabla3[STATUS],"COTIZANDO",Tabla3[NUM ECONOMICO],B60,Tabla3[TEMA],"&lt;&gt;SERVICIO DE FILTROS"),IF(OR(TC="",_xlpm.totalUSD=0),"—",_xlpm.totalUSD*TC)))</f>
        <v>—</v>
      </c>
      <c r="J60" s="400">
        <f>IF(B60="",0,SUMIFS(Tabla3[COSTO TOTAL DOLARES CTP],Tabla3[STATUS],"COTIZANDO",Tabla3[NUM ECONOMICO],B60,Tabla3[TEMA],"&lt;&gt;SERVICIO DE FILTROS"))</f>
        <v>0</v>
      </c>
      <c r="K60" s="401" t="str">
        <f>IF(B60="","",_xlfn.LET(_xlpm.totalUSD,SUMIFS(Tabla3[COSTO TOTAL DOLARES CTP],Tabla3[STATUS],"COTIZANDO",Tabla3[NUM ECONOMICO],B60,Tabla3[TEMA],"&lt;&gt;SERVICIO DE FILTROS"),IF(OR(TC="",_xlpm.totalUSD=0),"—",_xlpm.totalUSD*TC)))</f>
        <v>—</v>
      </c>
      <c r="L60" s="398" cm="1">
        <f t="array" ref="L60">IF(B60="",0,IFERROR(MAX(_xlfn._xlws.FILTER(Tabla3[DIAS DE ENTREGA TENTATIVO EN MATCO],(Tabla3[STATUS]="COTIZANDO")*(Tabla3[NUM ECONOMICO]=B60)*(Tabla3[TEMA]&lt;&gt;"SERVICIO DE FILTROS"))),0))</f>
        <v>0</v>
      </c>
    </row>
    <row r="61" spans="2:12" x14ac:dyDescent="0.2">
      <c r="B61" s="403" t="str">
        <f>MAQUINARIA!B209</f>
        <v>ME-27</v>
      </c>
      <c r="C61" s="404" t="str">
        <f>MAQUINARIA!H209</f>
        <v>ACTIVA</v>
      </c>
      <c r="D61" s="404" t="str">
        <f>IFERROR(TRIM(MAQUINARIA!C209&amp;" "&amp;MAQUINARIA!E209),"—")</f>
        <v>ESCREPA 621 G</v>
      </c>
      <c r="E61" s="398" cm="1">
        <f t="array" ref="E61">IF(B61="",0,IFERROR(ROWS(_xlfn.UNIQUE(_xlfn._xlws.FILTER(Tabla3[PEDIDO],(Tabla3[STATUS]="COTIZANDO")*(Tabla3[NUM ECONOMICO]=B61)*(Tabla3[TEMA]&lt;&gt;"SERVICIO DE FILTROS")))),0))</f>
        <v>0</v>
      </c>
      <c r="F61" s="398">
        <f>IF(B61="",0,COUNTIFS(Tabla3[STATUS],"COTIZANDO",Tabla3[NUM ECONOMICO],B61,Tabla3[TEMA],"&lt;&gt;SERVICIO DE FILTROS"))</f>
        <v>0</v>
      </c>
      <c r="G61" s="399">
        <f>IF(B61="",0,SUMIFS(Tabla3[COSTO TOTAL SIN IVA PESOS EN MATCO],Tabla3[STATUS],"COTIZANDO",Tabla3[NUM ECONOMICO],B61,Tabla3[TEMA],"&lt;&gt;SERVICIO DE FILTROS"))</f>
        <v>0</v>
      </c>
      <c r="H61" s="400">
        <f>IF(B61="",0,SUMIFS(Tabla3[COSTO TOTAL DOLARES EN HAWTHORNE],Tabla3[STATUS],"COTIZANDO",Tabla3[NUM ECONOMICO],B61,Tabla3[TEMA],"&lt;&gt;SERVICIO DE FILTROS"))</f>
        <v>0</v>
      </c>
      <c r="I61" s="401" t="str">
        <f>IF(B61="","",_xlfn.LET(_xlpm.totalUSD,SUMIFS(Tabla3[COSTO TOTAL DOLARES EN HAWTHORNE],Tabla3[STATUS],"COTIZANDO",Tabla3[NUM ECONOMICO],B61,Tabla3[TEMA],"&lt;&gt;SERVICIO DE FILTROS"),IF(OR(TC="",_xlpm.totalUSD=0),"—",_xlpm.totalUSD*TC)))</f>
        <v>—</v>
      </c>
      <c r="J61" s="400">
        <f>IF(B61="",0,SUMIFS(Tabla3[COSTO TOTAL DOLARES CTP],Tabla3[STATUS],"COTIZANDO",Tabla3[NUM ECONOMICO],B61,Tabla3[TEMA],"&lt;&gt;SERVICIO DE FILTROS"))</f>
        <v>0</v>
      </c>
      <c r="K61" s="401" t="str">
        <f>IF(B61="","",_xlfn.LET(_xlpm.totalUSD,SUMIFS(Tabla3[COSTO TOTAL DOLARES CTP],Tabla3[STATUS],"COTIZANDO",Tabla3[NUM ECONOMICO],B61,Tabla3[TEMA],"&lt;&gt;SERVICIO DE FILTROS"),IF(OR(TC="",_xlpm.totalUSD=0),"—",_xlpm.totalUSD*TC)))</f>
        <v>—</v>
      </c>
      <c r="L61" s="398" cm="1">
        <f t="array" ref="L61">IF(B61="",0,IFERROR(MAX(_xlfn._xlws.FILTER(Tabla3[DIAS DE ENTREGA TENTATIVO EN MATCO],(Tabla3[STATUS]="COTIZANDO")*(Tabla3[NUM ECONOMICO]=B61)*(Tabla3[TEMA]&lt;&gt;"SERVICIO DE FILTROS"))),0))</f>
        <v>0</v>
      </c>
    </row>
    <row r="62" spans="2:12" x14ac:dyDescent="0.2">
      <c r="B62" s="403" t="str">
        <f>MAQUINARIA!B217</f>
        <v>ME-28</v>
      </c>
      <c r="C62" s="403" t="str">
        <f>MAQUINARIA!H217</f>
        <v>INACTIVA</v>
      </c>
      <c r="D62" s="404" t="str">
        <f>IFERROR(TRIM(MAQUINARIA!C217&amp;" "&amp;MAQUINARIA!E217),"—")</f>
        <v>ESCREPA 621 G</v>
      </c>
      <c r="E62" s="397" cm="1">
        <f t="array" ref="E62">IF(B62="",0,IFERROR(ROWS(_xlfn.UNIQUE(_xlfn._xlws.FILTER(Tabla3[PEDIDO],(Tabla3[STATUS]="COTIZANDO")*(Tabla3[NUM ECONOMICO]=B62)*(Tabla3[TEMA]&lt;&gt;"SERVICIO DE FILTROS")))),0))</f>
        <v>0</v>
      </c>
      <c r="F62" s="398">
        <f>IF(B62="",0,COUNTIFS(Tabla3[STATUS],"COTIZANDO",Tabla3[NUM ECONOMICO],B62,Tabla3[TEMA],"&lt;&gt;SERVICIO DE FILTROS"))</f>
        <v>0</v>
      </c>
      <c r="G62" s="399">
        <f>IF(B62="",0,SUMIFS(Tabla3[COSTO TOTAL SIN IVA PESOS EN MATCO],Tabla3[STATUS],"COTIZANDO",Tabla3[NUM ECONOMICO],B62,Tabla3[TEMA],"&lt;&gt;SERVICIO DE FILTROS"))</f>
        <v>0</v>
      </c>
      <c r="H62" s="400">
        <f>IF(B62="",0,SUMIFS(Tabla3[COSTO TOTAL DOLARES EN HAWTHORNE],Tabla3[STATUS],"COTIZANDO",Tabla3[NUM ECONOMICO],B62,Tabla3[TEMA],"&lt;&gt;SERVICIO DE FILTROS"))</f>
        <v>0</v>
      </c>
      <c r="I62" s="401" t="str">
        <f>IF(B62="","",_xlfn.LET(_xlpm.totalUSD,SUMIFS(Tabla3[COSTO TOTAL DOLARES EN HAWTHORNE],Tabla3[STATUS],"COTIZANDO",Tabla3[NUM ECONOMICO],B62,Tabla3[TEMA],"&lt;&gt;SERVICIO DE FILTROS"),IF(OR(TC="",_xlpm.totalUSD=0),"—",_xlpm.totalUSD*TC)))</f>
        <v>—</v>
      </c>
      <c r="J62" s="400">
        <f>IF(B62="",0,SUMIFS(Tabla3[COSTO TOTAL DOLARES CTP],Tabla3[STATUS],"COTIZANDO",Tabla3[NUM ECONOMICO],B62,Tabla3[TEMA],"&lt;&gt;SERVICIO DE FILTROS"))</f>
        <v>0</v>
      </c>
      <c r="K62" s="401" t="str">
        <f>IF(B62="","",_xlfn.LET(_xlpm.totalUSD,SUMIFS(Tabla3[COSTO TOTAL DOLARES CTP],Tabla3[STATUS],"COTIZANDO",Tabla3[NUM ECONOMICO],B62,Tabla3[TEMA],"&lt;&gt;SERVICIO DE FILTROS"),IF(OR(TC="",_xlpm.totalUSD=0),"—",_xlpm.totalUSD*TC)))</f>
        <v>—</v>
      </c>
      <c r="L62" s="398" cm="1">
        <f t="array" ref="L62">IF(B62="",0,IFERROR(MAX(_xlfn._xlws.FILTER(Tabla3[DIAS DE ENTREGA TENTATIVO EN MATCO],(Tabla3[STATUS]="COTIZANDO")*(Tabla3[NUM ECONOMICO]=B62)*(Tabla3[TEMA]&lt;&gt;"SERVICIO DE FILTROS"))),0))</f>
        <v>0</v>
      </c>
    </row>
    <row r="63" spans="2:12" x14ac:dyDescent="0.2">
      <c r="B63" s="403" t="str">
        <f>MAQUINARIA!B224</f>
        <v>ME-29</v>
      </c>
      <c r="C63" s="403" t="str">
        <f>MAQUINARIA!H224</f>
        <v>ACTIVA</v>
      </c>
      <c r="D63" s="404" t="str">
        <f>IFERROR(TRIM(MAQUINARIA!C224&amp;" "&amp;MAQUINARIA!E224),"—")</f>
        <v>ESCREPA 621 G</v>
      </c>
      <c r="E63" s="397" cm="1">
        <f t="array" ref="E63">IF(B63="",0,IFERROR(ROWS(_xlfn.UNIQUE(_xlfn._xlws.FILTER(Tabla3[PEDIDO],(Tabla3[STATUS]="COTIZANDO")*(Tabla3[NUM ECONOMICO]=B63)*(Tabla3[TEMA]&lt;&gt;"SERVICIO DE FILTROS")))),0))</f>
        <v>0</v>
      </c>
      <c r="F63" s="398">
        <f>IF(B63="",0,COUNTIFS(Tabla3[STATUS],"COTIZANDO",Tabla3[NUM ECONOMICO],B63,Tabla3[TEMA],"&lt;&gt;SERVICIO DE FILTROS"))</f>
        <v>0</v>
      </c>
      <c r="G63" s="399">
        <f>IF(B63="",0,SUMIFS(Tabla3[COSTO TOTAL SIN IVA PESOS EN MATCO],Tabla3[STATUS],"COTIZANDO",Tabla3[NUM ECONOMICO],B63,Tabla3[TEMA],"&lt;&gt;SERVICIO DE FILTROS"))</f>
        <v>0</v>
      </c>
      <c r="H63" s="400">
        <f>IF(B63="",0,SUMIFS(Tabla3[COSTO TOTAL DOLARES EN HAWTHORNE],Tabla3[STATUS],"COTIZANDO",Tabla3[NUM ECONOMICO],B63,Tabla3[TEMA],"&lt;&gt;SERVICIO DE FILTROS"))</f>
        <v>0</v>
      </c>
      <c r="I63" s="401" t="str">
        <f>IF(B63="","",_xlfn.LET(_xlpm.totalUSD,SUMIFS(Tabla3[COSTO TOTAL DOLARES EN HAWTHORNE],Tabla3[STATUS],"COTIZANDO",Tabla3[NUM ECONOMICO],B63,Tabla3[TEMA],"&lt;&gt;SERVICIO DE FILTROS"),IF(OR(TC="",_xlpm.totalUSD=0),"—",_xlpm.totalUSD*TC)))</f>
        <v>—</v>
      </c>
      <c r="J63" s="400">
        <f>IF(B63="",0,SUMIFS(Tabla3[COSTO TOTAL DOLARES CTP],Tabla3[STATUS],"COTIZANDO",Tabla3[NUM ECONOMICO],B63,Tabla3[TEMA],"&lt;&gt;SERVICIO DE FILTROS"))</f>
        <v>0</v>
      </c>
      <c r="K63" s="401" t="str">
        <f>IF(B63="","",_xlfn.LET(_xlpm.totalUSD,SUMIFS(Tabla3[COSTO TOTAL DOLARES CTP],Tabla3[STATUS],"COTIZANDO",Tabla3[NUM ECONOMICO],B63,Tabla3[TEMA],"&lt;&gt;SERVICIO DE FILTROS"),IF(OR(TC="",_xlpm.totalUSD=0),"—",_xlpm.totalUSD*TC)))</f>
        <v>—</v>
      </c>
      <c r="L63" s="398" cm="1">
        <f t="array" ref="L63">IF(B63="",0,IFERROR(MAX(_xlfn._xlws.FILTER(Tabla3[DIAS DE ENTREGA TENTATIVO EN MATCO],(Tabla3[STATUS]="COTIZANDO")*(Tabla3[NUM ECONOMICO]=B63)*(Tabla3[TEMA]&lt;&gt;"SERVICIO DE FILTROS"))),0))</f>
        <v>0</v>
      </c>
    </row>
    <row r="64" spans="2:12" x14ac:dyDescent="0.2">
      <c r="B64" s="403" t="str">
        <f>MAQUINARIA!B229</f>
        <v>ME-30</v>
      </c>
      <c r="C64" s="403" t="str">
        <f>MAQUINARIA!H229</f>
        <v>ACTIVA</v>
      </c>
      <c r="D64" s="404" t="str">
        <f>IFERROR(TRIM(MAQUINARIA!C229&amp;" "&amp;MAQUINARIA!E229),"—")</f>
        <v>ESCREPA 621 G</v>
      </c>
      <c r="E64" s="397" cm="1">
        <f t="array" ref="E64">IF(B64="",0,IFERROR(ROWS(_xlfn.UNIQUE(_xlfn._xlws.FILTER(Tabla3[PEDIDO],(Tabla3[STATUS]="COTIZANDO")*(Tabla3[NUM ECONOMICO]=B64)*(Tabla3[TEMA]&lt;&gt;"SERVICIO DE FILTROS")))),0))</f>
        <v>0</v>
      </c>
      <c r="F64" s="398">
        <f>IF(B64="",0,COUNTIFS(Tabla3[STATUS],"COTIZANDO",Tabla3[NUM ECONOMICO],B64,Tabla3[TEMA],"&lt;&gt;SERVICIO DE FILTROS"))</f>
        <v>0</v>
      </c>
      <c r="G64" s="399">
        <f>IF(B64="",0,SUMIFS(Tabla3[COSTO TOTAL SIN IVA PESOS EN MATCO],Tabla3[STATUS],"COTIZANDO",Tabla3[NUM ECONOMICO],B64,Tabla3[TEMA],"&lt;&gt;SERVICIO DE FILTROS"))</f>
        <v>0</v>
      </c>
      <c r="H64" s="400">
        <f>IF(B64="",0,SUMIFS(Tabla3[COSTO TOTAL DOLARES EN HAWTHORNE],Tabla3[STATUS],"COTIZANDO",Tabla3[NUM ECONOMICO],B64,Tabla3[TEMA],"&lt;&gt;SERVICIO DE FILTROS"))</f>
        <v>0</v>
      </c>
      <c r="I64" s="401" t="str">
        <f>IF(B64="","",_xlfn.LET(_xlpm.totalUSD,SUMIFS(Tabla3[COSTO TOTAL DOLARES EN HAWTHORNE],Tabla3[STATUS],"COTIZANDO",Tabla3[NUM ECONOMICO],B64,Tabla3[TEMA],"&lt;&gt;SERVICIO DE FILTROS"),IF(OR(TC="",_xlpm.totalUSD=0),"—",_xlpm.totalUSD*TC)))</f>
        <v>—</v>
      </c>
      <c r="J64" s="400">
        <f>IF(B64="",0,SUMIFS(Tabla3[COSTO TOTAL DOLARES CTP],Tabla3[STATUS],"COTIZANDO",Tabla3[NUM ECONOMICO],B64,Tabla3[TEMA],"&lt;&gt;SERVICIO DE FILTROS"))</f>
        <v>0</v>
      </c>
      <c r="K64" s="401" t="str">
        <f>IF(B64="","",_xlfn.LET(_xlpm.totalUSD,SUMIFS(Tabla3[COSTO TOTAL DOLARES CTP],Tabla3[STATUS],"COTIZANDO",Tabla3[NUM ECONOMICO],B64,Tabla3[TEMA],"&lt;&gt;SERVICIO DE FILTROS"),IF(OR(TC="",_xlpm.totalUSD=0),"—",_xlpm.totalUSD*TC)))</f>
        <v>—</v>
      </c>
      <c r="L64" s="398" cm="1">
        <f t="array" ref="L64">IF(B64="",0,IFERROR(MAX(_xlfn._xlws.FILTER(Tabla3[DIAS DE ENTREGA TENTATIVO EN MATCO],(Tabla3[STATUS]="COTIZANDO")*(Tabla3[NUM ECONOMICO]=B64)*(Tabla3[TEMA]&lt;&gt;"SERVICIO DE FILTROS"))),0))</f>
        <v>0</v>
      </c>
    </row>
    <row r="65" spans="2:12" x14ac:dyDescent="0.2">
      <c r="B65" s="403" t="str">
        <f>MAQUINARIA!B231</f>
        <v>ME-31</v>
      </c>
      <c r="C65" s="403" t="str">
        <f>MAQUINARIA!H231</f>
        <v>ACTIVA</v>
      </c>
      <c r="D65" s="404" t="str">
        <f>IFERROR(TRIM(MAQUINARIA!C231&amp;" "&amp;MAQUINARIA!E231),"—")</f>
        <v>ESCREPA 621 G</v>
      </c>
      <c r="E65" s="397" cm="1">
        <f t="array" ref="E65">IF(B65="",0,IFERROR(ROWS(_xlfn.UNIQUE(_xlfn._xlws.FILTER(Tabla3[PEDIDO],(Tabla3[STATUS]="COTIZANDO")*(Tabla3[NUM ECONOMICO]=B65)*(Tabla3[TEMA]&lt;&gt;"SERVICIO DE FILTROS")))),0))</f>
        <v>0</v>
      </c>
      <c r="F65" s="398">
        <f>IF(B65="",0,COUNTIFS(Tabla3[STATUS],"COTIZANDO",Tabla3[NUM ECONOMICO],B65,Tabla3[TEMA],"&lt;&gt;SERVICIO DE FILTROS"))</f>
        <v>0</v>
      </c>
      <c r="G65" s="399">
        <f>IF(B65="",0,SUMIFS(Tabla3[COSTO TOTAL SIN IVA PESOS EN MATCO],Tabla3[STATUS],"COTIZANDO",Tabla3[NUM ECONOMICO],B65,Tabla3[TEMA],"&lt;&gt;SERVICIO DE FILTROS"))</f>
        <v>0</v>
      </c>
      <c r="H65" s="400">
        <f>IF(B65="",0,SUMIFS(Tabla3[COSTO TOTAL DOLARES EN HAWTHORNE],Tabla3[STATUS],"COTIZANDO",Tabla3[NUM ECONOMICO],B65,Tabla3[TEMA],"&lt;&gt;SERVICIO DE FILTROS"))</f>
        <v>0</v>
      </c>
      <c r="I65" s="401" t="str">
        <f>IF(B65="","",_xlfn.LET(_xlpm.totalUSD,SUMIFS(Tabla3[COSTO TOTAL DOLARES EN HAWTHORNE],Tabla3[STATUS],"COTIZANDO",Tabla3[NUM ECONOMICO],B65,Tabla3[TEMA],"&lt;&gt;SERVICIO DE FILTROS"),IF(OR(TC="",_xlpm.totalUSD=0),"—",_xlpm.totalUSD*TC)))</f>
        <v>—</v>
      </c>
      <c r="J65" s="400">
        <f>IF(B65="",0,SUMIFS(Tabla3[COSTO TOTAL DOLARES CTP],Tabla3[STATUS],"COTIZANDO",Tabla3[NUM ECONOMICO],B65,Tabla3[TEMA],"&lt;&gt;SERVICIO DE FILTROS"))</f>
        <v>0</v>
      </c>
      <c r="K65" s="401" t="str">
        <f>IF(B65="","",_xlfn.LET(_xlpm.totalUSD,SUMIFS(Tabla3[COSTO TOTAL DOLARES CTP],Tabla3[STATUS],"COTIZANDO",Tabla3[NUM ECONOMICO],B65,Tabla3[TEMA],"&lt;&gt;SERVICIO DE FILTROS"),IF(OR(TC="",_xlpm.totalUSD=0),"—",_xlpm.totalUSD*TC)))</f>
        <v>—</v>
      </c>
      <c r="L65" s="398" cm="1">
        <f t="array" ref="L65">IF(B65="",0,IFERROR(MAX(_xlfn._xlws.FILTER(Tabla3[DIAS DE ENTREGA TENTATIVO EN MATCO],(Tabla3[STATUS]="COTIZANDO")*(Tabla3[NUM ECONOMICO]=B65)*(Tabla3[TEMA]&lt;&gt;"SERVICIO DE FILTROS"))),0))</f>
        <v>0</v>
      </c>
    </row>
    <row r="66" spans="2:12" x14ac:dyDescent="0.2">
      <c r="B66" s="403" t="str">
        <f>MAQUINARIA!B233</f>
        <v>ME-32</v>
      </c>
      <c r="C66" s="404" t="str">
        <f>MAQUINARIA!H233</f>
        <v>ACTIVA</v>
      </c>
      <c r="D66" s="404" t="str">
        <f>IFERROR(TRIM(MAQUINARIA!C233&amp;" "&amp;MAQUINARIA!E233),"—")</f>
        <v>ESCREPA 631 E</v>
      </c>
      <c r="E66" s="397" cm="1">
        <f t="array" ref="E66">IF(B66="",0,IFERROR(ROWS(_xlfn.UNIQUE(_xlfn._xlws.FILTER(Tabla3[PEDIDO],(Tabla3[STATUS]="COTIZANDO")*(Tabla3[NUM ECONOMICO]=B66)*(Tabla3[TEMA]&lt;&gt;"SERVICIO DE FILTROS")))),0))</f>
        <v>0</v>
      </c>
      <c r="F66" s="398">
        <f>IF(B66="",0,COUNTIFS(Tabla3[STATUS],"COTIZANDO",Tabla3[NUM ECONOMICO],B66,Tabla3[TEMA],"&lt;&gt;SERVICIO DE FILTROS"))</f>
        <v>0</v>
      </c>
      <c r="G66" s="399">
        <f>IF(B66="",0,SUMIFS(Tabla3[COSTO TOTAL SIN IVA PESOS EN MATCO],Tabla3[STATUS],"COTIZANDO",Tabla3[NUM ECONOMICO],B66,Tabla3[TEMA],"&lt;&gt;SERVICIO DE FILTROS"))</f>
        <v>0</v>
      </c>
      <c r="H66" s="400">
        <f>IF(B66="",0,SUMIFS(Tabla3[COSTO TOTAL DOLARES EN HAWTHORNE],Tabla3[STATUS],"COTIZANDO",Tabla3[NUM ECONOMICO],B66,Tabla3[TEMA],"&lt;&gt;SERVICIO DE FILTROS"))</f>
        <v>0</v>
      </c>
      <c r="I66" s="401" t="str">
        <f>IF(B66="","",_xlfn.LET(_xlpm.totalUSD,SUMIFS(Tabla3[COSTO TOTAL DOLARES EN HAWTHORNE],Tabla3[STATUS],"COTIZANDO",Tabla3[NUM ECONOMICO],B66,Tabla3[TEMA],"&lt;&gt;SERVICIO DE FILTROS"),IF(OR(TC="",_xlpm.totalUSD=0),"—",_xlpm.totalUSD*TC)))</f>
        <v>—</v>
      </c>
      <c r="J66" s="400">
        <f>IF(B66="",0,SUMIFS(Tabla3[COSTO TOTAL DOLARES CTP],Tabla3[STATUS],"COTIZANDO",Tabla3[NUM ECONOMICO],B66,Tabla3[TEMA],"&lt;&gt;SERVICIO DE FILTROS"))</f>
        <v>0</v>
      </c>
      <c r="K66" s="401" t="str">
        <f>IF(B66="","",_xlfn.LET(_xlpm.totalUSD,SUMIFS(Tabla3[COSTO TOTAL DOLARES CTP],Tabla3[STATUS],"COTIZANDO",Tabla3[NUM ECONOMICO],B66,Tabla3[TEMA],"&lt;&gt;SERVICIO DE FILTROS"),IF(OR(TC="",_xlpm.totalUSD=0),"—",_xlpm.totalUSD*TC)))</f>
        <v>—</v>
      </c>
      <c r="L66" s="398" cm="1">
        <f t="array" ref="L66">IF(B66="",0,IFERROR(MAX(_xlfn._xlws.FILTER(Tabla3[DIAS DE ENTREGA TENTATIVO EN MATCO],(Tabla3[STATUS]="COTIZANDO")*(Tabla3[NUM ECONOMICO]=B66)*(Tabla3[TEMA]&lt;&gt;"SERVICIO DE FILTROS"))),0))</f>
        <v>0</v>
      </c>
    </row>
    <row r="67" spans="2:12" x14ac:dyDescent="0.2">
      <c r="B67" s="403" t="str">
        <f>MAQUINARIA!B235</f>
        <v>ME-33</v>
      </c>
      <c r="C67" s="403" t="str">
        <f>MAQUINARIA!H235</f>
        <v>ACTIVA</v>
      </c>
      <c r="D67" s="404" t="str">
        <f>IFERROR(TRIM(MAQUINARIA!C235&amp;" "&amp;MAQUINARIA!E235),"—")</f>
        <v>ESCREPA 631 E</v>
      </c>
      <c r="E67" s="397" cm="1">
        <f t="array" ref="E67">IF(B67="",0,IFERROR(ROWS(_xlfn.UNIQUE(_xlfn._xlws.FILTER(Tabla3[PEDIDO],(Tabla3[STATUS]="COTIZANDO")*(Tabla3[NUM ECONOMICO]=B67)*(Tabla3[TEMA]&lt;&gt;"SERVICIO DE FILTROS")))),0))</f>
        <v>0</v>
      </c>
      <c r="F67" s="398">
        <f>IF(B67="",0,COUNTIFS(Tabla3[STATUS],"COTIZANDO",Tabla3[NUM ECONOMICO],B67,Tabla3[TEMA],"&lt;&gt;SERVICIO DE FILTROS"))</f>
        <v>0</v>
      </c>
      <c r="G67" s="399">
        <f>IF(B67="",0,SUMIFS(Tabla3[COSTO TOTAL SIN IVA PESOS EN MATCO],Tabla3[STATUS],"COTIZANDO",Tabla3[NUM ECONOMICO],B67,Tabla3[TEMA],"&lt;&gt;SERVICIO DE FILTROS"))</f>
        <v>0</v>
      </c>
      <c r="H67" s="400">
        <f>IF(B67="",0,SUMIFS(Tabla3[COSTO TOTAL DOLARES EN HAWTHORNE],Tabla3[STATUS],"COTIZANDO",Tabla3[NUM ECONOMICO],B67,Tabla3[TEMA],"&lt;&gt;SERVICIO DE FILTROS"))</f>
        <v>0</v>
      </c>
      <c r="I67" s="401" t="str">
        <f>IF(B67="","",_xlfn.LET(_xlpm.totalUSD,SUMIFS(Tabla3[COSTO TOTAL DOLARES EN HAWTHORNE],Tabla3[STATUS],"COTIZANDO",Tabla3[NUM ECONOMICO],B67,Tabla3[TEMA],"&lt;&gt;SERVICIO DE FILTROS"),IF(OR(TC="",_xlpm.totalUSD=0),"—",_xlpm.totalUSD*TC)))</f>
        <v>—</v>
      </c>
      <c r="J67" s="400">
        <f>IF(B67="",0,SUMIFS(Tabla3[COSTO TOTAL DOLARES CTP],Tabla3[STATUS],"COTIZANDO",Tabla3[NUM ECONOMICO],B67,Tabla3[TEMA],"&lt;&gt;SERVICIO DE FILTROS"))</f>
        <v>0</v>
      </c>
      <c r="K67" s="401" t="str">
        <f>IF(B67="","",_xlfn.LET(_xlpm.totalUSD,SUMIFS(Tabla3[COSTO TOTAL DOLARES CTP],Tabla3[STATUS],"COTIZANDO",Tabla3[NUM ECONOMICO],B67,Tabla3[TEMA],"&lt;&gt;SERVICIO DE FILTROS"),IF(OR(TC="",_xlpm.totalUSD=0),"—",_xlpm.totalUSD*TC)))</f>
        <v>—</v>
      </c>
      <c r="L67" s="398" cm="1">
        <f t="array" ref="L67">IF(B67="",0,IFERROR(MAX(_xlfn._xlws.FILTER(Tabla3[DIAS DE ENTREGA TENTATIVO EN MATCO],(Tabla3[STATUS]="COTIZANDO")*(Tabla3[NUM ECONOMICO]=B67)*(Tabla3[TEMA]&lt;&gt;"SERVICIO DE FILTROS"))),0))</f>
        <v>0</v>
      </c>
    </row>
    <row r="68" spans="2:12" x14ac:dyDescent="0.2">
      <c r="B68" s="403" t="str">
        <f>MAQUINARIA!B237</f>
        <v>ME-34</v>
      </c>
      <c r="C68" s="403" t="str">
        <f>MAQUINARIA!H237</f>
        <v>INACTIVA</v>
      </c>
      <c r="D68" s="404" t="str">
        <f>IFERROR(TRIM(MAQUINARIA!C237&amp;" "&amp;MAQUINARIA!E237),"—")</f>
        <v>ESCREPA 631 E</v>
      </c>
      <c r="E68" s="397" cm="1">
        <f t="array" ref="E68">IF(B68="",0,IFERROR(ROWS(_xlfn.UNIQUE(_xlfn._xlws.FILTER(Tabla3[PEDIDO],(Tabla3[STATUS]="COTIZANDO")*(Tabla3[NUM ECONOMICO]=B68)*(Tabla3[TEMA]&lt;&gt;"SERVICIO DE FILTROS")))),0))</f>
        <v>0</v>
      </c>
      <c r="F68" s="398">
        <f>IF(B68="",0,COUNTIFS(Tabla3[STATUS],"COTIZANDO",Tabla3[NUM ECONOMICO],B68,Tabla3[TEMA],"&lt;&gt;SERVICIO DE FILTROS"))</f>
        <v>0</v>
      </c>
      <c r="G68" s="399">
        <f>IF(B68="",0,SUMIFS(Tabla3[COSTO TOTAL SIN IVA PESOS EN MATCO],Tabla3[STATUS],"COTIZANDO",Tabla3[NUM ECONOMICO],B68,Tabla3[TEMA],"&lt;&gt;SERVICIO DE FILTROS"))</f>
        <v>0</v>
      </c>
      <c r="H68" s="400">
        <f>IF(B68="",0,SUMIFS(Tabla3[COSTO TOTAL DOLARES EN HAWTHORNE],Tabla3[STATUS],"COTIZANDO",Tabla3[NUM ECONOMICO],B68,Tabla3[TEMA],"&lt;&gt;SERVICIO DE FILTROS"))</f>
        <v>0</v>
      </c>
      <c r="I68" s="401" t="str">
        <f>IF(B68="","",_xlfn.LET(_xlpm.totalUSD,SUMIFS(Tabla3[COSTO TOTAL DOLARES EN HAWTHORNE],Tabla3[STATUS],"COTIZANDO",Tabla3[NUM ECONOMICO],B68,Tabla3[TEMA],"&lt;&gt;SERVICIO DE FILTROS"),IF(OR(TC="",_xlpm.totalUSD=0),"—",_xlpm.totalUSD*TC)))</f>
        <v>—</v>
      </c>
      <c r="J68" s="400">
        <f>IF(B68="",0,SUMIFS(Tabla3[COSTO TOTAL DOLARES CTP],Tabla3[STATUS],"COTIZANDO",Tabla3[NUM ECONOMICO],B68,Tabla3[TEMA],"&lt;&gt;SERVICIO DE FILTROS"))</f>
        <v>0</v>
      </c>
      <c r="K68" s="401" t="str">
        <f>IF(B68="","",_xlfn.LET(_xlpm.totalUSD,SUMIFS(Tabla3[COSTO TOTAL DOLARES CTP],Tabla3[STATUS],"COTIZANDO",Tabla3[NUM ECONOMICO],B68,Tabla3[TEMA],"&lt;&gt;SERVICIO DE FILTROS"),IF(OR(TC="",_xlpm.totalUSD=0),"—",_xlpm.totalUSD*TC)))</f>
        <v>—</v>
      </c>
      <c r="L68" s="398" cm="1">
        <f t="array" ref="L68">IF(B68="",0,IFERROR(MAX(_xlfn._xlws.FILTER(Tabla3[DIAS DE ENTREGA TENTATIVO EN MATCO],(Tabla3[STATUS]="COTIZANDO")*(Tabla3[NUM ECONOMICO]=B68)*(Tabla3[TEMA]&lt;&gt;"SERVICIO DE FILTROS"))),0))</f>
        <v>0</v>
      </c>
    </row>
    <row r="69" spans="2:12" x14ac:dyDescent="0.2">
      <c r="B69" s="403" t="str">
        <f>MAQUINARIA!B242</f>
        <v>ME-35</v>
      </c>
      <c r="C69" s="403" t="str">
        <f>MAQUINARIA!H242</f>
        <v>ACTIVA</v>
      </c>
      <c r="D69" s="404" t="str">
        <f>IFERROR(TRIM(MAQUINARIA!C242&amp;" "&amp;MAQUINARIA!E242),"—")</f>
        <v>ESCREPA 631 E</v>
      </c>
      <c r="E69" s="397" cm="1">
        <f t="array" ref="E69">IF(B69="",0,IFERROR(ROWS(_xlfn.UNIQUE(_xlfn._xlws.FILTER(Tabla3[PEDIDO],(Tabla3[STATUS]="COTIZANDO")*(Tabla3[NUM ECONOMICO]=B69)*(Tabla3[TEMA]&lt;&gt;"SERVICIO DE FILTROS")))),0))</f>
        <v>0</v>
      </c>
      <c r="F69" s="398">
        <f>IF(B69="",0,COUNTIFS(Tabla3[STATUS],"COTIZANDO",Tabla3[NUM ECONOMICO],B69,Tabla3[TEMA],"&lt;&gt;SERVICIO DE FILTROS"))</f>
        <v>0</v>
      </c>
      <c r="G69" s="399">
        <f>IF(B69="",0,SUMIFS(Tabla3[COSTO TOTAL SIN IVA PESOS EN MATCO],Tabla3[STATUS],"COTIZANDO",Tabla3[NUM ECONOMICO],B69,Tabla3[TEMA],"&lt;&gt;SERVICIO DE FILTROS"))</f>
        <v>0</v>
      </c>
      <c r="H69" s="400">
        <f>IF(B69="",0,SUMIFS(Tabla3[COSTO TOTAL DOLARES EN HAWTHORNE],Tabla3[STATUS],"COTIZANDO",Tabla3[NUM ECONOMICO],B69,Tabla3[TEMA],"&lt;&gt;SERVICIO DE FILTROS"))</f>
        <v>0</v>
      </c>
      <c r="I69" s="401" t="str">
        <f>IF(B69="","",_xlfn.LET(_xlpm.totalUSD,SUMIFS(Tabla3[COSTO TOTAL DOLARES EN HAWTHORNE],Tabla3[STATUS],"COTIZANDO",Tabla3[NUM ECONOMICO],B69,Tabla3[TEMA],"&lt;&gt;SERVICIO DE FILTROS"),IF(OR(TC="",_xlpm.totalUSD=0),"—",_xlpm.totalUSD*TC)))</f>
        <v>—</v>
      </c>
      <c r="J69" s="400">
        <f>IF(B69="",0,SUMIFS(Tabla3[COSTO TOTAL DOLARES CTP],Tabla3[STATUS],"COTIZANDO",Tabla3[NUM ECONOMICO],B69,Tabla3[TEMA],"&lt;&gt;SERVICIO DE FILTROS"))</f>
        <v>0</v>
      </c>
      <c r="K69" s="401" t="str">
        <f>IF(B69="","",_xlfn.LET(_xlpm.totalUSD,SUMIFS(Tabla3[COSTO TOTAL DOLARES CTP],Tabla3[STATUS],"COTIZANDO",Tabla3[NUM ECONOMICO],B69,Tabla3[TEMA],"&lt;&gt;SERVICIO DE FILTROS"),IF(OR(TC="",_xlpm.totalUSD=0),"—",_xlpm.totalUSD*TC)))</f>
        <v>—</v>
      </c>
      <c r="L69" s="398" cm="1">
        <f t="array" ref="L69">IF(B69="",0,IFERROR(MAX(_xlfn._xlws.FILTER(Tabla3[DIAS DE ENTREGA TENTATIVO EN MATCO],(Tabla3[STATUS]="COTIZANDO")*(Tabla3[NUM ECONOMICO]=B69)*(Tabla3[TEMA]&lt;&gt;"SERVICIO DE FILTROS"))),0))</f>
        <v>0</v>
      </c>
    </row>
    <row r="70" spans="2:12" x14ac:dyDescent="0.2">
      <c r="B70" s="403" t="str">
        <f>MAQUINARIA!B320</f>
        <v>MM-01</v>
      </c>
      <c r="C70" s="404" t="str">
        <f>MAQUINARIA!H320</f>
        <v>ACTIVA</v>
      </c>
      <c r="D70" s="404" t="str">
        <f>IFERROR(TRIM(MAQUINARIA!C320&amp;" "&amp;MAQUINARIA!E320),"—")</f>
        <v>MOTOCONFORMADORA 130 G</v>
      </c>
      <c r="E70" s="398" cm="1">
        <f t="array" ref="E70">IF(B70="",0,IFERROR(ROWS(_xlfn.UNIQUE(_xlfn._xlws.FILTER(Tabla3[PEDIDO],(Tabla3[STATUS]="COTIZANDO")*(Tabla3[NUM ECONOMICO]=B70)*(Tabla3[TEMA]&lt;&gt;"SERVICIO DE FILTROS")))),0))</f>
        <v>0</v>
      </c>
      <c r="F70" s="398">
        <f>IF(B70="",0,COUNTIFS(Tabla3[STATUS],"COTIZANDO",Tabla3[NUM ECONOMICO],B70,Tabla3[TEMA],"&lt;&gt;SERVICIO DE FILTROS"))</f>
        <v>0</v>
      </c>
      <c r="G70" s="399">
        <f>IF(B70="",0,SUMIFS(Tabla3[COSTO TOTAL SIN IVA PESOS EN MATCO],Tabla3[STATUS],"COTIZANDO",Tabla3[NUM ECONOMICO],B70,Tabla3[TEMA],"&lt;&gt;SERVICIO DE FILTROS"))</f>
        <v>0</v>
      </c>
      <c r="H70" s="400">
        <f>IF(B70="",0,SUMIFS(Tabla3[COSTO TOTAL DOLARES EN HAWTHORNE],Tabla3[STATUS],"COTIZANDO",Tabla3[NUM ECONOMICO],B70,Tabla3[TEMA],"&lt;&gt;SERVICIO DE FILTROS"))</f>
        <v>0</v>
      </c>
      <c r="I70" s="401" t="str">
        <f>IF(B70="","",_xlfn.LET(_xlpm.totalUSD,SUMIFS(Tabla3[COSTO TOTAL DOLARES EN HAWTHORNE],Tabla3[STATUS],"COTIZANDO",Tabla3[NUM ECONOMICO],B70,Tabla3[TEMA],"&lt;&gt;SERVICIO DE FILTROS"),IF(OR(TC="",_xlpm.totalUSD=0),"—",_xlpm.totalUSD*TC)))</f>
        <v>—</v>
      </c>
      <c r="J70" s="400">
        <f>IF(B70="",0,SUMIFS(Tabla3[COSTO TOTAL DOLARES CTP],Tabla3[STATUS],"COTIZANDO",Tabla3[NUM ECONOMICO],B70,Tabla3[TEMA],"&lt;&gt;SERVICIO DE FILTROS"))</f>
        <v>0</v>
      </c>
      <c r="K70" s="401" t="str">
        <f>IF(B70="","",_xlfn.LET(_xlpm.totalUSD,SUMIFS(Tabla3[COSTO TOTAL DOLARES CTP],Tabla3[STATUS],"COTIZANDO",Tabla3[NUM ECONOMICO],B70,Tabla3[TEMA],"&lt;&gt;SERVICIO DE FILTROS"),IF(OR(TC="",_xlpm.totalUSD=0),"—",_xlpm.totalUSD*TC)))</f>
        <v>—</v>
      </c>
      <c r="L70" s="398" cm="1">
        <f t="array" ref="L70">IF(B70="",0,IFERROR(MAX(_xlfn._xlws.FILTER(Tabla3[DIAS DE ENTREGA TENTATIVO EN MATCO],(Tabla3[STATUS]="COTIZANDO")*(Tabla3[NUM ECONOMICO]=B70)*(Tabla3[TEMA]&lt;&gt;"SERVICIO DE FILTROS"))),0))</f>
        <v>0</v>
      </c>
    </row>
    <row r="71" spans="2:12" x14ac:dyDescent="0.2">
      <c r="B71" s="403" t="str">
        <f>MAQUINARIA!B329</f>
        <v>MM-02</v>
      </c>
      <c r="C71" s="403" t="str">
        <f>MAQUINARIA!H329</f>
        <v>ACTIVA</v>
      </c>
      <c r="D71" s="404" t="str">
        <f>IFERROR(TRIM(MAQUINARIA!C329&amp;" "&amp;MAQUINARIA!E329),"—")</f>
        <v>MOTOCONFORMADORA 12 G</v>
      </c>
      <c r="E71" s="397" cm="1">
        <f t="array" ref="E71">IF(B71="",0,IFERROR(ROWS(_xlfn.UNIQUE(_xlfn._xlws.FILTER(Tabla3[PEDIDO],(Tabla3[STATUS]="COTIZANDO")*(Tabla3[NUM ECONOMICO]=B71)*(Tabla3[TEMA]&lt;&gt;"SERVICIO DE FILTROS")))),0))</f>
        <v>0</v>
      </c>
      <c r="F71" s="398">
        <f>IF(B71="",0,COUNTIFS(Tabla3[STATUS],"COTIZANDO",Tabla3[NUM ECONOMICO],B71,Tabla3[TEMA],"&lt;&gt;SERVICIO DE FILTROS"))</f>
        <v>0</v>
      </c>
      <c r="G71" s="399">
        <f>IF(B71="",0,SUMIFS(Tabla3[COSTO TOTAL SIN IVA PESOS EN MATCO],Tabla3[STATUS],"COTIZANDO",Tabla3[NUM ECONOMICO],B71,Tabla3[TEMA],"&lt;&gt;SERVICIO DE FILTROS"))</f>
        <v>0</v>
      </c>
      <c r="H71" s="400">
        <f>IF(B71="",0,SUMIFS(Tabla3[COSTO TOTAL DOLARES EN HAWTHORNE],Tabla3[STATUS],"COTIZANDO",Tabla3[NUM ECONOMICO],B71,Tabla3[TEMA],"&lt;&gt;SERVICIO DE FILTROS"))</f>
        <v>0</v>
      </c>
      <c r="I71" s="401" t="str">
        <f>IF(B71="","",_xlfn.LET(_xlpm.totalUSD,SUMIFS(Tabla3[COSTO TOTAL DOLARES EN HAWTHORNE],Tabla3[STATUS],"COTIZANDO",Tabla3[NUM ECONOMICO],B71,Tabla3[TEMA],"&lt;&gt;SERVICIO DE FILTROS"),IF(OR(TC="",_xlpm.totalUSD=0),"—",_xlpm.totalUSD*TC)))</f>
        <v>—</v>
      </c>
      <c r="J71" s="400">
        <f>IF(B71="",0,SUMIFS(Tabla3[COSTO TOTAL DOLARES CTP],Tabla3[STATUS],"COTIZANDO",Tabla3[NUM ECONOMICO],B71,Tabla3[TEMA],"&lt;&gt;SERVICIO DE FILTROS"))</f>
        <v>0</v>
      </c>
      <c r="K71" s="401" t="str">
        <f>IF(B71="","",_xlfn.LET(_xlpm.totalUSD,SUMIFS(Tabla3[COSTO TOTAL DOLARES CTP],Tabla3[STATUS],"COTIZANDO",Tabla3[NUM ECONOMICO],B71,Tabla3[TEMA],"&lt;&gt;SERVICIO DE FILTROS"),IF(OR(TC="",_xlpm.totalUSD=0),"—",_xlpm.totalUSD*TC)))</f>
        <v>—</v>
      </c>
      <c r="L71" s="398" cm="1">
        <f t="array" ref="L71">IF(B71="",0,IFERROR(MAX(_xlfn._xlws.FILTER(Tabla3[DIAS DE ENTREGA TENTATIVO EN MATCO],(Tabla3[STATUS]="COTIZANDO")*(Tabla3[NUM ECONOMICO]=B71)*(Tabla3[TEMA]&lt;&gt;"SERVICIO DE FILTROS"))),0))</f>
        <v>0</v>
      </c>
    </row>
    <row r="72" spans="2:12" x14ac:dyDescent="0.2">
      <c r="B72" s="403" t="str">
        <f>MAQUINARIA!B337</f>
        <v>MM-03</v>
      </c>
      <c r="C72" s="403" t="str">
        <f>MAQUINARIA!H337</f>
        <v>INACTIVA</v>
      </c>
      <c r="D72" s="404" t="str">
        <f>IFERROR(TRIM(MAQUINARIA!C337&amp;" "&amp;MAQUINARIA!E337),"—")</f>
        <v>MOTOCONFORMADORA 16 G</v>
      </c>
      <c r="E72" s="397" cm="1">
        <f t="array" ref="E72">IF(B72="",0,IFERROR(ROWS(_xlfn.UNIQUE(_xlfn._xlws.FILTER(Tabla3[PEDIDO],(Tabla3[STATUS]="COTIZANDO")*(Tabla3[NUM ECONOMICO]=B72)*(Tabla3[TEMA]&lt;&gt;"SERVICIO DE FILTROS")))),0))</f>
        <v>1</v>
      </c>
      <c r="F72" s="398">
        <f>IF(B72="",0,COUNTIFS(Tabla3[STATUS],"COTIZANDO",Tabla3[NUM ECONOMICO],B72,Tabla3[TEMA],"&lt;&gt;SERVICIO DE FILTROS"))</f>
        <v>47</v>
      </c>
      <c r="G72" s="399">
        <f>IF(B72="",0,SUMIFS(Tabla3[COSTO TOTAL SIN IVA PESOS EN MATCO],Tabla3[STATUS],"COTIZANDO",Tabla3[NUM ECONOMICO],B72,Tabla3[TEMA],"&lt;&gt;SERVICIO DE FILTROS"))</f>
        <v>566675.73</v>
      </c>
      <c r="H72" s="400">
        <f>IF(B72="",0,SUMIFS(Tabla3[COSTO TOTAL DOLARES EN HAWTHORNE],Tabla3[STATUS],"COTIZANDO",Tabla3[NUM ECONOMICO],B72,Tabla3[TEMA],"&lt;&gt;SERVICIO DE FILTROS"))</f>
        <v>32144.74</v>
      </c>
      <c r="I72" s="401">
        <f>IF(B72="","",_xlfn.LET(_xlpm.totalUSD,SUMIFS(Tabla3[COSTO TOTAL DOLARES EN HAWTHORNE],Tabla3[STATUS],"COTIZANDO",Tabla3[NUM ECONOMICO],B72,Tabla3[TEMA],"&lt;&gt;SERVICIO DE FILTROS"),IF(OR(TC="",_xlpm.totalUSD=0),"—",_xlpm.totalUSD*TC)))</f>
        <v>546460.58000000007</v>
      </c>
      <c r="J72" s="400">
        <f>IF(B72="",0,SUMIFS(Tabla3[COSTO TOTAL DOLARES CTP],Tabla3[STATUS],"COTIZANDO",Tabla3[NUM ECONOMICO],B72,Tabla3[TEMA],"&lt;&gt;SERVICIO DE FILTROS"))</f>
        <v>9212.6299999999992</v>
      </c>
      <c r="K72" s="401">
        <f>IF(B72="","",_xlfn.LET(_xlpm.totalUSD,SUMIFS(Tabla3[COSTO TOTAL DOLARES CTP],Tabla3[STATUS],"COTIZANDO",Tabla3[NUM ECONOMICO],B72,Tabla3[TEMA],"&lt;&gt;SERVICIO DE FILTROS"),IF(OR(TC="",_xlpm.totalUSD=0),"—",_xlpm.totalUSD*TC)))</f>
        <v>156614.71</v>
      </c>
      <c r="L72" s="398" cm="1">
        <f t="array" ref="L72">IF(B72="",0,IFERROR(MAX(_xlfn._xlws.FILTER(Tabla3[DIAS DE ENTREGA TENTATIVO EN MATCO],(Tabla3[STATUS]="COTIZANDO")*(Tabla3[NUM ECONOMICO]=B72)*(Tabla3[TEMA]&lt;&gt;"SERVICIO DE FILTROS"))),0))</f>
        <v>0</v>
      </c>
    </row>
    <row r="73" spans="2:12" x14ac:dyDescent="0.2">
      <c r="B73" s="403" t="str">
        <f>MAQUINARIA!B341</f>
        <v>MM-04</v>
      </c>
      <c r="C73" s="403" t="str">
        <f>MAQUINARIA!H341</f>
        <v>ACTIVA</v>
      </c>
      <c r="D73" s="404" t="str">
        <f>IFERROR(TRIM(MAQUINARIA!C341&amp;" "&amp;MAQUINARIA!E341),"—")</f>
        <v>MOTOCONFORMADORA 16 M</v>
      </c>
      <c r="E73" s="397" cm="1">
        <f t="array" ref="E73">IF(B73="",0,IFERROR(ROWS(_xlfn.UNIQUE(_xlfn._xlws.FILTER(Tabla3[PEDIDO],(Tabla3[STATUS]="COTIZANDO")*(Tabla3[NUM ECONOMICO]=B73)*(Tabla3[TEMA]&lt;&gt;"SERVICIO DE FILTROS")))),0))</f>
        <v>0</v>
      </c>
      <c r="F73" s="398">
        <f>IF(B73="",0,COUNTIFS(Tabla3[STATUS],"COTIZANDO",Tabla3[NUM ECONOMICO],B73,Tabla3[TEMA],"&lt;&gt;SERVICIO DE FILTROS"))</f>
        <v>0</v>
      </c>
      <c r="G73" s="399">
        <f>IF(B73="",0,SUMIFS(Tabla3[COSTO TOTAL SIN IVA PESOS EN MATCO],Tabla3[STATUS],"COTIZANDO",Tabla3[NUM ECONOMICO],B73,Tabla3[TEMA],"&lt;&gt;SERVICIO DE FILTROS"))</f>
        <v>0</v>
      </c>
      <c r="H73" s="400">
        <f>IF(B73="",0,SUMIFS(Tabla3[COSTO TOTAL DOLARES EN HAWTHORNE],Tabla3[STATUS],"COTIZANDO",Tabla3[NUM ECONOMICO],B73,Tabla3[TEMA],"&lt;&gt;SERVICIO DE FILTROS"))</f>
        <v>0</v>
      </c>
      <c r="I73" s="401" t="str">
        <f>IF(B73="","",_xlfn.LET(_xlpm.totalUSD,SUMIFS(Tabla3[COSTO TOTAL DOLARES EN HAWTHORNE],Tabla3[STATUS],"COTIZANDO",Tabla3[NUM ECONOMICO],B73,Tabla3[TEMA],"&lt;&gt;SERVICIO DE FILTROS"),IF(OR(TC="",_xlpm.totalUSD=0),"—",_xlpm.totalUSD*TC)))</f>
        <v>—</v>
      </c>
      <c r="J73" s="400">
        <f>IF(B73="",0,SUMIFS(Tabla3[COSTO TOTAL DOLARES CTP],Tabla3[STATUS],"COTIZANDO",Tabla3[NUM ECONOMICO],B73,Tabla3[TEMA],"&lt;&gt;SERVICIO DE FILTROS"))</f>
        <v>0</v>
      </c>
      <c r="K73" s="401" t="str">
        <f>IF(B73="","",_xlfn.LET(_xlpm.totalUSD,SUMIFS(Tabla3[COSTO TOTAL DOLARES CTP],Tabla3[STATUS],"COTIZANDO",Tabla3[NUM ECONOMICO],B73,Tabla3[TEMA],"&lt;&gt;SERVICIO DE FILTROS"),IF(OR(TC="",_xlpm.totalUSD=0),"—",_xlpm.totalUSD*TC)))</f>
        <v>—</v>
      </c>
      <c r="L73" s="398" cm="1">
        <f t="array" ref="L73">IF(B73="",0,IFERROR(MAX(_xlfn._xlws.FILTER(Tabla3[DIAS DE ENTREGA TENTATIVO EN MATCO],(Tabla3[STATUS]="COTIZANDO")*(Tabla3[NUM ECONOMICO]=B73)*(Tabla3[TEMA]&lt;&gt;"SERVICIO DE FILTROS"))),0))</f>
        <v>0</v>
      </c>
    </row>
    <row r="74" spans="2:12" x14ac:dyDescent="0.2">
      <c r="B74" s="403" t="str">
        <f>MAQUINARIA!B360</f>
        <v>MN-01</v>
      </c>
      <c r="C74" s="403" t="str">
        <f>MAQUINARIA!H360</f>
        <v>ACTIVA</v>
      </c>
      <c r="D74" s="404" t="str">
        <f>IFERROR(TRIM(MAQUINARIA!C360&amp;" "&amp;MAQUINARIA!E360),"—")</f>
        <v>MINICARGADOR</v>
      </c>
      <c r="E74" s="397" cm="1">
        <f t="array" ref="E74">IF(B74="",0,IFERROR(ROWS(_xlfn.UNIQUE(_xlfn._xlws.FILTER(Tabla3[PEDIDO],(Tabla3[STATUS]="COTIZANDO")*(Tabla3[NUM ECONOMICO]=B74)*(Tabla3[TEMA]&lt;&gt;"SERVICIO DE FILTROS")))),0))</f>
        <v>0</v>
      </c>
      <c r="F74" s="398">
        <f>IF(B74="",0,COUNTIFS(Tabla3[STATUS],"COTIZANDO",Tabla3[NUM ECONOMICO],B74,Tabla3[TEMA],"&lt;&gt;SERVICIO DE FILTROS"))</f>
        <v>0</v>
      </c>
      <c r="G74" s="399">
        <f>IF(B74="",0,SUMIFS(Tabla3[COSTO TOTAL SIN IVA PESOS EN MATCO],Tabla3[STATUS],"COTIZANDO",Tabla3[NUM ECONOMICO],B74,Tabla3[TEMA],"&lt;&gt;SERVICIO DE FILTROS"))</f>
        <v>0</v>
      </c>
      <c r="H74" s="400">
        <f>IF(B74="",0,SUMIFS(Tabla3[COSTO TOTAL DOLARES EN HAWTHORNE],Tabla3[STATUS],"COTIZANDO",Tabla3[NUM ECONOMICO],B74,Tabla3[TEMA],"&lt;&gt;SERVICIO DE FILTROS"))</f>
        <v>0</v>
      </c>
      <c r="I74" s="401" t="str">
        <f>IF(B74="","",_xlfn.LET(_xlpm.totalUSD,SUMIFS(Tabla3[COSTO TOTAL DOLARES EN HAWTHORNE],Tabla3[STATUS],"COTIZANDO",Tabla3[NUM ECONOMICO],B74,Tabla3[TEMA],"&lt;&gt;SERVICIO DE FILTROS"),IF(OR(TC="",_xlpm.totalUSD=0),"—",_xlpm.totalUSD*TC)))</f>
        <v>—</v>
      </c>
      <c r="J74" s="400">
        <f>IF(B74="",0,SUMIFS(Tabla3[COSTO TOTAL DOLARES CTP],Tabla3[STATUS],"COTIZANDO",Tabla3[NUM ECONOMICO],B74,Tabla3[TEMA],"&lt;&gt;SERVICIO DE FILTROS"))</f>
        <v>0</v>
      </c>
      <c r="K74" s="401" t="str">
        <f>IF(B74="","",_xlfn.LET(_xlpm.totalUSD,SUMIFS(Tabla3[COSTO TOTAL DOLARES CTP],Tabla3[STATUS],"COTIZANDO",Tabla3[NUM ECONOMICO],B74,Tabla3[TEMA],"&lt;&gt;SERVICIO DE FILTROS"),IF(OR(TC="",_xlpm.totalUSD=0),"—",_xlpm.totalUSD*TC)))</f>
        <v>—</v>
      </c>
      <c r="L74" s="398" cm="1">
        <f t="array" ref="L74">IF(B74="",0,IFERROR(MAX(_xlfn._xlws.FILTER(Tabla3[DIAS DE ENTREGA TENTATIVO EN MATCO],(Tabla3[STATUS]="COTIZANDO")*(Tabla3[NUM ECONOMICO]=B74)*(Tabla3[TEMA]&lt;&gt;"SERVICIO DE FILTROS"))),0))</f>
        <v>0</v>
      </c>
    </row>
    <row r="75" spans="2:12" x14ac:dyDescent="0.2">
      <c r="B75" s="403" t="str">
        <f>MAQUINARIA!B248</f>
        <v>MP-01</v>
      </c>
      <c r="C75" s="404" t="str">
        <f>MAQUINARIA!H248</f>
        <v>ACTIVA</v>
      </c>
      <c r="D75" s="404" t="str">
        <f>IFERROR(TRIM(MAQUINARIA!C248&amp;" "&amp;MAQUINARIA!E248),"—")</f>
        <v>TORNAPIPA 631 B</v>
      </c>
      <c r="E75" s="397" cm="1">
        <f t="array" ref="E75">IF(B75="",0,IFERROR(ROWS(_xlfn.UNIQUE(_xlfn._xlws.FILTER(Tabla3[PEDIDO],(Tabla3[STATUS]="COTIZANDO")*(Tabla3[NUM ECONOMICO]=B75)*(Tabla3[TEMA]&lt;&gt;"SERVICIO DE FILTROS")))),0))</f>
        <v>0</v>
      </c>
      <c r="F75" s="398">
        <f>IF(B75="",0,COUNTIFS(Tabla3[STATUS],"COTIZANDO",Tabla3[NUM ECONOMICO],B75,Tabla3[TEMA],"&lt;&gt;SERVICIO DE FILTROS"))</f>
        <v>0</v>
      </c>
      <c r="G75" s="399">
        <f>IF(B75="",0,SUMIFS(Tabla3[COSTO TOTAL SIN IVA PESOS EN MATCO],Tabla3[STATUS],"COTIZANDO",Tabla3[NUM ECONOMICO],B75,Tabla3[TEMA],"&lt;&gt;SERVICIO DE FILTROS"))</f>
        <v>0</v>
      </c>
      <c r="H75" s="400">
        <f>IF(B75="",0,SUMIFS(Tabla3[COSTO TOTAL DOLARES EN HAWTHORNE],Tabla3[STATUS],"COTIZANDO",Tabla3[NUM ECONOMICO],B75,Tabla3[TEMA],"&lt;&gt;SERVICIO DE FILTROS"))</f>
        <v>0</v>
      </c>
      <c r="I75" s="401" t="str">
        <f>IF(B75="","",_xlfn.LET(_xlpm.totalUSD,SUMIFS(Tabla3[COSTO TOTAL DOLARES EN HAWTHORNE],Tabla3[STATUS],"COTIZANDO",Tabla3[NUM ECONOMICO],B75,Tabla3[TEMA],"&lt;&gt;SERVICIO DE FILTROS"),IF(OR(TC="",_xlpm.totalUSD=0),"—",_xlpm.totalUSD*TC)))</f>
        <v>—</v>
      </c>
      <c r="J75" s="400">
        <f>IF(B75="",0,SUMIFS(Tabla3[COSTO TOTAL DOLARES CTP],Tabla3[STATUS],"COTIZANDO",Tabla3[NUM ECONOMICO],B75,Tabla3[TEMA],"&lt;&gt;SERVICIO DE FILTROS"))</f>
        <v>0</v>
      </c>
      <c r="K75" s="401" t="str">
        <f>IF(B75="","",_xlfn.LET(_xlpm.totalUSD,SUMIFS(Tabla3[COSTO TOTAL DOLARES CTP],Tabla3[STATUS],"COTIZANDO",Tabla3[NUM ECONOMICO],B75,Tabla3[TEMA],"&lt;&gt;SERVICIO DE FILTROS"),IF(OR(TC="",_xlpm.totalUSD=0),"—",_xlpm.totalUSD*TC)))</f>
        <v>—</v>
      </c>
      <c r="L75" s="398" cm="1">
        <f t="array" ref="L75">IF(B75="",0,IFERROR(MAX(_xlfn._xlws.FILTER(Tabla3[DIAS DE ENTREGA TENTATIVO EN MATCO],(Tabla3[STATUS]="COTIZANDO")*(Tabla3[NUM ECONOMICO]=B75)*(Tabla3[TEMA]&lt;&gt;"SERVICIO DE FILTROS"))),0))</f>
        <v>0</v>
      </c>
    </row>
    <row r="76" spans="2:12" x14ac:dyDescent="0.2">
      <c r="B76" s="403" t="str">
        <f>MAQUINARIA!B256</f>
        <v>MP-02</v>
      </c>
      <c r="C76" s="403" t="str">
        <f>MAQUINARIA!H256</f>
        <v>INACTIVA</v>
      </c>
      <c r="D76" s="404" t="str">
        <f>IFERROR(TRIM(MAQUINARIA!C256&amp;" "&amp;MAQUINARIA!E256),"—")</f>
        <v>TORNAPIPA 631 D</v>
      </c>
      <c r="E76" s="397" cm="1">
        <f t="array" ref="E76">IF(B76="",0,IFERROR(ROWS(_xlfn.UNIQUE(_xlfn._xlws.FILTER(Tabla3[PEDIDO],(Tabla3[STATUS]="COTIZANDO")*(Tabla3[NUM ECONOMICO]=B76)*(Tabla3[TEMA]&lt;&gt;"SERVICIO DE FILTROS")))),0))</f>
        <v>0</v>
      </c>
      <c r="F76" s="398">
        <f>IF(B76="",0,COUNTIFS(Tabla3[STATUS],"COTIZANDO",Tabla3[NUM ECONOMICO],B76,Tabla3[TEMA],"&lt;&gt;SERVICIO DE FILTROS"))</f>
        <v>0</v>
      </c>
      <c r="G76" s="399">
        <f>IF(B76="",0,SUMIFS(Tabla3[COSTO TOTAL SIN IVA PESOS EN MATCO],Tabla3[STATUS],"COTIZANDO",Tabla3[NUM ECONOMICO],B76,Tabla3[TEMA],"&lt;&gt;SERVICIO DE FILTROS"))</f>
        <v>0</v>
      </c>
      <c r="H76" s="400">
        <f>IF(B76="",0,SUMIFS(Tabla3[COSTO TOTAL DOLARES EN HAWTHORNE],Tabla3[STATUS],"COTIZANDO",Tabla3[NUM ECONOMICO],B76,Tabla3[TEMA],"&lt;&gt;SERVICIO DE FILTROS"))</f>
        <v>0</v>
      </c>
      <c r="I76" s="401" t="str">
        <f>IF(B76="","",_xlfn.LET(_xlpm.totalUSD,SUMIFS(Tabla3[COSTO TOTAL DOLARES EN HAWTHORNE],Tabla3[STATUS],"COTIZANDO",Tabla3[NUM ECONOMICO],B76,Tabla3[TEMA],"&lt;&gt;SERVICIO DE FILTROS"),IF(OR(TC="",_xlpm.totalUSD=0),"—",_xlpm.totalUSD*TC)))</f>
        <v>—</v>
      </c>
      <c r="J76" s="400">
        <f>IF(B76="",0,SUMIFS(Tabla3[COSTO TOTAL DOLARES CTP],Tabla3[STATUS],"COTIZANDO",Tabla3[NUM ECONOMICO],B76,Tabla3[TEMA],"&lt;&gt;SERVICIO DE FILTROS"))</f>
        <v>0</v>
      </c>
      <c r="K76" s="401" t="str">
        <f>IF(B76="","",_xlfn.LET(_xlpm.totalUSD,SUMIFS(Tabla3[COSTO TOTAL DOLARES CTP],Tabla3[STATUS],"COTIZANDO",Tabla3[NUM ECONOMICO],B76,Tabla3[TEMA],"&lt;&gt;SERVICIO DE FILTROS"),IF(OR(TC="",_xlpm.totalUSD=0),"—",_xlpm.totalUSD*TC)))</f>
        <v>—</v>
      </c>
      <c r="L76" s="398" cm="1">
        <f t="array" ref="L76">IF(B76="",0,IFERROR(MAX(_xlfn._xlws.FILTER(Tabla3[DIAS DE ENTREGA TENTATIVO EN MATCO],(Tabla3[STATUS]="COTIZANDO")*(Tabla3[NUM ECONOMICO]=B76)*(Tabla3[TEMA]&lt;&gt;"SERVICIO DE FILTROS"))),0))</f>
        <v>0</v>
      </c>
    </row>
    <row r="77" spans="2:12" x14ac:dyDescent="0.2">
      <c r="B77" s="403" t="str">
        <f>MAQUINARIA!B260</f>
        <v>MP-03</v>
      </c>
      <c r="C77" s="403" t="str">
        <f>MAQUINARIA!H260</f>
        <v>ACTIVA</v>
      </c>
      <c r="D77" s="404" t="str">
        <f>IFERROR(TRIM(MAQUINARIA!C260&amp;" "&amp;MAQUINARIA!E260),"—")</f>
        <v>TORNAPIPA 631 D</v>
      </c>
      <c r="E77" s="397" cm="1">
        <f t="array" ref="E77">IF(B77="",0,IFERROR(ROWS(_xlfn.UNIQUE(_xlfn._xlws.FILTER(Tabla3[PEDIDO],(Tabla3[STATUS]="COTIZANDO")*(Tabla3[NUM ECONOMICO]=B77)*(Tabla3[TEMA]&lt;&gt;"SERVICIO DE FILTROS")))),0))</f>
        <v>1</v>
      </c>
      <c r="F77" s="398">
        <f>IF(B77="",0,COUNTIFS(Tabla3[STATUS],"COTIZANDO",Tabla3[NUM ECONOMICO],B77,Tabla3[TEMA],"&lt;&gt;SERVICIO DE FILTROS"))</f>
        <v>1</v>
      </c>
      <c r="G77" s="399">
        <f>IF(B77="",0,SUMIFS(Tabla3[COSTO TOTAL SIN IVA PESOS EN MATCO],Tabla3[STATUS],"COTIZANDO",Tabla3[NUM ECONOMICO],B77,Tabla3[TEMA],"&lt;&gt;SERVICIO DE FILTROS"))</f>
        <v>387</v>
      </c>
      <c r="H77" s="400">
        <f>IF(B77="",0,SUMIFS(Tabla3[COSTO TOTAL DOLARES EN HAWTHORNE],Tabla3[STATUS],"COTIZANDO",Tabla3[NUM ECONOMICO],B77,Tabla3[TEMA],"&lt;&gt;SERVICIO DE FILTROS"))</f>
        <v>21.41</v>
      </c>
      <c r="I77" s="401">
        <f>IF(B77="","",_xlfn.LET(_xlpm.totalUSD,SUMIFS(Tabla3[COSTO TOTAL DOLARES EN HAWTHORNE],Tabla3[STATUS],"COTIZANDO",Tabla3[NUM ECONOMICO],B77,Tabla3[TEMA],"&lt;&gt;SERVICIO DE FILTROS"),IF(OR(TC="",_xlpm.totalUSD=0),"—",_xlpm.totalUSD*TC)))</f>
        <v>363.97</v>
      </c>
      <c r="J77" s="400">
        <f>IF(B77="",0,SUMIFS(Tabla3[COSTO TOTAL DOLARES CTP],Tabla3[STATUS],"COTIZANDO",Tabla3[NUM ECONOMICO],B77,Tabla3[TEMA],"&lt;&gt;SERVICIO DE FILTROS"))</f>
        <v>9.34</v>
      </c>
      <c r="K77" s="401">
        <f>IF(B77="","",_xlfn.LET(_xlpm.totalUSD,SUMIFS(Tabla3[COSTO TOTAL DOLARES CTP],Tabla3[STATUS],"COTIZANDO",Tabla3[NUM ECONOMICO],B77,Tabla3[TEMA],"&lt;&gt;SERVICIO DE FILTROS"),IF(OR(TC="",_xlpm.totalUSD=0),"—",_xlpm.totalUSD*TC)))</f>
        <v>158.78</v>
      </c>
      <c r="L77" s="398" cm="1">
        <f t="array" ref="L77">IF(B77="",0,IFERROR(MAX(_xlfn._xlws.FILTER(Tabla3[DIAS DE ENTREGA TENTATIVO EN MATCO],(Tabla3[STATUS]="COTIZANDO")*(Tabla3[NUM ECONOMICO]=B77)*(Tabla3[TEMA]&lt;&gt;"SERVICIO DE FILTROS"))),0))</f>
        <v>0</v>
      </c>
    </row>
    <row r="78" spans="2:12" x14ac:dyDescent="0.2">
      <c r="B78" s="403" t="str">
        <f>MAQUINARIA!B262</f>
        <v>MP-04</v>
      </c>
      <c r="C78" s="403" t="str">
        <f>MAQUINARIA!H262</f>
        <v>INACTIVA</v>
      </c>
      <c r="D78" s="404" t="str">
        <f>IFERROR(TRIM(MAQUINARIA!C262&amp;" "&amp;MAQUINARIA!E262),"—")</f>
        <v>TORNAPIPA 627 B</v>
      </c>
      <c r="E78" s="397" cm="1">
        <f t="array" ref="E78">IF(B78="",0,IFERROR(ROWS(_xlfn.UNIQUE(_xlfn._xlws.FILTER(Tabla3[PEDIDO],(Tabla3[STATUS]="COTIZANDO")*(Tabla3[NUM ECONOMICO]=B78)*(Tabla3[TEMA]&lt;&gt;"SERVICIO DE FILTROS")))),0))</f>
        <v>0</v>
      </c>
      <c r="F78" s="398">
        <f>IF(B78="",0,COUNTIFS(Tabla3[STATUS],"COTIZANDO",Tabla3[NUM ECONOMICO],B78,Tabla3[TEMA],"&lt;&gt;SERVICIO DE FILTROS"))</f>
        <v>0</v>
      </c>
      <c r="G78" s="399">
        <f>IF(B78="",0,SUMIFS(Tabla3[COSTO TOTAL SIN IVA PESOS EN MATCO],Tabla3[STATUS],"COTIZANDO",Tabla3[NUM ECONOMICO],B78,Tabla3[TEMA],"&lt;&gt;SERVICIO DE FILTROS"))</f>
        <v>0</v>
      </c>
      <c r="H78" s="400">
        <f>IF(B78="",0,SUMIFS(Tabla3[COSTO TOTAL DOLARES EN HAWTHORNE],Tabla3[STATUS],"COTIZANDO",Tabla3[NUM ECONOMICO],B78,Tabla3[TEMA],"&lt;&gt;SERVICIO DE FILTROS"))</f>
        <v>0</v>
      </c>
      <c r="I78" s="401" t="str">
        <f>IF(B78="","",_xlfn.LET(_xlpm.totalUSD,SUMIFS(Tabla3[COSTO TOTAL DOLARES EN HAWTHORNE],Tabla3[STATUS],"COTIZANDO",Tabla3[NUM ECONOMICO],B78,Tabla3[TEMA],"&lt;&gt;SERVICIO DE FILTROS"),IF(OR(TC="",_xlpm.totalUSD=0),"—",_xlpm.totalUSD*TC)))</f>
        <v>—</v>
      </c>
      <c r="J78" s="400">
        <f>IF(B78="",0,SUMIFS(Tabla3[COSTO TOTAL DOLARES CTP],Tabla3[STATUS],"COTIZANDO",Tabla3[NUM ECONOMICO],B78,Tabla3[TEMA],"&lt;&gt;SERVICIO DE FILTROS"))</f>
        <v>0</v>
      </c>
      <c r="K78" s="401" t="str">
        <f>IF(B78="","",_xlfn.LET(_xlpm.totalUSD,SUMIFS(Tabla3[COSTO TOTAL DOLARES CTP],Tabla3[STATUS],"COTIZANDO",Tabla3[NUM ECONOMICO],B78,Tabla3[TEMA],"&lt;&gt;SERVICIO DE FILTROS"),IF(OR(TC="",_xlpm.totalUSD=0),"—",_xlpm.totalUSD*TC)))</f>
        <v>—</v>
      </c>
      <c r="L78" s="398" cm="1">
        <f t="array" ref="L78">IF(B78="",0,IFERROR(MAX(_xlfn._xlws.FILTER(Tabla3[DIAS DE ENTREGA TENTATIVO EN MATCO],(Tabla3[STATUS]="COTIZANDO")*(Tabla3[NUM ECONOMICO]=B78)*(Tabla3[TEMA]&lt;&gt;"SERVICIO DE FILTROS"))),0))</f>
        <v>0</v>
      </c>
    </row>
    <row r="79" spans="2:12" x14ac:dyDescent="0.2">
      <c r="B79" s="403" t="str">
        <f>MAQUINARIA!B309</f>
        <v>MR-01</v>
      </c>
      <c r="C79" s="404" t="str">
        <f>MAQUINARIA!H309</f>
        <v>ACTIVA</v>
      </c>
      <c r="D79" s="404" t="str">
        <f>IFERROR(TRIM(MAQUINARIA!C309&amp;" "&amp;MAQUINARIA!E309),"—")</f>
        <v>RETROEXCAVADORA 430</v>
      </c>
      <c r="E79" s="398" cm="1">
        <f t="array" ref="E79">IF(B79="",0,IFERROR(ROWS(_xlfn.UNIQUE(_xlfn._xlws.FILTER(Tabla3[PEDIDO],(Tabla3[STATUS]="COTIZANDO")*(Tabla3[NUM ECONOMICO]=B79)*(Tabla3[TEMA]&lt;&gt;"SERVICIO DE FILTROS")))),0))</f>
        <v>0</v>
      </c>
      <c r="F79" s="398">
        <f>IF(B79="",0,COUNTIFS(Tabla3[STATUS],"COTIZANDO",Tabla3[NUM ECONOMICO],B79,Tabla3[TEMA],"&lt;&gt;SERVICIO DE FILTROS"))</f>
        <v>0</v>
      </c>
      <c r="G79" s="399">
        <f>IF(B79="",0,SUMIFS(Tabla3[COSTO TOTAL SIN IVA PESOS EN MATCO],Tabla3[STATUS],"COTIZANDO",Tabla3[NUM ECONOMICO],B79,Tabla3[TEMA],"&lt;&gt;SERVICIO DE FILTROS"))</f>
        <v>0</v>
      </c>
      <c r="H79" s="400">
        <f>IF(B79="",0,SUMIFS(Tabla3[COSTO TOTAL DOLARES EN HAWTHORNE],Tabla3[STATUS],"COTIZANDO",Tabla3[NUM ECONOMICO],B79,Tabla3[TEMA],"&lt;&gt;SERVICIO DE FILTROS"))</f>
        <v>0</v>
      </c>
      <c r="I79" s="401" t="str">
        <f>IF(B79="","",_xlfn.LET(_xlpm.totalUSD,SUMIFS(Tabla3[COSTO TOTAL DOLARES EN HAWTHORNE],Tabla3[STATUS],"COTIZANDO",Tabla3[NUM ECONOMICO],B79,Tabla3[TEMA],"&lt;&gt;SERVICIO DE FILTROS"),IF(OR(TC="",_xlpm.totalUSD=0),"—",_xlpm.totalUSD*TC)))</f>
        <v>—</v>
      </c>
      <c r="J79" s="400">
        <f>IF(B79="",0,SUMIFS(Tabla3[COSTO TOTAL DOLARES CTP],Tabla3[STATUS],"COTIZANDO",Tabla3[NUM ECONOMICO],B79,Tabla3[TEMA],"&lt;&gt;SERVICIO DE FILTROS"))</f>
        <v>0</v>
      </c>
      <c r="K79" s="401" t="str">
        <f>IF(B79="","",_xlfn.LET(_xlpm.totalUSD,SUMIFS(Tabla3[COSTO TOTAL DOLARES CTP],Tabla3[STATUS],"COTIZANDO",Tabla3[NUM ECONOMICO],B79,Tabla3[TEMA],"&lt;&gt;SERVICIO DE FILTROS"),IF(OR(TC="",_xlpm.totalUSD=0),"—",_xlpm.totalUSD*TC)))</f>
        <v>—</v>
      </c>
      <c r="L79" s="398" cm="1">
        <f t="array" ref="L79">IF(B79="",0,IFERROR(MAX(_xlfn._xlws.FILTER(Tabla3[DIAS DE ENTREGA TENTATIVO EN MATCO],(Tabla3[STATUS]="COTIZANDO")*(Tabla3[NUM ECONOMICO]=B79)*(Tabla3[TEMA]&lt;&gt;"SERVICIO DE FILTROS"))),0))</f>
        <v>0</v>
      </c>
    </row>
    <row r="80" spans="2:12" x14ac:dyDescent="0.2">
      <c r="B80" s="403" t="str">
        <f>MAQUINARIA!B312</f>
        <v>MR-02</v>
      </c>
      <c r="C80" s="403" t="str">
        <f>MAQUINARIA!H312</f>
        <v>ACTIVA</v>
      </c>
      <c r="D80" s="404" t="str">
        <f>IFERROR(TRIM(MAQUINARIA!C312&amp;" "&amp;MAQUINARIA!E312),"—")</f>
        <v>RETROEXCAVADORA 430</v>
      </c>
      <c r="E80" s="397" cm="1">
        <f t="array" ref="E80">IF(B80="",0,IFERROR(ROWS(_xlfn.UNIQUE(_xlfn._xlws.FILTER(Tabla3[PEDIDO],(Tabla3[STATUS]="COTIZANDO")*(Tabla3[NUM ECONOMICO]=B80)*(Tabla3[TEMA]&lt;&gt;"SERVICIO DE FILTROS")))),0))</f>
        <v>0</v>
      </c>
      <c r="F80" s="398">
        <f>IF(B80="",0,COUNTIFS(Tabla3[STATUS],"COTIZANDO",Tabla3[NUM ECONOMICO],B80,Tabla3[TEMA],"&lt;&gt;SERVICIO DE FILTROS"))</f>
        <v>0</v>
      </c>
      <c r="G80" s="399">
        <f>IF(B80="",0,SUMIFS(Tabla3[COSTO TOTAL SIN IVA PESOS EN MATCO],Tabla3[STATUS],"COTIZANDO",Tabla3[NUM ECONOMICO],B80,Tabla3[TEMA],"&lt;&gt;SERVICIO DE FILTROS"))</f>
        <v>0</v>
      </c>
      <c r="H80" s="400">
        <f>IF(B80="",0,SUMIFS(Tabla3[COSTO TOTAL DOLARES EN HAWTHORNE],Tabla3[STATUS],"COTIZANDO",Tabla3[NUM ECONOMICO],B80,Tabla3[TEMA],"&lt;&gt;SERVICIO DE FILTROS"))</f>
        <v>0</v>
      </c>
      <c r="I80" s="401" t="str">
        <f>IF(B80="","",_xlfn.LET(_xlpm.totalUSD,SUMIFS(Tabla3[COSTO TOTAL DOLARES EN HAWTHORNE],Tabla3[STATUS],"COTIZANDO",Tabla3[NUM ECONOMICO],B80,Tabla3[TEMA],"&lt;&gt;SERVICIO DE FILTROS"),IF(OR(TC="",_xlpm.totalUSD=0),"—",_xlpm.totalUSD*TC)))</f>
        <v>—</v>
      </c>
      <c r="J80" s="400">
        <f>IF(B80="",0,SUMIFS(Tabla3[COSTO TOTAL DOLARES CTP],Tabla3[STATUS],"COTIZANDO",Tabla3[NUM ECONOMICO],B80,Tabla3[TEMA],"&lt;&gt;SERVICIO DE FILTROS"))</f>
        <v>0</v>
      </c>
      <c r="K80" s="401" t="str">
        <f>IF(B80="","",_xlfn.LET(_xlpm.totalUSD,SUMIFS(Tabla3[COSTO TOTAL DOLARES CTP],Tabla3[STATUS],"COTIZANDO",Tabla3[NUM ECONOMICO],B80,Tabla3[TEMA],"&lt;&gt;SERVICIO DE FILTROS"),IF(OR(TC="",_xlpm.totalUSD=0),"—",_xlpm.totalUSD*TC)))</f>
        <v>—</v>
      </c>
      <c r="L80" s="398" cm="1">
        <f t="array" ref="L80">IF(B80="",0,IFERROR(MAX(_xlfn._xlws.FILTER(Tabla3[DIAS DE ENTREGA TENTATIVO EN MATCO],(Tabla3[STATUS]="COTIZANDO")*(Tabla3[NUM ECONOMICO]=B80)*(Tabla3[TEMA]&lt;&gt;"SERVICIO DE FILTROS"))),0))</f>
        <v>0</v>
      </c>
    </row>
    <row r="81" spans="2:12" x14ac:dyDescent="0.2">
      <c r="B81" s="403" t="str">
        <f>MAQUINARIA!B313</f>
        <v>MR-03</v>
      </c>
      <c r="C81" s="403" t="str">
        <f>MAQUINARIA!H313</f>
        <v>ACTIVA</v>
      </c>
      <c r="D81" s="404" t="str">
        <f>IFERROR(TRIM(MAQUINARIA!C313&amp;" "&amp;MAQUINARIA!E313),"—")</f>
        <v>RETROEXCAVADORA 580</v>
      </c>
      <c r="E81" s="397" cm="1">
        <f t="array" ref="E81">IF(B81="",0,IFERROR(ROWS(_xlfn.UNIQUE(_xlfn._xlws.FILTER(Tabla3[PEDIDO],(Tabla3[STATUS]="COTIZANDO")*(Tabla3[NUM ECONOMICO]=B81)*(Tabla3[TEMA]&lt;&gt;"SERVICIO DE FILTROS")))),0))</f>
        <v>0</v>
      </c>
      <c r="F81" s="398">
        <f>IF(B81="",0,COUNTIFS(Tabla3[STATUS],"COTIZANDO",Tabla3[NUM ECONOMICO],B81,Tabla3[TEMA],"&lt;&gt;SERVICIO DE FILTROS"))</f>
        <v>0</v>
      </c>
      <c r="G81" s="399">
        <f>IF(B81="",0,SUMIFS(Tabla3[COSTO TOTAL SIN IVA PESOS EN MATCO],Tabla3[STATUS],"COTIZANDO",Tabla3[NUM ECONOMICO],B81,Tabla3[TEMA],"&lt;&gt;SERVICIO DE FILTROS"))</f>
        <v>0</v>
      </c>
      <c r="H81" s="400">
        <f>IF(B81="",0,SUMIFS(Tabla3[COSTO TOTAL DOLARES EN HAWTHORNE],Tabla3[STATUS],"COTIZANDO",Tabla3[NUM ECONOMICO],B81,Tabla3[TEMA],"&lt;&gt;SERVICIO DE FILTROS"))</f>
        <v>0</v>
      </c>
      <c r="I81" s="401" t="str">
        <f>IF(B81="","",_xlfn.LET(_xlpm.totalUSD,SUMIFS(Tabla3[COSTO TOTAL DOLARES EN HAWTHORNE],Tabla3[STATUS],"COTIZANDO",Tabla3[NUM ECONOMICO],B81,Tabla3[TEMA],"&lt;&gt;SERVICIO DE FILTROS"),IF(OR(TC="",_xlpm.totalUSD=0),"—",_xlpm.totalUSD*TC)))</f>
        <v>—</v>
      </c>
      <c r="J81" s="400">
        <f>IF(B81="",0,SUMIFS(Tabla3[COSTO TOTAL DOLARES CTP],Tabla3[STATUS],"COTIZANDO",Tabla3[NUM ECONOMICO],B81,Tabla3[TEMA],"&lt;&gt;SERVICIO DE FILTROS"))</f>
        <v>0</v>
      </c>
      <c r="K81" s="401" t="str">
        <f>IF(B81="","",_xlfn.LET(_xlpm.totalUSD,SUMIFS(Tabla3[COSTO TOTAL DOLARES CTP],Tabla3[STATUS],"COTIZANDO",Tabla3[NUM ECONOMICO],B81,Tabla3[TEMA],"&lt;&gt;SERVICIO DE FILTROS"),IF(OR(TC="",_xlpm.totalUSD=0),"—",_xlpm.totalUSD*TC)))</f>
        <v>—</v>
      </c>
      <c r="L81" s="398" cm="1">
        <f t="array" ref="L81">IF(B81="",0,IFERROR(MAX(_xlfn._xlws.FILTER(Tabla3[DIAS DE ENTREGA TENTATIVO EN MATCO],(Tabla3[STATUS]="COTIZANDO")*(Tabla3[NUM ECONOMICO]=B81)*(Tabla3[TEMA]&lt;&gt;"SERVICIO DE FILTROS"))),0))</f>
        <v>0</v>
      </c>
    </row>
    <row r="82" spans="2:12" x14ac:dyDescent="0.2">
      <c r="B82" s="403" t="str">
        <f>MAQUINARIA!B3</f>
        <v>MT-01</v>
      </c>
      <c r="C82" s="403" t="str">
        <f>MAQUINARIA!H3</f>
        <v>INACTIVA</v>
      </c>
      <c r="D82" s="404" t="str">
        <f>IFERROR(TRIM(MAQUINARIA!C3&amp;" "&amp;MAQUINARIA!E3),"—")</f>
        <v>TRACTOR D9T</v>
      </c>
      <c r="E82" s="397" cm="1">
        <f t="array" ref="E82">IF(B82="",0,IFERROR(ROWS(_xlfn.UNIQUE(_xlfn._xlws.FILTER(Tabla3[PEDIDO],(Tabla3[STATUS]="COTIZANDO")*(Tabla3[NUM ECONOMICO]=B82)*(Tabla3[TEMA]&lt;&gt;"SERVICIO DE FILTROS")))),0))</f>
        <v>2</v>
      </c>
      <c r="F82" s="398">
        <f>IF(B82="",0,COUNTIFS(Tabla3[STATUS],"COTIZANDO",Tabla3[NUM ECONOMICO],B82,Tabla3[TEMA],"&lt;&gt;SERVICIO DE FILTROS"))</f>
        <v>47</v>
      </c>
      <c r="G82" s="399">
        <f>IF(B82="",0,SUMIFS(Tabla3[COSTO TOTAL SIN IVA PESOS EN MATCO],Tabla3[STATUS],"COTIZANDO",Tabla3[NUM ECONOMICO],B82,Tabla3[TEMA],"&lt;&gt;SERVICIO DE FILTROS"))</f>
        <v>2013891.2300000002</v>
      </c>
      <c r="H82" s="400">
        <f>IF(B82="",0,SUMIFS(Tabla3[COSTO TOTAL DOLARES EN HAWTHORNE],Tabla3[STATUS],"COTIZANDO",Tabla3[NUM ECONOMICO],B82,Tabla3[TEMA],"&lt;&gt;SERVICIO DE FILTROS"))</f>
        <v>93062.129999999976</v>
      </c>
      <c r="I82" s="401">
        <f>IF(B82="","",_xlfn.LET(_xlpm.totalUSD,SUMIFS(Tabla3[COSTO TOTAL DOLARES EN HAWTHORNE],Tabla3[STATUS],"COTIZANDO",Tabla3[NUM ECONOMICO],B82,Tabla3[TEMA],"&lt;&gt;SERVICIO DE FILTROS"),IF(OR(TC="",_xlpm.totalUSD=0),"—",_xlpm.totalUSD*TC)))</f>
        <v>1582056.2099999995</v>
      </c>
      <c r="J82" s="400">
        <f>IF(B82="",0,SUMIFS(Tabla3[COSTO TOTAL DOLARES CTP],Tabla3[STATUS],"COTIZANDO",Tabla3[NUM ECONOMICO],B82,Tabla3[TEMA],"&lt;&gt;SERVICIO DE FILTROS"))</f>
        <v>7817.02</v>
      </c>
      <c r="K82" s="401">
        <f>IF(B82="","",_xlfn.LET(_xlpm.totalUSD,SUMIFS(Tabla3[COSTO TOTAL DOLARES CTP],Tabla3[STATUS],"COTIZANDO",Tabla3[NUM ECONOMICO],B82,Tabla3[TEMA],"&lt;&gt;SERVICIO DE FILTROS"),IF(OR(TC="",_xlpm.totalUSD=0),"—",_xlpm.totalUSD*TC)))</f>
        <v>132889.34</v>
      </c>
      <c r="L82" s="398" cm="1">
        <f t="array" ref="L82">IF(B82="",0,IFERROR(MAX(_xlfn._xlws.FILTER(Tabla3[DIAS DE ENTREGA TENTATIVO EN MATCO],(Tabla3[STATUS]="COTIZANDO")*(Tabla3[NUM ECONOMICO]=B82)*(Tabla3[TEMA]&lt;&gt;"SERVICIO DE FILTROS"))),0))</f>
        <v>0</v>
      </c>
    </row>
    <row r="83" spans="2:12" x14ac:dyDescent="0.2">
      <c r="B83" s="403" t="str">
        <f>MAQUINARIA!B8</f>
        <v>MT-02</v>
      </c>
      <c r="C83" s="403" t="str">
        <f>MAQUINARIA!H8</f>
        <v>ACTIVA</v>
      </c>
      <c r="D83" s="404" t="str">
        <f>IFERROR(TRIM(MAQUINARIA!C8&amp;" "&amp;MAQUINARIA!E8),"—")</f>
        <v>TRACTOR D9T</v>
      </c>
      <c r="E83" s="397" cm="1">
        <f t="array" ref="E83">IF(B83="",0,IFERROR(ROWS(_xlfn.UNIQUE(_xlfn._xlws.FILTER(Tabla3[PEDIDO],(Tabla3[STATUS]="COTIZANDO")*(Tabla3[NUM ECONOMICO]=B83)*(Tabla3[TEMA]&lt;&gt;"SERVICIO DE FILTROS")))),0))</f>
        <v>2</v>
      </c>
      <c r="F83" s="398">
        <f>IF(B83="",0,COUNTIFS(Tabla3[STATUS],"COTIZANDO",Tabla3[NUM ECONOMICO],B83,Tabla3[TEMA],"&lt;&gt;SERVICIO DE FILTROS"))</f>
        <v>5</v>
      </c>
      <c r="G83" s="399">
        <f>IF(B83="",0,SUMIFS(Tabla3[COSTO TOTAL SIN IVA PESOS EN MATCO],Tabla3[STATUS],"COTIZANDO",Tabla3[NUM ECONOMICO],B83,Tabla3[TEMA],"&lt;&gt;SERVICIO DE FILTROS"))</f>
        <v>86146.53</v>
      </c>
      <c r="H83" s="400">
        <f>IF(B83="",0,SUMIFS(Tabla3[COSTO TOTAL DOLARES EN HAWTHORNE],Tabla3[STATUS],"COTIZANDO",Tabla3[NUM ECONOMICO],B83,Tabla3[TEMA],"&lt;&gt;SERVICIO DE FILTROS"))</f>
        <v>3357.2799999999997</v>
      </c>
      <c r="I83" s="401">
        <f>IF(B83="","",_xlfn.LET(_xlpm.totalUSD,SUMIFS(Tabla3[COSTO TOTAL DOLARES EN HAWTHORNE],Tabla3[STATUS],"COTIZANDO",Tabla3[NUM ECONOMICO],B83,Tabla3[TEMA],"&lt;&gt;SERVICIO DE FILTROS"),IF(OR(TC="",_xlpm.totalUSD=0),"—",_xlpm.totalUSD*TC)))</f>
        <v>57073.759999999995</v>
      </c>
      <c r="J83" s="400">
        <f>IF(B83="",0,SUMIFS(Tabla3[COSTO TOTAL DOLARES CTP],Tabla3[STATUS],"COTIZANDO",Tabla3[NUM ECONOMICO],B83,Tabla3[TEMA],"&lt;&gt;SERVICIO DE FILTROS"))</f>
        <v>3.82</v>
      </c>
      <c r="K83" s="401">
        <f>IF(B83="","",_xlfn.LET(_xlpm.totalUSD,SUMIFS(Tabla3[COSTO TOTAL DOLARES CTP],Tabla3[STATUS],"COTIZANDO",Tabla3[NUM ECONOMICO],B83,Tabla3[TEMA],"&lt;&gt;SERVICIO DE FILTROS"),IF(OR(TC="",_xlpm.totalUSD=0),"—",_xlpm.totalUSD*TC)))</f>
        <v>64.94</v>
      </c>
      <c r="L83" s="398" cm="1">
        <f t="array" ref="L83">IF(B83="",0,IFERROR(MAX(_xlfn._xlws.FILTER(Tabla3[DIAS DE ENTREGA TENTATIVO EN MATCO],(Tabla3[STATUS]="COTIZANDO")*(Tabla3[NUM ECONOMICO]=B83)*(Tabla3[TEMA]&lt;&gt;"SERVICIO DE FILTROS"))),0))</f>
        <v>0</v>
      </c>
    </row>
    <row r="84" spans="2:12" x14ac:dyDescent="0.2">
      <c r="B84" s="403" t="str">
        <f>MAQUINARIA!B16</f>
        <v>MT-03</v>
      </c>
      <c r="C84" s="404" t="str">
        <f>MAQUINARIA!H16</f>
        <v>ACTIVA</v>
      </c>
      <c r="D84" s="404" t="str">
        <f>IFERROR(TRIM(MAQUINARIA!C16&amp;" "&amp;MAQUINARIA!E16),"—")</f>
        <v>TRACTOR D9T</v>
      </c>
      <c r="E84" s="397" cm="1">
        <f t="array" ref="E84">IF(B84="",0,IFERROR(ROWS(_xlfn.UNIQUE(_xlfn._xlws.FILTER(Tabla3[PEDIDO],(Tabla3[STATUS]="COTIZANDO")*(Tabla3[NUM ECONOMICO]=B84)*(Tabla3[TEMA]&lt;&gt;"SERVICIO DE FILTROS")))),0))</f>
        <v>3</v>
      </c>
      <c r="F84" s="398">
        <f>IF(B84="",0,COUNTIFS(Tabla3[STATUS],"COTIZANDO",Tabla3[NUM ECONOMICO],B84,Tabla3[TEMA],"&lt;&gt;SERVICIO DE FILTROS"))</f>
        <v>15</v>
      </c>
      <c r="G84" s="399">
        <f>IF(B84="",0,SUMIFS(Tabla3[COSTO TOTAL SIN IVA PESOS EN MATCO],Tabla3[STATUS],"COTIZANDO",Tabla3[NUM ECONOMICO],B84,Tabla3[TEMA],"&lt;&gt;SERVICIO DE FILTROS"))</f>
        <v>67991.260000000009</v>
      </c>
      <c r="H84" s="400">
        <f>IF(B84="",0,SUMIFS(Tabla3[COSTO TOTAL DOLARES EN HAWTHORNE],Tabla3[STATUS],"COTIZANDO",Tabla3[NUM ECONOMICO],B84,Tabla3[TEMA],"&lt;&gt;SERVICIO DE FILTROS"))</f>
        <v>3100.2700000000004</v>
      </c>
      <c r="I84" s="401">
        <f>IF(B84="","",_xlfn.LET(_xlpm.totalUSD,SUMIFS(Tabla3[COSTO TOTAL DOLARES EN HAWTHORNE],Tabla3[STATUS],"COTIZANDO",Tabla3[NUM ECONOMICO],B84,Tabla3[TEMA],"&lt;&gt;SERVICIO DE FILTROS"),IF(OR(TC="",_xlpm.totalUSD=0),"—",_xlpm.totalUSD*TC)))</f>
        <v>52704.590000000011</v>
      </c>
      <c r="J84" s="400">
        <f>IF(B84="",0,SUMIFS(Tabla3[COSTO TOTAL DOLARES CTP],Tabla3[STATUS],"COTIZANDO",Tabla3[NUM ECONOMICO],B84,Tabla3[TEMA],"&lt;&gt;SERVICIO DE FILTROS"))</f>
        <v>799.61</v>
      </c>
      <c r="K84" s="401">
        <f>IF(B84="","",_xlfn.LET(_xlpm.totalUSD,SUMIFS(Tabla3[COSTO TOTAL DOLARES CTP],Tabla3[STATUS],"COTIZANDO",Tabla3[NUM ECONOMICO],B84,Tabla3[TEMA],"&lt;&gt;SERVICIO DE FILTROS"),IF(OR(TC="",_xlpm.totalUSD=0),"—",_xlpm.totalUSD*TC)))</f>
        <v>13593.37</v>
      </c>
      <c r="L84" s="398" cm="1">
        <f t="array" ref="L84">IF(B84="",0,IFERROR(MAX(_xlfn._xlws.FILTER(Tabla3[DIAS DE ENTREGA TENTATIVO EN MATCO],(Tabla3[STATUS]="COTIZANDO")*(Tabla3[NUM ECONOMICO]=B84)*(Tabla3[TEMA]&lt;&gt;"SERVICIO DE FILTROS"))),0))</f>
        <v>0</v>
      </c>
    </row>
    <row r="85" spans="2:12" x14ac:dyDescent="0.2">
      <c r="B85" s="403" t="str">
        <f>MAQUINARIA!B22</f>
        <v>MT-04</v>
      </c>
      <c r="C85" s="403" t="str">
        <f>MAQUINARIA!H22</f>
        <v>INACTIVA</v>
      </c>
      <c r="D85" s="404" t="str">
        <f>IFERROR(TRIM(MAQUINARIA!C22&amp;" "&amp;MAQUINARIA!E22),"—")</f>
        <v>TRACTOR D9R</v>
      </c>
      <c r="E85" s="397" cm="1">
        <f t="array" ref="E85">IF(B85="",0,IFERROR(ROWS(_xlfn.UNIQUE(_xlfn._xlws.FILTER(Tabla3[PEDIDO],(Tabla3[STATUS]="COTIZANDO")*(Tabla3[NUM ECONOMICO]=B85)*(Tabla3[TEMA]&lt;&gt;"SERVICIO DE FILTROS")))),0))</f>
        <v>1</v>
      </c>
      <c r="F85" s="398">
        <f>IF(B85="",0,COUNTIFS(Tabla3[STATUS],"COTIZANDO",Tabla3[NUM ECONOMICO],B85,Tabla3[TEMA],"&lt;&gt;SERVICIO DE FILTROS"))</f>
        <v>1</v>
      </c>
      <c r="G85" s="399">
        <f>IF(B85="",0,SUMIFS(Tabla3[COSTO TOTAL SIN IVA PESOS EN MATCO],Tabla3[STATUS],"COTIZANDO",Tabla3[NUM ECONOMICO],B85,Tabla3[TEMA],"&lt;&gt;SERVICIO DE FILTROS"))</f>
        <v>22788.31</v>
      </c>
      <c r="H85" s="400">
        <f>IF(B85="",0,SUMIFS(Tabla3[COSTO TOTAL DOLARES EN HAWTHORNE],Tabla3[STATUS],"COTIZANDO",Tabla3[NUM ECONOMICO],B85,Tabla3[TEMA],"&lt;&gt;SERVICIO DE FILTROS"))</f>
        <v>0</v>
      </c>
      <c r="I85" s="401" t="str">
        <f>IF(B85="","",_xlfn.LET(_xlpm.totalUSD,SUMIFS(Tabla3[COSTO TOTAL DOLARES EN HAWTHORNE],Tabla3[STATUS],"COTIZANDO",Tabla3[NUM ECONOMICO],B85,Tabla3[TEMA],"&lt;&gt;SERVICIO DE FILTROS"),IF(OR(TC="",_xlpm.totalUSD=0),"—",_xlpm.totalUSD*TC)))</f>
        <v>—</v>
      </c>
      <c r="J85" s="400">
        <f>IF(B85="",0,SUMIFS(Tabla3[COSTO TOTAL DOLARES CTP],Tabla3[STATUS],"COTIZANDO",Tabla3[NUM ECONOMICO],B85,Tabla3[TEMA],"&lt;&gt;SERVICIO DE FILTROS"))</f>
        <v>0</v>
      </c>
      <c r="K85" s="401" t="str">
        <f>IF(B85="","",_xlfn.LET(_xlpm.totalUSD,SUMIFS(Tabla3[COSTO TOTAL DOLARES CTP],Tabla3[STATUS],"COTIZANDO",Tabla3[NUM ECONOMICO],B85,Tabla3[TEMA],"&lt;&gt;SERVICIO DE FILTROS"),IF(OR(TC="",_xlpm.totalUSD=0),"—",_xlpm.totalUSD*TC)))</f>
        <v>—</v>
      </c>
      <c r="L85" s="398" cm="1">
        <f t="array" ref="L85">IF(B85="",0,IFERROR(MAX(_xlfn._xlws.FILTER(Tabla3[DIAS DE ENTREGA TENTATIVO EN MATCO],(Tabla3[STATUS]="COTIZANDO")*(Tabla3[NUM ECONOMICO]=B85)*(Tabla3[TEMA]&lt;&gt;"SERVICIO DE FILTROS"))),0))</f>
        <v>0</v>
      </c>
    </row>
    <row r="86" spans="2:12" x14ac:dyDescent="0.2">
      <c r="B86" s="403" t="str">
        <f>MAQUINARIA!B30</f>
        <v>MT-05</v>
      </c>
      <c r="C86" s="403" t="str">
        <f>MAQUINARIA!H30</f>
        <v>ACTIVA</v>
      </c>
      <c r="D86" s="404" t="str">
        <f>IFERROR(TRIM(MAQUINARIA!C30&amp;" "&amp;MAQUINARIA!E30),"—")</f>
        <v>TRACTOR D9R</v>
      </c>
      <c r="E86" s="397" cm="1">
        <f t="array" ref="E86">IF(B86="",0,IFERROR(ROWS(_xlfn.UNIQUE(_xlfn._xlws.FILTER(Tabla3[PEDIDO],(Tabla3[STATUS]="COTIZANDO")*(Tabla3[NUM ECONOMICO]=B86)*(Tabla3[TEMA]&lt;&gt;"SERVICIO DE FILTROS")))),0))</f>
        <v>1</v>
      </c>
      <c r="F86" s="398">
        <f>IF(B86="",0,COUNTIFS(Tabla3[STATUS],"COTIZANDO",Tabla3[NUM ECONOMICO],B86,Tabla3[TEMA],"&lt;&gt;SERVICIO DE FILTROS"))</f>
        <v>1</v>
      </c>
      <c r="G86" s="399">
        <f>IF(B86="",0,SUMIFS(Tabla3[COSTO TOTAL SIN IVA PESOS EN MATCO],Tabla3[STATUS],"COTIZANDO",Tabla3[NUM ECONOMICO],B86,Tabla3[TEMA],"&lt;&gt;SERVICIO DE FILTROS"))</f>
        <v>3526.92</v>
      </c>
      <c r="H86" s="400">
        <f>IF(B86="",0,SUMIFS(Tabla3[COSTO TOTAL DOLARES EN HAWTHORNE],Tabla3[STATUS],"COTIZANDO",Tabla3[NUM ECONOMICO],B86,Tabla3[TEMA],"&lt;&gt;SERVICIO DE FILTROS"))</f>
        <v>166.66</v>
      </c>
      <c r="I86" s="401">
        <f>IF(B86="","",_xlfn.LET(_xlpm.totalUSD,SUMIFS(Tabla3[COSTO TOTAL DOLARES EN HAWTHORNE],Tabla3[STATUS],"COTIZANDO",Tabla3[NUM ECONOMICO],B86,Tabla3[TEMA],"&lt;&gt;SERVICIO DE FILTROS"),IF(OR(TC="",_xlpm.totalUSD=0),"—",_xlpm.totalUSD*TC)))</f>
        <v>2833.22</v>
      </c>
      <c r="J86" s="400">
        <f>IF(B86="",0,SUMIFS(Tabla3[COSTO TOTAL DOLARES CTP],Tabla3[STATUS],"COTIZANDO",Tabla3[NUM ECONOMICO],B86,Tabla3[TEMA],"&lt;&gt;SERVICIO DE FILTROS"))</f>
        <v>143.26</v>
      </c>
      <c r="K86" s="401">
        <f>IF(B86="","",_xlfn.LET(_xlpm.totalUSD,SUMIFS(Tabla3[COSTO TOTAL DOLARES CTP],Tabla3[STATUS],"COTIZANDO",Tabla3[NUM ECONOMICO],B86,Tabla3[TEMA],"&lt;&gt;SERVICIO DE FILTROS"),IF(OR(TC="",_xlpm.totalUSD=0),"—",_xlpm.totalUSD*TC)))</f>
        <v>2435.42</v>
      </c>
      <c r="L86" s="398" cm="1">
        <f t="array" ref="L86">IF(B86="",0,IFERROR(MAX(_xlfn._xlws.FILTER(Tabla3[DIAS DE ENTREGA TENTATIVO EN MATCO],(Tabla3[STATUS]="COTIZANDO")*(Tabla3[NUM ECONOMICO]=B86)*(Tabla3[TEMA]&lt;&gt;"SERVICIO DE FILTROS"))),0))</f>
        <v>0</v>
      </c>
    </row>
    <row r="87" spans="2:12" x14ac:dyDescent="0.2">
      <c r="B87" s="403" t="str">
        <f>MAQUINARIA!B37</f>
        <v>MT-06</v>
      </c>
      <c r="C87" s="403" t="str">
        <f>MAQUINARIA!H37</f>
        <v>INACTIVA</v>
      </c>
      <c r="D87" s="404" t="str">
        <f>IFERROR(TRIM(MAQUINARIA!C37&amp;" "&amp;MAQUINARIA!E37),"—")</f>
        <v>TRACTOR D10T</v>
      </c>
      <c r="E87" s="397" cm="1">
        <f t="array" ref="E87">IF(B87="",0,IFERROR(ROWS(_xlfn.UNIQUE(_xlfn._xlws.FILTER(Tabla3[PEDIDO],(Tabla3[STATUS]="COTIZANDO")*(Tabla3[NUM ECONOMICO]=B87)*(Tabla3[TEMA]&lt;&gt;"SERVICIO DE FILTROS")))),0))</f>
        <v>1</v>
      </c>
      <c r="F87" s="398">
        <f>IF(B87="",0,COUNTIFS(Tabla3[STATUS],"COTIZANDO",Tabla3[NUM ECONOMICO],B87,Tabla3[TEMA],"&lt;&gt;SERVICIO DE FILTROS"))</f>
        <v>38</v>
      </c>
      <c r="G87" s="399">
        <f>IF(B87="",0,SUMIFS(Tabla3[COSTO TOTAL SIN IVA PESOS EN MATCO],Tabla3[STATUS],"COTIZANDO",Tabla3[NUM ECONOMICO],B87,Tabla3[TEMA],"&lt;&gt;SERVICIO DE FILTROS"))</f>
        <v>442801.37</v>
      </c>
      <c r="H87" s="400">
        <f>IF(B87="",0,SUMIFS(Tabla3[COSTO TOTAL DOLARES EN HAWTHORNE],Tabla3[STATUS],"COTIZANDO",Tabla3[NUM ECONOMICO],B87,Tabla3[TEMA],"&lt;&gt;SERVICIO DE FILTROS"))</f>
        <v>18976.180000000004</v>
      </c>
      <c r="I87" s="401">
        <f>IF(B87="","",_xlfn.LET(_xlpm.totalUSD,SUMIFS(Tabla3[COSTO TOTAL DOLARES EN HAWTHORNE],Tabla3[STATUS],"COTIZANDO",Tabla3[NUM ECONOMICO],B87,Tabla3[TEMA],"&lt;&gt;SERVICIO DE FILTROS"),IF(OR(TC="",_xlpm.totalUSD=0),"—",_xlpm.totalUSD*TC)))</f>
        <v>322595.06000000006</v>
      </c>
      <c r="J87" s="400">
        <f>IF(B87="",0,SUMIFS(Tabla3[COSTO TOTAL DOLARES CTP],Tabla3[STATUS],"COTIZANDO",Tabla3[NUM ECONOMICO],B87,Tabla3[TEMA],"&lt;&gt;SERVICIO DE FILTROS"))</f>
        <v>1744.7599999999998</v>
      </c>
      <c r="K87" s="401">
        <f>IF(B87="","",_xlfn.LET(_xlpm.totalUSD,SUMIFS(Tabla3[COSTO TOTAL DOLARES CTP],Tabla3[STATUS],"COTIZANDO",Tabla3[NUM ECONOMICO],B87,Tabla3[TEMA],"&lt;&gt;SERVICIO DE FILTROS"),IF(OR(TC="",_xlpm.totalUSD=0),"—",_xlpm.totalUSD*TC)))</f>
        <v>29660.919999999995</v>
      </c>
      <c r="L87" s="398" cm="1">
        <f t="array" ref="L87">IF(B87="",0,IFERROR(MAX(_xlfn._xlws.FILTER(Tabla3[DIAS DE ENTREGA TENTATIVO EN MATCO],(Tabla3[STATUS]="COTIZANDO")*(Tabla3[NUM ECONOMICO]=B87)*(Tabla3[TEMA]&lt;&gt;"SERVICIO DE FILTROS"))),0))</f>
        <v>0</v>
      </c>
    </row>
    <row r="88" spans="2:12" x14ac:dyDescent="0.2">
      <c r="B88" s="403" t="str">
        <f>MAQUINARIA!B41</f>
        <v>MT-07</v>
      </c>
      <c r="C88" s="404" t="str">
        <f>MAQUINARIA!H41</f>
        <v>INACTIVA</v>
      </c>
      <c r="D88" s="404" t="str">
        <f>IFERROR(TRIM(MAQUINARIA!C41&amp;" "&amp;MAQUINARIA!E41),"—")</f>
        <v>TRACTOR D10T</v>
      </c>
      <c r="E88" s="398" cm="1">
        <f t="array" ref="E88">IF(B88="",0,IFERROR(ROWS(_xlfn.UNIQUE(_xlfn._xlws.FILTER(Tabla3[PEDIDO],(Tabla3[STATUS]="COTIZANDO")*(Tabla3[NUM ECONOMICO]=B88)*(Tabla3[TEMA]&lt;&gt;"SERVICIO DE FILTROS")))),0))</f>
        <v>0</v>
      </c>
      <c r="F88" s="398">
        <f>IF(B88="",0,COUNTIFS(Tabla3[STATUS],"COTIZANDO",Tabla3[NUM ECONOMICO],B88,Tabla3[TEMA],"&lt;&gt;SERVICIO DE FILTROS"))</f>
        <v>0</v>
      </c>
      <c r="G88" s="399">
        <f>IF(B88="",0,SUMIFS(Tabla3[COSTO TOTAL SIN IVA PESOS EN MATCO],Tabla3[STATUS],"COTIZANDO",Tabla3[NUM ECONOMICO],B88,Tabla3[TEMA],"&lt;&gt;SERVICIO DE FILTROS"))</f>
        <v>0</v>
      </c>
      <c r="H88" s="400">
        <f>IF(B88="",0,SUMIFS(Tabla3[COSTO TOTAL DOLARES EN HAWTHORNE],Tabla3[STATUS],"COTIZANDO",Tabla3[NUM ECONOMICO],B88,Tabla3[TEMA],"&lt;&gt;SERVICIO DE FILTROS"))</f>
        <v>0</v>
      </c>
      <c r="I88" s="401" t="str">
        <f>IF(B88="","",_xlfn.LET(_xlpm.totalUSD,SUMIFS(Tabla3[COSTO TOTAL DOLARES EN HAWTHORNE],Tabla3[STATUS],"COTIZANDO",Tabla3[NUM ECONOMICO],B88,Tabla3[TEMA],"&lt;&gt;SERVICIO DE FILTROS"),IF(OR(TC="",_xlpm.totalUSD=0),"—",_xlpm.totalUSD*TC)))</f>
        <v>—</v>
      </c>
      <c r="J88" s="400">
        <f>IF(B88="",0,SUMIFS(Tabla3[COSTO TOTAL DOLARES CTP],Tabla3[STATUS],"COTIZANDO",Tabla3[NUM ECONOMICO],B88,Tabla3[TEMA],"&lt;&gt;SERVICIO DE FILTROS"))</f>
        <v>0</v>
      </c>
      <c r="K88" s="401" t="str">
        <f>IF(B88="","",_xlfn.LET(_xlpm.totalUSD,SUMIFS(Tabla3[COSTO TOTAL DOLARES CTP],Tabla3[STATUS],"COTIZANDO",Tabla3[NUM ECONOMICO],B88,Tabla3[TEMA],"&lt;&gt;SERVICIO DE FILTROS"),IF(OR(TC="",_xlpm.totalUSD=0),"—",_xlpm.totalUSD*TC)))</f>
        <v>—</v>
      </c>
      <c r="L88" s="398" cm="1">
        <f t="array" ref="L88">IF(B88="",0,IFERROR(MAX(_xlfn._xlws.FILTER(Tabla3[DIAS DE ENTREGA TENTATIVO EN MATCO],(Tabla3[STATUS]="COTIZANDO")*(Tabla3[NUM ECONOMICO]=B88)*(Tabla3[TEMA]&lt;&gt;"SERVICIO DE FILTROS"))),0))</f>
        <v>0</v>
      </c>
    </row>
    <row r="89" spans="2:12" x14ac:dyDescent="0.2">
      <c r="B89" s="403" t="str">
        <f>MAQUINARIA!B52</f>
        <v>MT-08</v>
      </c>
      <c r="C89" s="403" t="str">
        <f>MAQUINARIA!H52</f>
        <v>ACTIVA</v>
      </c>
      <c r="D89" s="404" t="str">
        <f>IFERROR(TRIM(MAQUINARIA!C52&amp;" "&amp;MAQUINARIA!E52),"—")</f>
        <v>TRACTOR D11R</v>
      </c>
      <c r="E89" s="397" cm="1">
        <f t="array" ref="E89">IF(B89="",0,IFERROR(ROWS(_xlfn.UNIQUE(_xlfn._xlws.FILTER(Tabla3[PEDIDO],(Tabla3[STATUS]="COTIZANDO")*(Tabla3[NUM ECONOMICO]=B89)*(Tabla3[TEMA]&lt;&gt;"SERVICIO DE FILTROS")))),0))</f>
        <v>0</v>
      </c>
      <c r="F89" s="398">
        <f>IF(B89="",0,COUNTIFS(Tabla3[STATUS],"COTIZANDO",Tabla3[NUM ECONOMICO],B89,Tabla3[TEMA],"&lt;&gt;SERVICIO DE FILTROS"))</f>
        <v>0</v>
      </c>
      <c r="G89" s="399">
        <f>IF(B89="",0,SUMIFS(Tabla3[COSTO TOTAL SIN IVA PESOS EN MATCO],Tabla3[STATUS],"COTIZANDO",Tabla3[NUM ECONOMICO],B89,Tabla3[TEMA],"&lt;&gt;SERVICIO DE FILTROS"))</f>
        <v>0</v>
      </c>
      <c r="H89" s="400">
        <f>IF(B89="",0,SUMIFS(Tabla3[COSTO TOTAL DOLARES EN HAWTHORNE],Tabla3[STATUS],"COTIZANDO",Tabla3[NUM ECONOMICO],B89,Tabla3[TEMA],"&lt;&gt;SERVICIO DE FILTROS"))</f>
        <v>0</v>
      </c>
      <c r="I89" s="401" t="str">
        <f>IF(B89="","",_xlfn.LET(_xlpm.totalUSD,SUMIFS(Tabla3[COSTO TOTAL DOLARES EN HAWTHORNE],Tabla3[STATUS],"COTIZANDO",Tabla3[NUM ECONOMICO],B89,Tabla3[TEMA],"&lt;&gt;SERVICIO DE FILTROS"),IF(OR(TC="",_xlpm.totalUSD=0),"—",_xlpm.totalUSD*TC)))</f>
        <v>—</v>
      </c>
      <c r="J89" s="400">
        <f>IF(B89="",0,SUMIFS(Tabla3[COSTO TOTAL DOLARES CTP],Tabla3[STATUS],"COTIZANDO",Tabla3[NUM ECONOMICO],B89,Tabla3[TEMA],"&lt;&gt;SERVICIO DE FILTROS"))</f>
        <v>0</v>
      </c>
      <c r="K89" s="401" t="str">
        <f>IF(B89="","",_xlfn.LET(_xlpm.totalUSD,SUMIFS(Tabla3[COSTO TOTAL DOLARES CTP],Tabla3[STATUS],"COTIZANDO",Tabla3[NUM ECONOMICO],B89,Tabla3[TEMA],"&lt;&gt;SERVICIO DE FILTROS"),IF(OR(TC="",_xlpm.totalUSD=0),"—",_xlpm.totalUSD*TC)))</f>
        <v>—</v>
      </c>
      <c r="L89" s="398" cm="1">
        <f t="array" ref="L89">IF(B89="",0,IFERROR(MAX(_xlfn._xlws.FILTER(Tabla3[DIAS DE ENTREGA TENTATIVO EN MATCO],(Tabla3[STATUS]="COTIZANDO")*(Tabla3[NUM ECONOMICO]=B89)*(Tabla3[TEMA]&lt;&gt;"SERVICIO DE FILTROS"))),0))</f>
        <v>0</v>
      </c>
    </row>
    <row r="90" spans="2:12" x14ac:dyDescent="0.2">
      <c r="B90" s="403" t="str">
        <f>MAQUINARIA!B62</f>
        <v>MT-09</v>
      </c>
      <c r="C90" s="403" t="str">
        <f>MAQUINARIA!H62</f>
        <v>ACTIVA</v>
      </c>
      <c r="D90" s="404" t="str">
        <f>IFERROR(TRIM(MAQUINARIA!C62&amp;" "&amp;MAQUINARIA!E62),"—")</f>
        <v>TRACTOR D6T</v>
      </c>
      <c r="E90" s="397" cm="1">
        <f t="array" ref="E90">IF(B90="",0,IFERROR(ROWS(_xlfn.UNIQUE(_xlfn._xlws.FILTER(Tabla3[PEDIDO],(Tabla3[STATUS]="COTIZANDO")*(Tabla3[NUM ECONOMICO]=B90)*(Tabla3[TEMA]&lt;&gt;"SERVICIO DE FILTROS")))),0))</f>
        <v>0</v>
      </c>
      <c r="F90" s="398">
        <f>IF(B90="",0,COUNTIFS(Tabla3[STATUS],"COTIZANDO",Tabla3[NUM ECONOMICO],B90,Tabla3[TEMA],"&lt;&gt;SERVICIO DE FILTROS"))</f>
        <v>0</v>
      </c>
      <c r="G90" s="399">
        <f>IF(B90="",0,SUMIFS(Tabla3[COSTO TOTAL SIN IVA PESOS EN MATCO],Tabla3[STATUS],"COTIZANDO",Tabla3[NUM ECONOMICO],B90,Tabla3[TEMA],"&lt;&gt;SERVICIO DE FILTROS"))</f>
        <v>0</v>
      </c>
      <c r="H90" s="400">
        <f>IF(B90="",0,SUMIFS(Tabla3[COSTO TOTAL DOLARES EN HAWTHORNE],Tabla3[STATUS],"COTIZANDO",Tabla3[NUM ECONOMICO],B90,Tabla3[TEMA],"&lt;&gt;SERVICIO DE FILTROS"))</f>
        <v>0</v>
      </c>
      <c r="I90" s="401" t="str">
        <f>IF(B90="","",_xlfn.LET(_xlpm.totalUSD,SUMIFS(Tabla3[COSTO TOTAL DOLARES EN HAWTHORNE],Tabla3[STATUS],"COTIZANDO",Tabla3[NUM ECONOMICO],B90,Tabla3[TEMA],"&lt;&gt;SERVICIO DE FILTROS"),IF(OR(TC="",_xlpm.totalUSD=0),"—",_xlpm.totalUSD*TC)))</f>
        <v>—</v>
      </c>
      <c r="J90" s="400">
        <f>IF(B90="",0,SUMIFS(Tabla3[COSTO TOTAL DOLARES CTP],Tabla3[STATUS],"COTIZANDO",Tabla3[NUM ECONOMICO],B90,Tabla3[TEMA],"&lt;&gt;SERVICIO DE FILTROS"))</f>
        <v>0</v>
      </c>
      <c r="K90" s="401" t="str">
        <f>IF(B90="","",_xlfn.LET(_xlpm.totalUSD,SUMIFS(Tabla3[COSTO TOTAL DOLARES CTP],Tabla3[STATUS],"COTIZANDO",Tabla3[NUM ECONOMICO],B90,Tabla3[TEMA],"&lt;&gt;SERVICIO DE FILTROS"),IF(OR(TC="",_xlpm.totalUSD=0),"—",_xlpm.totalUSD*TC)))</f>
        <v>—</v>
      </c>
      <c r="L90" s="398" cm="1">
        <f t="array" ref="L90">IF(B90="",0,IFERROR(MAX(_xlfn._xlws.FILTER(Tabla3[DIAS DE ENTREGA TENTATIVO EN MATCO],(Tabla3[STATUS]="COTIZANDO")*(Tabla3[NUM ECONOMICO]=B90)*(Tabla3[TEMA]&lt;&gt;"SERVICIO DE FILTROS"))),0))</f>
        <v>0</v>
      </c>
    </row>
    <row r="91" spans="2:12" x14ac:dyDescent="0.2">
      <c r="B91" s="403" t="str">
        <f>MAQUINARIA!B72</f>
        <v>MT-11</v>
      </c>
      <c r="C91" s="403" t="str">
        <f>MAQUINARIA!H72</f>
        <v>ACTIVA</v>
      </c>
      <c r="D91" s="404" t="str">
        <f>IFERROR(TRIM(MAQUINARIA!C72&amp;" "&amp;MAQUINARIA!E72),"—")</f>
        <v>TRACTOR D9T</v>
      </c>
      <c r="E91" s="397" cm="1">
        <f t="array" ref="E91">IF(B91="",0,IFERROR(ROWS(_xlfn.UNIQUE(_xlfn._xlws.FILTER(Tabla3[PEDIDO],(Tabla3[STATUS]="COTIZANDO")*(Tabla3[NUM ECONOMICO]=B91)*(Tabla3[TEMA]&lt;&gt;"SERVICIO DE FILTROS")))),0))</f>
        <v>0</v>
      </c>
      <c r="F91" s="398">
        <f>IF(B91="",0,COUNTIFS(Tabla3[STATUS],"COTIZANDO",Tabla3[NUM ECONOMICO],B91,Tabla3[TEMA],"&lt;&gt;SERVICIO DE FILTROS"))</f>
        <v>0</v>
      </c>
      <c r="G91" s="399">
        <f>IF(B91="",0,SUMIFS(Tabla3[COSTO TOTAL SIN IVA PESOS EN MATCO],Tabla3[STATUS],"COTIZANDO",Tabla3[NUM ECONOMICO],B91,Tabla3[TEMA],"&lt;&gt;SERVICIO DE FILTROS"))</f>
        <v>0</v>
      </c>
      <c r="H91" s="400">
        <f>IF(B91="",0,SUMIFS(Tabla3[COSTO TOTAL DOLARES EN HAWTHORNE],Tabla3[STATUS],"COTIZANDO",Tabla3[NUM ECONOMICO],B91,Tabla3[TEMA],"&lt;&gt;SERVICIO DE FILTROS"))</f>
        <v>0</v>
      </c>
      <c r="I91" s="401" t="str">
        <f>IF(B91="","",_xlfn.LET(_xlpm.totalUSD,SUMIFS(Tabla3[COSTO TOTAL DOLARES EN HAWTHORNE],Tabla3[STATUS],"COTIZANDO",Tabla3[NUM ECONOMICO],B91,Tabla3[TEMA],"&lt;&gt;SERVICIO DE FILTROS"),IF(OR(TC="",_xlpm.totalUSD=0),"—",_xlpm.totalUSD*TC)))</f>
        <v>—</v>
      </c>
      <c r="J91" s="400">
        <f>IF(B91="",0,SUMIFS(Tabla3[COSTO TOTAL DOLARES CTP],Tabla3[STATUS],"COTIZANDO",Tabla3[NUM ECONOMICO],B91,Tabla3[TEMA],"&lt;&gt;SERVICIO DE FILTROS"))</f>
        <v>0</v>
      </c>
      <c r="K91" s="401" t="str">
        <f>IF(B91="","",_xlfn.LET(_xlpm.totalUSD,SUMIFS(Tabla3[COSTO TOTAL DOLARES CTP],Tabla3[STATUS],"COTIZANDO",Tabla3[NUM ECONOMICO],B91,Tabla3[TEMA],"&lt;&gt;SERVICIO DE FILTROS"),IF(OR(TC="",_xlpm.totalUSD=0),"—",_xlpm.totalUSD*TC)))</f>
        <v>—</v>
      </c>
      <c r="L91" s="398" cm="1">
        <f t="array" ref="L91">IF(B91="",0,IFERROR(MAX(_xlfn._xlws.FILTER(Tabla3[DIAS DE ENTREGA TENTATIVO EN MATCO],(Tabla3[STATUS]="COTIZANDO")*(Tabla3[NUM ECONOMICO]=B91)*(Tabla3[TEMA]&lt;&gt;"SERVICIO DE FILTROS"))),0))</f>
        <v>0</v>
      </c>
    </row>
    <row r="92" spans="2:12" x14ac:dyDescent="0.2">
      <c r="B92" s="403" t="str">
        <f>MAQUINARIA!B75</f>
        <v>MT-13</v>
      </c>
      <c r="C92" s="403" t="str">
        <f>MAQUINARIA!H75</f>
        <v>ACTIVA</v>
      </c>
      <c r="D92" s="404" t="str">
        <f>IFERROR(TRIM(MAQUINARIA!C75&amp;" "&amp;MAQUINARIA!E75),"—")</f>
        <v>TRACTOR D10T</v>
      </c>
      <c r="E92" s="397" cm="1">
        <f t="array" ref="E92">IF(B92="",0,IFERROR(ROWS(_xlfn.UNIQUE(_xlfn._xlws.FILTER(Tabla3[PEDIDO],(Tabla3[STATUS]="COTIZANDO")*(Tabla3[NUM ECONOMICO]=B92)*(Tabla3[TEMA]&lt;&gt;"SERVICIO DE FILTROS")))),0))</f>
        <v>1</v>
      </c>
      <c r="F92" s="398">
        <f>IF(B92="",0,COUNTIFS(Tabla3[STATUS],"COTIZANDO",Tabla3[NUM ECONOMICO],B92,Tabla3[TEMA],"&lt;&gt;SERVICIO DE FILTROS"))</f>
        <v>4</v>
      </c>
      <c r="G92" s="399">
        <f>IF(B92="",0,SUMIFS(Tabla3[COSTO TOTAL SIN IVA PESOS EN MATCO],Tabla3[STATUS],"COTIZANDO",Tabla3[NUM ECONOMICO],B92,Tabla3[TEMA],"&lt;&gt;SERVICIO DE FILTROS"))</f>
        <v>560989.75</v>
      </c>
      <c r="H92" s="400">
        <f>IF(B92="",0,SUMIFS(Tabla3[COSTO TOTAL DOLARES EN HAWTHORNE],Tabla3[STATUS],"COTIZANDO",Tabla3[NUM ECONOMICO],B92,Tabla3[TEMA],"&lt;&gt;SERVICIO DE FILTROS"))</f>
        <v>29939.030000000002</v>
      </c>
      <c r="I92" s="401">
        <f>IF(B92="","",_xlfn.LET(_xlpm.totalUSD,SUMIFS(Tabla3[COSTO TOTAL DOLARES EN HAWTHORNE],Tabla3[STATUS],"COTIZANDO",Tabla3[NUM ECONOMICO],B92,Tabla3[TEMA],"&lt;&gt;SERVICIO DE FILTROS"),IF(OR(TC="",_xlpm.totalUSD=0),"—",_xlpm.totalUSD*TC)))</f>
        <v>508963.51000000007</v>
      </c>
      <c r="J92" s="400">
        <f>IF(B92="",0,SUMIFS(Tabla3[COSTO TOTAL DOLARES CTP],Tabla3[STATUS],"COTIZANDO",Tabla3[NUM ECONOMICO],B92,Tabla3[TEMA],"&lt;&gt;SERVICIO DE FILTROS"))</f>
        <v>2365.34</v>
      </c>
      <c r="K92" s="401">
        <f>IF(B92="","",_xlfn.LET(_xlpm.totalUSD,SUMIFS(Tabla3[COSTO TOTAL DOLARES CTP],Tabla3[STATUS],"COTIZANDO",Tabla3[NUM ECONOMICO],B92,Tabla3[TEMA],"&lt;&gt;SERVICIO DE FILTROS"),IF(OR(TC="",_xlpm.totalUSD=0),"—",_xlpm.totalUSD*TC)))</f>
        <v>40210.78</v>
      </c>
      <c r="L92" s="398" cm="1">
        <f t="array" ref="L92">IF(B92="",0,IFERROR(MAX(_xlfn._xlws.FILTER(Tabla3[DIAS DE ENTREGA TENTATIVO EN MATCO],(Tabla3[STATUS]="COTIZANDO")*(Tabla3[NUM ECONOMICO]=B92)*(Tabla3[TEMA]&lt;&gt;"SERVICIO DE FILTROS"))),0))</f>
        <v>0</v>
      </c>
    </row>
    <row r="93" spans="2:12" x14ac:dyDescent="0.2">
      <c r="B93" s="403" t="str">
        <f>MAQUINARIA!B349</f>
        <v>MV-01</v>
      </c>
      <c r="C93" s="404" t="str">
        <f>MAQUINARIA!H349</f>
        <v>ACTIVA</v>
      </c>
      <c r="D93" s="404" t="str">
        <f>IFERROR(TRIM(MAQUINARIA!C349&amp;" "&amp;MAQUINARIA!E349),"—")</f>
        <v>VIBROCOMPACTADOR CS533</v>
      </c>
      <c r="E93" s="397" cm="1">
        <f t="array" ref="E93">IF(B93="",0,IFERROR(ROWS(_xlfn.UNIQUE(_xlfn._xlws.FILTER(Tabla3[PEDIDO],(Tabla3[STATUS]="COTIZANDO")*(Tabla3[NUM ECONOMICO]=B93)*(Tabla3[TEMA]&lt;&gt;"SERVICIO DE FILTROS")))),0))</f>
        <v>0</v>
      </c>
      <c r="F93" s="398">
        <f>IF(B93="",0,COUNTIFS(Tabla3[STATUS],"COTIZANDO",Tabla3[NUM ECONOMICO],B93,Tabla3[TEMA],"&lt;&gt;SERVICIO DE FILTROS"))</f>
        <v>0</v>
      </c>
      <c r="G93" s="399">
        <f>IF(B93="",0,SUMIFS(Tabla3[COSTO TOTAL SIN IVA PESOS EN MATCO],Tabla3[STATUS],"COTIZANDO",Tabla3[NUM ECONOMICO],B93,Tabla3[TEMA],"&lt;&gt;SERVICIO DE FILTROS"))</f>
        <v>0</v>
      </c>
      <c r="H93" s="400">
        <f>IF(B93="",0,SUMIFS(Tabla3[COSTO TOTAL DOLARES EN HAWTHORNE],Tabla3[STATUS],"COTIZANDO",Tabla3[NUM ECONOMICO],B93,Tabla3[TEMA],"&lt;&gt;SERVICIO DE FILTROS"))</f>
        <v>0</v>
      </c>
      <c r="I93" s="401" t="str">
        <f>IF(B93="","",_xlfn.LET(_xlpm.totalUSD,SUMIFS(Tabla3[COSTO TOTAL DOLARES EN HAWTHORNE],Tabla3[STATUS],"COTIZANDO",Tabla3[NUM ECONOMICO],B93,Tabla3[TEMA],"&lt;&gt;SERVICIO DE FILTROS"),IF(OR(TC="",_xlpm.totalUSD=0),"—",_xlpm.totalUSD*TC)))</f>
        <v>—</v>
      </c>
      <c r="J93" s="400">
        <f>IF(B93="",0,SUMIFS(Tabla3[COSTO TOTAL DOLARES CTP],Tabla3[STATUS],"COTIZANDO",Tabla3[NUM ECONOMICO],B93,Tabla3[TEMA],"&lt;&gt;SERVICIO DE FILTROS"))</f>
        <v>0</v>
      </c>
      <c r="K93" s="401" t="str">
        <f>IF(B93="","",_xlfn.LET(_xlpm.totalUSD,SUMIFS(Tabla3[COSTO TOTAL DOLARES CTP],Tabla3[STATUS],"COTIZANDO",Tabla3[NUM ECONOMICO],B93,Tabla3[TEMA],"&lt;&gt;SERVICIO DE FILTROS"),IF(OR(TC="",_xlpm.totalUSD=0),"—",_xlpm.totalUSD*TC)))</f>
        <v>—</v>
      </c>
      <c r="L93" s="398" cm="1">
        <f t="array" ref="L93">IF(B93="",0,IFERROR(MAX(_xlfn._xlws.FILTER(Tabla3[DIAS DE ENTREGA TENTATIVO EN MATCO],(Tabla3[STATUS]="COTIZANDO")*(Tabla3[NUM ECONOMICO]=B93)*(Tabla3[TEMA]&lt;&gt;"SERVICIO DE FILTROS"))),0))</f>
        <v>0</v>
      </c>
    </row>
    <row r="94" spans="2:12" x14ac:dyDescent="0.2">
      <c r="B94" s="403" t="str">
        <f>MAQUINARIA!B356</f>
        <v>MV-02</v>
      </c>
      <c r="C94" s="403" t="str">
        <f>MAQUINARIA!H356</f>
        <v>ACTIVA</v>
      </c>
      <c r="D94" s="404" t="str">
        <f>IFERROR(TRIM(MAQUINARIA!C356&amp;" "&amp;MAQUINARIA!E356),"—")</f>
        <v>VIBROCOMPACTADOR</v>
      </c>
      <c r="E94" s="397" cm="1">
        <f t="array" ref="E94">IF(B94="",0,IFERROR(ROWS(_xlfn.UNIQUE(_xlfn._xlws.FILTER(Tabla3[PEDIDO],(Tabla3[STATUS]="COTIZANDO")*(Tabla3[NUM ECONOMICO]=B94)*(Tabla3[TEMA]&lt;&gt;"SERVICIO DE FILTROS")))),0))</f>
        <v>0</v>
      </c>
      <c r="F94" s="398">
        <f>IF(B94="",0,COUNTIFS(Tabla3[STATUS],"COTIZANDO",Tabla3[NUM ECONOMICO],B94,Tabla3[TEMA],"&lt;&gt;SERVICIO DE FILTROS"))</f>
        <v>0</v>
      </c>
      <c r="G94" s="399">
        <f>IF(B94="",0,SUMIFS(Tabla3[COSTO TOTAL SIN IVA PESOS EN MATCO],Tabla3[STATUS],"COTIZANDO",Tabla3[NUM ECONOMICO],B94,Tabla3[TEMA],"&lt;&gt;SERVICIO DE FILTROS"))</f>
        <v>0</v>
      </c>
      <c r="H94" s="400">
        <f>IF(B94="",0,SUMIFS(Tabla3[COSTO TOTAL DOLARES EN HAWTHORNE],Tabla3[STATUS],"COTIZANDO",Tabla3[NUM ECONOMICO],B94,Tabla3[TEMA],"&lt;&gt;SERVICIO DE FILTROS"))</f>
        <v>0</v>
      </c>
      <c r="I94" s="401" t="str">
        <f>IF(B94="","",_xlfn.LET(_xlpm.totalUSD,SUMIFS(Tabla3[COSTO TOTAL DOLARES EN HAWTHORNE],Tabla3[STATUS],"COTIZANDO",Tabla3[NUM ECONOMICO],B94,Tabla3[TEMA],"&lt;&gt;SERVICIO DE FILTROS"),IF(OR(TC="",_xlpm.totalUSD=0),"—",_xlpm.totalUSD*TC)))</f>
        <v>—</v>
      </c>
      <c r="J94" s="400">
        <f>IF(B94="",0,SUMIFS(Tabla3[COSTO TOTAL DOLARES CTP],Tabla3[STATUS],"COTIZANDO",Tabla3[NUM ECONOMICO],B94,Tabla3[TEMA],"&lt;&gt;SERVICIO DE FILTROS"))</f>
        <v>0</v>
      </c>
      <c r="K94" s="401" t="str">
        <f>IF(B94="","",_xlfn.LET(_xlpm.totalUSD,SUMIFS(Tabla3[COSTO TOTAL DOLARES CTP],Tabla3[STATUS],"COTIZANDO",Tabla3[NUM ECONOMICO],B94,Tabla3[TEMA],"&lt;&gt;SERVICIO DE FILTROS"),IF(OR(TC="",_xlpm.totalUSD=0),"—",_xlpm.totalUSD*TC)))</f>
        <v>—</v>
      </c>
      <c r="L94" s="398" cm="1">
        <f t="array" ref="L94">IF(B94="",0,IFERROR(MAX(_xlfn._xlws.FILTER(Tabla3[DIAS DE ENTREGA TENTATIVO EN MATCO],(Tabla3[STATUS]="COTIZANDO")*(Tabla3[NUM ECONOMICO]=B94)*(Tabla3[TEMA]&lt;&gt;"SERVICIO DE FILTROS"))),0))</f>
        <v>0</v>
      </c>
    </row>
    <row r="95" spans="2:12" x14ac:dyDescent="0.2">
      <c r="B95" s="403" t="str">
        <f>MAQUINARIA!B359</f>
        <v>MV-03</v>
      </c>
      <c r="C95" s="403" t="str">
        <f>MAQUINARIA!H359</f>
        <v>ACTIVA</v>
      </c>
      <c r="D95" s="404" t="str">
        <f>IFERROR(TRIM(MAQUINARIA!C359&amp;" "&amp;MAQUINARIA!E359),"—")</f>
        <v>VIBROCOMPACTADOR CS11GC</v>
      </c>
      <c r="E95" s="397" cm="1">
        <f t="array" ref="E95">IF(B95="",0,IFERROR(ROWS(_xlfn.UNIQUE(_xlfn._xlws.FILTER(Tabla3[PEDIDO],(Tabla3[STATUS]="COTIZANDO")*(Tabla3[NUM ECONOMICO]=B95)*(Tabla3[TEMA]&lt;&gt;"SERVICIO DE FILTROS")))),0))</f>
        <v>0</v>
      </c>
      <c r="F95" s="398">
        <f>IF(B95="",0,COUNTIFS(Tabla3[STATUS],"COTIZANDO",Tabla3[NUM ECONOMICO],B95,Tabla3[TEMA],"&lt;&gt;SERVICIO DE FILTROS"))</f>
        <v>0</v>
      </c>
      <c r="G95" s="399">
        <f>IF(B95="",0,SUMIFS(Tabla3[COSTO TOTAL SIN IVA PESOS EN MATCO],Tabla3[STATUS],"COTIZANDO",Tabla3[NUM ECONOMICO],B95,Tabla3[TEMA],"&lt;&gt;SERVICIO DE FILTROS"))</f>
        <v>0</v>
      </c>
      <c r="H95" s="400">
        <f>IF(B95="",0,SUMIFS(Tabla3[COSTO TOTAL DOLARES EN HAWTHORNE],Tabla3[STATUS],"COTIZANDO",Tabla3[NUM ECONOMICO],B95,Tabla3[TEMA],"&lt;&gt;SERVICIO DE FILTROS"))</f>
        <v>0</v>
      </c>
      <c r="I95" s="401" t="str">
        <f>IF(B95="","",_xlfn.LET(_xlpm.totalUSD,SUMIFS(Tabla3[COSTO TOTAL DOLARES EN HAWTHORNE],Tabla3[STATUS],"COTIZANDO",Tabla3[NUM ECONOMICO],B95,Tabla3[TEMA],"&lt;&gt;SERVICIO DE FILTROS"),IF(OR(TC="",_xlpm.totalUSD=0),"—",_xlpm.totalUSD*TC)))</f>
        <v>—</v>
      </c>
      <c r="J95" s="400">
        <f>IF(B95="",0,SUMIFS(Tabla3[COSTO TOTAL DOLARES CTP],Tabla3[STATUS],"COTIZANDO",Tabla3[NUM ECONOMICO],B95,Tabla3[TEMA],"&lt;&gt;SERVICIO DE FILTROS"))</f>
        <v>0</v>
      </c>
      <c r="K95" s="401" t="str">
        <f>IF(B95="","",_xlfn.LET(_xlpm.totalUSD,SUMIFS(Tabla3[COSTO TOTAL DOLARES CTP],Tabla3[STATUS],"COTIZANDO",Tabla3[NUM ECONOMICO],B95,Tabla3[TEMA],"&lt;&gt;SERVICIO DE FILTROS"),IF(OR(TC="",_xlpm.totalUSD=0),"—",_xlpm.totalUSD*TC)))</f>
        <v>—</v>
      </c>
      <c r="L95" s="398" cm="1">
        <f t="array" ref="L95">IF(B95="",0,IFERROR(MAX(_xlfn._xlws.FILTER(Tabla3[DIAS DE ENTREGA TENTATIVO EN MATCO],(Tabla3[STATUS]="COTIZANDO")*(Tabla3[NUM ECONOMICO]=B95)*(Tabla3[TEMA]&lt;&gt;"SERVICIO DE FILTROS"))),0))</f>
        <v>0</v>
      </c>
    </row>
    <row r="96" spans="2:12" x14ac:dyDescent="0.2">
      <c r="B96" s="403" t="str">
        <f>MAQUINARIA!B77</f>
        <v>MX-01</v>
      </c>
      <c r="C96" s="403" t="str">
        <f>MAQUINARIA!H77</f>
        <v>INACTIVA</v>
      </c>
      <c r="D96" s="404" t="str">
        <f>IFERROR(TRIM(MAQUINARIA!C77&amp;" "&amp;MAQUINARIA!E77),"—")</f>
        <v>EXCAVADORA 320 CL</v>
      </c>
      <c r="E96" s="397" cm="1">
        <f t="array" ref="E96">IF(B96="",0,IFERROR(ROWS(_xlfn.UNIQUE(_xlfn._xlws.FILTER(Tabla3[PEDIDO],(Tabla3[STATUS]="COTIZANDO")*(Tabla3[NUM ECONOMICO]=B96)*(Tabla3[TEMA]&lt;&gt;"SERVICIO DE FILTROS")))),0))</f>
        <v>0</v>
      </c>
      <c r="F96" s="398">
        <f>IF(B96="",0,COUNTIFS(Tabla3[STATUS],"COTIZANDO",Tabla3[NUM ECONOMICO],B96,Tabla3[TEMA],"&lt;&gt;SERVICIO DE FILTROS"))</f>
        <v>0</v>
      </c>
      <c r="G96" s="399">
        <f>IF(B96="",0,SUMIFS(Tabla3[COSTO TOTAL SIN IVA PESOS EN MATCO],Tabla3[STATUS],"COTIZANDO",Tabla3[NUM ECONOMICO],B96,Tabla3[TEMA],"&lt;&gt;SERVICIO DE FILTROS"))</f>
        <v>0</v>
      </c>
      <c r="H96" s="400">
        <f>IF(B96="",0,SUMIFS(Tabla3[COSTO TOTAL DOLARES EN HAWTHORNE],Tabla3[STATUS],"COTIZANDO",Tabla3[NUM ECONOMICO],B96,Tabla3[TEMA],"&lt;&gt;SERVICIO DE FILTROS"))</f>
        <v>0</v>
      </c>
      <c r="I96" s="401" t="str">
        <f>IF(B96="","",_xlfn.LET(_xlpm.totalUSD,SUMIFS(Tabla3[COSTO TOTAL DOLARES EN HAWTHORNE],Tabla3[STATUS],"COTIZANDO",Tabla3[NUM ECONOMICO],B96,Tabla3[TEMA],"&lt;&gt;SERVICIO DE FILTROS"),IF(OR(TC="",_xlpm.totalUSD=0),"—",_xlpm.totalUSD*TC)))</f>
        <v>—</v>
      </c>
      <c r="J96" s="400">
        <f>IF(B96="",0,SUMIFS(Tabla3[COSTO TOTAL DOLARES CTP],Tabla3[STATUS],"COTIZANDO",Tabla3[NUM ECONOMICO],B96,Tabla3[TEMA],"&lt;&gt;SERVICIO DE FILTROS"))</f>
        <v>0</v>
      </c>
      <c r="K96" s="401" t="str">
        <f>IF(B96="","",_xlfn.LET(_xlpm.totalUSD,SUMIFS(Tabla3[COSTO TOTAL DOLARES CTP],Tabla3[STATUS],"COTIZANDO",Tabla3[NUM ECONOMICO],B96,Tabla3[TEMA],"&lt;&gt;SERVICIO DE FILTROS"),IF(OR(TC="",_xlpm.totalUSD=0),"—",_xlpm.totalUSD*TC)))</f>
        <v>—</v>
      </c>
      <c r="L96" s="398" cm="1">
        <f t="array" ref="L96">IF(B96="",0,IFERROR(MAX(_xlfn._xlws.FILTER(Tabla3[DIAS DE ENTREGA TENTATIVO EN MATCO],(Tabla3[STATUS]="COTIZANDO")*(Tabla3[NUM ECONOMICO]=B96)*(Tabla3[TEMA]&lt;&gt;"SERVICIO DE FILTROS"))),0))</f>
        <v>0</v>
      </c>
    </row>
    <row r="97" spans="2:12" x14ac:dyDescent="0.2">
      <c r="B97" s="403" t="str">
        <f>MAQUINARIA!B83</f>
        <v>MX-02</v>
      </c>
      <c r="C97" s="404" t="str">
        <f>MAQUINARIA!H83</f>
        <v>ACTIVA</v>
      </c>
      <c r="D97" s="404" t="str">
        <f>IFERROR(TRIM(MAQUINARIA!C83&amp;" "&amp;MAQUINARIA!E83),"—")</f>
        <v>EXCAVADORA 325 BL</v>
      </c>
      <c r="E97" s="398" cm="1">
        <f t="array" ref="E97">IF(B97="",0,IFERROR(ROWS(_xlfn.UNIQUE(_xlfn._xlws.FILTER(Tabla3[PEDIDO],(Tabla3[STATUS]="COTIZANDO")*(Tabla3[NUM ECONOMICO]=B97)*(Tabla3[TEMA]&lt;&gt;"SERVICIO DE FILTROS")))),0))</f>
        <v>0</v>
      </c>
      <c r="F97" s="398">
        <f>IF(B97="",0,COUNTIFS(Tabla3[STATUS],"COTIZANDO",Tabla3[NUM ECONOMICO],B97,Tabla3[TEMA],"&lt;&gt;SERVICIO DE FILTROS"))</f>
        <v>0</v>
      </c>
      <c r="G97" s="399">
        <f>IF(B97="",0,SUMIFS(Tabla3[COSTO TOTAL SIN IVA PESOS EN MATCO],Tabla3[STATUS],"COTIZANDO",Tabla3[NUM ECONOMICO],B97,Tabla3[TEMA],"&lt;&gt;SERVICIO DE FILTROS"))</f>
        <v>0</v>
      </c>
      <c r="H97" s="400">
        <f>IF(B97="",0,SUMIFS(Tabla3[COSTO TOTAL DOLARES EN HAWTHORNE],Tabla3[STATUS],"COTIZANDO",Tabla3[NUM ECONOMICO],B97,Tabla3[TEMA],"&lt;&gt;SERVICIO DE FILTROS"))</f>
        <v>0</v>
      </c>
      <c r="I97" s="401" t="str">
        <f>IF(B97="","",_xlfn.LET(_xlpm.totalUSD,SUMIFS(Tabla3[COSTO TOTAL DOLARES EN HAWTHORNE],Tabla3[STATUS],"COTIZANDO",Tabla3[NUM ECONOMICO],B97,Tabla3[TEMA],"&lt;&gt;SERVICIO DE FILTROS"),IF(OR(TC="",_xlpm.totalUSD=0),"—",_xlpm.totalUSD*TC)))</f>
        <v>—</v>
      </c>
      <c r="J97" s="400">
        <f>IF(B97="",0,SUMIFS(Tabla3[COSTO TOTAL DOLARES CTP],Tabla3[STATUS],"COTIZANDO",Tabla3[NUM ECONOMICO],B97,Tabla3[TEMA],"&lt;&gt;SERVICIO DE FILTROS"))</f>
        <v>0</v>
      </c>
      <c r="K97" s="401" t="str">
        <f>IF(B97="","",_xlfn.LET(_xlpm.totalUSD,SUMIFS(Tabla3[COSTO TOTAL DOLARES CTP],Tabla3[STATUS],"COTIZANDO",Tabla3[NUM ECONOMICO],B97,Tabla3[TEMA],"&lt;&gt;SERVICIO DE FILTROS"),IF(OR(TC="",_xlpm.totalUSD=0),"—",_xlpm.totalUSD*TC)))</f>
        <v>—</v>
      </c>
      <c r="L97" s="398" cm="1">
        <f t="array" ref="L97">IF(B97="",0,IFERROR(MAX(_xlfn._xlws.FILTER(Tabla3[DIAS DE ENTREGA TENTATIVO EN MATCO],(Tabla3[STATUS]="COTIZANDO")*(Tabla3[NUM ECONOMICO]=B97)*(Tabla3[TEMA]&lt;&gt;"SERVICIO DE FILTROS"))),0))</f>
        <v>0</v>
      </c>
    </row>
    <row r="98" spans="2:12" x14ac:dyDescent="0.2">
      <c r="B98" s="403" t="str">
        <f>MAQUINARIA!B86</f>
        <v>MX-03</v>
      </c>
      <c r="C98" s="403" t="str">
        <f>MAQUINARIA!H86</f>
        <v>ACTIVA</v>
      </c>
      <c r="D98" s="404" t="str">
        <f>IFERROR(TRIM(MAQUINARIA!C86&amp;" "&amp;MAQUINARIA!E86),"—")</f>
        <v>EXCAVADORA 330</v>
      </c>
      <c r="E98" s="397" cm="1">
        <f t="array" ref="E98">IF(B98="",0,IFERROR(ROWS(_xlfn.UNIQUE(_xlfn._xlws.FILTER(Tabla3[PEDIDO],(Tabla3[STATUS]="COTIZANDO")*(Tabla3[NUM ECONOMICO]=B98)*(Tabla3[TEMA]&lt;&gt;"SERVICIO DE FILTROS")))),0))</f>
        <v>0</v>
      </c>
      <c r="F98" s="398">
        <f>IF(B98="",0,COUNTIFS(Tabla3[STATUS],"COTIZANDO",Tabla3[NUM ECONOMICO],B98,Tabla3[TEMA],"&lt;&gt;SERVICIO DE FILTROS"))</f>
        <v>0</v>
      </c>
      <c r="G98" s="399">
        <f>IF(B98="",0,SUMIFS(Tabla3[COSTO TOTAL SIN IVA PESOS EN MATCO],Tabla3[STATUS],"COTIZANDO",Tabla3[NUM ECONOMICO],B98,Tabla3[TEMA],"&lt;&gt;SERVICIO DE FILTROS"))</f>
        <v>0</v>
      </c>
      <c r="H98" s="400">
        <f>IF(B98="",0,SUMIFS(Tabla3[COSTO TOTAL DOLARES EN HAWTHORNE],Tabla3[STATUS],"COTIZANDO",Tabla3[NUM ECONOMICO],B98,Tabla3[TEMA],"&lt;&gt;SERVICIO DE FILTROS"))</f>
        <v>0</v>
      </c>
      <c r="I98" s="401" t="str">
        <f>IF(B98="","",_xlfn.LET(_xlpm.totalUSD,SUMIFS(Tabla3[COSTO TOTAL DOLARES EN HAWTHORNE],Tabla3[STATUS],"COTIZANDO",Tabla3[NUM ECONOMICO],B98,Tabla3[TEMA],"&lt;&gt;SERVICIO DE FILTROS"),IF(OR(TC="",_xlpm.totalUSD=0),"—",_xlpm.totalUSD*TC)))</f>
        <v>—</v>
      </c>
      <c r="J98" s="400">
        <f>IF(B98="",0,SUMIFS(Tabla3[COSTO TOTAL DOLARES CTP],Tabla3[STATUS],"COTIZANDO",Tabla3[NUM ECONOMICO],B98,Tabla3[TEMA],"&lt;&gt;SERVICIO DE FILTROS"))</f>
        <v>0</v>
      </c>
      <c r="K98" s="401" t="str">
        <f>IF(B98="","",_xlfn.LET(_xlpm.totalUSD,SUMIFS(Tabla3[COSTO TOTAL DOLARES CTP],Tabla3[STATUS],"COTIZANDO",Tabla3[NUM ECONOMICO],B98,Tabla3[TEMA],"&lt;&gt;SERVICIO DE FILTROS"),IF(OR(TC="",_xlpm.totalUSD=0),"—",_xlpm.totalUSD*TC)))</f>
        <v>—</v>
      </c>
      <c r="L98" s="398" cm="1">
        <f t="array" ref="L98">IF(B98="",0,IFERROR(MAX(_xlfn._xlws.FILTER(Tabla3[DIAS DE ENTREGA TENTATIVO EN MATCO],(Tabla3[STATUS]="COTIZANDO")*(Tabla3[NUM ECONOMICO]=B98)*(Tabla3[TEMA]&lt;&gt;"SERVICIO DE FILTROS"))),0))</f>
        <v>0</v>
      </c>
    </row>
    <row r="99" spans="2:12" x14ac:dyDescent="0.2">
      <c r="B99" s="403" t="str">
        <f>MAQUINARIA!B91</f>
        <v>MX-04</v>
      </c>
      <c r="C99" s="403" t="str">
        <f>MAQUINARIA!H91</f>
        <v>INACTIVA</v>
      </c>
      <c r="D99" s="404" t="str">
        <f>IFERROR(TRIM(MAQUINARIA!C91&amp;" "&amp;MAQUINARIA!E91),"—")</f>
        <v>EXCAVADORA 345 B</v>
      </c>
      <c r="E99" s="397" cm="1">
        <f t="array" ref="E99">IF(B99="",0,IFERROR(ROWS(_xlfn.UNIQUE(_xlfn._xlws.FILTER(Tabla3[PEDIDO],(Tabla3[STATUS]="COTIZANDO")*(Tabla3[NUM ECONOMICO]=B99)*(Tabla3[TEMA]&lt;&gt;"SERVICIO DE FILTROS")))),0))</f>
        <v>0</v>
      </c>
      <c r="F99" s="398">
        <f>IF(B99="",0,COUNTIFS(Tabla3[STATUS],"COTIZANDO",Tabla3[NUM ECONOMICO],B99,Tabla3[TEMA],"&lt;&gt;SERVICIO DE FILTROS"))</f>
        <v>0</v>
      </c>
      <c r="G99" s="399">
        <f>IF(B99="",0,SUMIFS(Tabla3[COSTO TOTAL SIN IVA PESOS EN MATCO],Tabla3[STATUS],"COTIZANDO",Tabla3[NUM ECONOMICO],B99,Tabla3[TEMA],"&lt;&gt;SERVICIO DE FILTROS"))</f>
        <v>0</v>
      </c>
      <c r="H99" s="400">
        <f>IF(B99="",0,SUMIFS(Tabla3[COSTO TOTAL DOLARES EN HAWTHORNE],Tabla3[STATUS],"COTIZANDO",Tabla3[NUM ECONOMICO],B99,Tabla3[TEMA],"&lt;&gt;SERVICIO DE FILTROS"))</f>
        <v>0</v>
      </c>
      <c r="I99" s="401" t="str">
        <f>IF(B99="","",_xlfn.LET(_xlpm.totalUSD,SUMIFS(Tabla3[COSTO TOTAL DOLARES EN HAWTHORNE],Tabla3[STATUS],"COTIZANDO",Tabla3[NUM ECONOMICO],B99,Tabla3[TEMA],"&lt;&gt;SERVICIO DE FILTROS"),IF(OR(TC="",_xlpm.totalUSD=0),"—",_xlpm.totalUSD*TC)))</f>
        <v>—</v>
      </c>
      <c r="J99" s="400">
        <f>IF(B99="",0,SUMIFS(Tabla3[COSTO TOTAL DOLARES CTP],Tabla3[STATUS],"COTIZANDO",Tabla3[NUM ECONOMICO],B99,Tabla3[TEMA],"&lt;&gt;SERVICIO DE FILTROS"))</f>
        <v>0</v>
      </c>
      <c r="K99" s="401" t="str">
        <f>IF(B99="","",_xlfn.LET(_xlpm.totalUSD,SUMIFS(Tabla3[COSTO TOTAL DOLARES CTP],Tabla3[STATUS],"COTIZANDO",Tabla3[NUM ECONOMICO],B99,Tabla3[TEMA],"&lt;&gt;SERVICIO DE FILTROS"),IF(OR(TC="",_xlpm.totalUSD=0),"—",_xlpm.totalUSD*TC)))</f>
        <v>—</v>
      </c>
      <c r="L99" s="398" cm="1">
        <f t="array" ref="L99">IF(B99="",0,IFERROR(MAX(_xlfn._xlws.FILTER(Tabla3[DIAS DE ENTREGA TENTATIVO EN MATCO],(Tabla3[STATUS]="COTIZANDO")*(Tabla3[NUM ECONOMICO]=B99)*(Tabla3[TEMA]&lt;&gt;"SERVICIO DE FILTROS"))),0))</f>
        <v>0</v>
      </c>
    </row>
    <row r="100" spans="2:12" x14ac:dyDescent="0.2">
      <c r="B100" s="403" t="str">
        <f>MAQUINARIA!B92</f>
        <v>MX-05</v>
      </c>
      <c r="C100" s="403" t="str">
        <f>MAQUINARIA!H92</f>
        <v>INACTIVA</v>
      </c>
      <c r="D100" s="404" t="str">
        <f>IFERROR(TRIM(MAQUINARIA!C92&amp;" "&amp;MAQUINARIA!E92),"—")</f>
        <v>EXCAVADORA 385 BL</v>
      </c>
      <c r="E100" s="397" cm="1">
        <f t="array" ref="E100">IF(B100="",0,IFERROR(ROWS(_xlfn.UNIQUE(_xlfn._xlws.FILTER(Tabla3[PEDIDO],(Tabla3[STATUS]="COTIZANDO")*(Tabla3[NUM ECONOMICO]=B100)*(Tabla3[TEMA]&lt;&gt;"SERVICIO DE FILTROS")))),0))</f>
        <v>0</v>
      </c>
      <c r="F100" s="398">
        <f>IF(B100="",0,COUNTIFS(Tabla3[STATUS],"COTIZANDO",Tabla3[NUM ECONOMICO],B100,Tabla3[TEMA],"&lt;&gt;SERVICIO DE FILTROS"))</f>
        <v>0</v>
      </c>
      <c r="G100" s="399">
        <f>IF(B100="",0,SUMIFS(Tabla3[COSTO TOTAL SIN IVA PESOS EN MATCO],Tabla3[STATUS],"COTIZANDO",Tabla3[NUM ECONOMICO],B100,Tabla3[TEMA],"&lt;&gt;SERVICIO DE FILTROS"))</f>
        <v>0</v>
      </c>
      <c r="H100" s="400">
        <f>IF(B100="",0,SUMIFS(Tabla3[COSTO TOTAL DOLARES EN HAWTHORNE],Tabla3[STATUS],"COTIZANDO",Tabla3[NUM ECONOMICO],B100,Tabla3[TEMA],"&lt;&gt;SERVICIO DE FILTROS"))</f>
        <v>0</v>
      </c>
      <c r="I100" s="401" t="str">
        <f>IF(B100="","",_xlfn.LET(_xlpm.totalUSD,SUMIFS(Tabla3[COSTO TOTAL DOLARES EN HAWTHORNE],Tabla3[STATUS],"COTIZANDO",Tabla3[NUM ECONOMICO],B100,Tabla3[TEMA],"&lt;&gt;SERVICIO DE FILTROS"),IF(OR(TC="",_xlpm.totalUSD=0),"—",_xlpm.totalUSD*TC)))</f>
        <v>—</v>
      </c>
      <c r="J100" s="400">
        <f>IF(B100="",0,SUMIFS(Tabla3[COSTO TOTAL DOLARES CTP],Tabla3[STATUS],"COTIZANDO",Tabla3[NUM ECONOMICO],B100,Tabla3[TEMA],"&lt;&gt;SERVICIO DE FILTROS"))</f>
        <v>0</v>
      </c>
      <c r="K100" s="401" t="str">
        <f>IF(B100="","",_xlfn.LET(_xlpm.totalUSD,SUMIFS(Tabla3[COSTO TOTAL DOLARES CTP],Tabla3[STATUS],"COTIZANDO",Tabla3[NUM ECONOMICO],B100,Tabla3[TEMA],"&lt;&gt;SERVICIO DE FILTROS"),IF(OR(TC="",_xlpm.totalUSD=0),"—",_xlpm.totalUSD*TC)))</f>
        <v>—</v>
      </c>
      <c r="L100" s="398" cm="1">
        <f t="array" ref="L100">IF(B100="",0,IFERROR(MAX(_xlfn._xlws.FILTER(Tabla3[DIAS DE ENTREGA TENTATIVO EN MATCO],(Tabla3[STATUS]="COTIZANDO")*(Tabla3[NUM ECONOMICO]=B100)*(Tabla3[TEMA]&lt;&gt;"SERVICIO DE FILTROS"))),0))</f>
        <v>0</v>
      </c>
    </row>
    <row r="101" spans="2:12" x14ac:dyDescent="0.2">
      <c r="B101" s="403" t="str">
        <f>MAQUINARIA!B98</f>
        <v>MX-06</v>
      </c>
      <c r="C101" s="403" t="str">
        <f>MAQUINARIA!H98</f>
        <v>ACTIVA</v>
      </c>
      <c r="D101" s="404" t="str">
        <f>IFERROR(TRIM(MAQUINARIA!C98&amp;" "&amp;MAQUINARIA!E98),"—")</f>
        <v>EXCAVADORA 330 GC</v>
      </c>
      <c r="E101" s="397" cm="1">
        <f t="array" ref="E101">IF(B101="",0,IFERROR(ROWS(_xlfn.UNIQUE(_xlfn._xlws.FILTER(Tabla3[PEDIDO],(Tabla3[STATUS]="COTIZANDO")*(Tabla3[NUM ECONOMICO]=B101)*(Tabla3[TEMA]&lt;&gt;"SERVICIO DE FILTROS")))),0))</f>
        <v>0</v>
      </c>
      <c r="F101" s="398">
        <f>IF(B101="",0,COUNTIFS(Tabla3[STATUS],"COTIZANDO",Tabla3[NUM ECONOMICO],B101,Tabla3[TEMA],"&lt;&gt;SERVICIO DE FILTROS"))</f>
        <v>0</v>
      </c>
      <c r="G101" s="399">
        <f>IF(B101="",0,SUMIFS(Tabla3[COSTO TOTAL SIN IVA PESOS EN MATCO],Tabla3[STATUS],"COTIZANDO",Tabla3[NUM ECONOMICO],B101,Tabla3[TEMA],"&lt;&gt;SERVICIO DE FILTROS"))</f>
        <v>0</v>
      </c>
      <c r="H101" s="400">
        <f>IF(B101="",0,SUMIFS(Tabla3[COSTO TOTAL DOLARES EN HAWTHORNE],Tabla3[STATUS],"COTIZANDO",Tabla3[NUM ECONOMICO],B101,Tabla3[TEMA],"&lt;&gt;SERVICIO DE FILTROS"))</f>
        <v>0</v>
      </c>
      <c r="I101" s="401" t="str">
        <f>IF(B101="","",_xlfn.LET(_xlpm.totalUSD,SUMIFS(Tabla3[COSTO TOTAL DOLARES EN HAWTHORNE],Tabla3[STATUS],"COTIZANDO",Tabla3[NUM ECONOMICO],B101,Tabla3[TEMA],"&lt;&gt;SERVICIO DE FILTROS"),IF(OR(TC="",_xlpm.totalUSD=0),"—",_xlpm.totalUSD*TC)))</f>
        <v>—</v>
      </c>
      <c r="J101" s="400">
        <f>IF(B101="",0,SUMIFS(Tabla3[COSTO TOTAL DOLARES CTP],Tabla3[STATUS],"COTIZANDO",Tabla3[NUM ECONOMICO],B101,Tabla3[TEMA],"&lt;&gt;SERVICIO DE FILTROS"))</f>
        <v>0</v>
      </c>
      <c r="K101" s="401" t="str">
        <f>IF(B101="","",_xlfn.LET(_xlpm.totalUSD,SUMIFS(Tabla3[COSTO TOTAL DOLARES CTP],Tabla3[STATUS],"COTIZANDO",Tabla3[NUM ECONOMICO],B101,Tabla3[TEMA],"&lt;&gt;SERVICIO DE FILTROS"),IF(OR(TC="",_xlpm.totalUSD=0),"—",_xlpm.totalUSD*TC)))</f>
        <v>—</v>
      </c>
      <c r="L101" s="398" cm="1">
        <f t="array" ref="L101">IF(B101="",0,IFERROR(MAX(_xlfn._xlws.FILTER(Tabla3[DIAS DE ENTREGA TENTATIVO EN MATCO],(Tabla3[STATUS]="COTIZANDO")*(Tabla3[NUM ECONOMICO]=B101)*(Tabla3[TEMA]&lt;&gt;"SERVICIO DE FILTROS"))),0))</f>
        <v>0</v>
      </c>
    </row>
    <row r="102" spans="2:12" x14ac:dyDescent="0.2">
      <c r="B102" s="403" t="str">
        <f>MAQUINARIA!B383</f>
        <v>PI-01</v>
      </c>
      <c r="C102" s="404" t="str">
        <f>MAQUINARIA!H383</f>
        <v>ACTIVA</v>
      </c>
      <c r="D102" s="404" t="str">
        <f>IFERROR(TRIM(MAQUINARIA!C383&amp;" "&amp;MAQUINARIA!E383),"—")</f>
        <v>CAMION PIPA 5,000 LTS</v>
      </c>
      <c r="E102" s="397" cm="1">
        <f t="array" ref="E102">IF(B102="",0,IFERROR(ROWS(_xlfn.UNIQUE(_xlfn._xlws.FILTER(Tabla3[PEDIDO],(Tabla3[STATUS]="COTIZANDO")*(Tabla3[NUM ECONOMICO]=B102)*(Tabla3[TEMA]&lt;&gt;"SERVICIO DE FILTROS")))),0))</f>
        <v>0</v>
      </c>
      <c r="F102" s="398">
        <f>IF(B102="",0,COUNTIFS(Tabla3[STATUS],"COTIZANDO",Tabla3[NUM ECONOMICO],B102,Tabla3[TEMA],"&lt;&gt;SERVICIO DE FILTROS"))</f>
        <v>0</v>
      </c>
      <c r="G102" s="399">
        <f>IF(B102="",0,SUMIFS(Tabla3[COSTO TOTAL SIN IVA PESOS EN MATCO],Tabla3[STATUS],"COTIZANDO",Tabla3[NUM ECONOMICO],B102,Tabla3[TEMA],"&lt;&gt;SERVICIO DE FILTROS"))</f>
        <v>0</v>
      </c>
      <c r="H102" s="400">
        <f>IF(B102="",0,SUMIFS(Tabla3[COSTO TOTAL DOLARES EN HAWTHORNE],Tabla3[STATUS],"COTIZANDO",Tabla3[NUM ECONOMICO],B102,Tabla3[TEMA],"&lt;&gt;SERVICIO DE FILTROS"))</f>
        <v>0</v>
      </c>
      <c r="I102" s="401" t="str">
        <f>IF(B102="","",_xlfn.LET(_xlpm.totalUSD,SUMIFS(Tabla3[COSTO TOTAL DOLARES EN HAWTHORNE],Tabla3[STATUS],"COTIZANDO",Tabla3[NUM ECONOMICO],B102,Tabla3[TEMA],"&lt;&gt;SERVICIO DE FILTROS"),IF(OR(TC="",_xlpm.totalUSD=0),"—",_xlpm.totalUSD*TC)))</f>
        <v>—</v>
      </c>
      <c r="J102" s="400">
        <f>IF(B102="",0,SUMIFS(Tabla3[COSTO TOTAL DOLARES CTP],Tabla3[STATUS],"COTIZANDO",Tabla3[NUM ECONOMICO],B102,Tabla3[TEMA],"&lt;&gt;SERVICIO DE FILTROS"))</f>
        <v>0</v>
      </c>
      <c r="K102" s="401" t="str">
        <f>IF(B102="","",_xlfn.LET(_xlpm.totalUSD,SUMIFS(Tabla3[COSTO TOTAL DOLARES CTP],Tabla3[STATUS],"COTIZANDO",Tabla3[NUM ECONOMICO],B102,Tabla3[TEMA],"&lt;&gt;SERVICIO DE FILTROS"),IF(OR(TC="",_xlpm.totalUSD=0),"—",_xlpm.totalUSD*TC)))</f>
        <v>—</v>
      </c>
      <c r="L102" s="398" cm="1">
        <f t="array" ref="L102">IF(B102="",0,IFERROR(MAX(_xlfn._xlws.FILTER(Tabla3[DIAS DE ENTREGA TENTATIVO EN MATCO],(Tabla3[STATUS]="COTIZANDO")*(Tabla3[NUM ECONOMICO]=B102)*(Tabla3[TEMA]&lt;&gt;"SERVICIO DE FILTROS"))),0))</f>
        <v>0</v>
      </c>
    </row>
    <row r="103" spans="2:12" x14ac:dyDescent="0.2">
      <c r="B103" s="403" t="str">
        <f>MAQUINARIA!B386</f>
        <v>PI-02</v>
      </c>
      <c r="C103" s="403" t="str">
        <f>MAQUINARIA!H386</f>
        <v>ACTIVA</v>
      </c>
      <c r="D103" s="404" t="str">
        <f>IFERROR(TRIM(MAQUINARIA!C386&amp;" "&amp;MAQUINARIA!E386),"—")</f>
        <v>CAMION PIPA 5,000 LTS</v>
      </c>
      <c r="E103" s="397" cm="1">
        <f t="array" ref="E103">IF(B103="",0,IFERROR(ROWS(_xlfn.UNIQUE(_xlfn._xlws.FILTER(Tabla3[PEDIDO],(Tabla3[STATUS]="COTIZANDO")*(Tabla3[NUM ECONOMICO]=B103)*(Tabla3[TEMA]&lt;&gt;"SERVICIO DE FILTROS")))),0))</f>
        <v>0</v>
      </c>
      <c r="F103" s="398">
        <f>IF(B103="",0,COUNTIFS(Tabla3[STATUS],"COTIZANDO",Tabla3[NUM ECONOMICO],B103,Tabla3[TEMA],"&lt;&gt;SERVICIO DE FILTROS"))</f>
        <v>0</v>
      </c>
      <c r="G103" s="399">
        <f>IF(B103="",0,SUMIFS(Tabla3[COSTO TOTAL SIN IVA PESOS EN MATCO],Tabla3[STATUS],"COTIZANDO",Tabla3[NUM ECONOMICO],B103,Tabla3[TEMA],"&lt;&gt;SERVICIO DE FILTROS"))</f>
        <v>0</v>
      </c>
      <c r="H103" s="400">
        <f>IF(B103="",0,SUMIFS(Tabla3[COSTO TOTAL DOLARES EN HAWTHORNE],Tabla3[STATUS],"COTIZANDO",Tabla3[NUM ECONOMICO],B103,Tabla3[TEMA],"&lt;&gt;SERVICIO DE FILTROS"))</f>
        <v>0</v>
      </c>
      <c r="I103" s="401" t="str">
        <f>IF(B103="","",_xlfn.LET(_xlpm.totalUSD,SUMIFS(Tabla3[COSTO TOTAL DOLARES EN HAWTHORNE],Tabla3[STATUS],"COTIZANDO",Tabla3[NUM ECONOMICO],B103,Tabla3[TEMA],"&lt;&gt;SERVICIO DE FILTROS"),IF(OR(TC="",_xlpm.totalUSD=0),"—",_xlpm.totalUSD*TC)))</f>
        <v>—</v>
      </c>
      <c r="J103" s="400">
        <f>IF(B103="",0,SUMIFS(Tabla3[COSTO TOTAL DOLARES CTP],Tabla3[STATUS],"COTIZANDO",Tabla3[NUM ECONOMICO],B103,Tabla3[TEMA],"&lt;&gt;SERVICIO DE FILTROS"))</f>
        <v>0</v>
      </c>
      <c r="K103" s="401" t="str">
        <f>IF(B103="","",_xlfn.LET(_xlpm.totalUSD,SUMIFS(Tabla3[COSTO TOTAL DOLARES CTP],Tabla3[STATUS],"COTIZANDO",Tabla3[NUM ECONOMICO],B103,Tabla3[TEMA],"&lt;&gt;SERVICIO DE FILTROS"),IF(OR(TC="",_xlpm.totalUSD=0),"—",_xlpm.totalUSD*TC)))</f>
        <v>—</v>
      </c>
      <c r="L103" s="398" cm="1">
        <f t="array" ref="L103">IF(B103="",0,IFERROR(MAX(_xlfn._xlws.FILTER(Tabla3[DIAS DE ENTREGA TENTATIVO EN MATCO],(Tabla3[STATUS]="COTIZANDO")*(Tabla3[NUM ECONOMICO]=B103)*(Tabla3[TEMA]&lt;&gt;"SERVICIO DE FILTROS"))),0))</f>
        <v>0</v>
      </c>
    </row>
    <row r="104" spans="2:12" x14ac:dyDescent="0.2">
      <c r="B104" s="403" t="str">
        <f>MAQUINARIA!B389</f>
        <v>PI-03</v>
      </c>
      <c r="C104" s="403" t="str">
        <f>MAQUINARIA!H389</f>
        <v>ACTIVA</v>
      </c>
      <c r="D104" s="404" t="str">
        <f>IFERROR(TRIM(MAQUINARIA!C389&amp;" "&amp;MAQUINARIA!E389),"—")</f>
        <v>CAMION PIPA 14,000 LTS</v>
      </c>
      <c r="E104" s="397" cm="1">
        <f t="array" ref="E104">IF(B104="",0,IFERROR(ROWS(_xlfn.UNIQUE(_xlfn._xlws.FILTER(Tabla3[PEDIDO],(Tabla3[STATUS]="COTIZANDO")*(Tabla3[NUM ECONOMICO]=B104)*(Tabla3[TEMA]&lt;&gt;"SERVICIO DE FILTROS")))),0))</f>
        <v>0</v>
      </c>
      <c r="F104" s="398">
        <f>IF(B104="",0,COUNTIFS(Tabla3[STATUS],"COTIZANDO",Tabla3[NUM ECONOMICO],B104,Tabla3[TEMA],"&lt;&gt;SERVICIO DE FILTROS"))</f>
        <v>0</v>
      </c>
      <c r="G104" s="399">
        <f>IF(B104="",0,SUMIFS(Tabla3[COSTO TOTAL SIN IVA PESOS EN MATCO],Tabla3[STATUS],"COTIZANDO",Tabla3[NUM ECONOMICO],B104,Tabla3[TEMA],"&lt;&gt;SERVICIO DE FILTROS"))</f>
        <v>0</v>
      </c>
      <c r="H104" s="400">
        <f>IF(B104="",0,SUMIFS(Tabla3[COSTO TOTAL DOLARES EN HAWTHORNE],Tabla3[STATUS],"COTIZANDO",Tabla3[NUM ECONOMICO],B104,Tabla3[TEMA],"&lt;&gt;SERVICIO DE FILTROS"))</f>
        <v>0</v>
      </c>
      <c r="I104" s="401" t="str">
        <f>IF(B104="","",_xlfn.LET(_xlpm.totalUSD,SUMIFS(Tabla3[COSTO TOTAL DOLARES EN HAWTHORNE],Tabla3[STATUS],"COTIZANDO",Tabla3[NUM ECONOMICO],B104,Tabla3[TEMA],"&lt;&gt;SERVICIO DE FILTROS"),IF(OR(TC="",_xlpm.totalUSD=0),"—",_xlpm.totalUSD*TC)))</f>
        <v>—</v>
      </c>
      <c r="J104" s="400">
        <f>IF(B104="",0,SUMIFS(Tabla3[COSTO TOTAL DOLARES CTP],Tabla3[STATUS],"COTIZANDO",Tabla3[NUM ECONOMICO],B104,Tabla3[TEMA],"&lt;&gt;SERVICIO DE FILTROS"))</f>
        <v>0</v>
      </c>
      <c r="K104" s="401" t="str">
        <f>IF(B104="","",_xlfn.LET(_xlpm.totalUSD,SUMIFS(Tabla3[COSTO TOTAL DOLARES CTP],Tabla3[STATUS],"COTIZANDO",Tabla3[NUM ECONOMICO],B104,Tabla3[TEMA],"&lt;&gt;SERVICIO DE FILTROS"),IF(OR(TC="",_xlpm.totalUSD=0),"—",_xlpm.totalUSD*TC)))</f>
        <v>—</v>
      </c>
      <c r="L104" s="398" cm="1">
        <f t="array" ref="L104">IF(B104="",0,IFERROR(MAX(_xlfn._xlws.FILTER(Tabla3[DIAS DE ENTREGA TENTATIVO EN MATCO],(Tabla3[STATUS]="COTIZANDO")*(Tabla3[NUM ECONOMICO]=B104)*(Tabla3[TEMA]&lt;&gt;"SERVICIO DE FILTROS"))),0))</f>
        <v>0</v>
      </c>
    </row>
    <row r="105" spans="2:12" x14ac:dyDescent="0.2">
      <c r="B105" s="403" t="str">
        <f>MAQUINARIA!B394</f>
        <v>PI-04</v>
      </c>
      <c r="C105" s="403" t="str">
        <f>MAQUINARIA!H394</f>
        <v>INACTIVA</v>
      </c>
      <c r="D105" s="404" t="str">
        <f>IFERROR(TRIM(MAQUINARIA!C394&amp;" "&amp;MAQUINARIA!E394),"—")</f>
        <v>CAMION PIPA 14,000 LTS</v>
      </c>
      <c r="E105" s="397" cm="1">
        <f t="array" ref="E105">IF(B105="",0,IFERROR(ROWS(_xlfn.UNIQUE(_xlfn._xlws.FILTER(Tabla3[PEDIDO],(Tabla3[STATUS]="COTIZANDO")*(Tabla3[NUM ECONOMICO]=B105)*(Tabla3[TEMA]&lt;&gt;"SERVICIO DE FILTROS")))),0))</f>
        <v>0</v>
      </c>
      <c r="F105" s="398">
        <f>IF(B105="",0,COUNTIFS(Tabla3[STATUS],"COTIZANDO",Tabla3[NUM ECONOMICO],B105,Tabla3[TEMA],"&lt;&gt;SERVICIO DE FILTROS"))</f>
        <v>0</v>
      </c>
      <c r="G105" s="399">
        <f>IF(B105="",0,SUMIFS(Tabla3[COSTO TOTAL SIN IVA PESOS EN MATCO],Tabla3[STATUS],"COTIZANDO",Tabla3[NUM ECONOMICO],B105,Tabla3[TEMA],"&lt;&gt;SERVICIO DE FILTROS"))</f>
        <v>0</v>
      </c>
      <c r="H105" s="400">
        <f>IF(B105="",0,SUMIFS(Tabla3[COSTO TOTAL DOLARES EN HAWTHORNE],Tabla3[STATUS],"COTIZANDO",Tabla3[NUM ECONOMICO],B105,Tabla3[TEMA],"&lt;&gt;SERVICIO DE FILTROS"))</f>
        <v>0</v>
      </c>
      <c r="I105" s="401" t="str">
        <f>IF(B105="","",_xlfn.LET(_xlpm.totalUSD,SUMIFS(Tabla3[COSTO TOTAL DOLARES EN HAWTHORNE],Tabla3[STATUS],"COTIZANDO",Tabla3[NUM ECONOMICO],B105,Tabla3[TEMA],"&lt;&gt;SERVICIO DE FILTROS"),IF(OR(TC="",_xlpm.totalUSD=0),"—",_xlpm.totalUSD*TC)))</f>
        <v>—</v>
      </c>
      <c r="J105" s="400">
        <f>IF(B105="",0,SUMIFS(Tabla3[COSTO TOTAL DOLARES CTP],Tabla3[STATUS],"COTIZANDO",Tabla3[NUM ECONOMICO],B105,Tabla3[TEMA],"&lt;&gt;SERVICIO DE FILTROS"))</f>
        <v>0</v>
      </c>
      <c r="K105" s="401" t="str">
        <f>IF(B105="","",_xlfn.LET(_xlpm.totalUSD,SUMIFS(Tabla3[COSTO TOTAL DOLARES CTP],Tabla3[STATUS],"COTIZANDO",Tabla3[NUM ECONOMICO],B105,Tabla3[TEMA],"&lt;&gt;SERVICIO DE FILTROS"),IF(OR(TC="",_xlpm.totalUSD=0),"—",_xlpm.totalUSD*TC)))</f>
        <v>—</v>
      </c>
      <c r="L105" s="398" cm="1">
        <f t="array" ref="L105">IF(B105="",0,IFERROR(MAX(_xlfn._xlws.FILTER(Tabla3[DIAS DE ENTREGA TENTATIVO EN MATCO],(Tabla3[STATUS]="COTIZANDO")*(Tabla3[NUM ECONOMICO]=B105)*(Tabla3[TEMA]&lt;&gt;"SERVICIO DE FILTROS"))),0))</f>
        <v>0</v>
      </c>
    </row>
    <row r="106" spans="2:12" x14ac:dyDescent="0.2">
      <c r="B106" s="403" t="str">
        <f>MAQUINARIA!B399</f>
        <v>PI-05</v>
      </c>
      <c r="C106" s="404" t="str">
        <f>MAQUINARIA!H399</f>
        <v>INACTIVA</v>
      </c>
      <c r="D106" s="404" t="str">
        <f>IFERROR(TRIM(MAQUINARIA!C399&amp;" "&amp;MAQUINARIA!E399),"—")</f>
        <v>CAMION PIPA 20,000 LTS</v>
      </c>
      <c r="E106" s="398" cm="1">
        <f t="array" ref="E106">IF(B106="",0,IFERROR(ROWS(_xlfn.UNIQUE(_xlfn._xlws.FILTER(Tabla3[PEDIDO],(Tabla3[STATUS]="COTIZANDO")*(Tabla3[NUM ECONOMICO]=B106)*(Tabla3[TEMA]&lt;&gt;"SERVICIO DE FILTROS")))),0))</f>
        <v>0</v>
      </c>
      <c r="F106" s="398">
        <f>IF(B106="",0,COUNTIFS(Tabla3[STATUS],"COTIZANDO",Tabla3[NUM ECONOMICO],B106,Tabla3[TEMA],"&lt;&gt;SERVICIO DE FILTROS"))</f>
        <v>0</v>
      </c>
      <c r="G106" s="399">
        <f>IF(B106="",0,SUMIFS(Tabla3[COSTO TOTAL SIN IVA PESOS EN MATCO],Tabla3[STATUS],"COTIZANDO",Tabla3[NUM ECONOMICO],B106,Tabla3[TEMA],"&lt;&gt;SERVICIO DE FILTROS"))</f>
        <v>0</v>
      </c>
      <c r="H106" s="400">
        <f>IF(B106="",0,SUMIFS(Tabla3[COSTO TOTAL DOLARES EN HAWTHORNE],Tabla3[STATUS],"COTIZANDO",Tabla3[NUM ECONOMICO],B106,Tabla3[TEMA],"&lt;&gt;SERVICIO DE FILTROS"))</f>
        <v>0</v>
      </c>
      <c r="I106" s="401" t="str">
        <f>IF(B106="","",_xlfn.LET(_xlpm.totalUSD,SUMIFS(Tabla3[COSTO TOTAL DOLARES EN HAWTHORNE],Tabla3[STATUS],"COTIZANDO",Tabla3[NUM ECONOMICO],B106,Tabla3[TEMA],"&lt;&gt;SERVICIO DE FILTROS"),IF(OR(TC="",_xlpm.totalUSD=0),"—",_xlpm.totalUSD*TC)))</f>
        <v>—</v>
      </c>
      <c r="J106" s="400">
        <f>IF(B106="",0,SUMIFS(Tabla3[COSTO TOTAL DOLARES CTP],Tabla3[STATUS],"COTIZANDO",Tabla3[NUM ECONOMICO],B106,Tabla3[TEMA],"&lt;&gt;SERVICIO DE FILTROS"))</f>
        <v>0</v>
      </c>
      <c r="K106" s="401" t="str">
        <f>IF(B106="","",_xlfn.LET(_xlpm.totalUSD,SUMIFS(Tabla3[COSTO TOTAL DOLARES CTP],Tabla3[STATUS],"COTIZANDO",Tabla3[NUM ECONOMICO],B106,Tabla3[TEMA],"&lt;&gt;SERVICIO DE FILTROS"),IF(OR(TC="",_xlpm.totalUSD=0),"—",_xlpm.totalUSD*TC)))</f>
        <v>—</v>
      </c>
      <c r="L106" s="398" cm="1">
        <f t="array" ref="L106">IF(B106="",0,IFERROR(MAX(_xlfn._xlws.FILTER(Tabla3[DIAS DE ENTREGA TENTATIVO EN MATCO],(Tabla3[STATUS]="COTIZANDO")*(Tabla3[NUM ECONOMICO]=B106)*(Tabla3[TEMA]&lt;&gt;"SERVICIO DE FILTROS"))),0))</f>
        <v>0</v>
      </c>
    </row>
    <row r="107" spans="2:12" x14ac:dyDescent="0.2">
      <c r="B107" s="403" t="str">
        <f>MAQUINARIA!B401</f>
        <v>PI-06</v>
      </c>
      <c r="C107" s="403" t="str">
        <f>MAQUINARIA!H401</f>
        <v>INACTIVA</v>
      </c>
      <c r="D107" s="404" t="str">
        <f>IFERROR(TRIM(MAQUINARIA!C401&amp;" "&amp;MAQUINARIA!E401),"—")</f>
        <v>CAMION PIPA 20,000 LTS</v>
      </c>
      <c r="E107" s="397" cm="1">
        <f t="array" ref="E107">IF(B107="",0,IFERROR(ROWS(_xlfn.UNIQUE(_xlfn._xlws.FILTER(Tabla3[PEDIDO],(Tabla3[STATUS]="COTIZANDO")*(Tabla3[NUM ECONOMICO]=B107)*(Tabla3[TEMA]&lt;&gt;"SERVICIO DE FILTROS")))),0))</f>
        <v>0</v>
      </c>
      <c r="F107" s="398">
        <f>IF(B107="",0,COUNTIFS(Tabla3[STATUS],"COTIZANDO",Tabla3[NUM ECONOMICO],B107,Tabla3[TEMA],"&lt;&gt;SERVICIO DE FILTROS"))</f>
        <v>0</v>
      </c>
      <c r="G107" s="399">
        <f>IF(B107="",0,SUMIFS(Tabla3[COSTO TOTAL SIN IVA PESOS EN MATCO],Tabla3[STATUS],"COTIZANDO",Tabla3[NUM ECONOMICO],B107,Tabla3[TEMA],"&lt;&gt;SERVICIO DE FILTROS"))</f>
        <v>0</v>
      </c>
      <c r="H107" s="400">
        <f>IF(B107="",0,SUMIFS(Tabla3[COSTO TOTAL DOLARES EN HAWTHORNE],Tabla3[STATUS],"COTIZANDO",Tabla3[NUM ECONOMICO],B107,Tabla3[TEMA],"&lt;&gt;SERVICIO DE FILTROS"))</f>
        <v>0</v>
      </c>
      <c r="I107" s="401" t="str">
        <f>IF(B107="","",_xlfn.LET(_xlpm.totalUSD,SUMIFS(Tabla3[COSTO TOTAL DOLARES EN HAWTHORNE],Tabla3[STATUS],"COTIZANDO",Tabla3[NUM ECONOMICO],B107,Tabla3[TEMA],"&lt;&gt;SERVICIO DE FILTROS"),IF(OR(TC="",_xlpm.totalUSD=0),"—",_xlpm.totalUSD*TC)))</f>
        <v>—</v>
      </c>
      <c r="J107" s="400">
        <f>IF(B107="",0,SUMIFS(Tabla3[COSTO TOTAL DOLARES CTP],Tabla3[STATUS],"COTIZANDO",Tabla3[NUM ECONOMICO],B107,Tabla3[TEMA],"&lt;&gt;SERVICIO DE FILTROS"))</f>
        <v>0</v>
      </c>
      <c r="K107" s="401" t="str">
        <f>IF(B107="","",_xlfn.LET(_xlpm.totalUSD,SUMIFS(Tabla3[COSTO TOTAL DOLARES CTP],Tabla3[STATUS],"COTIZANDO",Tabla3[NUM ECONOMICO],B107,Tabla3[TEMA],"&lt;&gt;SERVICIO DE FILTROS"),IF(OR(TC="",_xlpm.totalUSD=0),"—",_xlpm.totalUSD*TC)))</f>
        <v>—</v>
      </c>
      <c r="L107" s="398" cm="1">
        <f t="array" ref="L107">IF(B107="",0,IFERROR(MAX(_xlfn._xlws.FILTER(Tabla3[DIAS DE ENTREGA TENTATIVO EN MATCO],(Tabla3[STATUS]="COTIZANDO")*(Tabla3[NUM ECONOMICO]=B107)*(Tabla3[TEMA]&lt;&gt;"SERVICIO DE FILTROS"))),0))</f>
        <v>0</v>
      </c>
    </row>
    <row r="108" spans="2:12" x14ac:dyDescent="0.2">
      <c r="B108" s="403" t="str">
        <f>MAQUINARIA!B404</f>
        <v>PI-07</v>
      </c>
      <c r="C108" s="403" t="str">
        <f>MAQUINARIA!H404</f>
        <v>INACTIVA</v>
      </c>
      <c r="D108" s="404" t="str">
        <f>IFERROR(TRIM(MAQUINARIA!C404&amp;" "&amp;MAQUINARIA!E404),"—")</f>
        <v>CAMION PIPA 17,000 LTS</v>
      </c>
      <c r="E108" s="397" cm="1">
        <f t="array" ref="E108">IF(B108="",0,IFERROR(ROWS(_xlfn.UNIQUE(_xlfn._xlws.FILTER(Tabla3[PEDIDO],(Tabla3[STATUS]="COTIZANDO")*(Tabla3[NUM ECONOMICO]=B108)*(Tabla3[TEMA]&lt;&gt;"SERVICIO DE FILTROS")))),0))</f>
        <v>0</v>
      </c>
      <c r="F108" s="398">
        <f>IF(B108="",0,COUNTIFS(Tabla3[STATUS],"COTIZANDO",Tabla3[NUM ECONOMICO],B108,Tabla3[TEMA],"&lt;&gt;SERVICIO DE FILTROS"))</f>
        <v>0</v>
      </c>
      <c r="G108" s="399">
        <f>IF(B108="",0,SUMIFS(Tabla3[COSTO TOTAL SIN IVA PESOS EN MATCO],Tabla3[STATUS],"COTIZANDO",Tabla3[NUM ECONOMICO],B108,Tabla3[TEMA],"&lt;&gt;SERVICIO DE FILTROS"))</f>
        <v>0</v>
      </c>
      <c r="H108" s="400">
        <f>IF(B108="",0,SUMIFS(Tabla3[COSTO TOTAL DOLARES EN HAWTHORNE],Tabla3[STATUS],"COTIZANDO",Tabla3[NUM ECONOMICO],B108,Tabla3[TEMA],"&lt;&gt;SERVICIO DE FILTROS"))</f>
        <v>0</v>
      </c>
      <c r="I108" s="401" t="str">
        <f>IF(B108="","",_xlfn.LET(_xlpm.totalUSD,SUMIFS(Tabla3[COSTO TOTAL DOLARES EN HAWTHORNE],Tabla3[STATUS],"COTIZANDO",Tabla3[NUM ECONOMICO],B108,Tabla3[TEMA],"&lt;&gt;SERVICIO DE FILTROS"),IF(OR(TC="",_xlpm.totalUSD=0),"—",_xlpm.totalUSD*TC)))</f>
        <v>—</v>
      </c>
      <c r="J108" s="400">
        <f>IF(B108="",0,SUMIFS(Tabla3[COSTO TOTAL DOLARES CTP],Tabla3[STATUS],"COTIZANDO",Tabla3[NUM ECONOMICO],B108,Tabla3[TEMA],"&lt;&gt;SERVICIO DE FILTROS"))</f>
        <v>0</v>
      </c>
      <c r="K108" s="401" t="str">
        <f>IF(B108="","",_xlfn.LET(_xlpm.totalUSD,SUMIFS(Tabla3[COSTO TOTAL DOLARES CTP],Tabla3[STATUS],"COTIZANDO",Tabla3[NUM ECONOMICO],B108,Tabla3[TEMA],"&lt;&gt;SERVICIO DE FILTROS"),IF(OR(TC="",_xlpm.totalUSD=0),"—",_xlpm.totalUSD*TC)))</f>
        <v>—</v>
      </c>
      <c r="L108" s="398" cm="1">
        <f t="array" ref="L108">IF(B108="",0,IFERROR(MAX(_xlfn._xlws.FILTER(Tabla3[DIAS DE ENTREGA TENTATIVO EN MATCO],(Tabla3[STATUS]="COTIZANDO")*(Tabla3[NUM ECONOMICO]=B108)*(Tabla3[TEMA]&lt;&gt;"SERVICIO DE FILTROS"))),0))</f>
        <v>0</v>
      </c>
    </row>
    <row r="109" spans="2:12" x14ac:dyDescent="0.2">
      <c r="B109" s="403" t="str">
        <f>MAQUINARIA!B408</f>
        <v>PI-08</v>
      </c>
      <c r="C109" s="403" t="str">
        <f>MAQUINARIA!H408</f>
        <v>ACTIVA</v>
      </c>
      <c r="D109" s="404" t="str">
        <f>IFERROR(TRIM(MAQUINARIA!C408&amp;" "&amp;MAQUINARIA!E408),"—")</f>
        <v>CAMION PIPA 17,000 LTS</v>
      </c>
      <c r="E109" s="397" cm="1">
        <f t="array" ref="E109">IF(B109="",0,IFERROR(ROWS(_xlfn.UNIQUE(_xlfn._xlws.FILTER(Tabla3[PEDIDO],(Tabla3[STATUS]="COTIZANDO")*(Tabla3[NUM ECONOMICO]=B109)*(Tabla3[TEMA]&lt;&gt;"SERVICIO DE FILTROS")))),0))</f>
        <v>0</v>
      </c>
      <c r="F109" s="398">
        <f>IF(B109="",0,COUNTIFS(Tabla3[STATUS],"COTIZANDO",Tabla3[NUM ECONOMICO],B109,Tabla3[TEMA],"&lt;&gt;SERVICIO DE FILTROS"))</f>
        <v>0</v>
      </c>
      <c r="G109" s="399">
        <f>IF(B109="",0,SUMIFS(Tabla3[COSTO TOTAL SIN IVA PESOS EN MATCO],Tabla3[STATUS],"COTIZANDO",Tabla3[NUM ECONOMICO],B109,Tabla3[TEMA],"&lt;&gt;SERVICIO DE FILTROS"))</f>
        <v>0</v>
      </c>
      <c r="H109" s="400">
        <f>IF(B109="",0,SUMIFS(Tabla3[COSTO TOTAL DOLARES EN HAWTHORNE],Tabla3[STATUS],"COTIZANDO",Tabla3[NUM ECONOMICO],B109,Tabla3[TEMA],"&lt;&gt;SERVICIO DE FILTROS"))</f>
        <v>0</v>
      </c>
      <c r="I109" s="401" t="str">
        <f>IF(B109="","",_xlfn.LET(_xlpm.totalUSD,SUMIFS(Tabla3[COSTO TOTAL DOLARES EN HAWTHORNE],Tabla3[STATUS],"COTIZANDO",Tabla3[NUM ECONOMICO],B109,Tabla3[TEMA],"&lt;&gt;SERVICIO DE FILTROS"),IF(OR(TC="",_xlpm.totalUSD=0),"—",_xlpm.totalUSD*TC)))</f>
        <v>—</v>
      </c>
      <c r="J109" s="400">
        <f>IF(B109="",0,SUMIFS(Tabla3[COSTO TOTAL DOLARES CTP],Tabla3[STATUS],"COTIZANDO",Tabla3[NUM ECONOMICO],B109,Tabla3[TEMA],"&lt;&gt;SERVICIO DE FILTROS"))</f>
        <v>0</v>
      </c>
      <c r="K109" s="401" t="str">
        <f>IF(B109="","",_xlfn.LET(_xlpm.totalUSD,SUMIFS(Tabla3[COSTO TOTAL DOLARES CTP],Tabla3[STATUS],"COTIZANDO",Tabla3[NUM ECONOMICO],B109,Tabla3[TEMA],"&lt;&gt;SERVICIO DE FILTROS"),IF(OR(TC="",_xlpm.totalUSD=0),"—",_xlpm.totalUSD*TC)))</f>
        <v>—</v>
      </c>
      <c r="L109" s="398" cm="1">
        <f t="array" ref="L109">IF(B109="",0,IFERROR(MAX(_xlfn._xlws.FILTER(Tabla3[DIAS DE ENTREGA TENTATIVO EN MATCO],(Tabla3[STATUS]="COTIZANDO")*(Tabla3[NUM ECONOMICO]=B109)*(Tabla3[TEMA]&lt;&gt;"SERVICIO DE FILTROS"))),0))</f>
        <v>0</v>
      </c>
    </row>
    <row r="110" spans="2:12" x14ac:dyDescent="0.2">
      <c r="B110" s="403" t="str">
        <f>MAQUINARIA!B415</f>
        <v>PI-09</v>
      </c>
      <c r="C110" s="403" t="str">
        <f>MAQUINARIA!H415</f>
        <v>ACTIVA</v>
      </c>
      <c r="D110" s="404" t="str">
        <f>IFERROR(TRIM(MAQUINARIA!C415&amp;" "&amp;MAQUINARIA!E415),"—")</f>
        <v>CAMION PIPA 10,000 LTS</v>
      </c>
      <c r="E110" s="397" cm="1">
        <f t="array" ref="E110">IF(B110="",0,IFERROR(ROWS(_xlfn.UNIQUE(_xlfn._xlws.FILTER(Tabla3[PEDIDO],(Tabla3[STATUS]="COTIZANDO")*(Tabla3[NUM ECONOMICO]=B110)*(Tabla3[TEMA]&lt;&gt;"SERVICIO DE FILTROS")))),0))</f>
        <v>0</v>
      </c>
      <c r="F110" s="398">
        <f>IF(B110="",0,COUNTIFS(Tabla3[STATUS],"COTIZANDO",Tabla3[NUM ECONOMICO],B110,Tabla3[TEMA],"&lt;&gt;SERVICIO DE FILTROS"))</f>
        <v>0</v>
      </c>
      <c r="G110" s="399">
        <f>IF(B110="",0,SUMIFS(Tabla3[COSTO TOTAL SIN IVA PESOS EN MATCO],Tabla3[STATUS],"COTIZANDO",Tabla3[NUM ECONOMICO],B110,Tabla3[TEMA],"&lt;&gt;SERVICIO DE FILTROS"))</f>
        <v>0</v>
      </c>
      <c r="H110" s="400">
        <f>IF(B110="",0,SUMIFS(Tabla3[COSTO TOTAL DOLARES EN HAWTHORNE],Tabla3[STATUS],"COTIZANDO",Tabla3[NUM ECONOMICO],B110,Tabla3[TEMA],"&lt;&gt;SERVICIO DE FILTROS"))</f>
        <v>0</v>
      </c>
      <c r="I110" s="401" t="str">
        <f>IF(B110="","",_xlfn.LET(_xlpm.totalUSD,SUMIFS(Tabla3[COSTO TOTAL DOLARES EN HAWTHORNE],Tabla3[STATUS],"COTIZANDO",Tabla3[NUM ECONOMICO],B110,Tabla3[TEMA],"&lt;&gt;SERVICIO DE FILTROS"),IF(OR(TC="",_xlpm.totalUSD=0),"—",_xlpm.totalUSD*TC)))</f>
        <v>—</v>
      </c>
      <c r="J110" s="400">
        <f>IF(B110="",0,SUMIFS(Tabla3[COSTO TOTAL DOLARES CTP],Tabla3[STATUS],"COTIZANDO",Tabla3[NUM ECONOMICO],B110,Tabla3[TEMA],"&lt;&gt;SERVICIO DE FILTROS"))</f>
        <v>0</v>
      </c>
      <c r="K110" s="401" t="str">
        <f>IF(B110="","",_xlfn.LET(_xlpm.totalUSD,SUMIFS(Tabla3[COSTO TOTAL DOLARES CTP],Tabla3[STATUS],"COTIZANDO",Tabla3[NUM ECONOMICO],B110,Tabla3[TEMA],"&lt;&gt;SERVICIO DE FILTROS"),IF(OR(TC="",_xlpm.totalUSD=0),"—",_xlpm.totalUSD*TC)))</f>
        <v>—</v>
      </c>
      <c r="L110" s="398" cm="1">
        <f t="array" ref="L110">IF(B110="",0,IFERROR(MAX(_xlfn._xlws.FILTER(Tabla3[DIAS DE ENTREGA TENTATIVO EN MATCO],(Tabla3[STATUS]="COTIZANDO")*(Tabla3[NUM ECONOMICO]=B110)*(Tabla3[TEMA]&lt;&gt;"SERVICIO DE FILTROS"))),0))</f>
        <v>0</v>
      </c>
    </row>
    <row r="111" spans="2:12" x14ac:dyDescent="0.2">
      <c r="B111" s="403" t="str">
        <f>MAQUINARIA!B419</f>
        <v>PI-10</v>
      </c>
      <c r="C111" s="404" t="str">
        <f>MAQUINARIA!H419</f>
        <v>INACTIVA</v>
      </c>
      <c r="D111" s="404" t="str">
        <f>IFERROR(TRIM(MAQUINARIA!C419&amp;" "&amp;MAQUINARIA!E419),"—")</f>
        <v>CAMION PIPA 10,000 LTS</v>
      </c>
      <c r="E111" s="397" cm="1">
        <f t="array" ref="E111">IF(B111="",0,IFERROR(ROWS(_xlfn.UNIQUE(_xlfn._xlws.FILTER(Tabla3[PEDIDO],(Tabla3[STATUS]="COTIZANDO")*(Tabla3[NUM ECONOMICO]=B111)*(Tabla3[TEMA]&lt;&gt;"SERVICIO DE FILTROS")))),0))</f>
        <v>0</v>
      </c>
      <c r="F111" s="398">
        <f>IF(B111="",0,COUNTIFS(Tabla3[STATUS],"COTIZANDO",Tabla3[NUM ECONOMICO],B111,Tabla3[TEMA],"&lt;&gt;SERVICIO DE FILTROS"))</f>
        <v>0</v>
      </c>
      <c r="G111" s="399">
        <f>IF(B111="",0,SUMIFS(Tabla3[COSTO TOTAL SIN IVA PESOS EN MATCO],Tabla3[STATUS],"COTIZANDO",Tabla3[NUM ECONOMICO],B111,Tabla3[TEMA],"&lt;&gt;SERVICIO DE FILTROS"))</f>
        <v>0</v>
      </c>
      <c r="H111" s="400">
        <f>IF(B111="",0,SUMIFS(Tabla3[COSTO TOTAL DOLARES EN HAWTHORNE],Tabla3[STATUS],"COTIZANDO",Tabla3[NUM ECONOMICO],B111,Tabla3[TEMA],"&lt;&gt;SERVICIO DE FILTROS"))</f>
        <v>0</v>
      </c>
      <c r="I111" s="401" t="str">
        <f>IF(B111="","",_xlfn.LET(_xlpm.totalUSD,SUMIFS(Tabla3[COSTO TOTAL DOLARES EN HAWTHORNE],Tabla3[STATUS],"COTIZANDO",Tabla3[NUM ECONOMICO],B111,Tabla3[TEMA],"&lt;&gt;SERVICIO DE FILTROS"),IF(OR(TC="",_xlpm.totalUSD=0),"—",_xlpm.totalUSD*TC)))</f>
        <v>—</v>
      </c>
      <c r="J111" s="400">
        <f>IF(B111="",0,SUMIFS(Tabla3[COSTO TOTAL DOLARES CTP],Tabla3[STATUS],"COTIZANDO",Tabla3[NUM ECONOMICO],B111,Tabla3[TEMA],"&lt;&gt;SERVICIO DE FILTROS"))</f>
        <v>0</v>
      </c>
      <c r="K111" s="401" t="str">
        <f>IF(B111="","",_xlfn.LET(_xlpm.totalUSD,SUMIFS(Tabla3[COSTO TOTAL DOLARES CTP],Tabla3[STATUS],"COTIZANDO",Tabla3[NUM ECONOMICO],B111,Tabla3[TEMA],"&lt;&gt;SERVICIO DE FILTROS"),IF(OR(TC="",_xlpm.totalUSD=0),"—",_xlpm.totalUSD*TC)))</f>
        <v>—</v>
      </c>
      <c r="L111" s="398" cm="1">
        <f t="array" ref="L111">IF(B111="",0,IFERROR(MAX(_xlfn._xlws.FILTER(Tabla3[DIAS DE ENTREGA TENTATIVO EN MATCO],(Tabla3[STATUS]="COTIZANDO")*(Tabla3[NUM ECONOMICO]=B111)*(Tabla3[TEMA]&lt;&gt;"SERVICIO DE FILTROS"))),0))</f>
        <v>0</v>
      </c>
    </row>
    <row r="112" spans="2:12" x14ac:dyDescent="0.2">
      <c r="B112" s="403" t="str">
        <f>MAQUINARIA!B498</f>
        <v>RCR-01</v>
      </c>
      <c r="C112" s="403" t="str">
        <f>MAQUINARIA!H498</f>
        <v>ACTIVA</v>
      </c>
      <c r="D112" s="404" t="str">
        <f>IFERROR(TRIM(MAQUINARIA!C498&amp;" "&amp;MAQUINARIA!E498),"—")</f>
        <v>CRIBA 2 CAMAS</v>
      </c>
      <c r="E112" s="397" cm="1">
        <f t="array" ref="E112">IF(B112="",0,IFERROR(ROWS(_xlfn.UNIQUE(_xlfn._xlws.FILTER(Tabla3[PEDIDO],(Tabla3[STATUS]="COTIZANDO")*(Tabla3[NUM ECONOMICO]=B112)*(Tabla3[TEMA]&lt;&gt;"SERVICIO DE FILTROS")))),0))</f>
        <v>0</v>
      </c>
      <c r="F112" s="398">
        <f>IF(B112="",0,COUNTIFS(Tabla3[STATUS],"COTIZANDO",Tabla3[NUM ECONOMICO],B112,Tabla3[TEMA],"&lt;&gt;SERVICIO DE FILTROS"))</f>
        <v>0</v>
      </c>
      <c r="G112" s="399">
        <f>IF(B112="",0,SUMIFS(Tabla3[COSTO TOTAL SIN IVA PESOS EN MATCO],Tabla3[STATUS],"COTIZANDO",Tabla3[NUM ECONOMICO],B112,Tabla3[TEMA],"&lt;&gt;SERVICIO DE FILTROS"))</f>
        <v>0</v>
      </c>
      <c r="H112" s="400">
        <f>IF(B112="",0,SUMIFS(Tabla3[COSTO TOTAL DOLARES EN HAWTHORNE],Tabla3[STATUS],"COTIZANDO",Tabla3[NUM ECONOMICO],B112,Tabla3[TEMA],"&lt;&gt;SERVICIO DE FILTROS"))</f>
        <v>0</v>
      </c>
      <c r="I112" s="401" t="str">
        <f>IF(B112="","",_xlfn.LET(_xlpm.totalUSD,SUMIFS(Tabla3[COSTO TOTAL DOLARES EN HAWTHORNE],Tabla3[STATUS],"COTIZANDO",Tabla3[NUM ECONOMICO],B112,Tabla3[TEMA],"&lt;&gt;SERVICIO DE FILTROS"),IF(OR(TC="",_xlpm.totalUSD=0),"—",_xlpm.totalUSD*TC)))</f>
        <v>—</v>
      </c>
      <c r="J112" s="400">
        <f>IF(B112="",0,SUMIFS(Tabla3[COSTO TOTAL DOLARES CTP],Tabla3[STATUS],"COTIZANDO",Tabla3[NUM ECONOMICO],B112,Tabla3[TEMA],"&lt;&gt;SERVICIO DE FILTROS"))</f>
        <v>0</v>
      </c>
      <c r="K112" s="401" t="str">
        <f>IF(B112="","",_xlfn.LET(_xlpm.totalUSD,SUMIFS(Tabla3[COSTO TOTAL DOLARES CTP],Tabla3[STATUS],"COTIZANDO",Tabla3[NUM ECONOMICO],B112,Tabla3[TEMA],"&lt;&gt;SERVICIO DE FILTROS"),IF(OR(TC="",_xlpm.totalUSD=0),"—",_xlpm.totalUSD*TC)))</f>
        <v>—</v>
      </c>
      <c r="L112" s="398" cm="1">
        <f t="array" ref="L112">IF(B112="",0,IFERROR(MAX(_xlfn._xlws.FILTER(Tabla3[DIAS DE ENTREGA TENTATIVO EN MATCO],(Tabla3[STATUS]="COTIZANDO")*(Tabla3[NUM ECONOMICO]=B112)*(Tabla3[TEMA]&lt;&gt;"SERVICIO DE FILTROS"))),0))</f>
        <v>0</v>
      </c>
    </row>
    <row r="113" spans="2:12" x14ac:dyDescent="0.2">
      <c r="B113" s="403" t="str">
        <f>MAQUINARIA!B348</f>
        <v>RMM-01</v>
      </c>
      <c r="C113" s="403" t="str">
        <f>MAQUINARIA!H348</f>
        <v>ACTIVA</v>
      </c>
      <c r="D113" s="404" t="str">
        <f>IFERROR(TRIM(MAQUINARIA!C348&amp;" "&amp;MAQUINARIA!E348),"—")</f>
        <v>MOTOCONFORMADORA 140K</v>
      </c>
      <c r="E113" s="397" cm="1">
        <f t="array" ref="E113">IF(B113="",0,IFERROR(ROWS(_xlfn.UNIQUE(_xlfn._xlws.FILTER(Tabla3[PEDIDO],(Tabla3[STATUS]="COTIZANDO")*(Tabla3[NUM ECONOMICO]=B113)*(Tabla3[TEMA]&lt;&gt;"SERVICIO DE FILTROS")))),0))</f>
        <v>0</v>
      </c>
      <c r="F113" s="398">
        <f>IF(B113="",0,COUNTIFS(Tabla3[STATUS],"COTIZANDO",Tabla3[NUM ECONOMICO],B113,Tabla3[TEMA],"&lt;&gt;SERVICIO DE FILTROS"))</f>
        <v>0</v>
      </c>
      <c r="G113" s="399">
        <f>IF(B113="",0,SUMIFS(Tabla3[COSTO TOTAL SIN IVA PESOS EN MATCO],Tabla3[STATUS],"COTIZANDO",Tabla3[NUM ECONOMICO],B113,Tabla3[TEMA],"&lt;&gt;SERVICIO DE FILTROS"))</f>
        <v>0</v>
      </c>
      <c r="H113" s="400">
        <f>IF(B113="",0,SUMIFS(Tabla3[COSTO TOTAL DOLARES EN HAWTHORNE],Tabla3[STATUS],"COTIZANDO",Tabla3[NUM ECONOMICO],B113,Tabla3[TEMA],"&lt;&gt;SERVICIO DE FILTROS"))</f>
        <v>0</v>
      </c>
      <c r="I113" s="401" t="str">
        <f>IF(B113="","",_xlfn.LET(_xlpm.totalUSD,SUMIFS(Tabla3[COSTO TOTAL DOLARES EN HAWTHORNE],Tabla3[STATUS],"COTIZANDO",Tabla3[NUM ECONOMICO],B113,Tabla3[TEMA],"&lt;&gt;SERVICIO DE FILTROS"),IF(OR(TC="",_xlpm.totalUSD=0),"—",_xlpm.totalUSD*TC)))</f>
        <v>—</v>
      </c>
      <c r="J113" s="400">
        <f>IF(B113="",0,SUMIFS(Tabla3[COSTO TOTAL DOLARES CTP],Tabla3[STATUS],"COTIZANDO",Tabla3[NUM ECONOMICO],B113,Tabla3[TEMA],"&lt;&gt;SERVICIO DE FILTROS"))</f>
        <v>0</v>
      </c>
      <c r="K113" s="401" t="str">
        <f>IF(B113="","",_xlfn.LET(_xlpm.totalUSD,SUMIFS(Tabla3[COSTO TOTAL DOLARES CTP],Tabla3[STATUS],"COTIZANDO",Tabla3[NUM ECONOMICO],B113,Tabla3[TEMA],"&lt;&gt;SERVICIO DE FILTROS"),IF(OR(TC="",_xlpm.totalUSD=0),"—",_xlpm.totalUSD*TC)))</f>
        <v>—</v>
      </c>
      <c r="L113" s="398" cm="1">
        <f t="array" ref="L113">IF(B113="",0,IFERROR(MAX(_xlfn._xlws.FILTER(Tabla3[DIAS DE ENTREGA TENTATIVO EN MATCO],(Tabla3[STATUS]="COTIZANDO")*(Tabla3[NUM ECONOMICO]=B113)*(Tabla3[TEMA]&lt;&gt;"SERVICIO DE FILTROS"))),0))</f>
        <v>0</v>
      </c>
    </row>
    <row r="114" spans="2:12" x14ac:dyDescent="0.2">
      <c r="B114" s="403" t="str">
        <f>MAQUINARIA!B76</f>
        <v>RMT-02</v>
      </c>
      <c r="C114" s="403" t="str">
        <f>MAQUINARIA!H76</f>
        <v>INACTIVA</v>
      </c>
      <c r="D114" s="404" t="str">
        <f>IFERROR(TRIM(MAQUINARIA!C76&amp;" "&amp;MAQUINARIA!E76),"—")</f>
        <v>TRACTOR D8</v>
      </c>
      <c r="E114" s="397" cm="1">
        <f t="array" ref="E114">IF(B114="",0,IFERROR(ROWS(_xlfn.UNIQUE(_xlfn._xlws.FILTER(Tabla3[PEDIDO],(Tabla3[STATUS]="COTIZANDO")*(Tabla3[NUM ECONOMICO]=B114)*(Tabla3[TEMA]&lt;&gt;"SERVICIO DE FILTROS")))),0))</f>
        <v>0</v>
      </c>
      <c r="F114" s="398">
        <f>IF(B114="",0,COUNTIFS(Tabla3[STATUS],"COTIZANDO",Tabla3[NUM ECONOMICO],B114,Tabla3[TEMA],"&lt;&gt;SERVICIO DE FILTROS"))</f>
        <v>0</v>
      </c>
      <c r="G114" s="399">
        <f>IF(B114="",0,SUMIFS(Tabla3[COSTO TOTAL SIN IVA PESOS EN MATCO],Tabla3[STATUS],"COTIZANDO",Tabla3[NUM ECONOMICO],B114,Tabla3[TEMA],"&lt;&gt;SERVICIO DE FILTROS"))</f>
        <v>0</v>
      </c>
      <c r="H114" s="400">
        <f>IF(B114="",0,SUMIFS(Tabla3[COSTO TOTAL DOLARES EN HAWTHORNE],Tabla3[STATUS],"COTIZANDO",Tabla3[NUM ECONOMICO],B114,Tabla3[TEMA],"&lt;&gt;SERVICIO DE FILTROS"))</f>
        <v>0</v>
      </c>
      <c r="I114" s="401" t="str">
        <f>IF(B114="","",_xlfn.LET(_xlpm.totalUSD,SUMIFS(Tabla3[COSTO TOTAL DOLARES EN HAWTHORNE],Tabla3[STATUS],"COTIZANDO",Tabla3[NUM ECONOMICO],B114,Tabla3[TEMA],"&lt;&gt;SERVICIO DE FILTROS"),IF(OR(TC="",_xlpm.totalUSD=0),"—",_xlpm.totalUSD*TC)))</f>
        <v>—</v>
      </c>
      <c r="J114" s="400">
        <f>IF(B114="",0,SUMIFS(Tabla3[COSTO TOTAL DOLARES CTP],Tabla3[STATUS],"COTIZANDO",Tabla3[NUM ECONOMICO],B114,Tabla3[TEMA],"&lt;&gt;SERVICIO DE FILTROS"))</f>
        <v>0</v>
      </c>
      <c r="K114" s="401" t="str">
        <f>IF(B114="","",_xlfn.LET(_xlpm.totalUSD,SUMIFS(Tabla3[COSTO TOTAL DOLARES CTP],Tabla3[STATUS],"COTIZANDO",Tabla3[NUM ECONOMICO],B114,Tabla3[TEMA],"&lt;&gt;SERVICIO DE FILTROS"),IF(OR(TC="",_xlpm.totalUSD=0),"—",_xlpm.totalUSD*TC)))</f>
        <v>—</v>
      </c>
      <c r="L114" s="398" cm="1">
        <f t="array" ref="L114">IF(B114="",0,IFERROR(MAX(_xlfn._xlws.FILTER(Tabla3[DIAS DE ENTREGA TENTATIVO EN MATCO],(Tabla3[STATUS]="COTIZANDO")*(Tabla3[NUM ECONOMICO]=B114)*(Tabla3[TEMA]&lt;&gt;"SERVICIO DE FILTROS"))),0))</f>
        <v>0</v>
      </c>
    </row>
    <row r="115" spans="2:12" x14ac:dyDescent="0.2">
      <c r="B115" s="403" t="str">
        <f>MAQUINARIA!B473</f>
        <v>TA-01</v>
      </c>
      <c r="C115" s="404" t="str">
        <f>MAQUINARIA!H473</f>
        <v>ACTIVA</v>
      </c>
      <c r="D115" s="404" t="str">
        <f>IFERROR(TRIM(MAQUINARIA!C473&amp;" "&amp;MAQUINARIA!E473),"—")</f>
        <v>TANQUE DE AGUA 30,000 LTS</v>
      </c>
      <c r="E115" s="398" cm="1">
        <f t="array" ref="E115">IF(B115="",0,IFERROR(ROWS(_xlfn.UNIQUE(_xlfn._xlws.FILTER(Tabla3[PEDIDO],(Tabla3[STATUS]="COTIZANDO")*(Tabla3[NUM ECONOMICO]=B115)*(Tabla3[TEMA]&lt;&gt;"SERVICIO DE FILTROS")))),0))</f>
        <v>0</v>
      </c>
      <c r="F115" s="398">
        <f>IF(B115="",0,COUNTIFS(Tabla3[STATUS],"COTIZANDO",Tabla3[NUM ECONOMICO],B115,Tabla3[TEMA],"&lt;&gt;SERVICIO DE FILTROS"))</f>
        <v>0</v>
      </c>
      <c r="G115" s="399">
        <f>IF(B115="",0,SUMIFS(Tabla3[COSTO TOTAL SIN IVA PESOS EN MATCO],Tabla3[STATUS],"COTIZANDO",Tabla3[NUM ECONOMICO],B115,Tabla3[TEMA],"&lt;&gt;SERVICIO DE FILTROS"))</f>
        <v>0</v>
      </c>
      <c r="H115" s="400">
        <f>IF(B115="",0,SUMIFS(Tabla3[COSTO TOTAL DOLARES EN HAWTHORNE],Tabla3[STATUS],"COTIZANDO",Tabla3[NUM ECONOMICO],B115,Tabla3[TEMA],"&lt;&gt;SERVICIO DE FILTROS"))</f>
        <v>0</v>
      </c>
      <c r="I115" s="401" t="str">
        <f>IF(B115="","",_xlfn.LET(_xlpm.totalUSD,SUMIFS(Tabla3[COSTO TOTAL DOLARES EN HAWTHORNE],Tabla3[STATUS],"COTIZANDO",Tabla3[NUM ECONOMICO],B115,Tabla3[TEMA],"&lt;&gt;SERVICIO DE FILTROS"),IF(OR(TC="",_xlpm.totalUSD=0),"—",_xlpm.totalUSD*TC)))</f>
        <v>—</v>
      </c>
      <c r="J115" s="400">
        <f>IF(B115="",0,SUMIFS(Tabla3[COSTO TOTAL DOLARES CTP],Tabla3[STATUS],"COTIZANDO",Tabla3[NUM ECONOMICO],B115,Tabla3[TEMA],"&lt;&gt;SERVICIO DE FILTROS"))</f>
        <v>0</v>
      </c>
      <c r="K115" s="401" t="str">
        <f>IF(B115="","",_xlfn.LET(_xlpm.totalUSD,SUMIFS(Tabla3[COSTO TOTAL DOLARES CTP],Tabla3[STATUS],"COTIZANDO",Tabla3[NUM ECONOMICO],B115,Tabla3[TEMA],"&lt;&gt;SERVICIO DE FILTROS"),IF(OR(TC="",_xlpm.totalUSD=0),"—",_xlpm.totalUSD*TC)))</f>
        <v>—</v>
      </c>
      <c r="L115" s="398" cm="1">
        <f t="array" ref="L115">IF(B115="",0,IFERROR(MAX(_xlfn._xlws.FILTER(Tabla3[DIAS DE ENTREGA TENTATIVO EN MATCO],(Tabla3[STATUS]="COTIZANDO")*(Tabla3[NUM ECONOMICO]=B115)*(Tabla3[TEMA]&lt;&gt;"SERVICIO DE FILTROS"))),0))</f>
        <v>0</v>
      </c>
    </row>
    <row r="116" spans="2:12" x14ac:dyDescent="0.2">
      <c r="B116" s="403" t="str">
        <f>MAQUINARIA!B474</f>
        <v>TA-02</v>
      </c>
      <c r="C116" s="403" t="str">
        <f>MAQUINARIA!H474</f>
        <v>INACTIVA</v>
      </c>
      <c r="D116" s="404" t="str">
        <f>IFERROR(TRIM(MAQUINARIA!C474&amp;" "&amp;MAQUINARIA!E474),"—")</f>
        <v>TANQUE DE AGUA 25,000 LTS</v>
      </c>
      <c r="E116" s="397" cm="1">
        <f t="array" ref="E116">IF(B116="",0,IFERROR(ROWS(_xlfn.UNIQUE(_xlfn._xlws.FILTER(Tabla3[PEDIDO],(Tabla3[STATUS]="COTIZANDO")*(Tabla3[NUM ECONOMICO]=B116)*(Tabla3[TEMA]&lt;&gt;"SERVICIO DE FILTROS")))),0))</f>
        <v>0</v>
      </c>
      <c r="F116" s="398">
        <f>IF(B116="",0,COUNTIFS(Tabla3[STATUS],"COTIZANDO",Tabla3[NUM ECONOMICO],B116,Tabla3[TEMA],"&lt;&gt;SERVICIO DE FILTROS"))</f>
        <v>0</v>
      </c>
      <c r="G116" s="399">
        <f>IF(B116="",0,SUMIFS(Tabla3[COSTO TOTAL SIN IVA PESOS EN MATCO],Tabla3[STATUS],"COTIZANDO",Tabla3[NUM ECONOMICO],B116,Tabla3[TEMA],"&lt;&gt;SERVICIO DE FILTROS"))</f>
        <v>0</v>
      </c>
      <c r="H116" s="400">
        <f>IF(B116="",0,SUMIFS(Tabla3[COSTO TOTAL DOLARES EN HAWTHORNE],Tabla3[STATUS],"COTIZANDO",Tabla3[NUM ECONOMICO],B116,Tabla3[TEMA],"&lt;&gt;SERVICIO DE FILTROS"))</f>
        <v>0</v>
      </c>
      <c r="I116" s="401" t="str">
        <f>IF(B116="","",_xlfn.LET(_xlpm.totalUSD,SUMIFS(Tabla3[COSTO TOTAL DOLARES EN HAWTHORNE],Tabla3[STATUS],"COTIZANDO",Tabla3[NUM ECONOMICO],B116,Tabla3[TEMA],"&lt;&gt;SERVICIO DE FILTROS"),IF(OR(TC="",_xlpm.totalUSD=0),"—",_xlpm.totalUSD*TC)))</f>
        <v>—</v>
      </c>
      <c r="J116" s="400">
        <f>IF(B116="",0,SUMIFS(Tabla3[COSTO TOTAL DOLARES CTP],Tabla3[STATUS],"COTIZANDO",Tabla3[NUM ECONOMICO],B116,Tabla3[TEMA],"&lt;&gt;SERVICIO DE FILTROS"))</f>
        <v>0</v>
      </c>
      <c r="K116" s="401" t="str">
        <f>IF(B116="","",_xlfn.LET(_xlpm.totalUSD,SUMIFS(Tabla3[COSTO TOTAL DOLARES CTP],Tabla3[STATUS],"COTIZANDO",Tabla3[NUM ECONOMICO],B116,Tabla3[TEMA],"&lt;&gt;SERVICIO DE FILTROS"),IF(OR(TC="",_xlpm.totalUSD=0),"—",_xlpm.totalUSD*TC)))</f>
        <v>—</v>
      </c>
      <c r="L116" s="398" cm="1">
        <f t="array" ref="L116">IF(B116="",0,IFERROR(MAX(_xlfn._xlws.FILTER(Tabla3[DIAS DE ENTREGA TENTATIVO EN MATCO],(Tabla3[STATUS]="COTIZANDO")*(Tabla3[NUM ECONOMICO]=B116)*(Tabla3[TEMA]&lt;&gt;"SERVICIO DE FILTROS"))),0))</f>
        <v>0</v>
      </c>
    </row>
    <row r="117" spans="2:12" x14ac:dyDescent="0.2">
      <c r="B117" s="403" t="str">
        <f>MAQUINARIA!B478</f>
        <v>TA-03</v>
      </c>
      <c r="C117" s="403" t="str">
        <f>MAQUINARIA!H478</f>
        <v>ACTIVA</v>
      </c>
      <c r="D117" s="404" t="str">
        <f>IFERROR(TRIM(MAQUINARIA!C478&amp;" "&amp;MAQUINARIA!E478),"—")</f>
        <v>TANQUE DE AGUA ALUMINIO 30,000 LTS</v>
      </c>
      <c r="E117" s="397" cm="1">
        <f t="array" ref="E117">IF(B117="",0,IFERROR(ROWS(_xlfn.UNIQUE(_xlfn._xlws.FILTER(Tabla3[PEDIDO],(Tabla3[STATUS]="COTIZANDO")*(Tabla3[NUM ECONOMICO]=B117)*(Tabla3[TEMA]&lt;&gt;"SERVICIO DE FILTROS")))),0))</f>
        <v>0</v>
      </c>
      <c r="F117" s="398">
        <f>IF(B117="",0,COUNTIFS(Tabla3[STATUS],"COTIZANDO",Tabla3[NUM ECONOMICO],B117,Tabla3[TEMA],"&lt;&gt;SERVICIO DE FILTROS"))</f>
        <v>0</v>
      </c>
      <c r="G117" s="399">
        <f>IF(B117="",0,SUMIFS(Tabla3[COSTO TOTAL SIN IVA PESOS EN MATCO],Tabla3[STATUS],"COTIZANDO",Tabla3[NUM ECONOMICO],B117,Tabla3[TEMA],"&lt;&gt;SERVICIO DE FILTROS"))</f>
        <v>0</v>
      </c>
      <c r="H117" s="400">
        <f>IF(B117="",0,SUMIFS(Tabla3[COSTO TOTAL DOLARES EN HAWTHORNE],Tabla3[STATUS],"COTIZANDO",Tabla3[NUM ECONOMICO],B117,Tabla3[TEMA],"&lt;&gt;SERVICIO DE FILTROS"))</f>
        <v>0</v>
      </c>
      <c r="I117" s="401" t="str">
        <f>IF(B117="","",_xlfn.LET(_xlpm.totalUSD,SUMIFS(Tabla3[COSTO TOTAL DOLARES EN HAWTHORNE],Tabla3[STATUS],"COTIZANDO",Tabla3[NUM ECONOMICO],B117,Tabla3[TEMA],"&lt;&gt;SERVICIO DE FILTROS"),IF(OR(TC="",_xlpm.totalUSD=0),"—",_xlpm.totalUSD*TC)))</f>
        <v>—</v>
      </c>
      <c r="J117" s="400">
        <f>IF(B117="",0,SUMIFS(Tabla3[COSTO TOTAL DOLARES CTP],Tabla3[STATUS],"COTIZANDO",Tabla3[NUM ECONOMICO],B117,Tabla3[TEMA],"&lt;&gt;SERVICIO DE FILTROS"))</f>
        <v>0</v>
      </c>
      <c r="K117" s="401" t="str">
        <f>IF(B117="","",_xlfn.LET(_xlpm.totalUSD,SUMIFS(Tabla3[COSTO TOTAL DOLARES CTP],Tabla3[STATUS],"COTIZANDO",Tabla3[NUM ECONOMICO],B117,Tabla3[TEMA],"&lt;&gt;SERVICIO DE FILTROS"),IF(OR(TC="",_xlpm.totalUSD=0),"—",_xlpm.totalUSD*TC)))</f>
        <v>—</v>
      </c>
      <c r="L117" s="398" cm="1">
        <f t="array" ref="L117">IF(B117="",0,IFERROR(MAX(_xlfn._xlws.FILTER(Tabla3[DIAS DE ENTREGA TENTATIVO EN MATCO],(Tabla3[STATUS]="COTIZANDO")*(Tabla3[NUM ECONOMICO]=B117)*(Tabla3[TEMA]&lt;&gt;"SERVICIO DE FILTROS"))),0))</f>
        <v>0</v>
      </c>
    </row>
    <row r="118" spans="2:12" x14ac:dyDescent="0.2">
      <c r="B118" s="403" t="str">
        <f>MAQUINARIA!B480</f>
        <v>TA-04</v>
      </c>
      <c r="C118" s="403" t="str">
        <f>MAQUINARIA!H480</f>
        <v>ACTIVA</v>
      </c>
      <c r="D118" s="404" t="str">
        <f>IFERROR(TRIM(MAQUINARIA!C480&amp;" "&amp;MAQUINARIA!E480),"—")</f>
        <v>TANQUE DE AGUA 45,000 LTS</v>
      </c>
      <c r="E118" s="397" cm="1">
        <f t="array" ref="E118">IF(B118="",0,IFERROR(ROWS(_xlfn.UNIQUE(_xlfn._xlws.FILTER(Tabla3[PEDIDO],(Tabla3[STATUS]="COTIZANDO")*(Tabla3[NUM ECONOMICO]=B118)*(Tabla3[TEMA]&lt;&gt;"SERVICIO DE FILTROS")))),0))</f>
        <v>0</v>
      </c>
      <c r="F118" s="398">
        <f>IF(B118="",0,COUNTIFS(Tabla3[STATUS],"COTIZANDO",Tabla3[NUM ECONOMICO],B118,Tabla3[TEMA],"&lt;&gt;SERVICIO DE FILTROS"))</f>
        <v>0</v>
      </c>
      <c r="G118" s="399">
        <f>IF(B118="",0,SUMIFS(Tabla3[COSTO TOTAL SIN IVA PESOS EN MATCO],Tabla3[STATUS],"COTIZANDO",Tabla3[NUM ECONOMICO],B118,Tabla3[TEMA],"&lt;&gt;SERVICIO DE FILTROS"))</f>
        <v>0</v>
      </c>
      <c r="H118" s="400">
        <f>IF(B118="",0,SUMIFS(Tabla3[COSTO TOTAL DOLARES EN HAWTHORNE],Tabla3[STATUS],"COTIZANDO",Tabla3[NUM ECONOMICO],B118,Tabla3[TEMA],"&lt;&gt;SERVICIO DE FILTROS"))</f>
        <v>0</v>
      </c>
      <c r="I118" s="401" t="str">
        <f>IF(B118="","",_xlfn.LET(_xlpm.totalUSD,SUMIFS(Tabla3[COSTO TOTAL DOLARES EN HAWTHORNE],Tabla3[STATUS],"COTIZANDO",Tabla3[NUM ECONOMICO],B118,Tabla3[TEMA],"&lt;&gt;SERVICIO DE FILTROS"),IF(OR(TC="",_xlpm.totalUSD=0),"—",_xlpm.totalUSD*TC)))</f>
        <v>—</v>
      </c>
      <c r="J118" s="400">
        <f>IF(B118="",0,SUMIFS(Tabla3[COSTO TOTAL DOLARES CTP],Tabla3[STATUS],"COTIZANDO",Tabla3[NUM ECONOMICO],B118,Tabla3[TEMA],"&lt;&gt;SERVICIO DE FILTROS"))</f>
        <v>0</v>
      </c>
      <c r="K118" s="401" t="str">
        <f>IF(B118="","",_xlfn.LET(_xlpm.totalUSD,SUMIFS(Tabla3[COSTO TOTAL DOLARES CTP],Tabla3[STATUS],"COTIZANDO",Tabla3[NUM ECONOMICO],B118,Tabla3[TEMA],"&lt;&gt;SERVICIO DE FILTROS"),IF(OR(TC="",_xlpm.totalUSD=0),"—",_xlpm.totalUSD*TC)))</f>
        <v>—</v>
      </c>
      <c r="L118" s="398" cm="1">
        <f t="array" ref="L118">IF(B118="",0,IFERROR(MAX(_xlfn._xlws.FILTER(Tabla3[DIAS DE ENTREGA TENTATIVO EN MATCO],(Tabla3[STATUS]="COTIZANDO")*(Tabla3[NUM ECONOMICO]=B118)*(Tabla3[TEMA]&lt;&gt;"SERVICIO DE FILTROS"))),0))</f>
        <v>0</v>
      </c>
    </row>
    <row r="119" spans="2:12" x14ac:dyDescent="0.2">
      <c r="B119" s="403" t="str">
        <f>MAQUINARIA!B425</f>
        <v>TC-01</v>
      </c>
      <c r="C119" s="403" t="str">
        <f>MAQUINARIA!H425</f>
        <v>ACTIVA</v>
      </c>
      <c r="D119" s="404" t="str">
        <f>IFERROR(TRIM(MAQUINARIA!C425&amp;" "&amp;MAQUINARIA!E425),"—")</f>
        <v>TRACTOCAMION T2000</v>
      </c>
      <c r="E119" s="397" cm="1">
        <f t="array" ref="E119">IF(B119="",0,IFERROR(ROWS(_xlfn.UNIQUE(_xlfn._xlws.FILTER(Tabla3[PEDIDO],(Tabla3[STATUS]="COTIZANDO")*(Tabla3[NUM ECONOMICO]=B119)*(Tabla3[TEMA]&lt;&gt;"SERVICIO DE FILTROS")))),0))</f>
        <v>0</v>
      </c>
      <c r="F119" s="398">
        <f>IF(B119="",0,COUNTIFS(Tabla3[STATUS],"COTIZANDO",Tabla3[NUM ECONOMICO],B119,Tabla3[TEMA],"&lt;&gt;SERVICIO DE FILTROS"))</f>
        <v>0</v>
      </c>
      <c r="G119" s="399">
        <f>IF(B119="",0,SUMIFS(Tabla3[COSTO TOTAL SIN IVA PESOS EN MATCO],Tabla3[STATUS],"COTIZANDO",Tabla3[NUM ECONOMICO],B119,Tabla3[TEMA],"&lt;&gt;SERVICIO DE FILTROS"))</f>
        <v>0</v>
      </c>
      <c r="H119" s="400">
        <f>IF(B119="",0,SUMIFS(Tabla3[COSTO TOTAL DOLARES EN HAWTHORNE],Tabla3[STATUS],"COTIZANDO",Tabla3[NUM ECONOMICO],B119,Tabla3[TEMA],"&lt;&gt;SERVICIO DE FILTROS"))</f>
        <v>0</v>
      </c>
      <c r="I119" s="401" t="str">
        <f>IF(B119="","",_xlfn.LET(_xlpm.totalUSD,SUMIFS(Tabla3[COSTO TOTAL DOLARES EN HAWTHORNE],Tabla3[STATUS],"COTIZANDO",Tabla3[NUM ECONOMICO],B119,Tabla3[TEMA],"&lt;&gt;SERVICIO DE FILTROS"),IF(OR(TC="",_xlpm.totalUSD=0),"—",_xlpm.totalUSD*TC)))</f>
        <v>—</v>
      </c>
      <c r="J119" s="400">
        <f>IF(B119="",0,SUMIFS(Tabla3[COSTO TOTAL DOLARES CTP],Tabla3[STATUS],"COTIZANDO",Tabla3[NUM ECONOMICO],B119,Tabla3[TEMA],"&lt;&gt;SERVICIO DE FILTROS"))</f>
        <v>0</v>
      </c>
      <c r="K119" s="401" t="str">
        <f>IF(B119="","",_xlfn.LET(_xlpm.totalUSD,SUMIFS(Tabla3[COSTO TOTAL DOLARES CTP],Tabla3[STATUS],"COTIZANDO",Tabla3[NUM ECONOMICO],B119,Tabla3[TEMA],"&lt;&gt;SERVICIO DE FILTROS"),IF(OR(TC="",_xlpm.totalUSD=0),"—",_xlpm.totalUSD*TC)))</f>
        <v>—</v>
      </c>
      <c r="L119" s="398" cm="1">
        <f t="array" ref="L119">IF(B119="",0,IFERROR(MAX(_xlfn._xlws.FILTER(Tabla3[DIAS DE ENTREGA TENTATIVO EN MATCO],(Tabla3[STATUS]="COTIZANDO")*(Tabla3[NUM ECONOMICO]=B119)*(Tabla3[TEMA]&lt;&gt;"SERVICIO DE FILTROS"))),0))</f>
        <v>0</v>
      </c>
    </row>
    <row r="120" spans="2:12" x14ac:dyDescent="0.2">
      <c r="B120" s="403" t="str">
        <f>MAQUINARIA!B426</f>
        <v>TC-02</v>
      </c>
      <c r="C120" s="404" t="str">
        <f>MAQUINARIA!H426</f>
        <v>INACTIVA</v>
      </c>
      <c r="D120" s="404" t="str">
        <f>IFERROR(TRIM(MAQUINARIA!C426&amp;" "&amp;MAQUINARIA!E426),"—")</f>
        <v>TRACTOCAMION</v>
      </c>
      <c r="E120" s="397" cm="1">
        <f t="array" ref="E120">IF(B120="",0,IFERROR(ROWS(_xlfn.UNIQUE(_xlfn._xlws.FILTER(Tabla3[PEDIDO],(Tabla3[STATUS]="COTIZANDO")*(Tabla3[NUM ECONOMICO]=B120)*(Tabla3[TEMA]&lt;&gt;"SERVICIO DE FILTROS")))),0))</f>
        <v>0</v>
      </c>
      <c r="F120" s="398">
        <f>IF(B120="",0,COUNTIFS(Tabla3[STATUS],"COTIZANDO",Tabla3[NUM ECONOMICO],B120,Tabla3[TEMA],"&lt;&gt;SERVICIO DE FILTROS"))</f>
        <v>0</v>
      </c>
      <c r="G120" s="399">
        <f>IF(B120="",0,SUMIFS(Tabla3[COSTO TOTAL SIN IVA PESOS EN MATCO],Tabla3[STATUS],"COTIZANDO",Tabla3[NUM ECONOMICO],B120,Tabla3[TEMA],"&lt;&gt;SERVICIO DE FILTROS"))</f>
        <v>0</v>
      </c>
      <c r="H120" s="400">
        <f>IF(B120="",0,SUMIFS(Tabla3[COSTO TOTAL DOLARES EN HAWTHORNE],Tabla3[STATUS],"COTIZANDO",Tabla3[NUM ECONOMICO],B120,Tabla3[TEMA],"&lt;&gt;SERVICIO DE FILTROS"))</f>
        <v>0</v>
      </c>
      <c r="I120" s="401" t="str">
        <f>IF(B120="","",_xlfn.LET(_xlpm.totalUSD,SUMIFS(Tabla3[COSTO TOTAL DOLARES EN HAWTHORNE],Tabla3[STATUS],"COTIZANDO",Tabla3[NUM ECONOMICO],B120,Tabla3[TEMA],"&lt;&gt;SERVICIO DE FILTROS"),IF(OR(TC="",_xlpm.totalUSD=0),"—",_xlpm.totalUSD*TC)))</f>
        <v>—</v>
      </c>
      <c r="J120" s="400">
        <f>IF(B120="",0,SUMIFS(Tabla3[COSTO TOTAL DOLARES CTP],Tabla3[STATUS],"COTIZANDO",Tabla3[NUM ECONOMICO],B120,Tabla3[TEMA],"&lt;&gt;SERVICIO DE FILTROS"))</f>
        <v>0</v>
      </c>
      <c r="K120" s="401" t="str">
        <f>IF(B120="","",_xlfn.LET(_xlpm.totalUSD,SUMIFS(Tabla3[COSTO TOTAL DOLARES CTP],Tabla3[STATUS],"COTIZANDO",Tabla3[NUM ECONOMICO],B120,Tabla3[TEMA],"&lt;&gt;SERVICIO DE FILTROS"),IF(OR(TC="",_xlpm.totalUSD=0),"—",_xlpm.totalUSD*TC)))</f>
        <v>—</v>
      </c>
      <c r="L120" s="398" cm="1">
        <f t="array" ref="L120">IF(B120="",0,IFERROR(MAX(_xlfn._xlws.FILTER(Tabla3[DIAS DE ENTREGA TENTATIVO EN MATCO],(Tabla3[STATUS]="COTIZANDO")*(Tabla3[NUM ECONOMICO]=B120)*(Tabla3[TEMA]&lt;&gt;"SERVICIO DE FILTROS"))),0))</f>
        <v>0</v>
      </c>
    </row>
    <row r="121" spans="2:12" x14ac:dyDescent="0.2">
      <c r="B121" s="403" t="str">
        <f>MAQUINARIA!B433</f>
        <v>TC-03</v>
      </c>
      <c r="C121" s="403" t="str">
        <f>MAQUINARIA!H433</f>
        <v>INACTIVA</v>
      </c>
      <c r="D121" s="404" t="str">
        <f>IFERROR(TRIM(MAQUINARIA!C433&amp;" "&amp;MAQUINARIA!E433),"—")</f>
        <v>TRACTOCAMION</v>
      </c>
      <c r="E121" s="397" cm="1">
        <f t="array" ref="E121">IF(B121="",0,IFERROR(ROWS(_xlfn.UNIQUE(_xlfn._xlws.FILTER(Tabla3[PEDIDO],(Tabla3[STATUS]="COTIZANDO")*(Tabla3[NUM ECONOMICO]=B121)*(Tabla3[TEMA]&lt;&gt;"SERVICIO DE FILTROS")))),0))</f>
        <v>0</v>
      </c>
      <c r="F121" s="398">
        <f>IF(B121="",0,COUNTIFS(Tabla3[STATUS],"COTIZANDO",Tabla3[NUM ECONOMICO],B121,Tabla3[TEMA],"&lt;&gt;SERVICIO DE FILTROS"))</f>
        <v>0</v>
      </c>
      <c r="G121" s="399">
        <f>IF(B121="",0,SUMIFS(Tabla3[COSTO TOTAL SIN IVA PESOS EN MATCO],Tabla3[STATUS],"COTIZANDO",Tabla3[NUM ECONOMICO],B121,Tabla3[TEMA],"&lt;&gt;SERVICIO DE FILTROS"))</f>
        <v>0</v>
      </c>
      <c r="H121" s="400">
        <f>IF(B121="",0,SUMIFS(Tabla3[COSTO TOTAL DOLARES EN HAWTHORNE],Tabla3[STATUS],"COTIZANDO",Tabla3[NUM ECONOMICO],B121,Tabla3[TEMA],"&lt;&gt;SERVICIO DE FILTROS"))</f>
        <v>0</v>
      </c>
      <c r="I121" s="401" t="str">
        <f>IF(B121="","",_xlfn.LET(_xlpm.totalUSD,SUMIFS(Tabla3[COSTO TOTAL DOLARES EN HAWTHORNE],Tabla3[STATUS],"COTIZANDO",Tabla3[NUM ECONOMICO],B121,Tabla3[TEMA],"&lt;&gt;SERVICIO DE FILTROS"),IF(OR(TC="",_xlpm.totalUSD=0),"—",_xlpm.totalUSD*TC)))</f>
        <v>—</v>
      </c>
      <c r="J121" s="400">
        <f>IF(B121="",0,SUMIFS(Tabla3[COSTO TOTAL DOLARES CTP],Tabla3[STATUS],"COTIZANDO",Tabla3[NUM ECONOMICO],B121,Tabla3[TEMA],"&lt;&gt;SERVICIO DE FILTROS"))</f>
        <v>0</v>
      </c>
      <c r="K121" s="401" t="str">
        <f>IF(B121="","",_xlfn.LET(_xlpm.totalUSD,SUMIFS(Tabla3[COSTO TOTAL DOLARES CTP],Tabla3[STATUS],"COTIZANDO",Tabla3[NUM ECONOMICO],B121,Tabla3[TEMA],"&lt;&gt;SERVICIO DE FILTROS"),IF(OR(TC="",_xlpm.totalUSD=0),"—",_xlpm.totalUSD*TC)))</f>
        <v>—</v>
      </c>
      <c r="L121" s="398" cm="1">
        <f t="array" ref="L121">IF(B121="",0,IFERROR(MAX(_xlfn._xlws.FILTER(Tabla3[DIAS DE ENTREGA TENTATIVO EN MATCO],(Tabla3[STATUS]="COTIZANDO")*(Tabla3[NUM ECONOMICO]=B121)*(Tabla3[TEMA]&lt;&gt;"SERVICIO DE FILTROS"))),0))</f>
        <v>0</v>
      </c>
    </row>
    <row r="122" spans="2:12" x14ac:dyDescent="0.2">
      <c r="B122" s="403" t="str">
        <f>MAQUINARIA!B437</f>
        <v>TC-04</v>
      </c>
      <c r="C122" s="403" t="str">
        <f>MAQUINARIA!H437</f>
        <v>ACTIVA</v>
      </c>
      <c r="D122" s="404" t="str">
        <f>IFERROR(TRIM(MAQUINARIA!C437&amp;" "&amp;MAQUINARIA!E437),"—")</f>
        <v>TRACTOCAMION</v>
      </c>
      <c r="E122" s="397" cm="1">
        <f t="array" ref="E122">IF(B122="",0,IFERROR(ROWS(_xlfn.UNIQUE(_xlfn._xlws.FILTER(Tabla3[PEDIDO],(Tabla3[STATUS]="COTIZANDO")*(Tabla3[NUM ECONOMICO]=B122)*(Tabla3[TEMA]&lt;&gt;"SERVICIO DE FILTROS")))),0))</f>
        <v>0</v>
      </c>
      <c r="F122" s="398">
        <f>IF(B122="",0,COUNTIFS(Tabla3[STATUS],"COTIZANDO",Tabla3[NUM ECONOMICO],B122,Tabla3[TEMA],"&lt;&gt;SERVICIO DE FILTROS"))</f>
        <v>0</v>
      </c>
      <c r="G122" s="399">
        <f>IF(B122="",0,SUMIFS(Tabla3[COSTO TOTAL SIN IVA PESOS EN MATCO],Tabla3[STATUS],"COTIZANDO",Tabla3[NUM ECONOMICO],B122,Tabla3[TEMA],"&lt;&gt;SERVICIO DE FILTROS"))</f>
        <v>0</v>
      </c>
      <c r="H122" s="400">
        <f>IF(B122="",0,SUMIFS(Tabla3[COSTO TOTAL DOLARES EN HAWTHORNE],Tabla3[STATUS],"COTIZANDO",Tabla3[NUM ECONOMICO],B122,Tabla3[TEMA],"&lt;&gt;SERVICIO DE FILTROS"))</f>
        <v>0</v>
      </c>
      <c r="I122" s="401" t="str">
        <f>IF(B122="","",_xlfn.LET(_xlpm.totalUSD,SUMIFS(Tabla3[COSTO TOTAL DOLARES EN HAWTHORNE],Tabla3[STATUS],"COTIZANDO",Tabla3[NUM ECONOMICO],B122,Tabla3[TEMA],"&lt;&gt;SERVICIO DE FILTROS"),IF(OR(TC="",_xlpm.totalUSD=0),"—",_xlpm.totalUSD*TC)))</f>
        <v>—</v>
      </c>
      <c r="J122" s="400">
        <f>IF(B122="",0,SUMIFS(Tabla3[COSTO TOTAL DOLARES CTP],Tabla3[STATUS],"COTIZANDO",Tabla3[NUM ECONOMICO],B122,Tabla3[TEMA],"&lt;&gt;SERVICIO DE FILTROS"))</f>
        <v>0</v>
      </c>
      <c r="K122" s="401" t="str">
        <f>IF(B122="","",_xlfn.LET(_xlpm.totalUSD,SUMIFS(Tabla3[COSTO TOTAL DOLARES CTP],Tabla3[STATUS],"COTIZANDO",Tabla3[NUM ECONOMICO],B122,Tabla3[TEMA],"&lt;&gt;SERVICIO DE FILTROS"),IF(OR(TC="",_xlpm.totalUSD=0),"—",_xlpm.totalUSD*TC)))</f>
        <v>—</v>
      </c>
      <c r="L122" s="398" cm="1">
        <f t="array" ref="L122">IF(B122="",0,IFERROR(MAX(_xlfn._xlws.FILTER(Tabla3[DIAS DE ENTREGA TENTATIVO EN MATCO],(Tabla3[STATUS]="COTIZANDO")*(Tabla3[NUM ECONOMICO]=B122)*(Tabla3[TEMA]&lt;&gt;"SERVICIO DE FILTROS"))),0))</f>
        <v>0</v>
      </c>
    </row>
    <row r="123" spans="2:12" x14ac:dyDescent="0.2">
      <c r="B123" s="403" t="str">
        <f>MAQUINARIA!B440</f>
        <v>TC-05</v>
      </c>
      <c r="C123" s="403" t="str">
        <f>MAQUINARIA!H440</f>
        <v>ACTIVA</v>
      </c>
      <c r="D123" s="404" t="str">
        <f>IFERROR(TRIM(MAQUINARIA!C440&amp;" "&amp;MAQUINARIA!E440),"—")</f>
        <v>TRACTOCAMION</v>
      </c>
      <c r="E123" s="397" cm="1">
        <f t="array" ref="E123">IF(B123="",0,IFERROR(ROWS(_xlfn.UNIQUE(_xlfn._xlws.FILTER(Tabla3[PEDIDO],(Tabla3[STATUS]="COTIZANDO")*(Tabla3[NUM ECONOMICO]=B123)*(Tabla3[TEMA]&lt;&gt;"SERVICIO DE FILTROS")))),0))</f>
        <v>0</v>
      </c>
      <c r="F123" s="398">
        <f>IF(B123="",0,COUNTIFS(Tabla3[STATUS],"COTIZANDO",Tabla3[NUM ECONOMICO],B123,Tabla3[TEMA],"&lt;&gt;SERVICIO DE FILTROS"))</f>
        <v>0</v>
      </c>
      <c r="G123" s="399">
        <f>IF(B123="",0,SUMIFS(Tabla3[COSTO TOTAL SIN IVA PESOS EN MATCO],Tabla3[STATUS],"COTIZANDO",Tabla3[NUM ECONOMICO],B123,Tabla3[TEMA],"&lt;&gt;SERVICIO DE FILTROS"))</f>
        <v>0</v>
      </c>
      <c r="H123" s="400">
        <f>IF(B123="",0,SUMIFS(Tabla3[COSTO TOTAL DOLARES EN HAWTHORNE],Tabla3[STATUS],"COTIZANDO",Tabla3[NUM ECONOMICO],B123,Tabla3[TEMA],"&lt;&gt;SERVICIO DE FILTROS"))</f>
        <v>0</v>
      </c>
      <c r="I123" s="401" t="str">
        <f>IF(B123="","",_xlfn.LET(_xlpm.totalUSD,SUMIFS(Tabla3[COSTO TOTAL DOLARES EN HAWTHORNE],Tabla3[STATUS],"COTIZANDO",Tabla3[NUM ECONOMICO],B123,Tabla3[TEMA],"&lt;&gt;SERVICIO DE FILTROS"),IF(OR(TC="",_xlpm.totalUSD=0),"—",_xlpm.totalUSD*TC)))</f>
        <v>—</v>
      </c>
      <c r="J123" s="400">
        <f>IF(B123="",0,SUMIFS(Tabla3[COSTO TOTAL DOLARES CTP],Tabla3[STATUS],"COTIZANDO",Tabla3[NUM ECONOMICO],B123,Tabla3[TEMA],"&lt;&gt;SERVICIO DE FILTROS"))</f>
        <v>0</v>
      </c>
      <c r="K123" s="401" t="str">
        <f>IF(B123="","",_xlfn.LET(_xlpm.totalUSD,SUMIFS(Tabla3[COSTO TOTAL DOLARES CTP],Tabla3[STATUS],"COTIZANDO",Tabla3[NUM ECONOMICO],B123,Tabla3[TEMA],"&lt;&gt;SERVICIO DE FILTROS"),IF(OR(TC="",_xlpm.totalUSD=0),"—",_xlpm.totalUSD*TC)))</f>
        <v>—</v>
      </c>
      <c r="L123" s="398" cm="1">
        <f t="array" ref="L123">IF(B123="",0,IFERROR(MAX(_xlfn._xlws.FILTER(Tabla3[DIAS DE ENTREGA TENTATIVO EN MATCO],(Tabla3[STATUS]="COTIZANDO")*(Tabla3[NUM ECONOMICO]=B123)*(Tabla3[TEMA]&lt;&gt;"SERVICIO DE FILTROS"))),0))</f>
        <v>0</v>
      </c>
    </row>
    <row r="124" spans="2:12" x14ac:dyDescent="0.2">
      <c r="B124" s="403" t="str">
        <f>MAQUINARIA!B441</f>
        <v>TC-06</v>
      </c>
      <c r="C124" s="404" t="str">
        <f>MAQUINARIA!H441</f>
        <v>ACTIVA</v>
      </c>
      <c r="D124" s="404" t="str">
        <f>IFERROR(TRIM(MAQUINARIA!C441&amp;" "&amp;MAQUINARIA!E441),"—")</f>
        <v>TRACTOCAMION</v>
      </c>
      <c r="E124" s="398" cm="1">
        <f t="array" ref="E124">IF(B124="",0,IFERROR(ROWS(_xlfn.UNIQUE(_xlfn._xlws.FILTER(Tabla3[PEDIDO],(Tabla3[STATUS]="COTIZANDO")*(Tabla3[NUM ECONOMICO]=B124)*(Tabla3[TEMA]&lt;&gt;"SERVICIO DE FILTROS")))),0))</f>
        <v>0</v>
      </c>
      <c r="F124" s="398">
        <f>IF(B124="",0,COUNTIFS(Tabla3[STATUS],"COTIZANDO",Tabla3[NUM ECONOMICO],B124,Tabla3[TEMA],"&lt;&gt;SERVICIO DE FILTROS"))</f>
        <v>0</v>
      </c>
      <c r="G124" s="399">
        <f>IF(B124="",0,SUMIFS(Tabla3[COSTO TOTAL SIN IVA PESOS EN MATCO],Tabla3[STATUS],"COTIZANDO",Tabla3[NUM ECONOMICO],B124,Tabla3[TEMA],"&lt;&gt;SERVICIO DE FILTROS"))</f>
        <v>0</v>
      </c>
      <c r="H124" s="400">
        <f>IF(B124="",0,SUMIFS(Tabla3[COSTO TOTAL DOLARES EN HAWTHORNE],Tabla3[STATUS],"COTIZANDO",Tabla3[NUM ECONOMICO],B124,Tabla3[TEMA],"&lt;&gt;SERVICIO DE FILTROS"))</f>
        <v>0</v>
      </c>
      <c r="I124" s="401" t="str">
        <f>IF(B124="","",_xlfn.LET(_xlpm.totalUSD,SUMIFS(Tabla3[COSTO TOTAL DOLARES EN HAWTHORNE],Tabla3[STATUS],"COTIZANDO",Tabla3[NUM ECONOMICO],B124,Tabla3[TEMA],"&lt;&gt;SERVICIO DE FILTROS"),IF(OR(TC="",_xlpm.totalUSD=0),"—",_xlpm.totalUSD*TC)))</f>
        <v>—</v>
      </c>
      <c r="J124" s="400">
        <f>IF(B124="",0,SUMIFS(Tabla3[COSTO TOTAL DOLARES CTP],Tabla3[STATUS],"COTIZANDO",Tabla3[NUM ECONOMICO],B124,Tabla3[TEMA],"&lt;&gt;SERVICIO DE FILTROS"))</f>
        <v>0</v>
      </c>
      <c r="K124" s="401" t="str">
        <f>IF(B124="","",_xlfn.LET(_xlpm.totalUSD,SUMIFS(Tabla3[COSTO TOTAL DOLARES CTP],Tabla3[STATUS],"COTIZANDO",Tabla3[NUM ECONOMICO],B124,Tabla3[TEMA],"&lt;&gt;SERVICIO DE FILTROS"),IF(OR(TC="",_xlpm.totalUSD=0),"—",_xlpm.totalUSD*TC)))</f>
        <v>—</v>
      </c>
      <c r="L124" s="398" cm="1">
        <f t="array" ref="L124">IF(B124="",0,IFERROR(MAX(_xlfn._xlws.FILTER(Tabla3[DIAS DE ENTREGA TENTATIVO EN MATCO],(Tabla3[STATUS]="COTIZANDO")*(Tabla3[NUM ECONOMICO]=B124)*(Tabla3[TEMA]&lt;&gt;"SERVICIO DE FILTROS"))),0))</f>
        <v>0</v>
      </c>
    </row>
    <row r="125" spans="2:12" x14ac:dyDescent="0.2">
      <c r="B125" s="403" t="str">
        <f>MAQUINARIA!B442</f>
        <v>TM-01</v>
      </c>
      <c r="C125" s="403" t="str">
        <f>MAQUINARIA!H442</f>
        <v>ACTIVA</v>
      </c>
      <c r="D125" s="404" t="str">
        <f>IFERROR(TRIM(MAQUINARIA!C442&amp;" "&amp;MAQUINARIA!E442),"—")</f>
        <v>MARIMBA</v>
      </c>
      <c r="E125" s="397" cm="1">
        <f t="array" ref="E125">IF(B125="",0,IFERROR(ROWS(_xlfn.UNIQUE(_xlfn._xlws.FILTER(Tabla3[PEDIDO],(Tabla3[STATUS]="COTIZANDO")*(Tabla3[NUM ECONOMICO]=B125)*(Tabla3[TEMA]&lt;&gt;"SERVICIO DE FILTROS")))),0))</f>
        <v>0</v>
      </c>
      <c r="F125" s="398">
        <f>IF(B125="",0,COUNTIFS(Tabla3[STATUS],"COTIZANDO",Tabla3[NUM ECONOMICO],B125,Tabla3[TEMA],"&lt;&gt;SERVICIO DE FILTROS"))</f>
        <v>0</v>
      </c>
      <c r="G125" s="399">
        <f>IF(B125="",0,SUMIFS(Tabla3[COSTO TOTAL SIN IVA PESOS EN MATCO],Tabla3[STATUS],"COTIZANDO",Tabla3[NUM ECONOMICO],B125,Tabla3[TEMA],"&lt;&gt;SERVICIO DE FILTROS"))</f>
        <v>0</v>
      </c>
      <c r="H125" s="400">
        <f>IF(B125="",0,SUMIFS(Tabla3[COSTO TOTAL DOLARES EN HAWTHORNE],Tabla3[STATUS],"COTIZANDO",Tabla3[NUM ECONOMICO],B125,Tabla3[TEMA],"&lt;&gt;SERVICIO DE FILTROS"))</f>
        <v>0</v>
      </c>
      <c r="I125" s="401" t="str">
        <f>IF(B125="","",_xlfn.LET(_xlpm.totalUSD,SUMIFS(Tabla3[COSTO TOTAL DOLARES EN HAWTHORNE],Tabla3[STATUS],"COTIZANDO",Tabla3[NUM ECONOMICO],B125,Tabla3[TEMA],"&lt;&gt;SERVICIO DE FILTROS"),IF(OR(TC="",_xlpm.totalUSD=0),"—",_xlpm.totalUSD*TC)))</f>
        <v>—</v>
      </c>
      <c r="J125" s="400">
        <f>IF(B125="",0,SUMIFS(Tabla3[COSTO TOTAL DOLARES CTP],Tabla3[STATUS],"COTIZANDO",Tabla3[NUM ECONOMICO],B125,Tabla3[TEMA],"&lt;&gt;SERVICIO DE FILTROS"))</f>
        <v>0</v>
      </c>
      <c r="K125" s="401" t="str">
        <f>IF(B125="","",_xlfn.LET(_xlpm.totalUSD,SUMIFS(Tabla3[COSTO TOTAL DOLARES CTP],Tabla3[STATUS],"COTIZANDO",Tabla3[NUM ECONOMICO],B125,Tabla3[TEMA],"&lt;&gt;SERVICIO DE FILTROS"),IF(OR(TC="",_xlpm.totalUSD=0),"—",_xlpm.totalUSD*TC)))</f>
        <v>—</v>
      </c>
      <c r="L125" s="398" cm="1">
        <f t="array" ref="L125">IF(B125="",0,IFERROR(MAX(_xlfn._xlws.FILTER(Tabla3[DIAS DE ENTREGA TENTATIVO EN MATCO],(Tabla3[STATUS]="COTIZANDO")*(Tabla3[NUM ECONOMICO]=B125)*(Tabla3[TEMA]&lt;&gt;"SERVICIO DE FILTROS"))),0))</f>
        <v>0</v>
      </c>
    </row>
    <row r="126" spans="2:12" x14ac:dyDescent="0.2">
      <c r="B126" s="403" t="str">
        <f>MAQUINARIA!B443</f>
        <v>TM-02</v>
      </c>
      <c r="C126" s="403" t="str">
        <f>MAQUINARIA!H443</f>
        <v>ACTIVA</v>
      </c>
      <c r="D126" s="404" t="str">
        <f>IFERROR(TRIM(MAQUINARIA!C443&amp;" "&amp;MAQUINARIA!E443),"—")</f>
        <v>MARIMBA</v>
      </c>
      <c r="E126" s="397" cm="1">
        <f t="array" ref="E126">IF(B126="",0,IFERROR(ROWS(_xlfn.UNIQUE(_xlfn._xlws.FILTER(Tabla3[PEDIDO],(Tabla3[STATUS]="COTIZANDO")*(Tabla3[NUM ECONOMICO]=B126)*(Tabla3[TEMA]&lt;&gt;"SERVICIO DE FILTROS")))),0))</f>
        <v>0</v>
      </c>
      <c r="F126" s="398">
        <f>IF(B126="",0,COUNTIFS(Tabla3[STATUS],"COTIZANDO",Tabla3[NUM ECONOMICO],B126,Tabla3[TEMA],"&lt;&gt;SERVICIO DE FILTROS"))</f>
        <v>0</v>
      </c>
      <c r="G126" s="399">
        <f>IF(B126="",0,SUMIFS(Tabla3[COSTO TOTAL SIN IVA PESOS EN MATCO],Tabla3[STATUS],"COTIZANDO",Tabla3[NUM ECONOMICO],B126,Tabla3[TEMA],"&lt;&gt;SERVICIO DE FILTROS"))</f>
        <v>0</v>
      </c>
      <c r="H126" s="400">
        <f>IF(B126="",0,SUMIFS(Tabla3[COSTO TOTAL DOLARES EN HAWTHORNE],Tabla3[STATUS],"COTIZANDO",Tabla3[NUM ECONOMICO],B126,Tabla3[TEMA],"&lt;&gt;SERVICIO DE FILTROS"))</f>
        <v>0</v>
      </c>
      <c r="I126" s="401" t="str">
        <f>IF(B126="","",_xlfn.LET(_xlpm.totalUSD,SUMIFS(Tabla3[COSTO TOTAL DOLARES EN HAWTHORNE],Tabla3[STATUS],"COTIZANDO",Tabla3[NUM ECONOMICO],B126,Tabla3[TEMA],"&lt;&gt;SERVICIO DE FILTROS"),IF(OR(TC="",_xlpm.totalUSD=0),"—",_xlpm.totalUSD*TC)))</f>
        <v>—</v>
      </c>
      <c r="J126" s="400">
        <f>IF(B126="",0,SUMIFS(Tabla3[COSTO TOTAL DOLARES CTP],Tabla3[STATUS],"COTIZANDO",Tabla3[NUM ECONOMICO],B126,Tabla3[TEMA],"&lt;&gt;SERVICIO DE FILTROS"))</f>
        <v>0</v>
      </c>
      <c r="K126" s="401" t="str">
        <f>IF(B126="","",_xlfn.LET(_xlpm.totalUSD,SUMIFS(Tabla3[COSTO TOTAL DOLARES CTP],Tabla3[STATUS],"COTIZANDO",Tabla3[NUM ECONOMICO],B126,Tabla3[TEMA],"&lt;&gt;SERVICIO DE FILTROS"),IF(OR(TC="",_xlpm.totalUSD=0),"—",_xlpm.totalUSD*TC)))</f>
        <v>—</v>
      </c>
      <c r="L126" s="398" cm="1">
        <f t="array" ref="L126">IF(B126="",0,IFERROR(MAX(_xlfn._xlws.FILTER(Tabla3[DIAS DE ENTREGA TENTATIVO EN MATCO],(Tabla3[STATUS]="COTIZANDO")*(Tabla3[NUM ECONOMICO]=B126)*(Tabla3[TEMA]&lt;&gt;"SERVICIO DE FILTROS"))),0))</f>
        <v>0</v>
      </c>
    </row>
    <row r="127" spans="2:12" x14ac:dyDescent="0.2">
      <c r="B127" s="403" t="str">
        <f>MAQUINARIA!B444</f>
        <v>TM-03</v>
      </c>
      <c r="C127" s="403" t="str">
        <f>MAQUINARIA!H444</f>
        <v>ACTIVA</v>
      </c>
      <c r="D127" s="404" t="str">
        <f>IFERROR(TRIM(MAQUINARIA!C444&amp;" "&amp;MAQUINARIA!E444),"—")</f>
        <v>MARIMBA</v>
      </c>
      <c r="E127" s="397" cm="1">
        <f t="array" ref="E127">IF(B127="",0,IFERROR(ROWS(_xlfn.UNIQUE(_xlfn._xlws.FILTER(Tabla3[PEDIDO],(Tabla3[STATUS]="COTIZANDO")*(Tabla3[NUM ECONOMICO]=B127)*(Tabla3[TEMA]&lt;&gt;"SERVICIO DE FILTROS")))),0))</f>
        <v>0</v>
      </c>
      <c r="F127" s="398">
        <f>IF(B127="",0,COUNTIFS(Tabla3[STATUS],"COTIZANDO",Tabla3[NUM ECONOMICO],B127,Tabla3[TEMA],"&lt;&gt;SERVICIO DE FILTROS"))</f>
        <v>0</v>
      </c>
      <c r="G127" s="399">
        <f>IF(B127="",0,SUMIFS(Tabla3[COSTO TOTAL SIN IVA PESOS EN MATCO],Tabla3[STATUS],"COTIZANDO",Tabla3[NUM ECONOMICO],B127,Tabla3[TEMA],"&lt;&gt;SERVICIO DE FILTROS"))</f>
        <v>0</v>
      </c>
      <c r="H127" s="400">
        <f>IF(B127="",0,SUMIFS(Tabla3[COSTO TOTAL DOLARES EN HAWTHORNE],Tabla3[STATUS],"COTIZANDO",Tabla3[NUM ECONOMICO],B127,Tabla3[TEMA],"&lt;&gt;SERVICIO DE FILTROS"))</f>
        <v>0</v>
      </c>
      <c r="I127" s="401" t="str">
        <f>IF(B127="","",_xlfn.LET(_xlpm.totalUSD,SUMIFS(Tabla3[COSTO TOTAL DOLARES EN HAWTHORNE],Tabla3[STATUS],"COTIZANDO",Tabla3[NUM ECONOMICO],B127,Tabla3[TEMA],"&lt;&gt;SERVICIO DE FILTROS"),IF(OR(TC="",_xlpm.totalUSD=0),"—",_xlpm.totalUSD*TC)))</f>
        <v>—</v>
      </c>
      <c r="J127" s="400">
        <f>IF(B127="",0,SUMIFS(Tabla3[COSTO TOTAL DOLARES CTP],Tabla3[STATUS],"COTIZANDO",Tabla3[NUM ECONOMICO],B127,Tabla3[TEMA],"&lt;&gt;SERVICIO DE FILTROS"))</f>
        <v>0</v>
      </c>
      <c r="K127" s="401" t="str">
        <f>IF(B127="","",_xlfn.LET(_xlpm.totalUSD,SUMIFS(Tabla3[COSTO TOTAL DOLARES CTP],Tabla3[STATUS],"COTIZANDO",Tabla3[NUM ECONOMICO],B127,Tabla3[TEMA],"&lt;&gt;SERVICIO DE FILTROS"),IF(OR(TC="",_xlpm.totalUSD=0),"—",_xlpm.totalUSD*TC)))</f>
        <v>—</v>
      </c>
      <c r="L127" s="398" cm="1">
        <f t="array" ref="L127">IF(B127="",0,IFERROR(MAX(_xlfn._xlws.FILTER(Tabla3[DIAS DE ENTREGA TENTATIVO EN MATCO],(Tabla3[STATUS]="COTIZANDO")*(Tabla3[NUM ECONOMICO]=B127)*(Tabla3[TEMA]&lt;&gt;"SERVICIO DE FILTROS"))),0))</f>
        <v>0</v>
      </c>
    </row>
    <row r="128" spans="2:12" x14ac:dyDescent="0.2">
      <c r="B128" s="403" t="str">
        <f>MAQUINARIA!B445</f>
        <v>TM-04</v>
      </c>
      <c r="C128" s="403" t="str">
        <f>MAQUINARIA!H445</f>
        <v>INACTIVA</v>
      </c>
      <c r="D128" s="404" t="str">
        <f>IFERROR(TRIM(MAQUINARIA!C445&amp;" "&amp;MAQUINARIA!E445),"—")</f>
        <v>MARIMBA</v>
      </c>
      <c r="E128" s="397" cm="1">
        <f t="array" ref="E128">IF(B128="",0,IFERROR(ROWS(_xlfn.UNIQUE(_xlfn._xlws.FILTER(Tabla3[PEDIDO],(Tabla3[STATUS]="COTIZANDO")*(Tabla3[NUM ECONOMICO]=B128)*(Tabla3[TEMA]&lt;&gt;"SERVICIO DE FILTROS")))),0))</f>
        <v>0</v>
      </c>
      <c r="F128" s="398">
        <f>IF(B128="",0,COUNTIFS(Tabla3[STATUS],"COTIZANDO",Tabla3[NUM ECONOMICO],B128,Tabla3[TEMA],"&lt;&gt;SERVICIO DE FILTROS"))</f>
        <v>0</v>
      </c>
      <c r="G128" s="399">
        <f>IF(B128="",0,SUMIFS(Tabla3[COSTO TOTAL SIN IVA PESOS EN MATCO],Tabla3[STATUS],"COTIZANDO",Tabla3[NUM ECONOMICO],B128,Tabla3[TEMA],"&lt;&gt;SERVICIO DE FILTROS"))</f>
        <v>0</v>
      </c>
      <c r="H128" s="400">
        <f>IF(B128="",0,SUMIFS(Tabla3[COSTO TOTAL DOLARES EN HAWTHORNE],Tabla3[STATUS],"COTIZANDO",Tabla3[NUM ECONOMICO],B128,Tabla3[TEMA],"&lt;&gt;SERVICIO DE FILTROS"))</f>
        <v>0</v>
      </c>
      <c r="I128" s="401" t="str">
        <f>IF(B128="","",_xlfn.LET(_xlpm.totalUSD,SUMIFS(Tabla3[COSTO TOTAL DOLARES EN HAWTHORNE],Tabla3[STATUS],"COTIZANDO",Tabla3[NUM ECONOMICO],B128,Tabla3[TEMA],"&lt;&gt;SERVICIO DE FILTROS"),IF(OR(TC="",_xlpm.totalUSD=0),"—",_xlpm.totalUSD*TC)))</f>
        <v>—</v>
      </c>
      <c r="J128" s="400">
        <f>IF(B128="",0,SUMIFS(Tabla3[COSTO TOTAL DOLARES CTP],Tabla3[STATUS],"COTIZANDO",Tabla3[NUM ECONOMICO],B128,Tabla3[TEMA],"&lt;&gt;SERVICIO DE FILTROS"))</f>
        <v>0</v>
      </c>
      <c r="K128" s="401" t="str">
        <f>IF(B128="","",_xlfn.LET(_xlpm.totalUSD,SUMIFS(Tabla3[COSTO TOTAL DOLARES CTP],Tabla3[STATUS],"COTIZANDO",Tabla3[NUM ECONOMICO],B128,Tabla3[TEMA],"&lt;&gt;SERVICIO DE FILTROS"),IF(OR(TC="",_xlpm.totalUSD=0),"—",_xlpm.totalUSD*TC)))</f>
        <v>—</v>
      </c>
      <c r="L128" s="398" cm="1">
        <f t="array" ref="L128">IF(B128="",0,IFERROR(MAX(_xlfn._xlws.FILTER(Tabla3[DIAS DE ENTREGA TENTATIVO EN MATCO],(Tabla3[STATUS]="COTIZANDO")*(Tabla3[NUM ECONOMICO]=B128)*(Tabla3[TEMA]&lt;&gt;"SERVICIO DE FILTROS"))),0))</f>
        <v>0</v>
      </c>
    </row>
    <row r="129" spans="2:12" x14ac:dyDescent="0.2">
      <c r="B129" s="403" t="str">
        <f>MAQUINARIA!B446</f>
        <v>TM-05</v>
      </c>
      <c r="C129" s="404" t="str">
        <f>MAQUINARIA!H446</f>
        <v>ACTIVA</v>
      </c>
      <c r="D129" s="404" t="str">
        <f>IFERROR(TRIM(MAQUINARIA!C446&amp;" "&amp;MAQUINARIA!E446),"—")</f>
        <v>MARIMBA</v>
      </c>
      <c r="E129" s="397" cm="1">
        <f t="array" ref="E129">IF(B129="",0,IFERROR(ROWS(_xlfn.UNIQUE(_xlfn._xlws.FILTER(Tabla3[PEDIDO],(Tabla3[STATUS]="COTIZANDO")*(Tabla3[NUM ECONOMICO]=B129)*(Tabla3[TEMA]&lt;&gt;"SERVICIO DE FILTROS")))),0))</f>
        <v>0</v>
      </c>
      <c r="F129" s="398">
        <f>IF(B129="",0,COUNTIFS(Tabla3[STATUS],"COTIZANDO",Tabla3[NUM ECONOMICO],B129,Tabla3[TEMA],"&lt;&gt;SERVICIO DE FILTROS"))</f>
        <v>0</v>
      </c>
      <c r="G129" s="399">
        <f>IF(B129="",0,SUMIFS(Tabla3[COSTO TOTAL SIN IVA PESOS EN MATCO],Tabla3[STATUS],"COTIZANDO",Tabla3[NUM ECONOMICO],B129,Tabla3[TEMA],"&lt;&gt;SERVICIO DE FILTROS"))</f>
        <v>0</v>
      </c>
      <c r="H129" s="400">
        <f>IF(B129="",0,SUMIFS(Tabla3[COSTO TOTAL DOLARES EN HAWTHORNE],Tabla3[STATUS],"COTIZANDO",Tabla3[NUM ECONOMICO],B129,Tabla3[TEMA],"&lt;&gt;SERVICIO DE FILTROS"))</f>
        <v>0</v>
      </c>
      <c r="I129" s="401" t="str">
        <f>IF(B129="","",_xlfn.LET(_xlpm.totalUSD,SUMIFS(Tabla3[COSTO TOTAL DOLARES EN HAWTHORNE],Tabla3[STATUS],"COTIZANDO",Tabla3[NUM ECONOMICO],B129,Tabla3[TEMA],"&lt;&gt;SERVICIO DE FILTROS"),IF(OR(TC="",_xlpm.totalUSD=0),"—",_xlpm.totalUSD*TC)))</f>
        <v>—</v>
      </c>
      <c r="J129" s="400">
        <f>IF(B129="",0,SUMIFS(Tabla3[COSTO TOTAL DOLARES CTP],Tabla3[STATUS],"COTIZANDO",Tabla3[NUM ECONOMICO],B129,Tabla3[TEMA],"&lt;&gt;SERVICIO DE FILTROS"))</f>
        <v>0</v>
      </c>
      <c r="K129" s="401" t="str">
        <f>IF(B129="","",_xlfn.LET(_xlpm.totalUSD,SUMIFS(Tabla3[COSTO TOTAL DOLARES CTP],Tabla3[STATUS],"COTIZANDO",Tabla3[NUM ECONOMICO],B129,Tabla3[TEMA],"&lt;&gt;SERVICIO DE FILTROS"),IF(OR(TC="",_xlpm.totalUSD=0),"—",_xlpm.totalUSD*TC)))</f>
        <v>—</v>
      </c>
      <c r="L129" s="398" cm="1">
        <f t="array" ref="L129">IF(B129="",0,IFERROR(MAX(_xlfn._xlws.FILTER(Tabla3[DIAS DE ENTREGA TENTATIVO EN MATCO],(Tabla3[STATUS]="COTIZANDO")*(Tabla3[NUM ECONOMICO]=B129)*(Tabla3[TEMA]&lt;&gt;"SERVICIO DE FILTROS"))),0))</f>
        <v>0</v>
      </c>
    </row>
    <row r="130" spans="2:12" ht="15" x14ac:dyDescent="0.25">
      <c r="B130" s="406" t="str">
        <f>MAQUINARIA!B452</f>
        <v>TM-06</v>
      </c>
      <c r="C130" s="406" t="str">
        <f>MAQUINARIA!H452</f>
        <v>ACTIVA</v>
      </c>
      <c r="D130" s="406" t="str">
        <f>IFERROR(TRIM(MAQUINARIA!C452&amp;" "&amp;MAQUINARIA!E452),"—")</f>
        <v>MARIMBA</v>
      </c>
      <c r="E130" s="407" cm="1">
        <f t="array" ref="E130">IF(B130="",0,IFERROR(ROWS(_xlfn.UNIQUE(_xlfn._xlws.FILTER(Tabla3[PEDIDO],(Tabla3[STATUS]="COTIZANDO")*(Tabla3[NUM ECONOMICO]=B130)*(Tabla3[TEMA]&lt;&gt;"SERVICIO DE FILTROS")))),0))</f>
        <v>0</v>
      </c>
      <c r="F130" s="407">
        <f>IF(B130="",0,COUNTIFS(Tabla3[STATUS],"COTIZANDO",Tabla3[NUM ECONOMICO],B130,Tabla3[TEMA],"&lt;&gt;SERVICIO DE FILTROS"))</f>
        <v>0</v>
      </c>
      <c r="G130" s="408">
        <f>IF(B130="",0,SUMIFS(Tabla3[COSTO TOTAL SIN IVA PESOS EN MATCO],Tabla3[STATUS],"COTIZANDO",Tabla3[NUM ECONOMICO],B130,Tabla3[TEMA],"&lt;&gt;SERVICIO DE FILTROS"))</f>
        <v>0</v>
      </c>
      <c r="H130" s="409">
        <f>IF(B130="",0,SUMIFS(Tabla3[COSTO TOTAL DOLARES EN HAWTHORNE],Tabla3[STATUS],"COTIZANDO",Tabla3[NUM ECONOMICO],B130,Tabla3[TEMA],"&lt;&gt;SERVICIO DE FILTROS"))</f>
        <v>0</v>
      </c>
      <c r="I130" s="408" t="str">
        <f>IF(B130="","",_xlfn.LET(_xlpm.totalUSD,SUMIFS(Tabla3[COSTO TOTAL DOLARES EN HAWTHORNE],Tabla3[STATUS],"COTIZANDO",Tabla3[NUM ECONOMICO],B130,Tabla3[TEMA],"&lt;&gt;SERVICIO DE FILTROS"),IF(OR(TC="",_xlpm.totalUSD=0),"—",_xlpm.totalUSD*TC)))</f>
        <v>—</v>
      </c>
      <c r="J130" s="409">
        <f>IF(B130="",0,SUMIFS(Tabla3[COSTO TOTAL DOLARES CTP],Tabla3[STATUS],"COTIZANDO",Tabla3[NUM ECONOMICO],B130,Tabla3[TEMA],"&lt;&gt;SERVICIO DE FILTROS"))</f>
        <v>0</v>
      </c>
      <c r="K130" s="408" t="str">
        <f>IF(B130="","",_xlfn.LET(_xlpm.totalUSD,SUMIFS(Tabla3[COSTO TOTAL DOLARES CTP],Tabla3[STATUS],"COTIZANDO",Tabla3[NUM ECONOMICO],B130,Tabla3[TEMA],"&lt;&gt;SERVICIO DE FILTROS"),IF(OR(TC="",_xlpm.totalUSD=0),"—",_xlpm.totalUSD*TC)))</f>
        <v>—</v>
      </c>
      <c r="L130" s="407" cm="1">
        <f t="array" ref="L130">IF(B130="",0,IFERROR(MAX(_xlfn._xlws.FILTER(Tabla3[DIAS DE ENTREGA TENTATIVO EN MATCO],(Tabla3[STATUS]="COTIZANDO")*(Tabla3[NUM ECONOMICO]=B130)*(Tabla3[TEMA]&lt;&gt;"SERVICIO DE FILTROS"))),0))</f>
        <v>0</v>
      </c>
    </row>
    <row r="131" spans="2:12" ht="15" x14ac:dyDescent="0.25">
      <c r="B131" s="410" t="s">
        <v>1854</v>
      </c>
      <c r="C131" s="410"/>
      <c r="D131" s="410"/>
      <c r="E131" s="410"/>
      <c r="F131" s="410"/>
      <c r="G131" s="410"/>
      <c r="H131" s="410"/>
      <c r="I131" s="410"/>
      <c r="J131" s="410"/>
      <c r="K131" s="410"/>
      <c r="L131" s="410"/>
    </row>
    <row r="132" spans="2:12" x14ac:dyDescent="0.2">
      <c r="B132" s="411" t="s">
        <v>1112</v>
      </c>
      <c r="C132" s="411"/>
      <c r="D132" s="411"/>
      <c r="E132" s="411"/>
      <c r="F132" s="411"/>
      <c r="G132" s="411"/>
      <c r="H132" s="411"/>
      <c r="I132" s="411"/>
      <c r="J132" s="411"/>
      <c r="K132" s="411"/>
      <c r="L132" s="411"/>
    </row>
    <row r="133" spans="2:12" x14ac:dyDescent="0.2">
      <c r="B133" s="384"/>
      <c r="C133" s="384"/>
      <c r="D133" s="384"/>
      <c r="E133" s="384"/>
      <c r="F133" s="385"/>
      <c r="G133" s="385"/>
      <c r="H133" s="385"/>
      <c r="I133" s="385"/>
      <c r="J133" s="385"/>
      <c r="K133" s="385"/>
      <c r="L133" s="385"/>
    </row>
    <row r="134" spans="2:12" ht="15" x14ac:dyDescent="0.25">
      <c r="B134" s="412" t="s">
        <v>1113</v>
      </c>
      <c r="C134" s="413"/>
      <c r="D134" s="413"/>
      <c r="E134" s="413"/>
      <c r="F134" s="413"/>
      <c r="G134" s="413"/>
      <c r="H134" s="413"/>
      <c r="I134" s="413"/>
      <c r="J134" s="413"/>
      <c r="K134" s="413"/>
      <c r="L134" s="413"/>
    </row>
    <row r="135" spans="2:12" ht="15" x14ac:dyDescent="0.25">
      <c r="B135" s="414" t="s">
        <v>33</v>
      </c>
      <c r="C135" s="414" t="s">
        <v>8</v>
      </c>
      <c r="D135" s="414" t="s">
        <v>51</v>
      </c>
      <c r="E135" s="414" t="s">
        <v>36</v>
      </c>
      <c r="F135" s="414" t="s">
        <v>26</v>
      </c>
      <c r="G135" s="414" t="s">
        <v>1114</v>
      </c>
      <c r="H135" s="414" t="s">
        <v>27</v>
      </c>
      <c r="I135" s="414" t="s">
        <v>1115</v>
      </c>
      <c r="J135" s="386"/>
      <c r="K135" s="386"/>
      <c r="L135" s="386"/>
    </row>
    <row r="136" spans="2:12" ht="15" x14ac:dyDescent="0.25">
      <c r="B136" s="387" t="str" cm="1">
        <f t="array" ref="B136">IFERROR(INDEX(_xlfn.UNIQUE(_xlfn._xlws.FILTER(CHOOSE({1,2},Tabla3[NUM ECONOMICO],Tabla3[PEDIDO]),(Tabla3[TEMA]="SERVICIO DE FILTROS")*(Tabla3[STATUS]="COTIZANDO"))),ROW()-135,1),"")</f>
        <v>TM-03</v>
      </c>
      <c r="C136" s="387" t="str" cm="1">
        <f t="array" ref="C136">IF(B136="","","Pedido "&amp;INDEX(_xlfn.UNIQUE(_xlfn._xlws.FILTER(CHOOSE({1,2},Tabla3[NUM ECONOMICO],Tabla3[PEDIDO]),(Tabla3[TEMA]="SERVICIO DE FILTROS")*(Tabla3[STATUS]="COTIZANDO"))),ROWS($B$136:B136),2))</f>
        <v>Pedido 119</v>
      </c>
      <c r="D136" s="388">
        <f>IF(B136="","",COUNTIFS(Tabla3[NUM ECONOMICO],B136,Tabla3[PEDIDO],VALUE(SUBSTITUTE(C136,"Pedido ","")),Tabla3[TEMA],"SERVICIO DE FILTROS",Tabla3[STATUS],"COTIZANDO"))</f>
        <v>5</v>
      </c>
      <c r="E136" s="389">
        <f>IF(B136="","",SUMIFS(Tabla3[COSTO TOTAL SIN IVA PESOS EN MATCO],Tabla3[NUM ECONOMICO],B136,Tabla3[PEDIDO],VALUE(SUBSTITUTE(C136,"Pedido ","")),Tabla3[TEMA],"SERVICIO DE FILTROS",Tabla3[STATUS],"COTIZANDO"))</f>
        <v>1420.55</v>
      </c>
      <c r="F136" s="389">
        <f>IF(B136="","",SUMIFS(Tabla3[COSTO TOTAL DOLARES EN HAWTHORNE],Tabla3[NUM ECONOMICO],B136,Tabla3[PEDIDO],VALUE(SUBSTITUTE(C136,"Pedido ","")),Tabla3[TEMA],"SERVICIO DE FILTROS",Tabla3[STATUS],"COTIZANDO"))</f>
        <v>0</v>
      </c>
      <c r="G136" s="389" t="str">
        <f t="shared" ref="G136:G144" si="0">IF(OR(B136="",F136=0,$E$3=""),"—",F136*$E$3)</f>
        <v>—</v>
      </c>
      <c r="H136" s="389">
        <f>IF(B136="","",SUMIFS(Tabla3[COSTO TOTAL DOLARES CTP],Tabla3[NUM ECONOMICO],B136,Tabla3[PEDIDO],VALUE(SUBSTITUTE(C136,"Pedido ","")),Tabla3[TEMA],"SERVICIO DE FILTROS",Tabla3[STATUS],"COTIZANDO"))</f>
        <v>0</v>
      </c>
      <c r="I136" s="389" t="str">
        <f t="shared" ref="I136:I144" si="1">IF(OR(B136="",H136=0,$E$3=""),"—",H136*$E$3)</f>
        <v>—</v>
      </c>
      <c r="J136" s="386"/>
      <c r="K136" s="386"/>
      <c r="L136" s="386"/>
    </row>
    <row r="137" spans="2:12" ht="15" x14ac:dyDescent="0.25">
      <c r="B137" s="390" t="str" cm="1">
        <f t="array" ref="B137">IFERROR(INDEX(_xlfn.UNIQUE(_xlfn._xlws.FILTER(CHOOSE({1,2},Tabla3[NUM ECONOMICO],Tabla3[PEDIDO]),(Tabla3[TEMA]="SERVICIO DE FILTROS")*(Tabla3[STATUS]="COTIZANDO"))),ROW()-135,1),"")</f>
        <v/>
      </c>
      <c r="C137" s="390" t="str" cm="1">
        <f t="array" ref="C137">IF(B137="","","Pedido "&amp;INDEX(_xlfn.UNIQUE(_xlfn._xlws.FILTER(CHOOSE({1,2},Tabla3[NUM ECONOMICO],Tabla3[PEDIDO]),(Tabla3[TEMA]="SERVICIO DE FILTROS")*(Tabla3[STATUS]="COTIZANDO"))),ROWS($B$136:B137),2))</f>
        <v/>
      </c>
      <c r="D137" s="391" t="str">
        <f>IF(B137="","",COUNTIFS(Tabla3[NUM ECONOMICO],B137,Tabla3[PEDIDO],VALUE(SUBSTITUTE(C137,"Pedido ","")),Tabla3[TEMA],"SERVICIO DE FILTROS",Tabla3[STATUS],"COTIZANDO"))</f>
        <v/>
      </c>
      <c r="E137" s="392" t="str">
        <f>IF(B137="","",SUMIFS(Tabla3[COSTO TOTAL SIN IVA PESOS EN MATCO],Tabla3[NUM ECONOMICO],B137,Tabla3[PEDIDO],VALUE(SUBSTITUTE(C137,"Pedido ","")),Tabla3[TEMA],"SERVICIO DE FILTROS",Tabla3[STATUS],"COTIZANDO"))</f>
        <v/>
      </c>
      <c r="F137" s="392" t="str">
        <f>IF(B137="","",SUMIFS(Tabla3[COSTO TOTAL DOLARES EN HAWTHORNE],Tabla3[NUM ECONOMICO],B137,Tabla3[PEDIDO],VALUE(SUBSTITUTE(C137,"Pedido ","")),Tabla3[TEMA],"SERVICIO DE FILTROS",Tabla3[STATUS],"COTIZANDO"))</f>
        <v/>
      </c>
      <c r="G137" s="392" t="str">
        <f t="shared" si="0"/>
        <v>—</v>
      </c>
      <c r="H137" s="392" t="str">
        <f>IF(B137="","",SUMIFS(Tabla3[COSTO TOTAL DOLARES CTP],Tabla3[NUM ECONOMICO],B137,Tabla3[PEDIDO],VALUE(SUBSTITUTE(C137,"Pedido ","")),Tabla3[TEMA],"SERVICIO DE FILTROS",Tabla3[STATUS],"COTIZANDO"))</f>
        <v/>
      </c>
      <c r="I137" s="392" t="str">
        <f t="shared" si="1"/>
        <v>—</v>
      </c>
      <c r="J137" s="386"/>
      <c r="K137" s="386"/>
      <c r="L137" s="386"/>
    </row>
    <row r="138" spans="2:12" ht="15" x14ac:dyDescent="0.25">
      <c r="B138" s="390" t="str" cm="1">
        <f t="array" ref="B138">IFERROR(INDEX(_xlfn.UNIQUE(_xlfn._xlws.FILTER(CHOOSE({1,2},Tabla3[NUM ECONOMICO],Tabla3[PEDIDO]),(Tabla3[TEMA]="SERVICIO DE FILTROS")*(Tabla3[STATUS]="COTIZANDO"))),ROW()-135,1),"")</f>
        <v/>
      </c>
      <c r="C138" s="390" t="str" cm="1">
        <f t="array" ref="C138">IF(B138="","","Pedido "&amp;INDEX(_xlfn.UNIQUE(_xlfn._xlws.FILTER(CHOOSE({1,2},Tabla3[NUM ECONOMICO],Tabla3[PEDIDO]),(Tabla3[TEMA]="SERVICIO DE FILTROS")*(Tabla3[STATUS]="COTIZANDO"))),ROWS($B$136:B138),2))</f>
        <v/>
      </c>
      <c r="D138" s="391" t="str">
        <f>IF(B138="","",COUNTIFS(Tabla3[NUM ECONOMICO],B138,Tabla3[PEDIDO],VALUE(SUBSTITUTE(C138,"Pedido ","")),Tabla3[TEMA],"SERVICIO DE FILTROS",Tabla3[STATUS],"COTIZANDO"))</f>
        <v/>
      </c>
      <c r="E138" s="392" t="str">
        <f>IF(B138="","",SUMIFS(Tabla3[COSTO TOTAL SIN IVA PESOS EN MATCO],Tabla3[NUM ECONOMICO],B138,Tabla3[PEDIDO],VALUE(SUBSTITUTE(C138,"Pedido ","")),Tabla3[TEMA],"SERVICIO DE FILTROS",Tabla3[STATUS],"COTIZANDO"))</f>
        <v/>
      </c>
      <c r="F138" s="392" t="str">
        <f>IF(B138="","",SUMIFS(Tabla3[COSTO TOTAL DOLARES EN HAWTHORNE],Tabla3[NUM ECONOMICO],B138,Tabla3[PEDIDO],VALUE(SUBSTITUTE(C138,"Pedido ","")),Tabla3[TEMA],"SERVICIO DE FILTROS",Tabla3[STATUS],"COTIZANDO"))</f>
        <v/>
      </c>
      <c r="G138" s="392" t="str">
        <f t="shared" si="0"/>
        <v>—</v>
      </c>
      <c r="H138" s="392" t="str">
        <f>IF(B138="","",SUMIFS(Tabla3[COSTO TOTAL DOLARES CTP],Tabla3[NUM ECONOMICO],B138,Tabla3[PEDIDO],VALUE(SUBSTITUTE(C138,"Pedido ","")),Tabla3[TEMA],"SERVICIO DE FILTROS",Tabla3[STATUS],"COTIZANDO"))</f>
        <v/>
      </c>
      <c r="I138" s="392" t="str">
        <f t="shared" si="1"/>
        <v>—</v>
      </c>
      <c r="J138" s="386"/>
      <c r="K138" s="386"/>
      <c r="L138" s="386"/>
    </row>
    <row r="139" spans="2:12" ht="15" x14ac:dyDescent="0.25">
      <c r="B139" s="390" t="str" cm="1">
        <f t="array" ref="B139">IFERROR(INDEX(_xlfn.UNIQUE(_xlfn._xlws.FILTER(CHOOSE({1,2},Tabla3[NUM ECONOMICO],Tabla3[PEDIDO]),(Tabla3[TEMA]="SERVICIO DE FILTROS")*(Tabla3[STATUS]="COTIZANDO"))),ROW()-135,1),"")</f>
        <v/>
      </c>
      <c r="C139" s="390" t="str" cm="1">
        <f t="array" ref="C139">IF(B139="","","Pedido "&amp;INDEX(_xlfn.UNIQUE(_xlfn._xlws.FILTER(CHOOSE({1,2},Tabla3[NUM ECONOMICO],Tabla3[PEDIDO]),(Tabla3[TEMA]="SERVICIO DE FILTROS")*(Tabla3[STATUS]="COTIZANDO"))),ROWS($B$136:B139),2))</f>
        <v/>
      </c>
      <c r="D139" s="391" t="str">
        <f>IF(B139="","",COUNTIFS(Tabla3[NUM ECONOMICO],B139,Tabla3[PEDIDO],VALUE(SUBSTITUTE(C139,"Pedido ","")),Tabla3[TEMA],"SERVICIO DE FILTROS",Tabla3[STATUS],"COTIZANDO"))</f>
        <v/>
      </c>
      <c r="E139" s="392" t="str">
        <f>IF(B139="","",SUMIFS(Tabla3[COSTO TOTAL SIN IVA PESOS EN MATCO],Tabla3[NUM ECONOMICO],B139,Tabla3[PEDIDO],VALUE(SUBSTITUTE(C139,"Pedido ","")),Tabla3[TEMA],"SERVICIO DE FILTROS",Tabla3[STATUS],"COTIZANDO"))</f>
        <v/>
      </c>
      <c r="F139" s="392" t="str">
        <f>IF(B139="","",SUMIFS(Tabla3[COSTO TOTAL DOLARES EN HAWTHORNE],Tabla3[NUM ECONOMICO],B139,Tabla3[PEDIDO],VALUE(SUBSTITUTE(C139,"Pedido ","")),Tabla3[TEMA],"SERVICIO DE FILTROS",Tabla3[STATUS],"COTIZANDO"))</f>
        <v/>
      </c>
      <c r="G139" s="392" t="str">
        <f t="shared" si="0"/>
        <v>—</v>
      </c>
      <c r="H139" s="392" t="str">
        <f>IF(B139="","",SUMIFS(Tabla3[COSTO TOTAL DOLARES CTP],Tabla3[NUM ECONOMICO],B139,Tabla3[PEDIDO],VALUE(SUBSTITUTE(C139,"Pedido ","")),Tabla3[TEMA],"SERVICIO DE FILTROS",Tabla3[STATUS],"COTIZANDO"))</f>
        <v/>
      </c>
      <c r="I139" s="392" t="str">
        <f t="shared" si="1"/>
        <v>—</v>
      </c>
      <c r="J139" s="386"/>
      <c r="K139" s="386"/>
      <c r="L139" s="386"/>
    </row>
    <row r="140" spans="2:12" ht="15" x14ac:dyDescent="0.25">
      <c r="B140" s="390" t="str" cm="1">
        <f t="array" ref="B140">IFERROR(INDEX(_xlfn.UNIQUE(_xlfn._xlws.FILTER(CHOOSE({1,2},Tabla3[NUM ECONOMICO],Tabla3[PEDIDO]),(Tabla3[TEMA]="SERVICIO DE FILTROS")*(Tabla3[STATUS]="COTIZANDO"))),ROW()-135,1),"")</f>
        <v/>
      </c>
      <c r="C140" s="390" t="str" cm="1">
        <f t="array" ref="C140">IF(B140="","","Pedido "&amp;INDEX(_xlfn.UNIQUE(_xlfn._xlws.FILTER(CHOOSE({1,2},Tabla3[NUM ECONOMICO],Tabla3[PEDIDO]),(Tabla3[TEMA]="SERVICIO DE FILTROS")*(Tabla3[STATUS]="COTIZANDO"))),ROWS($B$136:B140),2))</f>
        <v/>
      </c>
      <c r="D140" s="391" t="str">
        <f>IF(B140="","",COUNTIFS(Tabla3[NUM ECONOMICO],B140,Tabla3[PEDIDO],VALUE(SUBSTITUTE(C140,"Pedido ","")),Tabla3[TEMA],"SERVICIO DE FILTROS",Tabla3[STATUS],"COTIZANDO"))</f>
        <v/>
      </c>
      <c r="E140" s="392" t="str">
        <f>IF(B140="","",SUMIFS(Tabla3[COSTO TOTAL SIN IVA PESOS EN MATCO],Tabla3[NUM ECONOMICO],B140,Tabla3[PEDIDO],VALUE(SUBSTITUTE(C140,"Pedido ","")),Tabla3[TEMA],"SERVICIO DE FILTROS",Tabla3[STATUS],"COTIZANDO"))</f>
        <v/>
      </c>
      <c r="F140" s="392" t="str">
        <f>IF(B140="","",SUMIFS(Tabla3[COSTO TOTAL DOLARES EN HAWTHORNE],Tabla3[NUM ECONOMICO],B140,Tabla3[PEDIDO],VALUE(SUBSTITUTE(C140,"Pedido ","")),Tabla3[TEMA],"SERVICIO DE FILTROS",Tabla3[STATUS],"COTIZANDO"))</f>
        <v/>
      </c>
      <c r="G140" s="392" t="str">
        <f t="shared" si="0"/>
        <v>—</v>
      </c>
      <c r="H140" s="392" t="str">
        <f>IF(B140="","",SUMIFS(Tabla3[COSTO TOTAL DOLARES CTP],Tabla3[NUM ECONOMICO],B140,Tabla3[PEDIDO],VALUE(SUBSTITUTE(C140,"Pedido ","")),Tabla3[TEMA],"SERVICIO DE FILTROS",Tabla3[STATUS],"COTIZANDO"))</f>
        <v/>
      </c>
      <c r="I140" s="392" t="str">
        <f t="shared" si="1"/>
        <v>—</v>
      </c>
      <c r="J140" s="386"/>
      <c r="K140" s="386"/>
      <c r="L140" s="386"/>
    </row>
    <row r="141" spans="2:12" ht="15" x14ac:dyDescent="0.25">
      <c r="B141" s="390" t="str" cm="1">
        <f t="array" ref="B141">IFERROR(INDEX(_xlfn.UNIQUE(_xlfn._xlws.FILTER(CHOOSE({1,2},Tabla3[NUM ECONOMICO],Tabla3[PEDIDO]),(Tabla3[TEMA]="SERVICIO DE FILTROS")*(Tabla3[STATUS]="COTIZANDO"))),ROW()-135,1),"")</f>
        <v/>
      </c>
      <c r="C141" s="390" t="str" cm="1">
        <f t="array" ref="C141">IF(B141="","","Pedido "&amp;INDEX(_xlfn.UNIQUE(_xlfn._xlws.FILTER(CHOOSE({1,2},Tabla3[NUM ECONOMICO],Tabla3[PEDIDO]),(Tabla3[TEMA]="SERVICIO DE FILTROS")*(Tabla3[STATUS]="COTIZANDO"))),ROWS($B$136:B141),2))</f>
        <v/>
      </c>
      <c r="D141" s="391" t="str">
        <f>IF(B141="","",COUNTIFS(Tabla3[NUM ECONOMICO],B141,Tabla3[PEDIDO],VALUE(SUBSTITUTE(C141,"Pedido ","")),Tabla3[TEMA],"SERVICIO DE FILTROS",Tabla3[STATUS],"COTIZANDO"))</f>
        <v/>
      </c>
      <c r="E141" s="392" t="str">
        <f>IF(B141="","",SUMIFS(Tabla3[COSTO TOTAL SIN IVA PESOS EN MATCO],Tabla3[NUM ECONOMICO],B141,Tabla3[PEDIDO],VALUE(SUBSTITUTE(C141,"Pedido ","")),Tabla3[TEMA],"SERVICIO DE FILTROS",Tabla3[STATUS],"COTIZANDO"))</f>
        <v/>
      </c>
      <c r="F141" s="392" t="str">
        <f>IF(B141="","",SUMIFS(Tabla3[COSTO TOTAL DOLARES EN HAWTHORNE],Tabla3[NUM ECONOMICO],B141,Tabla3[PEDIDO],VALUE(SUBSTITUTE(C141,"Pedido ","")),Tabla3[TEMA],"SERVICIO DE FILTROS",Tabla3[STATUS],"COTIZANDO"))</f>
        <v/>
      </c>
      <c r="G141" s="392" t="str">
        <f t="shared" si="0"/>
        <v>—</v>
      </c>
      <c r="H141" s="392" t="str">
        <f>IF(B141="","",SUMIFS(Tabla3[COSTO TOTAL DOLARES CTP],Tabla3[NUM ECONOMICO],B141,Tabla3[PEDIDO],VALUE(SUBSTITUTE(C141,"Pedido ","")),Tabla3[TEMA],"SERVICIO DE FILTROS",Tabla3[STATUS],"COTIZANDO"))</f>
        <v/>
      </c>
      <c r="I141" s="392" t="str">
        <f t="shared" si="1"/>
        <v>—</v>
      </c>
      <c r="J141" s="386"/>
      <c r="K141" s="386"/>
      <c r="L141" s="386"/>
    </row>
    <row r="142" spans="2:12" ht="15" x14ac:dyDescent="0.25">
      <c r="B142" s="390" t="str" cm="1">
        <f t="array" ref="B142">IFERROR(INDEX(_xlfn.UNIQUE(_xlfn._xlws.FILTER(CHOOSE({1,2},Tabla3[NUM ECONOMICO],Tabla3[PEDIDO]),(Tabla3[TEMA]="SERVICIO DE FILTROS")*(Tabla3[STATUS]="COTIZANDO"))),ROW()-135,1),"")</f>
        <v/>
      </c>
      <c r="C142" s="390" t="str" cm="1">
        <f t="array" ref="C142">IF(B142="","","Pedido "&amp;INDEX(_xlfn.UNIQUE(_xlfn._xlws.FILTER(CHOOSE({1,2},Tabla3[NUM ECONOMICO],Tabla3[PEDIDO]),(Tabla3[TEMA]="SERVICIO DE FILTROS")*(Tabla3[STATUS]="COTIZANDO"))),ROWS($B$136:B142),2))</f>
        <v/>
      </c>
      <c r="D142" s="391" t="str">
        <f>IF(B142="","",COUNTIFS(Tabla3[NUM ECONOMICO],B142,Tabla3[PEDIDO],VALUE(SUBSTITUTE(C142,"Pedido ","")),Tabla3[TEMA],"SERVICIO DE FILTROS",Tabla3[STATUS],"COTIZANDO"))</f>
        <v/>
      </c>
      <c r="E142" s="392" t="str">
        <f>IF(B142="","",SUMIFS(Tabla3[COSTO TOTAL SIN IVA PESOS EN MATCO],Tabla3[NUM ECONOMICO],B142,Tabla3[PEDIDO],VALUE(SUBSTITUTE(C142,"Pedido ","")),Tabla3[TEMA],"SERVICIO DE FILTROS",Tabla3[STATUS],"COTIZANDO"))</f>
        <v/>
      </c>
      <c r="F142" s="392" t="str">
        <f>IF(B142="","",SUMIFS(Tabla3[COSTO TOTAL DOLARES EN HAWTHORNE],Tabla3[NUM ECONOMICO],B142,Tabla3[PEDIDO],VALUE(SUBSTITUTE(C142,"Pedido ","")),Tabla3[TEMA],"SERVICIO DE FILTROS",Tabla3[STATUS],"COTIZANDO"))</f>
        <v/>
      </c>
      <c r="G142" s="392" t="str">
        <f t="shared" si="0"/>
        <v>—</v>
      </c>
      <c r="H142" s="392" t="str">
        <f>IF(B142="","",SUMIFS(Tabla3[COSTO TOTAL DOLARES CTP],Tabla3[NUM ECONOMICO],B142,Tabla3[PEDIDO],VALUE(SUBSTITUTE(C142,"Pedido ","")),Tabla3[TEMA],"SERVICIO DE FILTROS",Tabla3[STATUS],"COTIZANDO"))</f>
        <v/>
      </c>
      <c r="I142" s="392" t="str">
        <f t="shared" si="1"/>
        <v>—</v>
      </c>
      <c r="J142" s="386"/>
      <c r="K142" s="386"/>
      <c r="L142" s="386"/>
    </row>
    <row r="143" spans="2:12" ht="15" x14ac:dyDescent="0.25">
      <c r="B143" s="390" t="str" cm="1">
        <f t="array" ref="B143">IFERROR(INDEX(_xlfn.UNIQUE(_xlfn._xlws.FILTER(CHOOSE({1,2},Tabla3[NUM ECONOMICO],Tabla3[PEDIDO]),(Tabla3[TEMA]="SERVICIO DE FILTROS")*(Tabla3[STATUS]="COTIZANDO"))),ROW()-135,1),"")</f>
        <v/>
      </c>
      <c r="C143" s="390" t="str" cm="1">
        <f t="array" ref="C143">IF(B143="","","Pedido "&amp;INDEX(_xlfn.UNIQUE(_xlfn._xlws.FILTER(CHOOSE({1,2},Tabla3[NUM ECONOMICO],Tabla3[PEDIDO]),(Tabla3[TEMA]="SERVICIO DE FILTROS")*(Tabla3[STATUS]="COTIZANDO"))),ROWS($B$136:B143),2))</f>
        <v/>
      </c>
      <c r="D143" s="391" t="str">
        <f>IF(B143="","",COUNTIFS(Tabla3[NUM ECONOMICO],B143,Tabla3[PEDIDO],VALUE(SUBSTITUTE(C143,"Pedido ","")),Tabla3[TEMA],"SERVICIO DE FILTROS",Tabla3[STATUS],"COTIZANDO"))</f>
        <v/>
      </c>
      <c r="E143" s="392" t="str">
        <f>IF(B143="","",SUMIFS(Tabla3[COSTO TOTAL SIN IVA PESOS EN MATCO],Tabla3[NUM ECONOMICO],B143,Tabla3[PEDIDO],VALUE(SUBSTITUTE(C143,"Pedido ","")),Tabla3[TEMA],"SERVICIO DE FILTROS",Tabla3[STATUS],"COTIZANDO"))</f>
        <v/>
      </c>
      <c r="F143" s="392" t="str">
        <f>IF(B143="","",SUMIFS(Tabla3[COSTO TOTAL DOLARES EN HAWTHORNE],Tabla3[NUM ECONOMICO],B143,Tabla3[PEDIDO],VALUE(SUBSTITUTE(C143,"Pedido ","")),Tabla3[TEMA],"SERVICIO DE FILTROS",Tabla3[STATUS],"COTIZANDO"))</f>
        <v/>
      </c>
      <c r="G143" s="392" t="str">
        <f t="shared" si="0"/>
        <v>—</v>
      </c>
      <c r="H143" s="392" t="str">
        <f>IF(B143="","",SUMIFS(Tabla3[COSTO TOTAL DOLARES CTP],Tabla3[NUM ECONOMICO],B143,Tabla3[PEDIDO],VALUE(SUBSTITUTE(C143,"Pedido ","")),Tabla3[TEMA],"SERVICIO DE FILTROS",Tabla3[STATUS],"COTIZANDO"))</f>
        <v/>
      </c>
      <c r="I143" s="392" t="str">
        <f t="shared" si="1"/>
        <v>—</v>
      </c>
      <c r="J143" s="386"/>
      <c r="K143" s="386"/>
      <c r="L143" s="386"/>
    </row>
    <row r="144" spans="2:12" ht="15" x14ac:dyDescent="0.25">
      <c r="B144" s="390" t="str" cm="1">
        <f t="array" ref="B144">IFERROR(INDEX(_xlfn.UNIQUE(_xlfn._xlws.FILTER(CHOOSE({1,2},Tabla3[NUM ECONOMICO],Tabla3[PEDIDO]),(Tabla3[TEMA]="SERVICIO DE FILTROS")*(Tabla3[STATUS]="COTIZANDO"))),ROW()-135,1),"")</f>
        <v/>
      </c>
      <c r="C144" s="390" t="str" cm="1">
        <f t="array" ref="C144">IF(B144="","","Pedido "&amp;INDEX(_xlfn.UNIQUE(_xlfn._xlws.FILTER(CHOOSE({1,2},Tabla3[NUM ECONOMICO],Tabla3[PEDIDO]),(Tabla3[TEMA]="SERVICIO DE FILTROS")*(Tabla3[STATUS]="COTIZANDO"))),ROWS($B$136:B144),2))</f>
        <v/>
      </c>
      <c r="D144" s="391" t="str">
        <f>IF(B144="","",COUNTIFS(Tabla3[NUM ECONOMICO],B144,Tabla3[PEDIDO],VALUE(SUBSTITUTE(C144,"Pedido ","")),Tabla3[TEMA],"SERVICIO DE FILTROS",Tabla3[STATUS],"COTIZANDO"))</f>
        <v/>
      </c>
      <c r="E144" s="392" t="str">
        <f>IF(B144="","",SUMIFS(Tabla3[COSTO TOTAL SIN IVA PESOS EN MATCO],Tabla3[NUM ECONOMICO],B144,Tabla3[PEDIDO],VALUE(SUBSTITUTE(C144,"Pedido ","")),Tabla3[TEMA],"SERVICIO DE FILTROS",Tabla3[STATUS],"COTIZANDO"))</f>
        <v/>
      </c>
      <c r="F144" s="392" t="str">
        <f>IF(B144="","",SUMIFS(Tabla3[COSTO TOTAL DOLARES EN HAWTHORNE],Tabla3[NUM ECONOMICO],B144,Tabla3[PEDIDO],VALUE(SUBSTITUTE(C144,"Pedido ","")),Tabla3[TEMA],"SERVICIO DE FILTROS",Tabla3[STATUS],"COTIZANDO"))</f>
        <v/>
      </c>
      <c r="G144" s="392" t="str">
        <f t="shared" si="0"/>
        <v>—</v>
      </c>
      <c r="H144" s="392" t="str">
        <f>IF(B144="","",SUMIFS(Tabla3[COSTO TOTAL DOLARES CTP],Tabla3[NUM ECONOMICO],B144,Tabla3[PEDIDO],VALUE(SUBSTITUTE(C144,"Pedido ","")),Tabla3[TEMA],"SERVICIO DE FILTROS",Tabla3[STATUS],"COTIZANDO"))</f>
        <v/>
      </c>
      <c r="I144" s="392" t="str">
        <f t="shared" si="1"/>
        <v>—</v>
      </c>
      <c r="J144" s="386"/>
      <c r="K144" s="386"/>
      <c r="L144" s="386"/>
    </row>
    <row r="145" spans="2:12" ht="15" x14ac:dyDescent="0.25">
      <c r="B145" s="393" t="s">
        <v>1116</v>
      </c>
      <c r="C145" s="393"/>
      <c r="D145" s="394">
        <f>SUM(D136:D144)</f>
        <v>5</v>
      </c>
      <c r="E145" s="395">
        <f>SUM(E136:E144)</f>
        <v>1420.55</v>
      </c>
      <c r="F145" s="395">
        <f>SUM(F136:F144)</f>
        <v>0</v>
      </c>
      <c r="G145" s="395" t="str">
        <f>IF(OR(F145=0,$E$3=""),"—",F145*$E$3)</f>
        <v>—</v>
      </c>
      <c r="H145" s="395">
        <f>SUM(H136:H144)</f>
        <v>0</v>
      </c>
      <c r="I145" s="395" t="str">
        <f>IF(OR(H145=0,$E$3=""),"—",H145*$E$3)</f>
        <v>—</v>
      </c>
      <c r="J145" s="386"/>
      <c r="K145" s="386"/>
      <c r="L145" s="386"/>
    </row>
    <row r="146" spans="2:12" ht="15" x14ac:dyDescent="0.25">
      <c r="B146" s="386"/>
      <c r="C146" s="386"/>
      <c r="D146" s="386"/>
      <c r="E146" s="386"/>
      <c r="F146" s="386"/>
      <c r="G146" s="386"/>
      <c r="H146" s="386"/>
      <c r="I146" s="386"/>
      <c r="J146" s="386"/>
      <c r="K146" s="386"/>
      <c r="L146" s="386"/>
    </row>
    <row r="147" spans="2:12" x14ac:dyDescent="0.2">
      <c r="B147" s="396" t="s">
        <v>1117</v>
      </c>
      <c r="C147" s="396"/>
      <c r="D147" s="396"/>
      <c r="E147" s="396"/>
      <c r="F147" s="396"/>
      <c r="G147" s="396"/>
      <c r="H147" s="396"/>
      <c r="I147" s="396"/>
      <c r="J147" s="396"/>
      <c r="K147" s="396"/>
      <c r="L147" s="396"/>
    </row>
    <row r="148" spans="2:12" x14ac:dyDescent="0.2">
      <c r="B148" s="385"/>
      <c r="C148" s="385"/>
      <c r="D148" s="385"/>
      <c r="E148" s="385"/>
      <c r="F148" s="385"/>
      <c r="G148" s="385"/>
      <c r="H148" s="385"/>
      <c r="I148" s="385"/>
      <c r="J148" s="385"/>
      <c r="K148" s="385"/>
      <c r="L148" s="385"/>
    </row>
    <row r="149" spans="2:12" x14ac:dyDescent="0.2">
      <c r="B149" s="385"/>
      <c r="C149" s="385"/>
      <c r="D149" s="385"/>
      <c r="E149" s="385"/>
      <c r="F149" s="385"/>
      <c r="G149" s="385"/>
      <c r="H149" s="385"/>
      <c r="I149" s="385"/>
      <c r="J149" s="385"/>
      <c r="K149" s="385"/>
      <c r="L149" s="385"/>
    </row>
    <row r="150" spans="2:12" x14ac:dyDescent="0.2">
      <c r="B150" s="385"/>
      <c r="C150" s="385"/>
      <c r="D150" s="385"/>
      <c r="E150" s="385"/>
      <c r="F150" s="385"/>
      <c r="G150" s="385"/>
      <c r="H150" s="385"/>
      <c r="I150" s="385"/>
      <c r="J150" s="385"/>
      <c r="K150" s="385"/>
      <c r="L150" s="385"/>
    </row>
    <row r="151" spans="2:12" x14ac:dyDescent="0.2">
      <c r="B151" s="385"/>
      <c r="C151" s="385"/>
      <c r="D151" s="385"/>
      <c r="E151" s="385"/>
      <c r="F151" s="385"/>
      <c r="G151" s="385"/>
      <c r="H151" s="385"/>
      <c r="I151" s="385"/>
      <c r="J151" s="385"/>
      <c r="K151" s="385"/>
      <c r="L151" s="385"/>
    </row>
    <row r="152" spans="2:12" x14ac:dyDescent="0.2">
      <c r="B152" s="385"/>
      <c r="C152" s="385"/>
      <c r="D152" s="385"/>
      <c r="E152" s="385"/>
      <c r="F152" s="385"/>
      <c r="G152" s="385"/>
      <c r="H152" s="385"/>
      <c r="I152" s="385"/>
      <c r="J152" s="385"/>
      <c r="K152" s="385"/>
      <c r="L152" s="385"/>
    </row>
    <row r="153" spans="2:12" x14ac:dyDescent="0.2">
      <c r="B153" s="385"/>
      <c r="C153" s="385"/>
      <c r="D153" s="385"/>
      <c r="E153" s="385"/>
      <c r="F153" s="385"/>
      <c r="G153" s="385"/>
      <c r="H153" s="385"/>
      <c r="I153" s="385"/>
      <c r="J153" s="385"/>
      <c r="K153" s="385"/>
      <c r="L153" s="385"/>
    </row>
    <row r="154" spans="2:12" x14ac:dyDescent="0.2">
      <c r="B154" s="385"/>
      <c r="C154" s="385"/>
      <c r="D154" s="385"/>
      <c r="E154" s="385"/>
      <c r="F154" s="385"/>
      <c r="G154" s="385"/>
      <c r="H154" s="385"/>
      <c r="I154" s="385"/>
      <c r="J154" s="385"/>
      <c r="K154" s="385"/>
      <c r="L154" s="385"/>
    </row>
    <row r="155" spans="2:12" x14ac:dyDescent="0.2">
      <c r="B155" s="385"/>
      <c r="C155" s="385"/>
      <c r="D155" s="385"/>
      <c r="E155" s="385"/>
      <c r="F155" s="385"/>
      <c r="G155" s="385"/>
      <c r="H155" s="385"/>
      <c r="I155" s="385"/>
      <c r="J155" s="385"/>
      <c r="K155" s="385"/>
      <c r="L155" s="385"/>
    </row>
    <row r="156" spans="2:12" x14ac:dyDescent="0.2">
      <c r="B156" s="385"/>
      <c r="C156" s="385"/>
      <c r="D156" s="385"/>
      <c r="E156" s="385"/>
      <c r="F156" s="385"/>
      <c r="G156" s="385"/>
      <c r="H156" s="385"/>
      <c r="I156" s="385"/>
      <c r="J156" s="385"/>
      <c r="K156" s="385"/>
      <c r="L156" s="385"/>
    </row>
    <row r="157" spans="2:12" x14ac:dyDescent="0.2">
      <c r="B157" s="385"/>
      <c r="C157" s="385"/>
      <c r="D157" s="385"/>
      <c r="E157" s="385"/>
      <c r="F157" s="385"/>
      <c r="G157" s="385"/>
      <c r="H157" s="385"/>
      <c r="I157" s="385"/>
      <c r="J157" s="385"/>
      <c r="K157" s="385"/>
      <c r="L157" s="385"/>
    </row>
    <row r="158" spans="2:12" x14ac:dyDescent="0.2">
      <c r="B158" s="385"/>
      <c r="C158" s="385"/>
      <c r="D158" s="385"/>
      <c r="E158" s="385"/>
      <c r="F158" s="385"/>
      <c r="G158" s="385"/>
      <c r="H158" s="385"/>
      <c r="I158" s="385"/>
      <c r="J158" s="385"/>
      <c r="K158" s="385"/>
      <c r="L158" s="385"/>
    </row>
    <row r="159" spans="2:12" x14ac:dyDescent="0.2">
      <c r="B159" s="385"/>
      <c r="C159" s="385"/>
      <c r="D159" s="385"/>
      <c r="E159" s="385"/>
      <c r="F159" s="385"/>
      <c r="G159" s="385"/>
      <c r="H159" s="385"/>
      <c r="I159" s="385"/>
      <c r="J159" s="385"/>
      <c r="K159" s="385"/>
      <c r="L159" s="385"/>
    </row>
    <row r="160" spans="2:12" x14ac:dyDescent="0.2">
      <c r="B160" s="385"/>
      <c r="C160" s="385"/>
      <c r="D160" s="385"/>
      <c r="E160" s="385"/>
      <c r="F160" s="385"/>
      <c r="G160" s="385"/>
      <c r="H160" s="385"/>
      <c r="I160" s="385"/>
      <c r="J160" s="385"/>
      <c r="K160" s="385"/>
      <c r="L160" s="385"/>
    </row>
    <row r="161" spans="2:12" x14ac:dyDescent="0.2">
      <c r="B161" s="385"/>
      <c r="C161" s="385"/>
      <c r="D161" s="385"/>
      <c r="E161" s="385"/>
      <c r="F161" s="385"/>
      <c r="G161" s="385"/>
      <c r="H161" s="385"/>
      <c r="I161" s="385"/>
      <c r="J161" s="385"/>
      <c r="K161" s="385"/>
      <c r="L161" s="385"/>
    </row>
    <row r="162" spans="2:12" x14ac:dyDescent="0.2">
      <c r="B162" s="385"/>
      <c r="C162" s="385"/>
      <c r="D162" s="385"/>
      <c r="E162" s="385"/>
      <c r="F162" s="385"/>
      <c r="G162" s="385"/>
      <c r="H162" s="385"/>
      <c r="I162" s="385"/>
      <c r="J162" s="385"/>
      <c r="K162" s="385"/>
      <c r="L162" s="385"/>
    </row>
    <row r="163" spans="2:12" x14ac:dyDescent="0.2">
      <c r="B163" s="385"/>
      <c r="C163" s="385"/>
      <c r="D163" s="385"/>
      <c r="E163" s="385"/>
      <c r="F163" s="385"/>
      <c r="G163" s="385"/>
      <c r="H163" s="385"/>
      <c r="I163" s="385"/>
      <c r="J163" s="385"/>
      <c r="K163" s="385"/>
      <c r="L163" s="385"/>
    </row>
    <row r="164" spans="2:12" x14ac:dyDescent="0.2">
      <c r="B164" s="385"/>
      <c r="C164" s="385"/>
      <c r="D164" s="385"/>
      <c r="E164" s="385"/>
      <c r="F164" s="385"/>
      <c r="G164" s="385"/>
      <c r="H164" s="385"/>
      <c r="I164" s="385"/>
      <c r="J164" s="385"/>
      <c r="K164" s="385"/>
      <c r="L164" s="385"/>
    </row>
    <row r="165" spans="2:12" x14ac:dyDescent="0.2">
      <c r="B165" s="385"/>
      <c r="C165" s="385"/>
      <c r="D165" s="385"/>
      <c r="E165" s="385"/>
      <c r="F165" s="385"/>
      <c r="G165" s="385"/>
      <c r="H165" s="385"/>
      <c r="I165" s="385"/>
      <c r="J165" s="385"/>
      <c r="K165" s="385"/>
      <c r="L165" s="385"/>
    </row>
    <row r="166" spans="2:12" x14ac:dyDescent="0.2">
      <c r="B166" s="385"/>
      <c r="C166" s="385"/>
      <c r="D166" s="385"/>
      <c r="E166" s="385"/>
      <c r="F166" s="385"/>
      <c r="G166" s="385"/>
      <c r="H166" s="385"/>
      <c r="I166" s="385"/>
      <c r="J166" s="385"/>
      <c r="K166" s="385"/>
      <c r="L166" s="385"/>
    </row>
    <row r="167" spans="2:12" x14ac:dyDescent="0.2">
      <c r="B167" s="385"/>
      <c r="C167" s="385"/>
      <c r="D167" s="385"/>
      <c r="E167" s="385"/>
      <c r="F167" s="385"/>
      <c r="G167" s="385"/>
      <c r="H167" s="385"/>
      <c r="I167" s="385"/>
      <c r="J167" s="385"/>
      <c r="K167" s="385"/>
      <c r="L167" s="385"/>
    </row>
    <row r="168" spans="2:12" x14ac:dyDescent="0.2">
      <c r="B168" s="385"/>
      <c r="C168" s="385"/>
      <c r="D168" s="385"/>
      <c r="E168" s="385"/>
      <c r="F168" s="385"/>
      <c r="G168" s="385"/>
      <c r="H168" s="385"/>
      <c r="I168" s="385"/>
      <c r="J168" s="385"/>
      <c r="K168" s="385"/>
      <c r="L168" s="385"/>
    </row>
    <row r="169" spans="2:12" x14ac:dyDescent="0.2">
      <c r="B169" s="385"/>
      <c r="C169" s="385"/>
      <c r="D169" s="385"/>
      <c r="E169" s="385"/>
      <c r="F169" s="385"/>
      <c r="G169" s="385"/>
      <c r="H169" s="385"/>
      <c r="I169" s="385"/>
      <c r="J169" s="385"/>
      <c r="K169" s="385"/>
      <c r="L169" s="385"/>
    </row>
    <row r="170" spans="2:12" x14ac:dyDescent="0.2">
      <c r="B170" s="385"/>
      <c r="C170" s="385"/>
      <c r="D170" s="385"/>
      <c r="E170" s="385"/>
      <c r="F170" s="385"/>
      <c r="G170" s="385"/>
      <c r="H170" s="385"/>
      <c r="I170" s="385"/>
      <c r="J170" s="385"/>
      <c r="K170" s="385"/>
      <c r="L170" s="385"/>
    </row>
    <row r="171" spans="2:12" x14ac:dyDescent="0.2">
      <c r="B171" s="385"/>
      <c r="C171" s="385"/>
      <c r="D171" s="385"/>
      <c r="E171" s="385"/>
      <c r="F171" s="385"/>
      <c r="G171" s="385"/>
      <c r="H171" s="385"/>
      <c r="I171" s="385"/>
      <c r="J171" s="385"/>
      <c r="K171" s="385"/>
      <c r="L171" s="385"/>
    </row>
    <row r="172" spans="2:12" x14ac:dyDescent="0.2">
      <c r="B172" s="385"/>
      <c r="C172" s="385"/>
      <c r="D172" s="385"/>
      <c r="E172" s="385"/>
      <c r="F172" s="385"/>
      <c r="G172" s="385"/>
      <c r="H172" s="385"/>
      <c r="I172" s="385"/>
      <c r="J172" s="385"/>
      <c r="K172" s="385"/>
      <c r="L172" s="385"/>
    </row>
    <row r="173" spans="2:12" x14ac:dyDescent="0.2">
      <c r="B173" s="385"/>
      <c r="C173" s="385"/>
      <c r="D173" s="385"/>
      <c r="E173" s="385"/>
      <c r="F173" s="385"/>
      <c r="G173" s="385"/>
      <c r="H173" s="385"/>
      <c r="I173" s="385"/>
      <c r="J173" s="385"/>
      <c r="K173" s="385"/>
      <c r="L173" s="385"/>
    </row>
    <row r="174" spans="2:12" x14ac:dyDescent="0.2">
      <c r="B174" s="385"/>
      <c r="C174" s="385"/>
      <c r="D174" s="385"/>
      <c r="E174" s="385"/>
      <c r="F174" s="385"/>
      <c r="G174" s="385"/>
      <c r="H174" s="385"/>
      <c r="I174" s="385"/>
      <c r="J174" s="385"/>
      <c r="K174" s="385"/>
      <c r="L174" s="385"/>
    </row>
    <row r="175" spans="2:12" x14ac:dyDescent="0.2">
      <c r="B175" s="385"/>
      <c r="C175" s="385"/>
      <c r="D175" s="385"/>
      <c r="E175" s="385"/>
      <c r="F175" s="385"/>
      <c r="G175" s="385"/>
      <c r="H175" s="385"/>
      <c r="I175" s="385"/>
      <c r="J175" s="385"/>
      <c r="K175" s="385"/>
      <c r="L175" s="385"/>
    </row>
    <row r="176" spans="2:12" x14ac:dyDescent="0.2">
      <c r="B176" s="385"/>
      <c r="C176" s="385"/>
      <c r="D176" s="385"/>
      <c r="E176" s="385"/>
      <c r="F176" s="385"/>
      <c r="G176" s="385"/>
      <c r="H176" s="385"/>
      <c r="I176" s="385"/>
      <c r="J176" s="385"/>
      <c r="K176" s="385"/>
      <c r="L176" s="385"/>
    </row>
    <row r="177" spans="2:12" x14ac:dyDescent="0.2">
      <c r="B177" s="385"/>
      <c r="C177" s="385"/>
      <c r="D177" s="385"/>
      <c r="E177" s="385"/>
      <c r="F177" s="385"/>
      <c r="G177" s="385"/>
      <c r="H177" s="385"/>
      <c r="I177" s="385"/>
      <c r="J177" s="385"/>
      <c r="K177" s="385"/>
      <c r="L177" s="385"/>
    </row>
    <row r="178" spans="2:12" x14ac:dyDescent="0.2">
      <c r="B178" s="385"/>
      <c r="C178" s="385"/>
      <c r="D178" s="385"/>
      <c r="E178" s="385"/>
      <c r="F178" s="385"/>
      <c r="G178" s="385"/>
      <c r="H178" s="385"/>
      <c r="I178" s="385"/>
      <c r="J178" s="385"/>
      <c r="K178" s="385"/>
      <c r="L178" s="385"/>
    </row>
    <row r="179" spans="2:12" x14ac:dyDescent="0.2">
      <c r="B179" s="385"/>
      <c r="C179" s="385"/>
      <c r="D179" s="385"/>
      <c r="E179" s="385"/>
      <c r="F179" s="385"/>
      <c r="G179" s="385"/>
      <c r="H179" s="385"/>
      <c r="I179" s="385"/>
      <c r="J179" s="385"/>
      <c r="K179" s="385"/>
      <c r="L179" s="385"/>
    </row>
    <row r="180" spans="2:12" x14ac:dyDescent="0.2">
      <c r="B180" s="385"/>
      <c r="C180" s="385"/>
      <c r="D180" s="385"/>
      <c r="E180" s="385"/>
      <c r="F180" s="385"/>
      <c r="G180" s="385"/>
      <c r="H180" s="385"/>
      <c r="I180" s="385"/>
      <c r="J180" s="385"/>
      <c r="K180" s="385"/>
      <c r="L180" s="385"/>
    </row>
    <row r="181" spans="2:12" x14ac:dyDescent="0.2">
      <c r="B181" s="385"/>
      <c r="C181" s="385"/>
      <c r="D181" s="385"/>
      <c r="E181" s="385"/>
      <c r="F181" s="385"/>
      <c r="G181" s="385"/>
      <c r="H181" s="385"/>
      <c r="I181" s="385"/>
      <c r="J181" s="385"/>
      <c r="K181" s="385"/>
      <c r="L181" s="385"/>
    </row>
    <row r="182" spans="2:12" x14ac:dyDescent="0.2">
      <c r="B182" s="385"/>
      <c r="C182" s="385"/>
      <c r="D182" s="385"/>
      <c r="E182" s="385"/>
      <c r="F182" s="385"/>
      <c r="G182" s="385"/>
      <c r="H182" s="385"/>
      <c r="I182" s="385"/>
      <c r="J182" s="385"/>
      <c r="K182" s="385"/>
      <c r="L182" s="385"/>
    </row>
    <row r="183" spans="2:12" x14ac:dyDescent="0.2">
      <c r="B183" s="385"/>
      <c r="C183" s="385"/>
      <c r="D183" s="385"/>
      <c r="E183" s="385"/>
      <c r="F183" s="385"/>
      <c r="G183" s="385"/>
      <c r="H183" s="385"/>
      <c r="I183" s="385"/>
      <c r="J183" s="385"/>
      <c r="K183" s="385"/>
      <c r="L183" s="385"/>
    </row>
    <row r="184" spans="2:12" x14ac:dyDescent="0.2">
      <c r="B184" s="385"/>
      <c r="C184" s="385"/>
      <c r="D184" s="385"/>
      <c r="E184" s="385"/>
      <c r="F184" s="385"/>
      <c r="G184" s="385"/>
      <c r="H184" s="385"/>
      <c r="I184" s="385"/>
      <c r="J184" s="385"/>
      <c r="K184" s="385"/>
      <c r="L184" s="385"/>
    </row>
    <row r="185" spans="2:12" x14ac:dyDescent="0.2">
      <c r="B185" s="385"/>
      <c r="C185" s="385"/>
      <c r="D185" s="385"/>
      <c r="E185" s="385"/>
      <c r="F185" s="385"/>
      <c r="G185" s="385"/>
      <c r="H185" s="385"/>
      <c r="I185" s="385"/>
      <c r="J185" s="385"/>
      <c r="K185" s="385"/>
      <c r="L185" s="385"/>
    </row>
    <row r="186" spans="2:12" x14ac:dyDescent="0.2">
      <c r="B186" s="385"/>
      <c r="C186" s="385"/>
      <c r="D186" s="385"/>
      <c r="E186" s="385"/>
      <c r="F186" s="385"/>
      <c r="G186" s="385"/>
      <c r="H186" s="385"/>
      <c r="I186" s="385"/>
      <c r="J186" s="385"/>
      <c r="K186" s="385"/>
      <c r="L186" s="385"/>
    </row>
    <row r="187" spans="2:12" x14ac:dyDescent="0.2">
      <c r="B187" s="385"/>
      <c r="C187" s="385"/>
      <c r="D187" s="385"/>
      <c r="E187" s="385"/>
      <c r="F187" s="385"/>
      <c r="G187" s="385"/>
      <c r="H187" s="385"/>
      <c r="I187" s="385"/>
      <c r="J187" s="385"/>
      <c r="K187" s="385"/>
      <c r="L187" s="385"/>
    </row>
    <row r="188" spans="2:12" x14ac:dyDescent="0.2">
      <c r="B188" s="385"/>
      <c r="C188" s="385"/>
      <c r="D188" s="385"/>
      <c r="E188" s="385"/>
      <c r="F188" s="385"/>
      <c r="G188" s="385"/>
      <c r="H188" s="385"/>
      <c r="I188" s="385"/>
      <c r="J188" s="385"/>
      <c r="K188" s="385"/>
      <c r="L188" s="385"/>
    </row>
    <row r="189" spans="2:12" x14ac:dyDescent="0.2">
      <c r="B189" s="385"/>
      <c r="C189" s="385"/>
      <c r="D189" s="385"/>
      <c r="E189" s="385"/>
      <c r="F189" s="385"/>
      <c r="G189" s="385"/>
      <c r="H189" s="385"/>
      <c r="I189" s="385"/>
      <c r="J189" s="385"/>
      <c r="K189" s="385"/>
      <c r="L189" s="385"/>
    </row>
    <row r="190" spans="2:12" x14ac:dyDescent="0.2">
      <c r="B190" s="385"/>
      <c r="C190" s="385"/>
      <c r="D190" s="385"/>
      <c r="E190" s="385"/>
      <c r="F190" s="385"/>
      <c r="G190" s="385"/>
      <c r="H190" s="385"/>
      <c r="I190" s="385"/>
      <c r="J190" s="385"/>
      <c r="K190" s="385"/>
      <c r="L190" s="385"/>
    </row>
    <row r="191" spans="2:12" x14ac:dyDescent="0.2">
      <c r="B191" s="385"/>
      <c r="C191" s="385"/>
      <c r="D191" s="385"/>
      <c r="E191" s="385"/>
      <c r="F191" s="385"/>
      <c r="G191" s="385"/>
      <c r="H191" s="385"/>
      <c r="I191" s="385"/>
      <c r="J191" s="385"/>
      <c r="K191" s="385"/>
      <c r="L191" s="385"/>
    </row>
    <row r="192" spans="2:12" x14ac:dyDescent="0.2">
      <c r="B192" s="385"/>
      <c r="C192" s="385"/>
      <c r="D192" s="385"/>
      <c r="E192" s="385"/>
      <c r="F192" s="385"/>
      <c r="G192" s="385"/>
      <c r="H192" s="385"/>
      <c r="I192" s="385"/>
      <c r="J192" s="385"/>
      <c r="K192" s="385"/>
      <c r="L192" s="385"/>
    </row>
    <row r="193" spans="2:12" x14ac:dyDescent="0.2">
      <c r="B193" s="385"/>
      <c r="C193" s="385"/>
      <c r="D193" s="385"/>
      <c r="E193" s="385"/>
      <c r="F193" s="385"/>
      <c r="G193" s="385"/>
      <c r="H193" s="385"/>
      <c r="I193" s="385"/>
      <c r="J193" s="385"/>
      <c r="K193" s="385"/>
      <c r="L193" s="385"/>
    </row>
    <row r="194" spans="2:12" x14ac:dyDescent="0.2">
      <c r="B194" s="385"/>
      <c r="C194" s="385"/>
      <c r="D194" s="385"/>
      <c r="E194" s="385"/>
      <c r="F194" s="385"/>
      <c r="G194" s="385"/>
      <c r="H194" s="385"/>
      <c r="I194" s="385"/>
      <c r="J194" s="385"/>
      <c r="K194" s="385"/>
      <c r="L194" s="385"/>
    </row>
    <row r="195" spans="2:12" x14ac:dyDescent="0.2">
      <c r="B195" s="385"/>
      <c r="C195" s="385"/>
      <c r="D195" s="385"/>
      <c r="E195" s="385"/>
      <c r="F195" s="385"/>
      <c r="G195" s="385"/>
      <c r="H195" s="385"/>
      <c r="I195" s="385"/>
      <c r="J195" s="385"/>
      <c r="K195" s="385"/>
      <c r="L195" s="385"/>
    </row>
    <row r="196" spans="2:12" x14ac:dyDescent="0.2">
      <c r="B196" s="385"/>
      <c r="C196" s="385"/>
      <c r="D196" s="385"/>
      <c r="E196" s="385"/>
      <c r="F196" s="385"/>
      <c r="G196" s="385"/>
      <c r="H196" s="385"/>
      <c r="I196" s="385"/>
      <c r="J196" s="385"/>
      <c r="K196" s="385"/>
      <c r="L196" s="385"/>
    </row>
    <row r="197" spans="2:12" x14ac:dyDescent="0.2">
      <c r="B197" s="385"/>
      <c r="C197" s="385"/>
      <c r="D197" s="385"/>
      <c r="E197" s="385"/>
      <c r="F197" s="385"/>
      <c r="G197" s="385"/>
      <c r="H197" s="385"/>
      <c r="I197" s="385"/>
      <c r="J197" s="385"/>
      <c r="K197" s="385"/>
      <c r="L197" s="385"/>
    </row>
    <row r="198" spans="2:12" x14ac:dyDescent="0.2">
      <c r="B198" s="385"/>
      <c r="C198" s="385"/>
      <c r="D198" s="385"/>
      <c r="E198" s="385"/>
      <c r="F198" s="385"/>
      <c r="G198" s="385"/>
      <c r="H198" s="385"/>
      <c r="I198" s="385"/>
      <c r="J198" s="385"/>
      <c r="K198" s="385"/>
      <c r="L198" s="385"/>
    </row>
    <row r="199" spans="2:12" x14ac:dyDescent="0.2">
      <c r="B199" s="385"/>
      <c r="C199" s="385"/>
      <c r="D199" s="385"/>
      <c r="E199" s="385"/>
      <c r="F199" s="385"/>
      <c r="G199" s="385"/>
      <c r="H199" s="385"/>
      <c r="I199" s="385"/>
      <c r="J199" s="385"/>
      <c r="K199" s="385"/>
      <c r="L199" s="385"/>
    </row>
    <row r="200" spans="2:12" x14ac:dyDescent="0.2">
      <c r="B200" s="385"/>
      <c r="C200" s="385"/>
      <c r="D200" s="385"/>
      <c r="E200" s="385"/>
      <c r="F200" s="385"/>
      <c r="G200" s="385"/>
      <c r="H200" s="385"/>
      <c r="I200" s="385"/>
      <c r="J200" s="385"/>
      <c r="K200" s="385"/>
      <c r="L200" s="385"/>
    </row>
  </sheetData>
  <autoFilter ref="B11:L132" xr:uid="{973DFC4E-E4B5-4E56-B825-2120D32D4C49}"/>
  <mergeCells count="10">
    <mergeCell ref="B147:L147"/>
    <mergeCell ref="B134:L134"/>
    <mergeCell ref="B132:L132"/>
    <mergeCell ref="B133:E133"/>
    <mergeCell ref="B2:L2"/>
    <mergeCell ref="B3:D3"/>
    <mergeCell ref="F3:H3"/>
    <mergeCell ref="B5:L5"/>
    <mergeCell ref="B10:L10"/>
    <mergeCell ref="B131:L131"/>
  </mergeCells>
  <conditionalFormatting sqref="C12:C129">
    <cfRule type="expression" dxfId="4475" priority="1">
      <formula>$C12="INACTIVA"</formula>
    </cfRule>
    <cfRule type="expression" dxfId="4474" priority="2">
      <formula>$C12="ACTIVA"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9B3C-C967-43FC-AFEB-EDC16F656C57}">
  <dimension ref="A1:Q67"/>
  <sheetViews>
    <sheetView showGridLines="0" tabSelected="1" zoomScaleNormal="100" workbookViewId="0">
      <pane xSplit="1" ySplit="5" topLeftCell="B6" activePane="bottomRight" state="frozen"/>
      <selection pane="topRight" sqref="A1:XFD1048576"/>
      <selection pane="bottomLeft" sqref="A1:XFD1048576"/>
      <selection pane="bottomRight" activeCell="D8" sqref="D8"/>
    </sheetView>
  </sheetViews>
  <sheetFormatPr baseColWidth="10" defaultColWidth="8.7109375" defaultRowHeight="15" x14ac:dyDescent="0.25"/>
  <cols>
    <col min="1" max="1" width="5" style="221" customWidth="1"/>
    <col min="2" max="3" width="14" style="221" customWidth="1"/>
    <col min="4" max="4" width="48.28515625" style="221" customWidth="1"/>
    <col min="5" max="5" width="8" style="221" customWidth="1"/>
    <col min="6" max="6" width="10.5703125" style="221" customWidth="1"/>
    <col min="7" max="8" width="16" style="221" customWidth="1"/>
    <col min="9" max="9" width="12.140625" style="221" customWidth="1"/>
    <col min="10" max="12" width="16" style="221" customWidth="1"/>
    <col min="13" max="13" width="8" style="221" customWidth="1"/>
    <col min="14" max="16" width="16" style="221" customWidth="1"/>
    <col min="17" max="17" width="8" style="221" customWidth="1"/>
    <col min="18" max="16384" width="8.7109375" style="221"/>
  </cols>
  <sheetData>
    <row r="1" spans="1:17" ht="25.5" customHeight="1" x14ac:dyDescent="0.25">
      <c r="A1" s="220"/>
      <c r="B1" s="326" t="s">
        <v>1118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</row>
    <row r="2" spans="1:17" ht="18" customHeight="1" x14ac:dyDescent="0.25">
      <c r="B2" s="327" t="s">
        <v>1119</v>
      </c>
      <c r="C2" s="327"/>
      <c r="D2" s="327"/>
      <c r="E2" s="327"/>
      <c r="F2" s="222">
        <f>TC</f>
        <v>17</v>
      </c>
      <c r="G2" s="328" t="s">
        <v>1120</v>
      </c>
      <c r="H2" s="328"/>
      <c r="I2" s="328"/>
    </row>
    <row r="3" spans="1:17" ht="6" customHeight="1" x14ac:dyDescent="0.25"/>
    <row r="4" spans="1:17" ht="24" customHeight="1" x14ac:dyDescent="0.25">
      <c r="B4" s="320" t="s">
        <v>1121</v>
      </c>
      <c r="C4" s="320"/>
      <c r="D4" s="320"/>
      <c r="E4" s="320"/>
      <c r="F4" s="320"/>
      <c r="G4" s="329" t="s">
        <v>1122</v>
      </c>
      <c r="H4" s="329"/>
      <c r="I4" s="329"/>
      <c r="J4" s="330" t="s">
        <v>1123</v>
      </c>
      <c r="K4" s="330"/>
      <c r="L4" s="330"/>
      <c r="M4" s="330"/>
      <c r="N4" s="331" t="s">
        <v>1124</v>
      </c>
      <c r="O4" s="331"/>
      <c r="P4" s="331"/>
      <c r="Q4" s="331"/>
    </row>
    <row r="5" spans="1:17" ht="27.75" customHeight="1" x14ac:dyDescent="0.25">
      <c r="B5" s="223" t="s">
        <v>33</v>
      </c>
      <c r="C5" s="223" t="s">
        <v>35</v>
      </c>
      <c r="D5" s="223" t="s">
        <v>1125</v>
      </c>
      <c r="E5" s="223" t="s">
        <v>51</v>
      </c>
      <c r="F5" s="223" t="s">
        <v>1126</v>
      </c>
      <c r="G5" s="224" t="s">
        <v>1127</v>
      </c>
      <c r="H5" s="224" t="s">
        <v>1128</v>
      </c>
      <c r="I5" s="419" t="s">
        <v>1994</v>
      </c>
      <c r="J5" s="225" t="s">
        <v>1129</v>
      </c>
      <c r="K5" s="225" t="s">
        <v>1130</v>
      </c>
      <c r="L5" s="225" t="s">
        <v>1131</v>
      </c>
      <c r="M5" s="225" t="s">
        <v>1994</v>
      </c>
      <c r="N5" s="226" t="s">
        <v>1129</v>
      </c>
      <c r="O5" s="226" t="s">
        <v>1130</v>
      </c>
      <c r="P5" s="226" t="s">
        <v>1131</v>
      </c>
      <c r="Q5" s="226" t="s">
        <v>1126</v>
      </c>
    </row>
    <row r="6" spans="1:17" ht="19.5" customHeight="1" x14ac:dyDescent="0.25">
      <c r="B6" t="str" cm="1">
        <f t="array" ref="B6:B19">_xlfn._xlws.SORT(_xlfn.UNIQUE(_xlfn._xlws.FILTER(Tabla3[NUM ECONOMICO],Tabla3[STATUS]="COTIZANDO")))</f>
        <v>ME-11</v>
      </c>
      <c r="C6" t="str" cm="1">
        <f t="array" ref="C6:C19">_xlfn.MAP(_xlfn.ANCHORARRAY(B6),_xlfn.LAMBDA(_xlpm.u,IFERROR(_xlfn.XLOOKUP(_xlpm.u,MAQUINARIA!$B:$B,MAQUINARIA!$H:$H,"—"),"—")))</f>
        <v>INACTIVA</v>
      </c>
      <c r="D6" t="str" cm="1">
        <f t="array" ref="D6:D19">_xlfn.MAP(_xlfn.ANCHORARRAY(B6),_xlfn.LAMBDA(_xlpm.u,IFERROR(_xlfn.TEXTJOIN(" | ",TRUE,_xlfn.UNIQUE(_xlfn._xlws.FILTER("Pedido "&amp;Tabla3[PEDIDO]&amp;" · "&amp;Tabla3[TEMA],(Tabla3[STATUS]="COTIZANDO")*(Tabla3[NUM ECONOMICO]=_xlpm.u)*(Tabla3[TEMA]&lt;&gt;"SERVICIO DE FILTROS")))),"(Ver sección Filtros)")))</f>
        <v>Pedido 144 · PARTES PARA REPARACION DE TRANSMISION</v>
      </c>
      <c r="E6" cm="1">
        <f t="array" ref="E6:E19">_xlfn.MAP(_xlfn.ANCHORARRAY(B6),_xlfn.LAMBDA(_xlpm.u,COUNTIFS(Tabla3[STATUS],"COTIZANDO",Tabla3[NUM ECONOMICO],_xlpm.u,Tabla3[TEMA],"&lt;&gt;SERVICIO DE FILTROS")))</f>
        <v>170</v>
      </c>
      <c r="F6" s="418" t="str" cm="1">
        <f t="array" ref="F6:F19">_xlfn.MAP(_xlfn.ANCHORARRAY(B6),_xlfn.LAMBDA(_xlpm.u,IFERROR(_xlfn.LET(_xlpm.d,_xlfn._xlws.FILTER(Tabla3[DIAS DE ENTREGA TENTATIVO EN MATCO],(Tabla3[STATUS]="COTIZANDO")*(Tabla3[NUM ECONOMICO]=_xlpm.u)*(Tabla3[TEMA]&lt;&gt;"SERVICIO DE FILTROS")*(Tabla3[DIAS DE ENTREGA TENTATIVO EN MATCO]&lt;&gt;"")*(Tabla3[DIAS DE ENTREGA TENTATIVO EN MATCO]&lt;&gt;0)),_xlfn.TEXTJOIN(" / ",TRUE,_xlfn.UNIQUE(_xlpm.d))),"—")))</f>
        <v>5-7</v>
      </c>
      <c r="G6" s="228" cm="1">
        <f t="array" ref="G6:G19">_xlfn.MAP(_xlfn.ANCHORARRAY(B6),_xlfn.LAMBDA(_xlpm.u,IFERROR(AVERAGEIFS(Tabla3[COSTO UNITARIO EN MATCO PESOS],Tabla3[STATUS],"COTIZANDO",Tabla3[NUM ECONOMICO],_xlpm.u,Tabla3[TEMA],"&lt;&gt;SERVICIO DE FILTROS",Tabla3[COSTO UNITARIO EN MATCO PESOS],"&gt;0"),0)))</f>
        <v>2356.6281065088756</v>
      </c>
      <c r="H6" s="228" cm="1">
        <f t="array" ref="H6:H19">_xlfn.MAP(_xlfn.ANCHORARRAY(B6),_xlfn.LAMBDA(_xlpm.u,SUMIFS(Tabla3[COSTO TOTAL SIN IVA PESOS EN MATCO],Tabla3[STATUS],"COTIZANDO",Tabla3[NUM ECONOMICO],_xlpm.u,Tabla3[TEMA],"&lt;&gt;SERVICIO DE FILTROS")))</f>
        <v>675447.06</v>
      </c>
      <c r="I6" s="418" t="str" cm="1">
        <f t="array" ref="I6:I19">_xlfn.MAP(_xlfn.ANCHORARRAY(B6),_xlfn.LAMBDA(_xlpm.u,IFERROR(_xlfn.LET(_xlpm.d,_xlfn._xlws.FILTER(Tabla3[DIAS TENTATIVO DE  ENTREGA HAWTHORNE],(Tabla3[STATUS]="COTIZANDO")*(Tabla3[NUM ECONOMICO]=_xlpm.u)*(Tabla3[TEMA]&lt;&gt;"SERVICIO DE FILTROS")*(Tabla3[DIAS TENTATIVO DE  ENTREGA HAWTHORNE]&lt;&gt;"")*(Tabla3[DIAS TENTATIVO DE  ENTREGA HAWTHORNE]&lt;&gt;0)*(Tabla3[DIAS TENTATIVO DE  ENTREGA HAWTHORNE]&lt;&gt;"0")),_xlpm.nums,_xlfn.MAP(_xlpm.d,_xlfn.LAMBDA(_xlpm.x,IFERROR(--RIGHT(TRIM(_xlpm.x),LEN(TRIM(_xlpm.x))-FIND("-",TRIM(_xlpm.x))),IFERROR(--TRIM(_xlpm.x),0)))),_xlpm.m,MAX(_xlpm.nums),IF(_xlpm.m=0,"—",_xlpm.m&amp;" días")),"—")))</f>
        <v>—</v>
      </c>
      <c r="J6" s="232" cm="1">
        <f t="array" ref="J6:J19">_xlfn.MAP(_xlfn.ANCHORARRAY(B6),_xlfn.LAMBDA(_xlpm.u,IFERROR(AVERAGEIFS(Tabla3[COSTO UNITARIO DOLARES EN HAWTHORNE],Tabla3[STATUS],"COTIZANDO",Tabla3[NUM ECONOMICO],_xlpm.u,Tabla3[TEMA],"&lt;&gt;SERVICIO DE FILTROS",Tabla3[COSTO UNITARIO DOLARES EN HAWTHORNE],"&gt;0"),0)))</f>
        <v>0</v>
      </c>
      <c r="K6" s="232" t="str" cm="1">
        <f t="array" ref="K6:K19">_xlfn.MAP(_xlfn.ANCHORARRAY(B6),_xlfn.LAMBDA(_xlpm.u,_xlfn.LET(_xlpm.total,SUMIFS(Tabla3[COSTO TOTAL DOLARES EN HAWTHORNE],Tabla3[STATUS],"COTIZANDO",Tabla3[NUM ECONOMICO],_xlpm.u,Tabla3[TEMA],"&lt;&gt;SERVICIO DE FILTROS"),IF(_xlpm.total=0,"—",_xlpm.total))))</f>
        <v>—</v>
      </c>
      <c r="L6" s="232" t="str" cm="1">
        <f t="array" ref="L6:L19">_xlfn.MAP(_xlfn.ANCHORARRAY(J6),_xlfn.LAMBDA(_xlpm.v,IF(OR(TC="",_xlpm.v=0,_xlpm.v="—"),"—",_xlpm.v*TC)))</f>
        <v>—</v>
      </c>
      <c r="M6" s="418" t="str" cm="1">
        <f t="array" ref="M6:M19">_xlfn.MAP(_xlfn.ANCHORARRAY(B6),_xlfn.LAMBDA(_xlpm.u,IFERROR(_xlfn.LET(_xlpm.d,_xlfn._xlws.FILTER(Tabla3[DIAS TENTATIVO DE ENTREGA CTP],(Tabla3[STATUS]="COTIZANDO")*(Tabla3[NUM ECONOMICO]=_xlpm.u)*(Tabla3[TEMA]&lt;&gt;"SERVICIO DE FILTROS")*(Tabla3[DIAS TENTATIVO DE ENTREGA CTP]&lt;&gt;"")*(Tabla3[DIAS TENTATIVO DE ENTREGA CTP]&lt;&gt;0)*(Tabla3[DIAS TENTATIVO DE ENTREGA CTP]&lt;&gt;"0")),_xlpm.nums,_xlfn.MAP(_xlpm.d,_xlfn.LAMBDA(_xlpm.x,IFERROR(--RIGHT(TRIM(_xlpm.x),LEN(TRIM(_xlpm.x))-FIND("-",TRIM(_xlpm.x))),IFERROR(--TRIM(_xlpm.x),0)))),_xlpm.m,MAX(_xlpm.nums),IF(_xlpm.m=0,"—",_xlpm.m&amp;" días")),"—")))</f>
        <v>—</v>
      </c>
      <c r="N6" s="232" cm="1">
        <f t="array" ref="N6:N19">_xlfn.MAP(_xlfn.ANCHORARRAY(B6),_xlfn.LAMBDA(_xlpm.u,IFERROR(AVERAGEIFS(Tabla3[COSTO UNITARIO DOLARES CTP],Tabla3[STATUS],"COTIZANDO",Tabla3[NUM ECONOMICO],_xlpm.u,Tabla3[TEMA],"&lt;&gt;SERVICIO DE FILTROS",Tabla3[COSTO UNITARIO DOLARES CTP],"&gt;0"),0)))</f>
        <v>0</v>
      </c>
      <c r="O6" s="232" t="str" cm="1">
        <f t="array" ref="O6:O19">_xlfn.MAP(_xlfn.ANCHORARRAY(B6),_xlfn.LAMBDA(_xlpm.u,_xlfn.LET(_xlpm.total,SUMIFS(Tabla3[COSTO TOTAL DOLARES CTP],Tabla3[STATUS],"COTIZANDO",Tabla3[NUM ECONOMICO],_xlpm.u,Tabla3[TEMA],"&lt;&gt;SERVICIO DE FILTROS"),IF(_xlpm.total=0,"—",_xlpm.total))))</f>
        <v>—</v>
      </c>
      <c r="P6" s="232" t="str" cm="1">
        <f t="array" ref="P6:P19">_xlfn.MAP(_xlfn.ANCHORARRAY(N6),_xlfn.LAMBDA(_xlpm.v,IF(OR(TC="",_xlpm.v=0,_xlpm.v="—"),"—",_xlpm.v*TC)))</f>
        <v>—</v>
      </c>
      <c r="Q6" t="str" cm="1">
        <f t="array" ref="Q6:Q19">_xlfn.MAP(_xlfn.ANCHORARRAY(B6),_xlfn.LAMBDA(_xlpm.u,_xlfn.LET(_xlpm.diasM,MAX(_xlfn._xlws.FILTER(Tabla3[DIAS DE ENTREGA TENTATIVO EN MATCO],(Tabla3[STATUS]="COTIZANDO")*(Tabla3[NUM ECONOMICO]=_xlpm.u))),_xlpm.diasH,MAX(_xlfn._xlws.FILTER(Tabla3[DIAS TENTATIVO DE  ENTREGA HAWTHORNE],(Tabla3[STATUS]="COTIZANDO")*(Tabla3[NUM ECONOMICO]=_xlpm.u))),_xlpm.diasC,MAX(_xlfn._xlws.FILTER(Tabla3[DIAS TENTATIVO DE ENTREGA CTP],(Tabla3[STATUS]="COTIZANDO")*(Tabla3[NUM ECONOMICO]=_xlpm.u))),_xlpm.maxDias,MAX(_xlpm.diasM,_xlpm.diasH,_xlpm.diasC),IF(_xlpm.maxDias=0,"—",_xlpm.maxDias))))</f>
        <v>—</v>
      </c>
    </row>
    <row r="7" spans="1:17" ht="18" customHeight="1" x14ac:dyDescent="0.25">
      <c r="B7" t="str">
        <v>ME-15</v>
      </c>
      <c r="C7" t="str">
        <v>INACTIVA</v>
      </c>
      <c r="D7" t="str">
        <v>Pedido 145 · PARTES PARA REPARACION DE TRANSMISION</v>
      </c>
      <c r="E7">
        <v>170</v>
      </c>
      <c r="F7" s="418" t="str">
        <v>5-7</v>
      </c>
      <c r="G7" s="228">
        <v>2356.6281065088756</v>
      </c>
      <c r="H7" s="228">
        <v>675447.06</v>
      </c>
      <c r="I7" s="418" t="str">
        <v>—</v>
      </c>
      <c r="J7" s="232">
        <v>0</v>
      </c>
      <c r="K7" s="232" t="str">
        <v>—</v>
      </c>
      <c r="L7" s="232" t="str">
        <v>—</v>
      </c>
      <c r="M7" s="418" t="str">
        <v>—</v>
      </c>
      <c r="N7" s="232">
        <v>0</v>
      </c>
      <c r="O7" s="232" t="str">
        <v>—</v>
      </c>
      <c r="P7" s="232" t="str">
        <v>—</v>
      </c>
      <c r="Q7" t="str">
        <v>—</v>
      </c>
    </row>
    <row r="8" spans="1:17" ht="18" customHeight="1" x14ac:dyDescent="0.25">
      <c r="B8" t="str">
        <v>ME-17</v>
      </c>
      <c r="C8" t="str">
        <v>INACTIVA</v>
      </c>
      <c r="D8" t="str">
        <v>Pedido 94 · REPARACION DE BOMBA DE ACEITE | Pedido 98 · CORRECCION PASO DE ACEITE HIDRAULICO A TRANSMISION</v>
      </c>
      <c r="E8">
        <v>35</v>
      </c>
      <c r="F8" s="418" t="str">
        <v>2-3</v>
      </c>
      <c r="G8" s="228">
        <v>6938.7030303030278</v>
      </c>
      <c r="H8" s="228">
        <v>256132.68999999997</v>
      </c>
      <c r="I8" s="418" t="str">
        <v>14 días</v>
      </c>
      <c r="J8" s="232">
        <v>273.86090909090916</v>
      </c>
      <c r="K8" s="232">
        <v>10643.179999999998</v>
      </c>
      <c r="L8" s="232">
        <v>4655.635454545456</v>
      </c>
      <c r="M8" s="418" t="str">
        <v>—</v>
      </c>
      <c r="N8" s="232">
        <v>27.898636363636363</v>
      </c>
      <c r="O8" s="232">
        <v>1013.98</v>
      </c>
      <c r="P8" s="232">
        <v>474.27681818181816</v>
      </c>
      <c r="Q8" t="str">
        <v>—</v>
      </c>
    </row>
    <row r="9" spans="1:17" ht="18" customHeight="1" x14ac:dyDescent="0.25">
      <c r="B9" t="str">
        <v>ME-19</v>
      </c>
      <c r="C9" t="str">
        <v>INACTIVA</v>
      </c>
      <c r="D9" t="str">
        <v>Pedido 143 · PARTES PARA REPARACION DE TRANSMISION</v>
      </c>
      <c r="E9">
        <v>170</v>
      </c>
      <c r="F9" s="418" t="str">
        <v>5-7</v>
      </c>
      <c r="G9" s="228">
        <v>2356.6281065088756</v>
      </c>
      <c r="H9" s="228">
        <v>675447.06</v>
      </c>
      <c r="I9" s="418" t="str">
        <v>—</v>
      </c>
      <c r="J9" s="232">
        <v>0</v>
      </c>
      <c r="K9" s="232" t="str">
        <v>—</v>
      </c>
      <c r="L9" s="232" t="str">
        <v>—</v>
      </c>
      <c r="M9" s="418" t="str">
        <v>—</v>
      </c>
      <c r="N9" s="232">
        <v>0</v>
      </c>
      <c r="O9" s="232" t="str">
        <v>—</v>
      </c>
      <c r="P9" s="232" t="str">
        <v>—</v>
      </c>
      <c r="Q9" t="str">
        <v>—</v>
      </c>
    </row>
    <row r="10" spans="1:17" x14ac:dyDescent="0.25">
      <c r="B10" t="str">
        <v>MM-03</v>
      </c>
      <c r="C10" t="str">
        <v>INACTIVA</v>
      </c>
      <c r="D10" t="str">
        <v>Pedido 81 · PARTES DE MANDOS FINALES Y FRENOS</v>
      </c>
      <c r="E10">
        <v>47</v>
      </c>
      <c r="F10" s="418" t="str">
        <v>—</v>
      </c>
      <c r="G10" s="228">
        <v>3839.9491489361703</v>
      </c>
      <c r="H10" s="228">
        <v>566675.73</v>
      </c>
      <c r="I10" s="418" t="str">
        <v>12 días</v>
      </c>
      <c r="J10" s="232">
        <v>215.52787234042549</v>
      </c>
      <c r="K10" s="232">
        <v>32144.74</v>
      </c>
      <c r="L10" s="232">
        <v>3663.9738297872332</v>
      </c>
      <c r="M10" s="418" t="str">
        <v>—</v>
      </c>
      <c r="N10" s="232">
        <v>84.86351351351351</v>
      </c>
      <c r="O10" s="232">
        <v>9212.6299999999992</v>
      </c>
      <c r="P10" s="232">
        <v>1442.6797297297296</v>
      </c>
      <c r="Q10" t="str">
        <v>—</v>
      </c>
    </row>
    <row r="11" spans="1:17" ht="19.5" customHeight="1" x14ac:dyDescent="0.25">
      <c r="B11" t="str">
        <v>MP-03</v>
      </c>
      <c r="C11" t="str">
        <v>ACTIVA</v>
      </c>
      <c r="D11" t="str">
        <v>Pedido 27 · COMPRESOR DE AIRE</v>
      </c>
      <c r="E11">
        <v>1</v>
      </c>
      <c r="F11" s="418" t="str">
        <v>—</v>
      </c>
      <c r="G11" s="228">
        <v>387</v>
      </c>
      <c r="H11" s="228">
        <v>387</v>
      </c>
      <c r="I11" s="418" t="str">
        <v>4 días</v>
      </c>
      <c r="J11" s="232">
        <v>21.41</v>
      </c>
      <c r="K11" s="232">
        <v>21.41</v>
      </c>
      <c r="L11" s="232">
        <v>363.97</v>
      </c>
      <c r="M11" s="418" t="str">
        <v>—</v>
      </c>
      <c r="N11" s="232">
        <v>9.34</v>
      </c>
      <c r="O11" s="232">
        <v>9.34</v>
      </c>
      <c r="P11" s="232">
        <v>158.78</v>
      </c>
      <c r="Q11" t="str">
        <v>—</v>
      </c>
    </row>
    <row r="12" spans="1:17" ht="18" customHeight="1" x14ac:dyDescent="0.25">
      <c r="B12" t="str">
        <v>MT-01</v>
      </c>
      <c r="C12" t="str">
        <v>INACTIVA</v>
      </c>
      <c r="D12" t="str">
        <v>Pedido 32 · REPARACION DE TRANSMISION Y CONVERTIDOR | Pedido 124 · REPARACION DE TRANSITO Y BARRA PIVOTE</v>
      </c>
      <c r="E12">
        <v>47</v>
      </c>
      <c r="F12" s="418" t="str">
        <v>—</v>
      </c>
      <c r="G12" s="228">
        <v>12644.396595744684</v>
      </c>
      <c r="H12" s="228">
        <v>2013891.2300000002</v>
      </c>
      <c r="I12" s="418" t="str">
        <v>15 días</v>
      </c>
      <c r="J12" s="232">
        <v>580.99106382978721</v>
      </c>
      <c r="K12" s="232">
        <v>93062.129999999976</v>
      </c>
      <c r="L12" s="232">
        <v>9876.8480851063832</v>
      </c>
      <c r="M12" s="418" t="str">
        <v>3 días</v>
      </c>
      <c r="N12" s="232">
        <v>39.57595238095238</v>
      </c>
      <c r="O12" s="232">
        <v>7817.02</v>
      </c>
      <c r="P12" s="232">
        <v>672.79119047619042</v>
      </c>
      <c r="Q12" t="str">
        <v>—</v>
      </c>
    </row>
    <row r="13" spans="1:17" ht="18" customHeight="1" x14ac:dyDescent="0.25">
      <c r="B13" t="str">
        <v>MT-02</v>
      </c>
      <c r="C13" t="str">
        <v>ACTIVA</v>
      </c>
      <c r="D13" t="str">
        <v>Pedido 67 · BOMBA HIDRAULICO DE FAN 2141097 | Pedido 77 · PARA CORRECCION DE FUGA DE ACEITE POR EMPAQUE DE CARTER</v>
      </c>
      <c r="E13">
        <v>5</v>
      </c>
      <c r="F13" s="418" t="str">
        <v>—</v>
      </c>
      <c r="G13" s="228">
        <v>16570.002</v>
      </c>
      <c r="H13" s="228">
        <v>86146.53</v>
      </c>
      <c r="I13" s="418" t="str">
        <v>4 días</v>
      </c>
      <c r="J13" s="232">
        <v>650.2639999999999</v>
      </c>
      <c r="K13" s="232">
        <v>3357.2799999999997</v>
      </c>
      <c r="L13" s="232">
        <v>11054.487999999998</v>
      </c>
      <c r="M13" s="418" t="str">
        <v>—</v>
      </c>
      <c r="N13" s="232">
        <v>1.2733333333333332</v>
      </c>
      <c r="O13" s="232">
        <v>3.82</v>
      </c>
      <c r="P13" s="232">
        <v>21.646666666666665</v>
      </c>
      <c r="Q13" t="str">
        <v>—</v>
      </c>
    </row>
    <row r="14" spans="1:17" x14ac:dyDescent="0.25">
      <c r="B14" t="str">
        <v>MT-03</v>
      </c>
      <c r="C14" t="str">
        <v>ACTIVA</v>
      </c>
      <c r="D14" t="str">
        <v>Pedido 75 · DAÑO EN LA CAMA DE RIPPER | Pedido 80 · DAÑO DE LA BOLSA DE AIRE | Pedido 95 · PARA CORRECCION JUEGO EN BARRA PIVOTE POR BUJES DESGASTADOS</v>
      </c>
      <c r="E14">
        <v>15</v>
      </c>
      <c r="F14" s="418" t="str">
        <v>—</v>
      </c>
      <c r="G14" s="228">
        <v>4324.3906666666671</v>
      </c>
      <c r="H14" s="228">
        <v>67991.260000000009</v>
      </c>
      <c r="I14" s="418" t="str">
        <v>4 días</v>
      </c>
      <c r="J14" s="232">
        <v>212.42142857142858</v>
      </c>
      <c r="K14" s="232">
        <v>3100.2700000000004</v>
      </c>
      <c r="L14" s="232">
        <v>3611.1642857142861</v>
      </c>
      <c r="M14" s="418" t="str">
        <v>—</v>
      </c>
      <c r="N14" s="232">
        <v>49.690000000000005</v>
      </c>
      <c r="O14" s="232">
        <v>799.61</v>
      </c>
      <c r="P14" s="232">
        <v>844.73000000000013</v>
      </c>
      <c r="Q14" t="str">
        <v>—</v>
      </c>
    </row>
    <row r="15" spans="1:17" ht="19.5" customHeight="1" x14ac:dyDescent="0.25">
      <c r="B15" t="str">
        <v>MT-04</v>
      </c>
      <c r="C15" t="str">
        <v>INACTIVA</v>
      </c>
      <c r="D15" t="str">
        <v xml:space="preserve">Pedido 146 · </v>
      </c>
      <c r="E15">
        <v>1</v>
      </c>
      <c r="F15" s="418" t="str">
        <v>—</v>
      </c>
      <c r="G15" s="228">
        <v>22788.31</v>
      </c>
      <c r="H15" s="228">
        <v>22788.31</v>
      </c>
      <c r="I15" s="418" t="str">
        <v>—</v>
      </c>
      <c r="J15" s="232">
        <v>0</v>
      </c>
      <c r="K15" s="232" t="str">
        <v>—</v>
      </c>
      <c r="L15" s="232" t="str">
        <v>—</v>
      </c>
      <c r="M15" s="418" t="str">
        <v>—</v>
      </c>
      <c r="N15" s="232">
        <v>0</v>
      </c>
      <c r="O15" s="232" t="str">
        <v>—</v>
      </c>
      <c r="P15" s="232" t="str">
        <v>—</v>
      </c>
      <c r="Q15" t="str">
        <v>—</v>
      </c>
    </row>
    <row r="16" spans="1:17" ht="18" customHeight="1" x14ac:dyDescent="0.25">
      <c r="B16" t="str">
        <v>MT-05</v>
      </c>
      <c r="C16" t="str">
        <v>ACTIVA</v>
      </c>
      <c r="D16" t="str">
        <v>Pedido 136 · ARNES DE CABLES</v>
      </c>
      <c r="E16">
        <v>1</v>
      </c>
      <c r="F16" s="418" t="str">
        <v>—</v>
      </c>
      <c r="G16" s="228">
        <v>1763.46</v>
      </c>
      <c r="H16" s="228">
        <v>3526.92</v>
      </c>
      <c r="I16" s="418" t="str">
        <v>2 días</v>
      </c>
      <c r="J16" s="232">
        <v>83.33</v>
      </c>
      <c r="K16" s="232">
        <v>166.66</v>
      </c>
      <c r="L16" s="232">
        <v>1416.61</v>
      </c>
      <c r="M16" s="418" t="str">
        <v>3 días</v>
      </c>
      <c r="N16" s="232">
        <v>71.63</v>
      </c>
      <c r="O16" s="232">
        <v>143.26</v>
      </c>
      <c r="P16" s="232">
        <v>1217.71</v>
      </c>
      <c r="Q16" t="str">
        <v>—</v>
      </c>
    </row>
    <row r="17" spans="2:17" ht="18" customHeight="1" x14ac:dyDescent="0.25">
      <c r="B17" t="str">
        <v>MT-06</v>
      </c>
      <c r="C17" t="str">
        <v>INACTIVA</v>
      </c>
      <c r="D17" t="str">
        <v>Pedido 34 · REPARACION DE MOTOR</v>
      </c>
      <c r="E17">
        <v>38</v>
      </c>
      <c r="F17" s="418" t="str">
        <v>—</v>
      </c>
      <c r="G17" s="228">
        <v>6276.1978947368407</v>
      </c>
      <c r="H17" s="228">
        <v>442801.37</v>
      </c>
      <c r="I17" s="418" t="str">
        <v>6 días</v>
      </c>
      <c r="J17" s="232">
        <v>262.83368421052643</v>
      </c>
      <c r="K17" s="232">
        <v>18976.180000000004</v>
      </c>
      <c r="L17" s="232">
        <v>4468.1726315789492</v>
      </c>
      <c r="M17" s="418" t="str">
        <v>—</v>
      </c>
      <c r="N17" s="232">
        <v>46.551724137931018</v>
      </c>
      <c r="O17" s="232">
        <v>1744.7599999999998</v>
      </c>
      <c r="P17" s="232">
        <v>791.37931034482733</v>
      </c>
      <c r="Q17" t="str">
        <v>—</v>
      </c>
    </row>
    <row r="18" spans="2:17" x14ac:dyDescent="0.25">
      <c r="B18" t="str">
        <v>MT-13</v>
      </c>
      <c r="C18" t="str">
        <v>ACTIVA</v>
      </c>
      <c r="D18" t="str">
        <v>Pedido 129 · CADENA COMPLETA</v>
      </c>
      <c r="E18">
        <v>4</v>
      </c>
      <c r="F18" s="418" t="str">
        <v>3-5</v>
      </c>
      <c r="G18" s="228">
        <v>116853.6725</v>
      </c>
      <c r="H18" s="228">
        <v>560989.75</v>
      </c>
      <c r="I18" s="418" t="str">
        <v>2 días</v>
      </c>
      <c r="J18" s="232">
        <v>6251.3325000000004</v>
      </c>
      <c r="K18" s="232">
        <v>29939.030000000002</v>
      </c>
      <c r="L18" s="232">
        <v>106272.65250000001</v>
      </c>
      <c r="M18" s="418" t="str">
        <v>5 días</v>
      </c>
      <c r="N18" s="232">
        <v>18.593333333333334</v>
      </c>
      <c r="O18" s="232">
        <v>2365.34</v>
      </c>
      <c r="P18" s="232">
        <v>316.0866666666667</v>
      </c>
      <c r="Q18" t="str">
        <v>—</v>
      </c>
    </row>
    <row r="19" spans="2:17" ht="19.5" customHeight="1" x14ac:dyDescent="0.25">
      <c r="B19" t="str">
        <v>TM-03</v>
      </c>
      <c r="C19" t="str">
        <v>ACTIVA</v>
      </c>
      <c r="D19" t="str">
        <v>(Ver sección Filtros)</v>
      </c>
      <c r="E19">
        <v>0</v>
      </c>
      <c r="F19" s="418" t="str">
        <v>—</v>
      </c>
      <c r="G19" s="228">
        <v>0</v>
      </c>
      <c r="H19" s="228">
        <v>0</v>
      </c>
      <c r="I19" s="418" t="str">
        <v>—</v>
      </c>
      <c r="J19" s="232">
        <v>0</v>
      </c>
      <c r="K19" s="232" t="str">
        <v>—</v>
      </c>
      <c r="L19" s="232" t="str">
        <v>—</v>
      </c>
      <c r="M19" s="418" t="str">
        <v>—</v>
      </c>
      <c r="N19" s="232">
        <v>0</v>
      </c>
      <c r="O19" s="232" t="str">
        <v>—</v>
      </c>
      <c r="P19" s="232" t="str">
        <v>—</v>
      </c>
      <c r="Q19" t="str">
        <v>—</v>
      </c>
    </row>
    <row r="20" spans="2:17" ht="18" customHeight="1" x14ac:dyDescent="0.25">
      <c r="B20"/>
      <c r="C20"/>
      <c r="D20"/>
      <c r="E20"/>
      <c r="F20" s="418"/>
      <c r="G20" s="228"/>
      <c r="H20" s="228"/>
      <c r="I20" s="418"/>
      <c r="J20" s="232"/>
      <c r="K20" s="232"/>
      <c r="L20" s="232"/>
      <c r="M20" s="418"/>
      <c r="N20" s="232"/>
      <c r="O20" s="232"/>
      <c r="P20" s="232"/>
      <c r="Q20"/>
    </row>
    <row r="21" spans="2:17" ht="18" customHeight="1" x14ac:dyDescent="0.25">
      <c r="B21"/>
      <c r="C21"/>
      <c r="D21"/>
      <c r="E21"/>
      <c r="F21"/>
      <c r="G21" s="228"/>
      <c r="H21" s="228"/>
      <c r="I21"/>
      <c r="J21" s="232"/>
      <c r="K21" s="232"/>
      <c r="L21" s="232"/>
      <c r="M21"/>
      <c r="N21" s="232"/>
      <c r="O21" s="232"/>
      <c r="P21" s="232"/>
      <c r="Q21"/>
    </row>
    <row r="22" spans="2:17" ht="15.75" x14ac:dyDescent="0.25">
      <c r="B22" s="318" t="s">
        <v>1132</v>
      </c>
      <c r="C22" s="319"/>
      <c r="D22" s="319"/>
      <c r="E22" s="319"/>
      <c r="F22" s="319"/>
      <c r="G22" s="319"/>
      <c r="H22" s="319"/>
      <c r="I22" s="319"/>
      <c r="J22" s="319"/>
      <c r="K22" s="319"/>
      <c r="L22" s="319"/>
      <c r="M22" s="319"/>
      <c r="N22" s="319"/>
      <c r="O22" s="319"/>
      <c r="P22" s="319"/>
      <c r="Q22" s="319"/>
    </row>
    <row r="23" spans="2:17" ht="19.5" customHeight="1" x14ac:dyDescent="0.25">
      <c r="B23" s="289" t="s">
        <v>33</v>
      </c>
      <c r="C23" s="289" t="s">
        <v>35</v>
      </c>
      <c r="D23" s="289" t="s">
        <v>1133</v>
      </c>
      <c r="E23" s="289" t="s">
        <v>51</v>
      </c>
      <c r="F23" s="289" t="s">
        <v>1134</v>
      </c>
      <c r="G23" s="290" t="s">
        <v>1135</v>
      </c>
      <c r="H23" s="290" t="s">
        <v>1114</v>
      </c>
      <c r="I23" s="289" t="s">
        <v>1136</v>
      </c>
      <c r="J23" s="291" t="s">
        <v>1115</v>
      </c>
      <c r="K23" s="232"/>
      <c r="L23" s="232"/>
      <c r="M23"/>
      <c r="N23" s="232"/>
      <c r="O23" s="232"/>
      <c r="P23" s="232"/>
      <c r="Q23"/>
    </row>
    <row r="24" spans="2:17" ht="18" customHeight="1" x14ac:dyDescent="0.25">
      <c r="B24" t="str" cm="1">
        <f t="array" ref="B24">_xlfn._xlws.SORT(_xlfn.UNIQUE(_xlfn._xlws.FILTER(Tabla3[NUM ECONOMICO],(Tabla3[STATUS]="COTIZANDO")*(Tabla3[TEMA]="SERVICIO DE FILTROS"))))</f>
        <v>TM-03</v>
      </c>
      <c r="C24" t="str" cm="1">
        <f t="array" ref="C24">_xlfn.MAP(_xlfn.ANCHORARRAY(B24),_xlfn.LAMBDA(_xlpm.u,IFERROR(INDEX(_xlfn._xlws.FILTER(MAQUINARIA!H:H,MAQUINARIA!B:B=_xlpm.u),1),"—")))</f>
        <v>ACTIVA</v>
      </c>
      <c r="D24" t="str" cm="1">
        <f t="array" ref="D24">_xlfn.MAP(_xlfn.ANCHORARRAY(B24),_xlfn.LAMBDA(_xlpm.u,"SERVICIO DE FILTROS"))</f>
        <v>SERVICIO DE FILTROS</v>
      </c>
      <c r="E24" cm="1">
        <f t="array" ref="E24">_xlfn.MAP(_xlfn.ANCHORARRAY(B24),_xlfn.LAMBDA(_xlpm.u,COUNTIFS(Tabla3[STATUS],"COTIZANDO",Tabla3[NUM ECONOMICO],_xlpm.u,Tabla3[TEMA],"SERVICIO DE FILTROS")))</f>
        <v>5</v>
      </c>
      <c r="F24" s="228" cm="1">
        <f t="array" ref="F24">_xlfn.MAP(_xlfn.ANCHORARRAY(B24),_xlfn.LAMBDA(_xlpm.u,SUMIFS(Tabla3[COSTO TOTAL SIN IVA PESOS EN MATCO],Tabla3[STATUS],"COTIZANDO",Tabla3[NUM ECONOMICO],_xlpm.u,Tabla3[TEMA],"SERVICIO DE FILTROS")))</f>
        <v>1420.55</v>
      </c>
      <c r="G24" s="228" t="str" cm="1">
        <f t="array" ref="G24">_xlfn.MAP(_xlfn.ANCHORARRAY(B24),_xlfn.LAMBDA(_xlpm.u,_xlfn.LET(_xlpm.total,SUMIFS(Tabla3[COSTO TOTAL DOLARES EN HAWTHORNE],Tabla3[STATUS],"COTIZANDO",Tabla3[NUM ECONOMICO],_xlpm.u,Tabla3[TEMA],"SERVICIO DE FILTROS"),IF(_xlpm.total=0,"—",_xlpm.total))))</f>
        <v>—</v>
      </c>
      <c r="H24" s="228" t="str" cm="1">
        <f t="array" ref="H24">_xlfn.MAP(_xlfn.ANCHORARRAY(B24),_xlfn.LAMBDA(_xlpm.u,_xlfn.LET(_xlpm.total,SUMIFS(Tabla3[COSTO TOTAL DOLARES EN HAWTHORNE],Tabla3[STATUS],"COTIZANDO",Tabla3[NUM ECONOMICO],_xlpm.u,Tabla3[TEMA],"SERVICIO DE FILTROS"),IF(_xlpm.total=0,"—",_xlpm.total*$F$2))))</f>
        <v>—</v>
      </c>
      <c r="I24" t="str" cm="1">
        <f t="array" ref="I24">_xlfn.MAP(_xlfn.ANCHORARRAY(B24),_xlfn.LAMBDA(_xlpm.u,_xlfn.LET(_xlpm.total,SUMIFS(Tabla3[COSTO TOTAL DOLARES CTP],Tabla3[STATUS],"COTIZANDO",Tabla3[NUM ECONOMICO],_xlpm.u,Tabla3[TEMA],"SERVICIO DE FILTROS"),IF(_xlpm.total=0,"—",_xlpm.total))))</f>
        <v>—</v>
      </c>
      <c r="J24" s="232" t="str" cm="1">
        <f t="array" ref="J24">_xlfn.MAP(_xlfn.ANCHORARRAY(B24),_xlfn.LAMBDA(_xlpm.u,_xlfn.LET(_xlpm.total,SUMIFS(Tabla3[COSTO TOTAL DOLARES CTP],Tabla3[STATUS],"COTIZANDO",Tabla3[NUM ECONOMICO],_xlpm.u,Tabla3[TEMA],"SERVICIO DE FILTROS"),IF(_xlpm.total=0,"—",_xlpm.total*$F$2))))</f>
        <v>—</v>
      </c>
      <c r="K24" s="232"/>
      <c r="L24" s="232"/>
      <c r="M24"/>
      <c r="N24" s="232"/>
      <c r="O24" s="232"/>
      <c r="P24" s="232"/>
      <c r="Q24"/>
    </row>
    <row r="25" spans="2:17" ht="18" customHeight="1" x14ac:dyDescent="0.25">
      <c r="B25"/>
      <c r="C25"/>
      <c r="D25"/>
      <c r="E25"/>
      <c r="F25"/>
      <c r="G25" s="228"/>
      <c r="H25" s="228"/>
      <c r="I25"/>
      <c r="J25"/>
      <c r="K25"/>
      <c r="L25"/>
      <c r="M25"/>
      <c r="N25"/>
      <c r="O25"/>
      <c r="P25"/>
      <c r="Q25"/>
    </row>
    <row r="26" spans="2:17" x14ac:dyDescent="0.25">
      <c r="B26"/>
      <c r="C26"/>
      <c r="D26"/>
      <c r="E26"/>
      <c r="F26"/>
      <c r="G26" s="228"/>
      <c r="H26" s="228"/>
      <c r="I26"/>
      <c r="J26"/>
      <c r="K26"/>
      <c r="L26"/>
      <c r="M26"/>
      <c r="N26"/>
      <c r="O26"/>
      <c r="P26"/>
      <c r="Q26"/>
    </row>
    <row r="27" spans="2:17" ht="19.5" customHeight="1" x14ac:dyDescent="0.25">
      <c r="B27" s="292" t="s">
        <v>1116</v>
      </c>
      <c r="C27" s="292"/>
      <c r="D27" s="292"/>
      <c r="E27" s="292">
        <f>SUM(E24:E25)</f>
        <v>5</v>
      </c>
      <c r="F27" s="293">
        <f>SUM(F24:F25)</f>
        <v>1420.55</v>
      </c>
      <c r="G27" s="294">
        <f>SUMIFS(Tabla3[COSTO TOTAL DOLARES EN HAWTHORNE],Tabla3[STATUS],"COTIZANDO",Tabla3[TEMA],"SERVICIO DE FILTROS")</f>
        <v>0</v>
      </c>
      <c r="H27" s="293" t="str">
        <f>IF(G27=0,"—",G27*$F$2)</f>
        <v>—</v>
      </c>
      <c r="I27" s="294">
        <f>SUMIFS(Tabla3[COSTO TOTAL DOLARES CTP],Tabla3[STATUS],"COTIZANDO",Tabla3[TEMA],"SERVICIO DE FILTROS")</f>
        <v>0</v>
      </c>
      <c r="J27" s="293" t="str">
        <f>IF(I27=0,"—",I27*$F$2)</f>
        <v>—</v>
      </c>
      <c r="K27"/>
      <c r="L27"/>
      <c r="M27"/>
      <c r="N27"/>
      <c r="O27"/>
      <c r="P27"/>
      <c r="Q27"/>
    </row>
    <row r="28" spans="2:17" ht="18" customHeight="1" x14ac:dyDescent="0.25">
      <c r="B28"/>
      <c r="C28"/>
      <c r="D28"/>
      <c r="E28"/>
      <c r="F28"/>
      <c r="G28" s="228"/>
      <c r="H28" s="228"/>
      <c r="I28"/>
      <c r="J28"/>
      <c r="K28"/>
      <c r="L28"/>
      <c r="M28"/>
      <c r="N28"/>
      <c r="O28"/>
      <c r="P28"/>
      <c r="Q28"/>
    </row>
    <row r="29" spans="2:17" ht="18" customHeight="1" x14ac:dyDescent="0.25">
      <c r="B29" s="324" t="s">
        <v>1117</v>
      </c>
      <c r="C29" s="325"/>
      <c r="D29" s="325"/>
      <c r="E29" s="325"/>
      <c r="F29" s="325"/>
      <c r="G29" s="325"/>
      <c r="H29" s="325"/>
      <c r="I29" s="325"/>
      <c r="J29" s="325"/>
      <c r="K29"/>
      <c r="L29"/>
      <c r="M29"/>
      <c r="N29"/>
      <c r="O29"/>
      <c r="P29"/>
      <c r="Q29"/>
    </row>
    <row r="30" spans="2:17" ht="18" customHeight="1" x14ac:dyDescent="0.25">
      <c r="B30"/>
      <c r="C30"/>
      <c r="D30"/>
      <c r="E30"/>
      <c r="F30"/>
      <c r="G30" s="228"/>
      <c r="H30" s="228"/>
      <c r="I30"/>
      <c r="J30"/>
      <c r="K30"/>
      <c r="L30"/>
      <c r="M30"/>
      <c r="N30"/>
      <c r="O30"/>
      <c r="P30"/>
      <c r="Q30"/>
    </row>
    <row r="31" spans="2:17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2:17" ht="19.5" customHeight="1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2:17" ht="18" customHeight="1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2:17" ht="18" customHeight="1" x14ac:dyDescent="0.2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2:17" ht="18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2:17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2:17" ht="19.5" customHeight="1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2:17" ht="18" customHeight="1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2:17" ht="18" customHeight="1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2:17" ht="18" customHeight="1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2:17" ht="18" customHeight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2:17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2:17" ht="19.5" customHeight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2:17" ht="18" customHeight="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2:17" ht="18" customHeight="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2:17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2:17" ht="19.5" customHeight="1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2:17" ht="18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2:17" ht="18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2:17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2:17" ht="19.5" customHeight="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2:17" ht="18" customHeight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2:17" ht="18" customHeight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2:17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2:17" ht="19.5" customHeigh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2:17" ht="18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2:17" ht="18" customHeight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2:17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2:17" ht="19.5" customHeight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2:17" ht="18" customHeight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2:17" ht="18" customHeight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2:17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2:17" ht="19.5" customHeight="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2:17" ht="18" customHeight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2:17" ht="18" customHeight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2:17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2:17" ht="15" customHeight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</sheetData>
  <autoFilter ref="B5:Q19" xr:uid="{00209B3C-C967-43FC-AFEB-EDC16F656C57}"/>
  <mergeCells count="9">
    <mergeCell ref="B22:Q22"/>
    <mergeCell ref="B29:J29"/>
    <mergeCell ref="B1:Q1"/>
    <mergeCell ref="B2:E2"/>
    <mergeCell ref="G2:I2"/>
    <mergeCell ref="B4:F4"/>
    <mergeCell ref="G4:I4"/>
    <mergeCell ref="J4:M4"/>
    <mergeCell ref="N4:Q4"/>
  </mergeCells>
  <conditionalFormatting sqref="C6:C21 C23:C28 C30:C50">
    <cfRule type="expression" dxfId="4473" priority="1">
      <formula>$C6="INACTIVA"</formula>
    </cfRule>
    <cfRule type="expression" dxfId="4472" priority="2">
      <formula>$C6="ACTIVA"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6C0F-2273-4CBC-8BB9-63ACF0D65F0F}">
  <dimension ref="A1:R719"/>
  <sheetViews>
    <sheetView showGridLines="0" zoomScaleNormal="100" workbookViewId="0">
      <pane xSplit="1" ySplit="5" topLeftCell="B551" activePane="bottomRight" state="frozen"/>
      <selection pane="topRight" sqref="A1:XFD1048576"/>
      <selection pane="bottomLeft" sqref="A1:XFD1048576"/>
      <selection pane="bottomRight" activeCell="D571" sqref="D571"/>
    </sheetView>
  </sheetViews>
  <sheetFormatPr baseColWidth="10" defaultColWidth="8.7109375" defaultRowHeight="15" x14ac:dyDescent="0.25"/>
  <cols>
    <col min="1" max="1" width="5" style="221" customWidth="1"/>
    <col min="2" max="2" width="14" style="221" bestFit="1" customWidth="1"/>
    <col min="3" max="3" width="12.5703125" style="221" bestFit="1" customWidth="1"/>
    <col min="4" max="4" width="11" style="221" bestFit="1" customWidth="1"/>
    <col min="5" max="5" width="16.85546875" style="221" bestFit="1" customWidth="1"/>
    <col min="6" max="6" width="85.42578125" style="221" bestFit="1" customWidth="1"/>
    <col min="7" max="7" width="10.28515625" style="221" bestFit="1" customWidth="1"/>
    <col min="8" max="8" width="13.28515625" style="221" bestFit="1" customWidth="1"/>
    <col min="9" max="9" width="14.7109375" style="221" bestFit="1" customWidth="1"/>
    <col min="10" max="10" width="9.140625" style="221" bestFit="1" customWidth="1"/>
    <col min="11" max="11" width="12.85546875" style="221" bestFit="1" customWidth="1"/>
    <col min="12" max="12" width="14.28515625" style="221" bestFit="1" customWidth="1"/>
    <col min="13" max="13" width="15.7109375" style="221" bestFit="1" customWidth="1"/>
    <col min="14" max="14" width="9.140625" style="221" bestFit="1" customWidth="1"/>
    <col min="15" max="15" width="12.85546875" style="221" bestFit="1" customWidth="1"/>
    <col min="16" max="16" width="14.28515625" style="221" bestFit="1" customWidth="1"/>
    <col min="17" max="17" width="15.7109375" style="221" bestFit="1" customWidth="1"/>
    <col min="18" max="18" width="9.140625" style="221" bestFit="1" customWidth="1"/>
    <col min="19" max="16384" width="8.7109375" style="221"/>
  </cols>
  <sheetData>
    <row r="1" spans="1:18" s="218" customFormat="1" ht="12.75" x14ac:dyDescent="0.2">
      <c r="A1" s="216"/>
      <c r="B1" s="332" t="s">
        <v>1137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</row>
    <row r="2" spans="1:18" x14ac:dyDescent="0.25">
      <c r="B2" s="327" t="s">
        <v>1119</v>
      </c>
      <c r="C2" s="327"/>
      <c r="D2" s="327"/>
      <c r="E2" s="327"/>
      <c r="F2" s="227">
        <f>TC</f>
        <v>17</v>
      </c>
    </row>
    <row r="4" spans="1:18" x14ac:dyDescent="0.25">
      <c r="B4" s="320" t="s">
        <v>1121</v>
      </c>
      <c r="C4" s="320"/>
      <c r="D4" s="320"/>
      <c r="E4" s="320"/>
      <c r="F4" s="320"/>
      <c r="G4" s="320"/>
      <c r="H4" s="329" t="s">
        <v>1122</v>
      </c>
      <c r="I4" s="329"/>
      <c r="J4" s="329"/>
      <c r="K4" s="330" t="s">
        <v>1123</v>
      </c>
      <c r="L4" s="330"/>
      <c r="M4" s="330"/>
      <c r="N4" s="330"/>
      <c r="O4" s="331" t="s">
        <v>1124</v>
      </c>
      <c r="P4" s="331"/>
      <c r="Q4" s="331"/>
      <c r="R4" s="331"/>
    </row>
    <row r="5" spans="1:18" x14ac:dyDescent="0.25">
      <c r="B5" s="437" t="s">
        <v>1138</v>
      </c>
      <c r="C5" s="437" t="s">
        <v>35</v>
      </c>
      <c r="D5" s="437" t="s">
        <v>8</v>
      </c>
      <c r="E5" s="437" t="s">
        <v>1139</v>
      </c>
      <c r="F5" s="437" t="s">
        <v>1140</v>
      </c>
      <c r="G5" s="437" t="s">
        <v>1141</v>
      </c>
      <c r="H5" s="437" t="s">
        <v>1142</v>
      </c>
      <c r="I5" s="437" t="s">
        <v>1128</v>
      </c>
      <c r="J5" s="437" t="s">
        <v>1143</v>
      </c>
      <c r="K5" s="437" t="s">
        <v>1144</v>
      </c>
      <c r="L5" s="437" t="s">
        <v>1130</v>
      </c>
      <c r="M5" s="437" t="s">
        <v>1131</v>
      </c>
      <c r="N5" s="437" t="s">
        <v>1143</v>
      </c>
      <c r="O5" s="437" t="s">
        <v>1144</v>
      </c>
      <c r="P5" s="437" t="s">
        <v>1130</v>
      </c>
      <c r="Q5" s="437" t="s">
        <v>1131</v>
      </c>
      <c r="R5" s="437" t="s">
        <v>1143</v>
      </c>
    </row>
    <row r="6" spans="1:18" x14ac:dyDescent="0.25">
      <c r="B6" s="439" t="str" cm="1">
        <f t="array" ref="B6:B714">_xlfn.SORTBY(_xlfn._xlws.FILTER(Tabla3[NUM ECONOMICO],Tabla3[STATUS]="COTIZANDO"),_xlfn._xlws.FILTER(Tabla3[NUM ECONOMICO],Tabla3[STATUS]="COTIZANDO"),1,_xlfn._xlws.FILTER(Tabla3[PEDIDO],Tabla3[STATUS]="COTIZANDO"),1)</f>
        <v>ME-11</v>
      </c>
      <c r="C6" s="420" t="str" cm="1">
        <f t="array" ref="C6:C714">_xlfn.MAP(_xlfn.ANCHORARRAY(B6),_xlfn.LAMBDA(_xlpm.num,IFERROR(_xlfn.XLOOKUP(_xlpm.num,MAQUINARIA!$B:$B,MAQUINARIA!$H:$H,"—"),"—")))</f>
        <v>INACTIVA</v>
      </c>
      <c r="D6" s="442" cm="1">
        <f t="array" ref="D6:D714">_xlfn.SORTBY(_xlfn._xlws.FILTER(Tabla3[PEDIDO],Tabla3[STATUS]="COTIZANDO"),_xlfn._xlws.FILTER(Tabla3[NUM ECONOMICO],Tabla3[STATUS]="COTIZANDO"),1,_xlfn._xlws.FILTER(Tabla3[PEDIDO],Tabla3[STATUS]="COTIZANDO"),1)</f>
        <v>144</v>
      </c>
      <c r="E6" s="421" t="str" cm="1">
        <f t="array" ref="E6:E714">_xlfn.SORTBY(_xlfn._xlws.FILTER(Tabla3[NUMERO DE PARTE],Tabla3[STATUS]="COTIZANDO"),_xlfn._xlws.FILTER(Tabla3[NUM ECONOMICO],Tabla3[STATUS]="COTIZANDO"),1,_xlfn._xlws.FILTER(Tabla3[PEDIDO],Tabla3[STATUS]="COTIZANDO"),1)</f>
        <v>1R0773</v>
      </c>
      <c r="F6" s="422" t="str" cm="1">
        <f t="array" ref="F6:F714">_xlfn.SORTBY(_xlfn._xlws.FILTER(Tabla3[DESCRIPCION],Tabla3[STATUS]="COTIZANDO"),_xlfn._xlws.FILTER(Tabla3[NUM ECONOMICO],Tabla3[STATUS]="COTIZANDO"),1,_xlfn._xlws.FILTER(Tabla3[PEDIDO],Tabla3[STATUS]="COTIZANDO"),1)</f>
        <v>ELEMENT AS</v>
      </c>
      <c r="G6" s="423" cm="1">
        <f t="array" ref="G6:G714">_xlfn.SORTBY(_xlfn._xlws.FILTER(Tabla3[CANTIDAD SOLICTADA],Tabla3[STATUS]="COTIZANDO"),_xlfn._xlws.FILTER(Tabla3[NUM ECONOMICO],Tabla3[STATUS]="COTIZANDO"),1,_xlfn._xlws.FILTER(Tabla3[PEDIDO],Tabla3[STATUS]="COTIZANDO"),1)</f>
        <v>1</v>
      </c>
      <c r="H6" s="424" cm="1">
        <f t="array" ref="H6:H714">_xlfn.SORTBY(_xlfn._xlws.FILTER(Tabla3[COSTO UNITARIO EN MATCO PESOS],Tabla3[STATUS]="COTIZANDO"),_xlfn._xlws.FILTER(Tabla3[NUM ECONOMICO],Tabla3[STATUS]="COTIZANDO"),1,_xlfn._xlws.FILTER(Tabla3[PEDIDO],Tabla3[STATUS]="COTIZANDO"),1)</f>
        <v>533.78</v>
      </c>
      <c r="I6" s="425" cm="1">
        <f t="array" ref="I6:I714">_xlfn.SORTBY(_xlfn._xlws.FILTER(Tabla3[COSTO TOTAL SIN IVA PESOS EN MATCO],Tabla3[STATUS]="COTIZANDO"),_xlfn._xlws.FILTER(Tabla3[NUM ECONOMICO],Tabla3[STATUS]="COTIZANDO"),1,_xlfn._xlws.FILTER(Tabla3[PEDIDO],Tabla3[STATUS]="COTIZANDO"),1)</f>
        <v>533.78</v>
      </c>
      <c r="J6" s="426" t="str" cm="1">
        <f t="array" ref="J6:J714">_xlfn.MAP(_xlfn.SORTBY(_xlfn._xlws.FILTER(Tabla3[DIAS DE ENTREGA TENTATIVO EN MATCO],Tabla3[STATUS]="COTIZANDO"),_xlfn._xlws.FILTER(Tabla3[NUM ECONOMICO],Tabla3[STATUS]="COTIZANDO"),1,_xlfn._xlws.FILTER(Tabla3[PEDIDO],Tabla3[STATUS]="COTIZANDO"),1),_xlfn.LAMBDA(_xlpm.d,IF(OR(_xlpm.d="",_xlpm.d=0),"—",_xlpm.d)))</f>
        <v>5-7</v>
      </c>
      <c r="K6" s="427" cm="1">
        <f t="array" ref="K6:K714">_xlfn.SORTBY(_xlfn._xlws.FILTER(Tabla3[COSTO UNITARIO DOLARES EN HAWTHORNE],Tabla3[STATUS]="COTIZANDO"),_xlfn._xlws.FILTER(Tabla3[NUM ECONOMICO],Tabla3[STATUS]="COTIZANDO"),1,_xlfn._xlws.FILTER(Tabla3[PEDIDO],Tabla3[STATUS]="COTIZANDO"),1)</f>
        <v>0</v>
      </c>
      <c r="L6" s="427" t="str" cm="1">
        <f t="array" ref="L6:L714">_xlfn.MAP(_xlfn.ANCHORARRAY(K6),_xlfn.ANCHORARRAY(G6),_xlfn.LAMBDA(_xlpm.precio,_xlpm.cant,IF(OR(_xlpm.precio=0,_xlpm.precio=""),"—",_xlpm.precio*_xlpm.cant)))</f>
        <v>—</v>
      </c>
      <c r="M6" s="428" t="str" cm="1">
        <f t="array" ref="M6:M714">_xlfn.MAP(_xlfn.ANCHORARRAY(K6),_xlfn.LAMBDA(_xlpm.v,IF(OR(TC="",_xlpm.v=0,_xlpm.v=""),"—",_xlpm.v*TC)))</f>
        <v>—</v>
      </c>
      <c r="N6" s="426" t="str" cm="1">
        <f t="array" ref="N6:N714">_xlfn.MAP(_xlfn.SORTBY(_xlfn._xlws.FILTER(Tabla3[DIAS TENTATIVO DE  ENTREGA HAWTHORNE],Tabla3[STATUS]="COTIZANDO"),_xlfn._xlws.FILTER(Tabla3[NUM ECONOMICO],Tabla3[STATUS]="COTIZANDO"),1,_xlfn._xlws.FILTER(Tabla3[PEDIDO],Tabla3[STATUS]="COTIZANDO"),1),_xlfn.LAMBDA(_xlpm.d,IF(OR(_xlpm.d="",_xlpm.d=0),"—",_xlpm.d)))</f>
        <v>—</v>
      </c>
      <c r="O6" s="427" cm="1">
        <f t="array" ref="O6:O714">_xlfn.SORTBY(_xlfn._xlws.FILTER(Tabla3[COSTO UNITARIO DOLARES CTP],Tabla3[STATUS]="COTIZANDO"),_xlfn._xlws.FILTER(Tabla3[NUM ECONOMICO],Tabla3[STATUS]="COTIZANDO"),1,_xlfn._xlws.FILTER(Tabla3[PEDIDO],Tabla3[STATUS]="COTIZANDO"),1)</f>
        <v>0</v>
      </c>
      <c r="P6" s="427" t="str" cm="1">
        <f t="array" ref="P6:P714">_xlfn.MAP(_xlfn.ANCHORARRAY(O6),_xlfn.ANCHORARRAY(G6),_xlfn.LAMBDA(_xlpm.precio,_xlpm.cant,IF(OR(_xlpm.precio=0,_xlpm.precio=""),"—",_xlpm.precio*_xlpm.cant)))</f>
        <v>—</v>
      </c>
      <c r="Q6" s="428" t="str" cm="1">
        <f t="array" ref="Q6:Q714">_xlfn.MAP(_xlfn.ANCHORARRAY(O6),_xlfn.LAMBDA(_xlpm.v,IF(OR(TC="",_xlpm.v=0,_xlpm.v=""),"—",_xlpm.v*TC)))</f>
        <v>—</v>
      </c>
      <c r="R6" s="426" t="str" cm="1">
        <f t="array" ref="R6:R714">_xlfn.MAP(_xlfn.SORTBY(_xlfn._xlws.FILTER(Tabla3[DIAS TENTATIVO DE ENTREGA CTP],Tabla3[STATUS]="COTIZANDO"),_xlfn._xlws.FILTER(Tabla3[NUM ECONOMICO],Tabla3[STATUS]="COTIZANDO"),1,_xlfn._xlws.FILTER(Tabla3[PEDIDO],Tabla3[STATUS]="COTIZANDO"),1),_xlfn.LAMBDA(_xlpm.d,IF(OR(_xlpm.d="",_xlpm.d=0),"—",_xlpm.d)))</f>
        <v>—</v>
      </c>
    </row>
    <row r="7" spans="1:18" x14ac:dyDescent="0.25">
      <c r="B7" s="439" t="str">
        <v>ME-11</v>
      </c>
      <c r="C7" s="420" t="str">
        <v>INACTIVA</v>
      </c>
      <c r="D7" s="442">
        <v>144</v>
      </c>
      <c r="E7" s="421" t="str">
        <v>5K1770</v>
      </c>
      <c r="F7" s="443" t="str">
        <v>JUNTA</v>
      </c>
      <c r="G7" s="423">
        <v>2</v>
      </c>
      <c r="H7" s="424">
        <v>267.95999999999998</v>
      </c>
      <c r="I7" s="425">
        <v>535.91999999999996</v>
      </c>
      <c r="J7" s="426" t="str">
        <v>5-7</v>
      </c>
      <c r="K7" s="427">
        <v>0</v>
      </c>
      <c r="L7" s="427" t="str">
        <v>—</v>
      </c>
      <c r="M7" s="428" t="str">
        <v>—</v>
      </c>
      <c r="N7" s="426" t="str">
        <v>—</v>
      </c>
      <c r="O7" s="427">
        <v>0</v>
      </c>
      <c r="P7" s="427" t="str">
        <v>—</v>
      </c>
      <c r="Q7" s="428" t="str">
        <v>—</v>
      </c>
      <c r="R7" s="426" t="str">
        <v>—</v>
      </c>
    </row>
    <row r="8" spans="1:18" x14ac:dyDescent="0.25">
      <c r="B8" s="439" t="str">
        <v>ME-11</v>
      </c>
      <c r="C8" s="420" t="str">
        <v>INACTIVA</v>
      </c>
      <c r="D8" s="442">
        <v>144</v>
      </c>
      <c r="E8" s="421" t="str">
        <v>2H3928</v>
      </c>
      <c r="F8" s="443" t="str">
        <v>JUNTAS</v>
      </c>
      <c r="G8" s="423">
        <v>1</v>
      </c>
      <c r="H8" s="424">
        <v>143.56</v>
      </c>
      <c r="I8" s="425">
        <v>143.56</v>
      </c>
      <c r="J8" s="426" t="str">
        <v>5-7</v>
      </c>
      <c r="K8" s="427">
        <v>0</v>
      </c>
      <c r="L8" s="427" t="str">
        <v>—</v>
      </c>
      <c r="M8" s="428" t="str">
        <v>—</v>
      </c>
      <c r="N8" s="426" t="str">
        <v>—</v>
      </c>
      <c r="O8" s="427">
        <v>0</v>
      </c>
      <c r="P8" s="427" t="str">
        <v>—</v>
      </c>
      <c r="Q8" s="428" t="str">
        <v>—</v>
      </c>
      <c r="R8" s="426" t="str">
        <v>—</v>
      </c>
    </row>
    <row r="9" spans="1:18" x14ac:dyDescent="0.25">
      <c r="B9" s="439" t="str">
        <v>ME-11</v>
      </c>
      <c r="C9" s="420" t="str">
        <v>INACTIVA</v>
      </c>
      <c r="D9" s="442">
        <v>144</v>
      </c>
      <c r="E9" s="421" t="str">
        <v>1P4110</v>
      </c>
      <c r="F9" s="443" t="str">
        <v>CILINDRO</v>
      </c>
      <c r="G9" s="423">
        <v>9</v>
      </c>
      <c r="H9" s="424">
        <v>5089.87</v>
      </c>
      <c r="I9" s="425">
        <v>45808.83</v>
      </c>
      <c r="J9" s="426" t="str">
        <v>5-7</v>
      </c>
      <c r="K9" s="427">
        <v>0</v>
      </c>
      <c r="L9" s="427" t="str">
        <v>—</v>
      </c>
      <c r="M9" s="428" t="str">
        <v>—</v>
      </c>
      <c r="N9" s="426" t="str">
        <v>—</v>
      </c>
      <c r="O9" s="427">
        <v>0</v>
      </c>
      <c r="P9" s="427" t="str">
        <v>—</v>
      </c>
      <c r="Q9" s="428" t="str">
        <v>—</v>
      </c>
      <c r="R9" s="426" t="str">
        <v>—</v>
      </c>
    </row>
    <row r="10" spans="1:18" x14ac:dyDescent="0.25">
      <c r="B10" s="439" t="str">
        <v>ME-11</v>
      </c>
      <c r="C10" s="420" t="str">
        <v>INACTIVA</v>
      </c>
      <c r="D10" s="442">
        <v>144</v>
      </c>
      <c r="E10" s="421" t="str">
        <v>9S8789</v>
      </c>
      <c r="F10" s="443" t="str">
        <v>DISCO</v>
      </c>
      <c r="G10" s="423">
        <v>1</v>
      </c>
      <c r="H10" s="424">
        <v>8928.34</v>
      </c>
      <c r="I10" s="425">
        <v>8928.34</v>
      </c>
      <c r="J10" s="426" t="str">
        <v>5-7</v>
      </c>
      <c r="K10" s="427">
        <v>0</v>
      </c>
      <c r="L10" s="427" t="str">
        <v>—</v>
      </c>
      <c r="M10" s="428" t="str">
        <v>—</v>
      </c>
      <c r="N10" s="426" t="str">
        <v>—</v>
      </c>
      <c r="O10" s="427">
        <v>0</v>
      </c>
      <c r="P10" s="427" t="str">
        <v>—</v>
      </c>
      <c r="Q10" s="428" t="str">
        <v>—</v>
      </c>
      <c r="R10" s="426" t="str">
        <v>—</v>
      </c>
    </row>
    <row r="11" spans="1:18" x14ac:dyDescent="0.25">
      <c r="B11" s="439" t="str">
        <v>ME-11</v>
      </c>
      <c r="C11" s="420" t="str">
        <v>INACTIVA</v>
      </c>
      <c r="D11" s="442">
        <v>144</v>
      </c>
      <c r="E11" s="421" t="str">
        <v>9P4251</v>
      </c>
      <c r="F11" s="443" t="str">
        <v>DISCO</v>
      </c>
      <c r="G11" s="423">
        <v>3</v>
      </c>
      <c r="H11" s="424">
        <v>4319.09</v>
      </c>
      <c r="I11" s="425">
        <v>12957.27</v>
      </c>
      <c r="J11" s="426" t="str">
        <v>5-7</v>
      </c>
      <c r="K11" s="427">
        <v>0</v>
      </c>
      <c r="L11" s="427" t="str">
        <v>—</v>
      </c>
      <c r="M11" s="428" t="str">
        <v>—</v>
      </c>
      <c r="N11" s="426" t="str">
        <v>—</v>
      </c>
      <c r="O11" s="427">
        <v>0</v>
      </c>
      <c r="P11" s="427" t="str">
        <v>—</v>
      </c>
      <c r="Q11" s="428" t="str">
        <v>—</v>
      </c>
      <c r="R11" s="426" t="str">
        <v>—</v>
      </c>
    </row>
    <row r="12" spans="1:18" x14ac:dyDescent="0.25">
      <c r="B12" s="439" t="str">
        <v>ME-11</v>
      </c>
      <c r="C12" s="420" t="str">
        <v>INACTIVA</v>
      </c>
      <c r="D12" s="442">
        <v>144</v>
      </c>
      <c r="E12" s="421" t="str">
        <v>9M6193</v>
      </c>
      <c r="F12" s="443" t="str">
        <v>RESORTE</v>
      </c>
      <c r="G12" s="423">
        <v>75</v>
      </c>
      <c r="H12" s="424">
        <v>92.01</v>
      </c>
      <c r="I12" s="425">
        <v>6900.75</v>
      </c>
      <c r="J12" s="426" t="str">
        <v>5-7</v>
      </c>
      <c r="K12" s="427">
        <v>0</v>
      </c>
      <c r="L12" s="427" t="str">
        <v>—</v>
      </c>
      <c r="M12" s="428" t="str">
        <v>—</v>
      </c>
      <c r="N12" s="426" t="str">
        <v>—</v>
      </c>
      <c r="O12" s="427">
        <v>0</v>
      </c>
      <c r="P12" s="427" t="str">
        <v>—</v>
      </c>
      <c r="Q12" s="428" t="str">
        <v>—</v>
      </c>
      <c r="R12" s="426" t="str">
        <v>—</v>
      </c>
    </row>
    <row r="13" spans="1:18" x14ac:dyDescent="0.25">
      <c r="B13" s="439" t="str">
        <v>ME-11</v>
      </c>
      <c r="C13" s="420" t="str">
        <v>INACTIVA</v>
      </c>
      <c r="D13" s="442">
        <v>144</v>
      </c>
      <c r="E13" s="421" t="str">
        <v>RN0R5011</v>
      </c>
      <c r="F13" s="443" t="str">
        <v>PLATE CLUTCH</v>
      </c>
      <c r="G13" s="423">
        <v>4</v>
      </c>
      <c r="H13" s="424">
        <v>7737.82</v>
      </c>
      <c r="I13" s="425">
        <v>30951.279999999999</v>
      </c>
      <c r="J13" s="426" t="str">
        <v>5-7</v>
      </c>
      <c r="K13" s="427">
        <v>0</v>
      </c>
      <c r="L13" s="427" t="str">
        <v>—</v>
      </c>
      <c r="M13" s="428" t="str">
        <v>—</v>
      </c>
      <c r="N13" s="426" t="str">
        <v>—</v>
      </c>
      <c r="O13" s="427">
        <v>0</v>
      </c>
      <c r="P13" s="427" t="str">
        <v>—</v>
      </c>
      <c r="Q13" s="428" t="str">
        <v>—</v>
      </c>
      <c r="R13" s="426" t="str">
        <v>—</v>
      </c>
    </row>
    <row r="14" spans="1:18" x14ac:dyDescent="0.25">
      <c r="B14" s="439" t="str">
        <v>ME-11</v>
      </c>
      <c r="C14" s="420" t="str">
        <v>INACTIVA</v>
      </c>
      <c r="D14" s="442">
        <v>144</v>
      </c>
      <c r="E14" s="421" t="str">
        <v>CARGO REMAN</v>
      </c>
      <c r="F14" s="443" t="str">
        <v>CARGO REMANENTE RN0R5011</v>
      </c>
      <c r="G14" s="423">
        <v>4</v>
      </c>
      <c r="H14" s="424">
        <v>3675.46</v>
      </c>
      <c r="I14" s="425">
        <v>14701.84</v>
      </c>
      <c r="J14" s="426" t="str">
        <v>5-7</v>
      </c>
      <c r="K14" s="427">
        <v>0</v>
      </c>
      <c r="L14" s="427" t="str">
        <v>—</v>
      </c>
      <c r="M14" s="428" t="str">
        <v>—</v>
      </c>
      <c r="N14" s="426" t="str">
        <v>—</v>
      </c>
      <c r="O14" s="427">
        <v>0</v>
      </c>
      <c r="P14" s="427" t="str">
        <v>—</v>
      </c>
      <c r="Q14" s="428" t="str">
        <v>—</v>
      </c>
      <c r="R14" s="426" t="str">
        <v>—</v>
      </c>
    </row>
    <row r="15" spans="1:18" x14ac:dyDescent="0.25">
      <c r="B15" s="439" t="str">
        <v>ME-11</v>
      </c>
      <c r="C15" s="420" t="str">
        <v>INACTIVA</v>
      </c>
      <c r="D15" s="442">
        <v>144</v>
      </c>
      <c r="E15" s="421" t="str">
        <v>N0R5016</v>
      </c>
      <c r="F15" s="443" t="str">
        <v>PLATE CLUTCH</v>
      </c>
      <c r="G15" s="423">
        <v>9</v>
      </c>
      <c r="H15" s="424">
        <v>9028.76</v>
      </c>
      <c r="I15" s="425">
        <v>81258.84</v>
      </c>
      <c r="J15" s="426" t="str">
        <v>5-7</v>
      </c>
      <c r="K15" s="427">
        <v>0</v>
      </c>
      <c r="L15" s="427" t="str">
        <v>—</v>
      </c>
      <c r="M15" s="428" t="str">
        <v>—</v>
      </c>
      <c r="N15" s="426" t="str">
        <v>—</v>
      </c>
      <c r="O15" s="427">
        <v>0</v>
      </c>
      <c r="P15" s="427" t="str">
        <v>—</v>
      </c>
      <c r="Q15" s="428" t="str">
        <v>—</v>
      </c>
      <c r="R15" s="426" t="str">
        <v>—</v>
      </c>
    </row>
    <row r="16" spans="1:18" x14ac:dyDescent="0.25">
      <c r="B16" s="439" t="str">
        <v>ME-11</v>
      </c>
      <c r="C16" s="420" t="str">
        <v>INACTIVA</v>
      </c>
      <c r="D16" s="442">
        <v>144</v>
      </c>
      <c r="E16" s="421" t="str">
        <v>CARGO REMAN</v>
      </c>
      <c r="F16" s="443" t="str">
        <v>CARGO REMANENTE N0R5016</v>
      </c>
      <c r="G16" s="423">
        <v>9</v>
      </c>
      <c r="H16" s="424">
        <v>4288.66</v>
      </c>
      <c r="I16" s="425">
        <v>38597.94</v>
      </c>
      <c r="J16" s="426" t="str">
        <v>5-7</v>
      </c>
      <c r="K16" s="427">
        <v>0</v>
      </c>
      <c r="L16" s="427" t="str">
        <v>—</v>
      </c>
      <c r="M16" s="428" t="str">
        <v>—</v>
      </c>
      <c r="N16" s="426" t="str">
        <v>—</v>
      </c>
      <c r="O16" s="427">
        <v>0</v>
      </c>
      <c r="P16" s="427" t="str">
        <v>—</v>
      </c>
      <c r="Q16" s="428" t="str">
        <v>—</v>
      </c>
      <c r="R16" s="426" t="str">
        <v>—</v>
      </c>
    </row>
    <row r="17" spans="2:18" x14ac:dyDescent="0.25">
      <c r="B17" s="439" t="str">
        <v>ME-11</v>
      </c>
      <c r="C17" s="420" t="str">
        <v>INACTIVA</v>
      </c>
      <c r="D17" s="442">
        <v>144</v>
      </c>
      <c r="E17" s="421" t="str">
        <v>4M9592</v>
      </c>
      <c r="F17" s="443" t="str">
        <v>RESORTE</v>
      </c>
      <c r="G17" s="423">
        <v>20</v>
      </c>
      <c r="H17" s="424">
        <v>184.37</v>
      </c>
      <c r="I17" s="425">
        <v>3687.4</v>
      </c>
      <c r="J17" s="426" t="str">
        <v>5-7</v>
      </c>
      <c r="K17" s="427">
        <v>0</v>
      </c>
      <c r="L17" s="427" t="str">
        <v>—</v>
      </c>
      <c r="M17" s="428" t="str">
        <v>—</v>
      </c>
      <c r="N17" s="426" t="str">
        <v>—</v>
      </c>
      <c r="O17" s="427">
        <v>0</v>
      </c>
      <c r="P17" s="427" t="str">
        <v>—</v>
      </c>
      <c r="Q17" s="428" t="str">
        <v>—</v>
      </c>
      <c r="R17" s="426" t="str">
        <v>—</v>
      </c>
    </row>
    <row r="18" spans="2:18" x14ac:dyDescent="0.25">
      <c r="B18" s="439" t="str">
        <v>ME-11</v>
      </c>
      <c r="C18" s="420" t="str">
        <v>INACTIVA</v>
      </c>
      <c r="D18" s="442">
        <v>144</v>
      </c>
      <c r="E18" s="421" t="str">
        <v>5B1952</v>
      </c>
      <c r="F18" s="443" t="str">
        <v>RESORTE</v>
      </c>
      <c r="G18" s="423">
        <v>5</v>
      </c>
      <c r="H18" s="424">
        <v>270.47000000000003</v>
      </c>
      <c r="I18" s="425">
        <v>1352.3500000000001</v>
      </c>
      <c r="J18" s="426" t="str">
        <v>5-7</v>
      </c>
      <c r="K18" s="427">
        <v>0</v>
      </c>
      <c r="L18" s="427" t="str">
        <v>—</v>
      </c>
      <c r="M18" s="428" t="str">
        <v>—</v>
      </c>
      <c r="N18" s="426" t="str">
        <v>—</v>
      </c>
      <c r="O18" s="427">
        <v>0</v>
      </c>
      <c r="P18" s="427" t="str">
        <v>—</v>
      </c>
      <c r="Q18" s="428" t="str">
        <v>—</v>
      </c>
      <c r="R18" s="426" t="str">
        <v>—</v>
      </c>
    </row>
    <row r="19" spans="2:18" x14ac:dyDescent="0.25">
      <c r="B19" s="439" t="str">
        <v>ME-11</v>
      </c>
      <c r="C19" s="420" t="str">
        <v>INACTIVA</v>
      </c>
      <c r="D19" s="442">
        <v>144</v>
      </c>
      <c r="E19" s="421" t="str">
        <v>4S8724</v>
      </c>
      <c r="F19" s="443" t="str">
        <v>DISCO</v>
      </c>
      <c r="G19" s="423">
        <v>3</v>
      </c>
      <c r="H19" s="424">
        <v>2814.6</v>
      </c>
      <c r="I19" s="425">
        <v>8443.7999999999993</v>
      </c>
      <c r="J19" s="426" t="str">
        <v>5-7</v>
      </c>
      <c r="K19" s="427">
        <v>0</v>
      </c>
      <c r="L19" s="427" t="str">
        <v>—</v>
      </c>
      <c r="M19" s="428" t="str">
        <v>—</v>
      </c>
      <c r="N19" s="426" t="str">
        <v>—</v>
      </c>
      <c r="O19" s="427">
        <v>0</v>
      </c>
      <c r="P19" s="427" t="str">
        <v>—</v>
      </c>
      <c r="Q19" s="428" t="str">
        <v>—</v>
      </c>
      <c r="R19" s="426" t="str">
        <v>—</v>
      </c>
    </row>
    <row r="20" spans="2:18" x14ac:dyDescent="0.25">
      <c r="B20" s="439" t="str">
        <v>ME-11</v>
      </c>
      <c r="C20" s="420" t="str">
        <v>INACTIVA</v>
      </c>
      <c r="D20" s="442">
        <v>144</v>
      </c>
      <c r="E20" s="421" t="str">
        <v>3892007</v>
      </c>
      <c r="F20" s="443" t="str">
        <v>DISC-FRICTIO</v>
      </c>
      <c r="G20" s="423">
        <v>5</v>
      </c>
      <c r="H20" s="424">
        <v>4319.09</v>
      </c>
      <c r="I20" s="425">
        <v>21595.45</v>
      </c>
      <c r="J20" s="426" t="str">
        <v>5-7</v>
      </c>
      <c r="K20" s="427">
        <v>0</v>
      </c>
      <c r="L20" s="427" t="str">
        <v>—</v>
      </c>
      <c r="M20" s="428" t="str">
        <v>—</v>
      </c>
      <c r="N20" s="426" t="str">
        <v>—</v>
      </c>
      <c r="O20" s="427">
        <v>0</v>
      </c>
      <c r="P20" s="427" t="str">
        <v>—</v>
      </c>
      <c r="Q20" s="428" t="str">
        <v>—</v>
      </c>
      <c r="R20" s="426" t="str">
        <v>—</v>
      </c>
    </row>
    <row r="21" spans="2:18" x14ac:dyDescent="0.25">
      <c r="B21" s="439" t="str">
        <v>ME-11</v>
      </c>
      <c r="C21" s="420" t="str">
        <v>INACTIVA</v>
      </c>
      <c r="D21" s="442">
        <v>144</v>
      </c>
      <c r="E21" s="421" t="str">
        <v>8E8300</v>
      </c>
      <c r="F21" s="443" t="str">
        <v>ARANDELA</v>
      </c>
      <c r="G21" s="423">
        <v>8</v>
      </c>
      <c r="H21" s="424">
        <v>175.24</v>
      </c>
      <c r="I21" s="425">
        <v>1401.92</v>
      </c>
      <c r="J21" s="426" t="str">
        <v>5-7</v>
      </c>
      <c r="K21" s="427">
        <v>0</v>
      </c>
      <c r="L21" s="427" t="str">
        <v>—</v>
      </c>
      <c r="M21" s="428" t="str">
        <v>—</v>
      </c>
      <c r="N21" s="426" t="str">
        <v>—</v>
      </c>
      <c r="O21" s="427">
        <v>0</v>
      </c>
      <c r="P21" s="427" t="str">
        <v>—</v>
      </c>
      <c r="Q21" s="428" t="str">
        <v>—</v>
      </c>
      <c r="R21" s="426" t="str">
        <v>—</v>
      </c>
    </row>
    <row r="22" spans="2:18" x14ac:dyDescent="0.25">
      <c r="B22" s="439" t="str">
        <v>ME-11</v>
      </c>
      <c r="C22" s="420" t="str">
        <v>INACTIVA</v>
      </c>
      <c r="D22" s="442">
        <v>144</v>
      </c>
      <c r="E22" s="421" t="str">
        <v>8E8304</v>
      </c>
      <c r="F22" s="443" t="str">
        <v>DISCO</v>
      </c>
      <c r="G22" s="423">
        <v>22</v>
      </c>
      <c r="H22" s="424">
        <v>197.62</v>
      </c>
      <c r="I22" s="425">
        <v>4347.6400000000003</v>
      </c>
      <c r="J22" s="426" t="str">
        <v>5-7</v>
      </c>
      <c r="K22" s="427">
        <v>0</v>
      </c>
      <c r="L22" s="427" t="str">
        <v>—</v>
      </c>
      <c r="M22" s="428" t="str">
        <v>—</v>
      </c>
      <c r="N22" s="426" t="str">
        <v>—</v>
      </c>
      <c r="O22" s="427">
        <v>0</v>
      </c>
      <c r="P22" s="427" t="str">
        <v>—</v>
      </c>
      <c r="Q22" s="428" t="str">
        <v>—</v>
      </c>
      <c r="R22" s="426" t="str">
        <v>—</v>
      </c>
    </row>
    <row r="23" spans="2:18" x14ac:dyDescent="0.25">
      <c r="B23" s="439" t="str">
        <v>ME-11</v>
      </c>
      <c r="C23" s="420" t="str">
        <v>INACTIVA</v>
      </c>
      <c r="D23" s="442">
        <v>144</v>
      </c>
      <c r="E23" s="421" t="str">
        <v>8E8307</v>
      </c>
      <c r="F23" s="443" t="str">
        <v>ARANDELA P</v>
      </c>
      <c r="G23" s="423">
        <v>16</v>
      </c>
      <c r="H23" s="424">
        <v>217.13</v>
      </c>
      <c r="I23" s="425">
        <v>3474.08</v>
      </c>
      <c r="J23" s="426" t="str">
        <v>5-7</v>
      </c>
      <c r="K23" s="427">
        <v>0</v>
      </c>
      <c r="L23" s="427" t="str">
        <v>—</v>
      </c>
      <c r="M23" s="428" t="str">
        <v>—</v>
      </c>
      <c r="N23" s="426" t="str">
        <v>—</v>
      </c>
      <c r="O23" s="427">
        <v>0</v>
      </c>
      <c r="P23" s="427" t="str">
        <v>—</v>
      </c>
      <c r="Q23" s="428" t="str">
        <v>—</v>
      </c>
      <c r="R23" s="426" t="str">
        <v>—</v>
      </c>
    </row>
    <row r="24" spans="2:18" x14ac:dyDescent="0.25">
      <c r="B24" s="439" t="str">
        <v>ME-11</v>
      </c>
      <c r="C24" s="420" t="str">
        <v>INACTIVA</v>
      </c>
      <c r="D24" s="442">
        <v>144</v>
      </c>
      <c r="E24" s="421" t="str">
        <v>9W4662</v>
      </c>
      <c r="F24" s="443" t="str">
        <v>DISCO</v>
      </c>
      <c r="G24" s="423">
        <v>3</v>
      </c>
      <c r="H24" s="424">
        <v>2868.65</v>
      </c>
      <c r="I24" s="425">
        <v>8605.9500000000007</v>
      </c>
      <c r="J24" s="426" t="str">
        <v>5-7</v>
      </c>
      <c r="K24" s="427">
        <v>0</v>
      </c>
      <c r="L24" s="427" t="str">
        <v>—</v>
      </c>
      <c r="M24" s="428" t="str">
        <v>—</v>
      </c>
      <c r="N24" s="426" t="str">
        <v>—</v>
      </c>
      <c r="O24" s="427">
        <v>0</v>
      </c>
      <c r="P24" s="427" t="str">
        <v>—</v>
      </c>
      <c r="Q24" s="428" t="str">
        <v>—</v>
      </c>
      <c r="R24" s="426" t="str">
        <v>—</v>
      </c>
    </row>
    <row r="25" spans="2:18" x14ac:dyDescent="0.25">
      <c r="B25" s="439" t="str">
        <v>ME-11</v>
      </c>
      <c r="C25" s="420" t="str">
        <v>INACTIVA</v>
      </c>
      <c r="D25" s="442">
        <v>144</v>
      </c>
      <c r="E25" s="421" t="str">
        <v>2157639</v>
      </c>
      <c r="F25" s="443" t="str">
        <v>BEARING KIT</v>
      </c>
      <c r="G25" s="423">
        <v>1</v>
      </c>
      <c r="H25" s="424">
        <v>87438.82</v>
      </c>
      <c r="I25" s="425">
        <v>87438.82</v>
      </c>
      <c r="J25" s="426" t="str">
        <v>5-7</v>
      </c>
      <c r="K25" s="427">
        <v>0</v>
      </c>
      <c r="L25" s="427" t="str">
        <v>—</v>
      </c>
      <c r="M25" s="428" t="str">
        <v>—</v>
      </c>
      <c r="N25" s="426" t="str">
        <v>—</v>
      </c>
      <c r="O25" s="427">
        <v>0</v>
      </c>
      <c r="P25" s="427" t="str">
        <v>—</v>
      </c>
      <c r="Q25" s="428" t="str">
        <v>—</v>
      </c>
      <c r="R25" s="426" t="str">
        <v>—</v>
      </c>
    </row>
    <row r="26" spans="2:18" x14ac:dyDescent="0.25">
      <c r="B26" s="439" t="str">
        <v>ME-11</v>
      </c>
      <c r="C26" s="420" t="str">
        <v>INACTIVA</v>
      </c>
      <c r="D26" s="442">
        <v>144</v>
      </c>
      <c r="E26" s="421" t="str">
        <v>6V7477</v>
      </c>
      <c r="F26" s="443" t="str">
        <v>JUNTAS</v>
      </c>
      <c r="G26" s="423">
        <v>1</v>
      </c>
      <c r="H26" s="424">
        <v>2340.7800000000002</v>
      </c>
      <c r="I26" s="425">
        <v>2340.7800000000002</v>
      </c>
      <c r="J26" s="426" t="str">
        <v>5-7</v>
      </c>
      <c r="K26" s="427">
        <v>0</v>
      </c>
      <c r="L26" s="427" t="str">
        <v>—</v>
      </c>
      <c r="M26" s="428" t="str">
        <v>—</v>
      </c>
      <c r="N26" s="426" t="str">
        <v>—</v>
      </c>
      <c r="O26" s="427">
        <v>0</v>
      </c>
      <c r="P26" s="427" t="str">
        <v>—</v>
      </c>
      <c r="Q26" s="428" t="str">
        <v>—</v>
      </c>
      <c r="R26" s="426" t="str">
        <v>—</v>
      </c>
    </row>
    <row r="27" spans="2:18" x14ac:dyDescent="0.25">
      <c r="B27" s="439" t="str">
        <v>ME-11</v>
      </c>
      <c r="C27" s="420" t="str">
        <v>INACTIVA</v>
      </c>
      <c r="D27" s="442">
        <v>144</v>
      </c>
      <c r="E27" s="421" t="str">
        <v>8C5378</v>
      </c>
      <c r="F27" s="443" t="str">
        <v>KIT GASKET</v>
      </c>
      <c r="G27" s="423">
        <v>1</v>
      </c>
      <c r="H27" s="424">
        <v>0</v>
      </c>
      <c r="I27" s="425">
        <v>0</v>
      </c>
      <c r="J27" s="426" t="str">
        <v>5-7</v>
      </c>
      <c r="K27" s="427">
        <v>0</v>
      </c>
      <c r="L27" s="427" t="str">
        <v>—</v>
      </c>
      <c r="M27" s="428" t="str">
        <v>—</v>
      </c>
      <c r="N27" s="426" t="str">
        <v>—</v>
      </c>
      <c r="O27" s="427">
        <v>0</v>
      </c>
      <c r="P27" s="427" t="str">
        <v>—</v>
      </c>
      <c r="Q27" s="428" t="str">
        <v>—</v>
      </c>
      <c r="R27" s="426" t="str">
        <v>—</v>
      </c>
    </row>
    <row r="28" spans="2:18" x14ac:dyDescent="0.25">
      <c r="B28" s="439" t="str">
        <v>ME-11</v>
      </c>
      <c r="C28" s="420" t="str">
        <v>INACTIVA</v>
      </c>
      <c r="D28" s="442">
        <v>144</v>
      </c>
      <c r="E28" s="421" t="str">
        <v>159799</v>
      </c>
      <c r="F28" s="443" t="str">
        <v>SELLO</v>
      </c>
      <c r="G28" s="423">
        <v>2</v>
      </c>
      <c r="H28" s="424">
        <v>125.84</v>
      </c>
      <c r="I28" s="425">
        <v>251.68</v>
      </c>
      <c r="J28" s="426" t="str">
        <v>5-7</v>
      </c>
      <c r="K28" s="427">
        <v>0</v>
      </c>
      <c r="L28" s="427" t="str">
        <v>—</v>
      </c>
      <c r="M28" s="428" t="str">
        <v>—</v>
      </c>
      <c r="N28" s="426" t="str">
        <v>—</v>
      </c>
      <c r="O28" s="427">
        <v>0</v>
      </c>
      <c r="P28" s="427" t="str">
        <v>—</v>
      </c>
      <c r="Q28" s="428" t="str">
        <v>—</v>
      </c>
      <c r="R28" s="426" t="str">
        <v>—</v>
      </c>
    </row>
    <row r="29" spans="2:18" x14ac:dyDescent="0.25">
      <c r="B29" s="439" t="str">
        <v>ME-11</v>
      </c>
      <c r="C29" s="420" t="str">
        <v>INACTIVA</v>
      </c>
      <c r="D29" s="442">
        <v>144</v>
      </c>
      <c r="E29" s="421" t="str">
        <v>2D6507</v>
      </c>
      <c r="F29" s="443" t="str">
        <v>EMPAQUE</v>
      </c>
      <c r="G29" s="423">
        <v>2</v>
      </c>
      <c r="H29" s="424">
        <v>295.17</v>
      </c>
      <c r="I29" s="425">
        <v>590.34</v>
      </c>
      <c r="J29" s="426" t="str">
        <v>5-7</v>
      </c>
      <c r="K29" s="427">
        <v>0</v>
      </c>
      <c r="L29" s="427" t="str">
        <v>—</v>
      </c>
      <c r="M29" s="428" t="str">
        <v>—</v>
      </c>
      <c r="N29" s="426" t="str">
        <v>—</v>
      </c>
      <c r="O29" s="427">
        <v>0</v>
      </c>
      <c r="P29" s="427" t="str">
        <v>—</v>
      </c>
      <c r="Q29" s="428" t="str">
        <v>—</v>
      </c>
      <c r="R29" s="426" t="str">
        <v>—</v>
      </c>
    </row>
    <row r="30" spans="2:18" x14ac:dyDescent="0.25">
      <c r="B30" s="439" t="str">
        <v>ME-11</v>
      </c>
      <c r="C30" s="420" t="str">
        <v>INACTIVA</v>
      </c>
      <c r="D30" s="442">
        <v>144</v>
      </c>
      <c r="E30" s="421" t="str">
        <v>2K2939</v>
      </c>
      <c r="F30" s="443" t="str">
        <v>JUNTA</v>
      </c>
      <c r="G30" s="423">
        <v>1</v>
      </c>
      <c r="H30" s="424">
        <v>173.09</v>
      </c>
      <c r="I30" s="425">
        <v>173.09</v>
      </c>
      <c r="J30" s="426" t="str">
        <v>5-7</v>
      </c>
      <c r="K30" s="427">
        <v>0</v>
      </c>
      <c r="L30" s="427" t="str">
        <v>—</v>
      </c>
      <c r="M30" s="428" t="str">
        <v>—</v>
      </c>
      <c r="N30" s="426" t="str">
        <v>—</v>
      </c>
      <c r="O30" s="427">
        <v>0</v>
      </c>
      <c r="P30" s="427" t="str">
        <v>—</v>
      </c>
      <c r="Q30" s="428" t="str">
        <v>—</v>
      </c>
      <c r="R30" s="426" t="str">
        <v>—</v>
      </c>
    </row>
    <row r="31" spans="2:18" x14ac:dyDescent="0.25">
      <c r="B31" s="439" t="str">
        <v>ME-11</v>
      </c>
      <c r="C31" s="420" t="str">
        <v>INACTIVA</v>
      </c>
      <c r="D31" s="442">
        <v>144</v>
      </c>
      <c r="E31" s="421" t="str">
        <v>3D2824</v>
      </c>
      <c r="F31" s="443" t="str">
        <v>JUNTA</v>
      </c>
      <c r="G31" s="423">
        <v>1</v>
      </c>
      <c r="H31" s="424">
        <v>48.33</v>
      </c>
      <c r="I31" s="425">
        <v>48.33</v>
      </c>
      <c r="J31" s="426" t="str">
        <v>5-7</v>
      </c>
      <c r="K31" s="427">
        <v>0</v>
      </c>
      <c r="L31" s="427" t="str">
        <v>—</v>
      </c>
      <c r="M31" s="428" t="str">
        <v>—</v>
      </c>
      <c r="N31" s="426" t="str">
        <v>—</v>
      </c>
      <c r="O31" s="427">
        <v>0</v>
      </c>
      <c r="P31" s="427" t="str">
        <v>—</v>
      </c>
      <c r="Q31" s="428" t="str">
        <v>—</v>
      </c>
      <c r="R31" s="426" t="str">
        <v>—</v>
      </c>
    </row>
    <row r="32" spans="2:18" x14ac:dyDescent="0.25">
      <c r="B32" s="439" t="str">
        <v>ME-11</v>
      </c>
      <c r="C32" s="420" t="str">
        <v>INACTIVA</v>
      </c>
      <c r="D32" s="442">
        <v>144</v>
      </c>
      <c r="E32" s="421" t="str">
        <v>3J1907</v>
      </c>
      <c r="F32" s="443" t="str">
        <v>SELLOS</v>
      </c>
      <c r="G32" s="423">
        <v>2</v>
      </c>
      <c r="H32" s="424">
        <v>31.5</v>
      </c>
      <c r="I32" s="425">
        <v>63</v>
      </c>
      <c r="J32" s="426" t="str">
        <v>5-7</v>
      </c>
      <c r="K32" s="427">
        <v>0</v>
      </c>
      <c r="L32" s="427" t="str">
        <v>—</v>
      </c>
      <c r="M32" s="428" t="str">
        <v>—</v>
      </c>
      <c r="N32" s="426" t="str">
        <v>—</v>
      </c>
      <c r="O32" s="427">
        <v>0</v>
      </c>
      <c r="P32" s="427" t="str">
        <v>—</v>
      </c>
      <c r="Q32" s="428" t="str">
        <v>—</v>
      </c>
      <c r="R32" s="426" t="str">
        <v>—</v>
      </c>
    </row>
    <row r="33" spans="2:18" x14ac:dyDescent="0.25">
      <c r="B33" s="439" t="str">
        <v>ME-11</v>
      </c>
      <c r="C33" s="420" t="str">
        <v>INACTIVA</v>
      </c>
      <c r="D33" s="442">
        <v>144</v>
      </c>
      <c r="E33" s="421" t="str">
        <v>4F7390</v>
      </c>
      <c r="F33" s="443" t="str">
        <v>JUNTA</v>
      </c>
      <c r="G33" s="423">
        <v>1</v>
      </c>
      <c r="H33" s="424">
        <v>122.61</v>
      </c>
      <c r="I33" s="425">
        <v>122.61</v>
      </c>
      <c r="J33" s="426" t="str">
        <v>5-7</v>
      </c>
      <c r="K33" s="427">
        <v>0</v>
      </c>
      <c r="L33" s="427" t="str">
        <v>—</v>
      </c>
      <c r="M33" s="428" t="str">
        <v>—</v>
      </c>
      <c r="N33" s="426" t="str">
        <v>—</v>
      </c>
      <c r="O33" s="427">
        <v>0</v>
      </c>
      <c r="P33" s="427" t="str">
        <v>—</v>
      </c>
      <c r="Q33" s="428" t="str">
        <v>—</v>
      </c>
      <c r="R33" s="426" t="str">
        <v>—</v>
      </c>
    </row>
    <row r="34" spans="2:18" x14ac:dyDescent="0.25">
      <c r="B34" s="439" t="str">
        <v>ME-11</v>
      </c>
      <c r="C34" s="420" t="str">
        <v>INACTIVA</v>
      </c>
      <c r="D34" s="442">
        <v>144</v>
      </c>
      <c r="E34" s="421" t="str">
        <v>4F9029</v>
      </c>
      <c r="F34" s="443" t="str">
        <v>JUNTA CAUC</v>
      </c>
      <c r="G34" s="423">
        <v>1</v>
      </c>
      <c r="H34" s="424">
        <v>55.85</v>
      </c>
      <c r="I34" s="425">
        <v>55.85</v>
      </c>
      <c r="J34" s="426" t="str">
        <v>5-7</v>
      </c>
      <c r="K34" s="427">
        <v>0</v>
      </c>
      <c r="L34" s="427" t="str">
        <v>—</v>
      </c>
      <c r="M34" s="428" t="str">
        <v>—</v>
      </c>
      <c r="N34" s="426" t="str">
        <v>—</v>
      </c>
      <c r="O34" s="427">
        <v>0</v>
      </c>
      <c r="P34" s="427" t="str">
        <v>—</v>
      </c>
      <c r="Q34" s="428" t="str">
        <v>—</v>
      </c>
      <c r="R34" s="426" t="str">
        <v>—</v>
      </c>
    </row>
    <row r="35" spans="2:18" x14ac:dyDescent="0.25">
      <c r="B35" s="439" t="str">
        <v>ME-11</v>
      </c>
      <c r="C35" s="420" t="str">
        <v>INACTIVA</v>
      </c>
      <c r="D35" s="442">
        <v>144</v>
      </c>
      <c r="E35" s="421" t="str">
        <v>5D7523</v>
      </c>
      <c r="F35" s="443" t="str">
        <v>EMPAQUE</v>
      </c>
      <c r="G35" s="423">
        <v>1</v>
      </c>
      <c r="H35" s="424">
        <v>475.42</v>
      </c>
      <c r="I35" s="425">
        <v>475.42</v>
      </c>
      <c r="J35" s="426" t="str">
        <v>5-7</v>
      </c>
      <c r="K35" s="427">
        <v>0</v>
      </c>
      <c r="L35" s="427" t="str">
        <v>—</v>
      </c>
      <c r="M35" s="428" t="str">
        <v>—</v>
      </c>
      <c r="N35" s="426" t="str">
        <v>—</v>
      </c>
      <c r="O35" s="427">
        <v>0</v>
      </c>
      <c r="P35" s="427" t="str">
        <v>—</v>
      </c>
      <c r="Q35" s="428" t="str">
        <v>—</v>
      </c>
      <c r="R35" s="426" t="str">
        <v>—</v>
      </c>
    </row>
    <row r="36" spans="2:18" x14ac:dyDescent="0.25">
      <c r="B36" s="439" t="str">
        <v>ME-11</v>
      </c>
      <c r="C36" s="420" t="str">
        <v>INACTIVA</v>
      </c>
      <c r="D36" s="442">
        <v>144</v>
      </c>
      <c r="E36" s="421" t="str">
        <v>5H7153</v>
      </c>
      <c r="F36" s="443" t="str">
        <v>JUNTA</v>
      </c>
      <c r="G36" s="423">
        <v>1</v>
      </c>
      <c r="H36" s="424">
        <v>153.4</v>
      </c>
      <c r="I36" s="425">
        <v>153.4</v>
      </c>
      <c r="J36" s="426" t="str">
        <v>5-7</v>
      </c>
      <c r="K36" s="427">
        <v>0</v>
      </c>
      <c r="L36" s="427" t="str">
        <v>—</v>
      </c>
      <c r="M36" s="428" t="str">
        <v>—</v>
      </c>
      <c r="N36" s="426" t="str">
        <v>—</v>
      </c>
      <c r="O36" s="427">
        <v>0</v>
      </c>
      <c r="P36" s="427" t="str">
        <v>—</v>
      </c>
      <c r="Q36" s="428" t="str">
        <v>—</v>
      </c>
      <c r="R36" s="426" t="str">
        <v>—</v>
      </c>
    </row>
    <row r="37" spans="2:18" x14ac:dyDescent="0.25">
      <c r="B37" s="439" t="str">
        <v>ME-11</v>
      </c>
      <c r="C37" s="420" t="str">
        <v>INACTIVA</v>
      </c>
      <c r="D37" s="442">
        <v>144</v>
      </c>
      <c r="E37" s="421" t="str">
        <v>7G1594</v>
      </c>
      <c r="F37" s="443" t="str">
        <v>EMPAQUE</v>
      </c>
      <c r="G37" s="423">
        <v>1</v>
      </c>
      <c r="H37" s="424">
        <v>198.33</v>
      </c>
      <c r="I37" s="425">
        <v>198.33</v>
      </c>
      <c r="J37" s="426" t="str">
        <v>5-7</v>
      </c>
      <c r="K37" s="427">
        <v>0</v>
      </c>
      <c r="L37" s="427" t="str">
        <v>—</v>
      </c>
      <c r="M37" s="428" t="str">
        <v>—</v>
      </c>
      <c r="N37" s="426" t="str">
        <v>—</v>
      </c>
      <c r="O37" s="427">
        <v>0</v>
      </c>
      <c r="P37" s="427" t="str">
        <v>—</v>
      </c>
      <c r="Q37" s="428" t="str">
        <v>—</v>
      </c>
      <c r="R37" s="426" t="str">
        <v>—</v>
      </c>
    </row>
    <row r="38" spans="2:18" x14ac:dyDescent="0.25">
      <c r="B38" s="439" t="str">
        <v>ME-11</v>
      </c>
      <c r="C38" s="420" t="str">
        <v>INACTIVA</v>
      </c>
      <c r="D38" s="442">
        <v>144</v>
      </c>
      <c r="E38" s="421" t="str">
        <v>7G6373</v>
      </c>
      <c r="F38" s="443" t="str">
        <v>EMPAQUE</v>
      </c>
      <c r="G38" s="423">
        <v>1</v>
      </c>
      <c r="H38" s="424">
        <v>608.05999999999995</v>
      </c>
      <c r="I38" s="425">
        <v>608.05999999999995</v>
      </c>
      <c r="J38" s="426" t="str">
        <v>5-7</v>
      </c>
      <c r="K38" s="427">
        <v>0</v>
      </c>
      <c r="L38" s="427" t="str">
        <v>—</v>
      </c>
      <c r="M38" s="428" t="str">
        <v>—</v>
      </c>
      <c r="N38" s="426" t="str">
        <v>—</v>
      </c>
      <c r="O38" s="427">
        <v>0</v>
      </c>
      <c r="P38" s="427" t="str">
        <v>—</v>
      </c>
      <c r="Q38" s="428" t="str">
        <v>—</v>
      </c>
      <c r="R38" s="426" t="str">
        <v>—</v>
      </c>
    </row>
    <row r="39" spans="2:18" x14ac:dyDescent="0.25">
      <c r="B39" s="439" t="str">
        <v>ME-11</v>
      </c>
      <c r="C39" s="420" t="str">
        <v>INACTIVA</v>
      </c>
      <c r="D39" s="442">
        <v>144</v>
      </c>
      <c r="E39" s="421" t="str">
        <v>7M8485</v>
      </c>
      <c r="F39" s="443" t="str">
        <v>SELLO</v>
      </c>
      <c r="G39" s="423">
        <v>1</v>
      </c>
      <c r="H39" s="424">
        <v>52.63</v>
      </c>
      <c r="I39" s="425">
        <v>52.63</v>
      </c>
      <c r="J39" s="426" t="str">
        <v>5-7</v>
      </c>
      <c r="K39" s="427">
        <v>0</v>
      </c>
      <c r="L39" s="427" t="str">
        <v>—</v>
      </c>
      <c r="M39" s="428" t="str">
        <v>—</v>
      </c>
      <c r="N39" s="426" t="str">
        <v>—</v>
      </c>
      <c r="O39" s="427">
        <v>0</v>
      </c>
      <c r="P39" s="427" t="str">
        <v>—</v>
      </c>
      <c r="Q39" s="428" t="str">
        <v>—</v>
      </c>
      <c r="R39" s="426" t="str">
        <v>—</v>
      </c>
    </row>
    <row r="40" spans="2:18" x14ac:dyDescent="0.25">
      <c r="B40" s="439" t="str">
        <v>ME-11</v>
      </c>
      <c r="C40" s="420" t="str">
        <v>INACTIVA</v>
      </c>
      <c r="D40" s="442">
        <v>144</v>
      </c>
      <c r="E40" s="421" t="str">
        <v>8M4390</v>
      </c>
      <c r="F40" s="443" t="str">
        <v>JUNTA</v>
      </c>
      <c r="G40" s="423">
        <v>2</v>
      </c>
      <c r="H40" s="424">
        <v>178.82</v>
      </c>
      <c r="I40" s="425">
        <v>357.64</v>
      </c>
      <c r="J40" s="426" t="str">
        <v>5-7</v>
      </c>
      <c r="K40" s="427">
        <v>0</v>
      </c>
      <c r="L40" s="427" t="str">
        <v>—</v>
      </c>
      <c r="M40" s="428" t="str">
        <v>—</v>
      </c>
      <c r="N40" s="426" t="str">
        <v>—</v>
      </c>
      <c r="O40" s="427">
        <v>0</v>
      </c>
      <c r="P40" s="427" t="str">
        <v>—</v>
      </c>
      <c r="Q40" s="428" t="str">
        <v>—</v>
      </c>
      <c r="R40" s="426" t="str">
        <v>—</v>
      </c>
    </row>
    <row r="41" spans="2:18" x14ac:dyDescent="0.25">
      <c r="B41" s="439" t="str">
        <v>ME-11</v>
      </c>
      <c r="C41" s="420" t="str">
        <v>INACTIVA</v>
      </c>
      <c r="D41" s="442">
        <v>144</v>
      </c>
      <c r="E41" s="421" t="str">
        <v>8M4992</v>
      </c>
      <c r="F41" s="443" t="str">
        <v>SELLO</v>
      </c>
      <c r="G41" s="423">
        <v>2</v>
      </c>
      <c r="H41" s="424">
        <v>137.83000000000001</v>
      </c>
      <c r="I41" s="425">
        <v>275.66000000000003</v>
      </c>
      <c r="J41" s="426" t="str">
        <v>5-7</v>
      </c>
      <c r="K41" s="427">
        <v>0</v>
      </c>
      <c r="L41" s="427" t="str">
        <v>—</v>
      </c>
      <c r="M41" s="428" t="str">
        <v>—</v>
      </c>
      <c r="N41" s="426" t="str">
        <v>—</v>
      </c>
      <c r="O41" s="427">
        <v>0</v>
      </c>
      <c r="P41" s="427" t="str">
        <v>—</v>
      </c>
      <c r="Q41" s="428" t="str">
        <v>—</v>
      </c>
      <c r="R41" s="426" t="str">
        <v>—</v>
      </c>
    </row>
    <row r="42" spans="2:18" x14ac:dyDescent="0.25">
      <c r="B42" s="439" t="str">
        <v>ME-11</v>
      </c>
      <c r="C42" s="420" t="str">
        <v>INACTIVA</v>
      </c>
      <c r="D42" s="442">
        <v>144</v>
      </c>
      <c r="E42" s="421" t="str">
        <v>9H3360</v>
      </c>
      <c r="F42" s="443" t="str">
        <v>SELLO</v>
      </c>
      <c r="G42" s="423">
        <v>1</v>
      </c>
      <c r="H42" s="424">
        <v>427.81</v>
      </c>
      <c r="I42" s="425">
        <v>427.81</v>
      </c>
      <c r="J42" s="426" t="str">
        <v>5-7</v>
      </c>
      <c r="K42" s="427">
        <v>0</v>
      </c>
      <c r="L42" s="427" t="str">
        <v>—</v>
      </c>
      <c r="M42" s="428" t="str">
        <v>—</v>
      </c>
      <c r="N42" s="426" t="str">
        <v>—</v>
      </c>
      <c r="O42" s="427">
        <v>0</v>
      </c>
      <c r="P42" s="427" t="str">
        <v>—</v>
      </c>
      <c r="Q42" s="428" t="str">
        <v>—</v>
      </c>
      <c r="R42" s="426" t="str">
        <v>—</v>
      </c>
    </row>
    <row r="43" spans="2:18" x14ac:dyDescent="0.25">
      <c r="B43" s="439" t="str">
        <v>ME-11</v>
      </c>
      <c r="C43" s="420" t="str">
        <v>INACTIVA</v>
      </c>
      <c r="D43" s="442">
        <v>144</v>
      </c>
      <c r="E43" s="421" t="str">
        <v>9M4849</v>
      </c>
      <c r="F43" s="443" t="str">
        <v>JUNTA</v>
      </c>
      <c r="G43" s="423">
        <v>1</v>
      </c>
      <c r="H43" s="424">
        <v>123.69</v>
      </c>
      <c r="I43" s="425">
        <v>123.69</v>
      </c>
      <c r="J43" s="426" t="str">
        <v>5-7</v>
      </c>
      <c r="K43" s="427">
        <v>0</v>
      </c>
      <c r="L43" s="427" t="str">
        <v>—</v>
      </c>
      <c r="M43" s="428" t="str">
        <v>—</v>
      </c>
      <c r="N43" s="426" t="str">
        <v>—</v>
      </c>
      <c r="O43" s="427">
        <v>0</v>
      </c>
      <c r="P43" s="427" t="str">
        <v>—</v>
      </c>
      <c r="Q43" s="428" t="str">
        <v>—</v>
      </c>
      <c r="R43" s="426" t="str">
        <v>—</v>
      </c>
    </row>
    <row r="44" spans="2:18" x14ac:dyDescent="0.25">
      <c r="B44" s="439" t="str">
        <v>ME-11</v>
      </c>
      <c r="C44" s="420" t="str">
        <v>INACTIVA</v>
      </c>
      <c r="D44" s="442">
        <v>144</v>
      </c>
      <c r="E44" s="421" t="str">
        <v>159799</v>
      </c>
      <c r="F44" s="443" t="str">
        <v>SELLO</v>
      </c>
      <c r="G44" s="423">
        <v>4</v>
      </c>
      <c r="H44" s="424">
        <v>125.84</v>
      </c>
      <c r="I44" s="425">
        <v>503.36</v>
      </c>
      <c r="J44" s="426" t="str">
        <v>5-7</v>
      </c>
      <c r="K44" s="427">
        <v>0</v>
      </c>
      <c r="L44" s="427" t="str">
        <v>—</v>
      </c>
      <c r="M44" s="428" t="str">
        <v>—</v>
      </c>
      <c r="N44" s="426" t="str">
        <v>—</v>
      </c>
      <c r="O44" s="427">
        <v>0</v>
      </c>
      <c r="P44" s="427" t="str">
        <v>—</v>
      </c>
      <c r="Q44" s="428" t="str">
        <v>—</v>
      </c>
      <c r="R44" s="426" t="str">
        <v>—</v>
      </c>
    </row>
    <row r="45" spans="2:18" x14ac:dyDescent="0.25">
      <c r="B45" s="439" t="str">
        <v>ME-11</v>
      </c>
      <c r="C45" s="420" t="str">
        <v>INACTIVA</v>
      </c>
      <c r="D45" s="442">
        <v>144</v>
      </c>
      <c r="E45" s="421" t="str">
        <v>2D6507</v>
      </c>
      <c r="F45" s="443" t="str">
        <v>EMPAQUE</v>
      </c>
      <c r="G45" s="423">
        <v>2</v>
      </c>
      <c r="H45" s="424">
        <v>295.17</v>
      </c>
      <c r="I45" s="425">
        <v>590.34</v>
      </c>
      <c r="J45" s="426" t="str">
        <v>5-7</v>
      </c>
      <c r="K45" s="427">
        <v>0</v>
      </c>
      <c r="L45" s="427" t="str">
        <v>—</v>
      </c>
      <c r="M45" s="428" t="str">
        <v>—</v>
      </c>
      <c r="N45" s="426" t="str">
        <v>—</v>
      </c>
      <c r="O45" s="427">
        <v>0</v>
      </c>
      <c r="P45" s="427" t="str">
        <v>—</v>
      </c>
      <c r="Q45" s="428" t="str">
        <v>—</v>
      </c>
      <c r="R45" s="426" t="str">
        <v>—</v>
      </c>
    </row>
    <row r="46" spans="2:18" x14ac:dyDescent="0.25">
      <c r="B46" s="439" t="str">
        <v>ME-11</v>
      </c>
      <c r="C46" s="420" t="str">
        <v>INACTIVA</v>
      </c>
      <c r="D46" s="442">
        <v>144</v>
      </c>
      <c r="E46" s="421" t="str">
        <v>2K2939</v>
      </c>
      <c r="F46" s="443" t="str">
        <v>JUNTA</v>
      </c>
      <c r="G46" s="423">
        <v>1</v>
      </c>
      <c r="H46" s="424">
        <v>173.09</v>
      </c>
      <c r="I46" s="425">
        <v>173.09</v>
      </c>
      <c r="J46" s="426" t="str">
        <v>5-7</v>
      </c>
      <c r="K46" s="427">
        <v>0</v>
      </c>
      <c r="L46" s="427" t="str">
        <v>—</v>
      </c>
      <c r="M46" s="428" t="str">
        <v>—</v>
      </c>
      <c r="N46" s="426" t="str">
        <v>—</v>
      </c>
      <c r="O46" s="427">
        <v>0</v>
      </c>
      <c r="P46" s="427" t="str">
        <v>—</v>
      </c>
      <c r="Q46" s="428" t="str">
        <v>—</v>
      </c>
      <c r="R46" s="426" t="str">
        <v>—</v>
      </c>
    </row>
    <row r="47" spans="2:18" x14ac:dyDescent="0.25">
      <c r="B47" s="439" t="str">
        <v>ME-11</v>
      </c>
      <c r="C47" s="420" t="str">
        <v>INACTIVA</v>
      </c>
      <c r="D47" s="442">
        <v>144</v>
      </c>
      <c r="E47" s="421" t="str">
        <v>3D2824</v>
      </c>
      <c r="F47" s="443" t="str">
        <v>JUNTA</v>
      </c>
      <c r="G47" s="423">
        <v>2</v>
      </c>
      <c r="H47" s="424">
        <v>48.33</v>
      </c>
      <c r="I47" s="425">
        <v>96.66</v>
      </c>
      <c r="J47" s="426" t="str">
        <v>5-7</v>
      </c>
      <c r="K47" s="427">
        <v>0</v>
      </c>
      <c r="L47" s="427" t="str">
        <v>—</v>
      </c>
      <c r="M47" s="428" t="str">
        <v>—</v>
      </c>
      <c r="N47" s="426" t="str">
        <v>—</v>
      </c>
      <c r="O47" s="427">
        <v>0</v>
      </c>
      <c r="P47" s="427" t="str">
        <v>—</v>
      </c>
      <c r="Q47" s="428" t="str">
        <v>—</v>
      </c>
      <c r="R47" s="426" t="str">
        <v>—</v>
      </c>
    </row>
    <row r="48" spans="2:18" x14ac:dyDescent="0.25">
      <c r="B48" s="439" t="str">
        <v>ME-11</v>
      </c>
      <c r="C48" s="420" t="str">
        <v>INACTIVA</v>
      </c>
      <c r="D48" s="442">
        <v>144</v>
      </c>
      <c r="E48" s="421" t="str">
        <v>3J1907</v>
      </c>
      <c r="F48" s="443" t="str">
        <v>SELLOS</v>
      </c>
      <c r="G48" s="423">
        <v>2</v>
      </c>
      <c r="H48" s="424">
        <v>31.5</v>
      </c>
      <c r="I48" s="425">
        <v>63</v>
      </c>
      <c r="J48" s="426" t="str">
        <v>5-7</v>
      </c>
      <c r="K48" s="427">
        <v>0</v>
      </c>
      <c r="L48" s="427" t="str">
        <v>—</v>
      </c>
      <c r="M48" s="428" t="str">
        <v>—</v>
      </c>
      <c r="N48" s="426" t="str">
        <v>—</v>
      </c>
      <c r="O48" s="427">
        <v>0</v>
      </c>
      <c r="P48" s="427" t="str">
        <v>—</v>
      </c>
      <c r="Q48" s="428" t="str">
        <v>—</v>
      </c>
      <c r="R48" s="426" t="str">
        <v>—</v>
      </c>
    </row>
    <row r="49" spans="2:18" x14ac:dyDescent="0.25">
      <c r="B49" s="439" t="str">
        <v>ME-11</v>
      </c>
      <c r="C49" s="420" t="str">
        <v>INACTIVA</v>
      </c>
      <c r="D49" s="442">
        <v>144</v>
      </c>
      <c r="E49" s="421" t="str">
        <v>4F7390</v>
      </c>
      <c r="F49" s="443" t="str">
        <v>JUNTA</v>
      </c>
      <c r="G49" s="423">
        <v>1</v>
      </c>
      <c r="H49" s="424">
        <v>122.61</v>
      </c>
      <c r="I49" s="425">
        <v>122.61</v>
      </c>
      <c r="J49" s="426" t="str">
        <v>5-7</v>
      </c>
      <c r="K49" s="427">
        <v>0</v>
      </c>
      <c r="L49" s="427" t="str">
        <v>—</v>
      </c>
      <c r="M49" s="428" t="str">
        <v>—</v>
      </c>
      <c r="N49" s="426" t="str">
        <v>—</v>
      </c>
      <c r="O49" s="427">
        <v>0</v>
      </c>
      <c r="P49" s="427" t="str">
        <v>—</v>
      </c>
      <c r="Q49" s="428" t="str">
        <v>—</v>
      </c>
      <c r="R49" s="426" t="str">
        <v>—</v>
      </c>
    </row>
    <row r="50" spans="2:18" x14ac:dyDescent="0.25">
      <c r="B50" s="439" t="str">
        <v>ME-11</v>
      </c>
      <c r="C50" s="420" t="str">
        <v>INACTIVA</v>
      </c>
      <c r="D50" s="442">
        <v>144</v>
      </c>
      <c r="E50" s="421" t="str">
        <v>4F9029</v>
      </c>
      <c r="F50" s="443" t="str">
        <v>JUNTA CAUC</v>
      </c>
      <c r="G50" s="423">
        <v>1</v>
      </c>
      <c r="H50" s="424">
        <v>55.85</v>
      </c>
      <c r="I50" s="425">
        <v>55.85</v>
      </c>
      <c r="J50" s="426" t="str">
        <v>5-7</v>
      </c>
      <c r="K50" s="427">
        <v>0</v>
      </c>
      <c r="L50" s="427" t="str">
        <v>—</v>
      </c>
      <c r="M50" s="428" t="str">
        <v>—</v>
      </c>
      <c r="N50" s="426" t="str">
        <v>—</v>
      </c>
      <c r="O50" s="427">
        <v>0</v>
      </c>
      <c r="P50" s="427" t="str">
        <v>—</v>
      </c>
      <c r="Q50" s="428" t="str">
        <v>—</v>
      </c>
      <c r="R50" s="426" t="str">
        <v>—</v>
      </c>
    </row>
    <row r="51" spans="2:18" x14ac:dyDescent="0.25">
      <c r="B51" s="439" t="str">
        <v>ME-11</v>
      </c>
      <c r="C51" s="420" t="str">
        <v>INACTIVA</v>
      </c>
      <c r="D51" s="442">
        <v>144</v>
      </c>
      <c r="E51" s="421" t="str">
        <v>5D7523</v>
      </c>
      <c r="F51" s="443" t="str">
        <v>EMPAQUE</v>
      </c>
      <c r="G51" s="423">
        <v>1</v>
      </c>
      <c r="H51" s="424">
        <v>475.42</v>
      </c>
      <c r="I51" s="425">
        <v>475.42</v>
      </c>
      <c r="J51" s="426" t="str">
        <v>5-7</v>
      </c>
      <c r="K51" s="427">
        <v>0</v>
      </c>
      <c r="L51" s="427" t="str">
        <v>—</v>
      </c>
      <c r="M51" s="428" t="str">
        <v>—</v>
      </c>
      <c r="N51" s="426" t="str">
        <v>—</v>
      </c>
      <c r="O51" s="427">
        <v>0</v>
      </c>
      <c r="P51" s="427" t="str">
        <v>—</v>
      </c>
      <c r="Q51" s="428" t="str">
        <v>—</v>
      </c>
      <c r="R51" s="426" t="str">
        <v>—</v>
      </c>
    </row>
    <row r="52" spans="2:18" x14ac:dyDescent="0.25">
      <c r="B52" s="439" t="str">
        <v>ME-11</v>
      </c>
      <c r="C52" s="420" t="str">
        <v>INACTIVA</v>
      </c>
      <c r="D52" s="442">
        <v>144</v>
      </c>
      <c r="E52" s="421" t="str">
        <v>5H7153</v>
      </c>
      <c r="F52" s="443" t="str">
        <v>JUNTA</v>
      </c>
      <c r="G52" s="423">
        <v>1</v>
      </c>
      <c r="H52" s="424">
        <v>153.4</v>
      </c>
      <c r="I52" s="425">
        <v>153.4</v>
      </c>
      <c r="J52" s="426" t="str">
        <v>5-7</v>
      </c>
      <c r="K52" s="427">
        <v>0</v>
      </c>
      <c r="L52" s="427" t="str">
        <v>—</v>
      </c>
      <c r="M52" s="428" t="str">
        <v>—</v>
      </c>
      <c r="N52" s="426" t="str">
        <v>—</v>
      </c>
      <c r="O52" s="427">
        <v>0</v>
      </c>
      <c r="P52" s="427" t="str">
        <v>—</v>
      </c>
      <c r="Q52" s="428" t="str">
        <v>—</v>
      </c>
      <c r="R52" s="426" t="str">
        <v>—</v>
      </c>
    </row>
    <row r="53" spans="2:18" x14ac:dyDescent="0.25">
      <c r="B53" s="439" t="str">
        <v>ME-11</v>
      </c>
      <c r="C53" s="420" t="str">
        <v>INACTIVA</v>
      </c>
      <c r="D53" s="442">
        <v>144</v>
      </c>
      <c r="E53" s="421" t="str">
        <v>7G1594</v>
      </c>
      <c r="F53" s="443" t="str">
        <v>EMPAQUE</v>
      </c>
      <c r="G53" s="423">
        <v>1</v>
      </c>
      <c r="H53" s="424">
        <v>198.33</v>
      </c>
      <c r="I53" s="425">
        <v>198.33</v>
      </c>
      <c r="J53" s="426" t="str">
        <v>5-7</v>
      </c>
      <c r="K53" s="427">
        <v>0</v>
      </c>
      <c r="L53" s="427" t="str">
        <v>—</v>
      </c>
      <c r="M53" s="428" t="str">
        <v>—</v>
      </c>
      <c r="N53" s="426" t="str">
        <v>—</v>
      </c>
      <c r="O53" s="427">
        <v>0</v>
      </c>
      <c r="P53" s="427" t="str">
        <v>—</v>
      </c>
      <c r="Q53" s="428" t="str">
        <v>—</v>
      </c>
      <c r="R53" s="426" t="str">
        <v>—</v>
      </c>
    </row>
    <row r="54" spans="2:18" x14ac:dyDescent="0.25">
      <c r="B54" s="439" t="str">
        <v>ME-11</v>
      </c>
      <c r="C54" s="420" t="str">
        <v>INACTIVA</v>
      </c>
      <c r="D54" s="442">
        <v>144</v>
      </c>
      <c r="E54" s="421" t="str">
        <v>7G6373</v>
      </c>
      <c r="F54" s="443" t="str">
        <v>EMPAQUE</v>
      </c>
      <c r="G54" s="423">
        <v>2</v>
      </c>
      <c r="H54" s="424">
        <v>608.05999999999995</v>
      </c>
      <c r="I54" s="425">
        <v>1216.1199999999999</v>
      </c>
      <c r="J54" s="426" t="str">
        <v>5-7</v>
      </c>
      <c r="K54" s="427">
        <v>0</v>
      </c>
      <c r="L54" s="427" t="str">
        <v>—</v>
      </c>
      <c r="M54" s="428" t="str">
        <v>—</v>
      </c>
      <c r="N54" s="426" t="str">
        <v>—</v>
      </c>
      <c r="O54" s="427">
        <v>0</v>
      </c>
      <c r="P54" s="427" t="str">
        <v>—</v>
      </c>
      <c r="Q54" s="428" t="str">
        <v>—</v>
      </c>
      <c r="R54" s="426" t="str">
        <v>—</v>
      </c>
    </row>
    <row r="55" spans="2:18" x14ac:dyDescent="0.25">
      <c r="B55" s="439" t="str">
        <v>ME-11</v>
      </c>
      <c r="C55" s="420" t="str">
        <v>INACTIVA</v>
      </c>
      <c r="D55" s="442">
        <v>144</v>
      </c>
      <c r="E55" s="421" t="str">
        <v>7M8485</v>
      </c>
      <c r="F55" s="443" t="str">
        <v>SELLO</v>
      </c>
      <c r="G55" s="423">
        <v>2</v>
      </c>
      <c r="H55" s="424">
        <v>52.63</v>
      </c>
      <c r="I55" s="425">
        <v>105.26</v>
      </c>
      <c r="J55" s="426" t="str">
        <v>5-7</v>
      </c>
      <c r="K55" s="427">
        <v>0</v>
      </c>
      <c r="L55" s="427" t="str">
        <v>—</v>
      </c>
      <c r="M55" s="428" t="str">
        <v>—</v>
      </c>
      <c r="N55" s="426" t="str">
        <v>—</v>
      </c>
      <c r="O55" s="427">
        <v>0</v>
      </c>
      <c r="P55" s="427" t="str">
        <v>—</v>
      </c>
      <c r="Q55" s="428" t="str">
        <v>—</v>
      </c>
      <c r="R55" s="426" t="str">
        <v>—</v>
      </c>
    </row>
    <row r="56" spans="2:18" x14ac:dyDescent="0.25">
      <c r="B56" s="439" t="str">
        <v>ME-11</v>
      </c>
      <c r="C56" s="420" t="str">
        <v>INACTIVA</v>
      </c>
      <c r="D56" s="442">
        <v>144</v>
      </c>
      <c r="E56" s="421" t="str">
        <v>8M4390</v>
      </c>
      <c r="F56" s="443" t="str">
        <v>JUNTA</v>
      </c>
      <c r="G56" s="423">
        <v>4</v>
      </c>
      <c r="H56" s="424">
        <v>178.82</v>
      </c>
      <c r="I56" s="425">
        <v>715.28</v>
      </c>
      <c r="J56" s="426" t="str">
        <v>5-7</v>
      </c>
      <c r="K56" s="427">
        <v>0</v>
      </c>
      <c r="L56" s="427" t="str">
        <v>—</v>
      </c>
      <c r="M56" s="428" t="str">
        <v>—</v>
      </c>
      <c r="N56" s="426" t="str">
        <v>—</v>
      </c>
      <c r="O56" s="427">
        <v>0</v>
      </c>
      <c r="P56" s="427" t="str">
        <v>—</v>
      </c>
      <c r="Q56" s="428" t="str">
        <v>—</v>
      </c>
      <c r="R56" s="426" t="str">
        <v>—</v>
      </c>
    </row>
    <row r="57" spans="2:18" x14ac:dyDescent="0.25">
      <c r="B57" s="439" t="str">
        <v>ME-11</v>
      </c>
      <c r="C57" s="420" t="str">
        <v>INACTIVA</v>
      </c>
      <c r="D57" s="442">
        <v>144</v>
      </c>
      <c r="E57" s="421" t="str">
        <v>8M4992</v>
      </c>
      <c r="F57" s="443" t="str">
        <v>SELLO</v>
      </c>
      <c r="G57" s="423">
        <v>4</v>
      </c>
      <c r="H57" s="424">
        <v>137.83000000000001</v>
      </c>
      <c r="I57" s="425">
        <v>551.32000000000005</v>
      </c>
      <c r="J57" s="426" t="str">
        <v>5-7</v>
      </c>
      <c r="K57" s="427">
        <v>0</v>
      </c>
      <c r="L57" s="427" t="str">
        <v>—</v>
      </c>
      <c r="M57" s="428" t="str">
        <v>—</v>
      </c>
      <c r="N57" s="426" t="str">
        <v>—</v>
      </c>
      <c r="O57" s="427">
        <v>0</v>
      </c>
      <c r="P57" s="427" t="str">
        <v>—</v>
      </c>
      <c r="Q57" s="428" t="str">
        <v>—</v>
      </c>
      <c r="R57" s="426" t="str">
        <v>—</v>
      </c>
    </row>
    <row r="58" spans="2:18" x14ac:dyDescent="0.25">
      <c r="B58" s="439" t="str">
        <v>ME-11</v>
      </c>
      <c r="C58" s="420" t="str">
        <v>INACTIVA</v>
      </c>
      <c r="D58" s="442">
        <v>144</v>
      </c>
      <c r="E58" s="421" t="str">
        <v>9H3360</v>
      </c>
      <c r="F58" s="443" t="str">
        <v>SELLO</v>
      </c>
      <c r="G58" s="423">
        <v>2</v>
      </c>
      <c r="H58" s="424">
        <v>427.81</v>
      </c>
      <c r="I58" s="425">
        <v>855.62</v>
      </c>
      <c r="J58" s="426" t="str">
        <v>5-7</v>
      </c>
      <c r="K58" s="427">
        <v>0</v>
      </c>
      <c r="L58" s="427" t="str">
        <v>—</v>
      </c>
      <c r="M58" s="428" t="str">
        <v>—</v>
      </c>
      <c r="N58" s="426" t="str">
        <v>—</v>
      </c>
      <c r="O58" s="427">
        <v>0</v>
      </c>
      <c r="P58" s="427" t="str">
        <v>—</v>
      </c>
      <c r="Q58" s="428" t="str">
        <v>—</v>
      </c>
      <c r="R58" s="426" t="str">
        <v>—</v>
      </c>
    </row>
    <row r="59" spans="2:18" x14ac:dyDescent="0.25">
      <c r="B59" s="439" t="str">
        <v>ME-11</v>
      </c>
      <c r="C59" s="420" t="str">
        <v>INACTIVA</v>
      </c>
      <c r="D59" s="442">
        <v>144</v>
      </c>
      <c r="E59" s="421" t="str">
        <v>9M4849</v>
      </c>
      <c r="F59" s="443" t="str">
        <v>JUNTA</v>
      </c>
      <c r="G59" s="423">
        <v>2</v>
      </c>
      <c r="H59" s="424">
        <v>123.69</v>
      </c>
      <c r="I59" s="425">
        <v>247.38</v>
      </c>
      <c r="J59" s="426" t="str">
        <v>5-7</v>
      </c>
      <c r="K59" s="427">
        <v>0</v>
      </c>
      <c r="L59" s="427" t="str">
        <v>—</v>
      </c>
      <c r="M59" s="428" t="str">
        <v>—</v>
      </c>
      <c r="N59" s="426" t="str">
        <v>—</v>
      </c>
      <c r="O59" s="427">
        <v>0</v>
      </c>
      <c r="P59" s="427" t="str">
        <v>—</v>
      </c>
      <c r="Q59" s="428" t="str">
        <v>—</v>
      </c>
      <c r="R59" s="426" t="str">
        <v>—</v>
      </c>
    </row>
    <row r="60" spans="2:18" x14ac:dyDescent="0.25">
      <c r="B60" s="439" t="str">
        <v>ME-11</v>
      </c>
      <c r="C60" s="420" t="str">
        <v>INACTIVA</v>
      </c>
      <c r="D60" s="442">
        <v>144</v>
      </c>
      <c r="E60" s="421" t="str">
        <v>8C5383</v>
      </c>
      <c r="F60" s="443" t="str">
        <v>KIT GASKET</v>
      </c>
      <c r="G60" s="423">
        <v>1</v>
      </c>
      <c r="H60" s="424">
        <v>1428.42</v>
      </c>
      <c r="I60" s="425">
        <v>1428.42</v>
      </c>
      <c r="J60" s="426" t="str">
        <v>5-7</v>
      </c>
      <c r="K60" s="427">
        <v>0</v>
      </c>
      <c r="L60" s="427" t="str">
        <v>—</v>
      </c>
      <c r="M60" s="428" t="str">
        <v>—</v>
      </c>
      <c r="N60" s="426" t="str">
        <v>—</v>
      </c>
      <c r="O60" s="427">
        <v>0</v>
      </c>
      <c r="P60" s="427" t="str">
        <v>—</v>
      </c>
      <c r="Q60" s="428" t="str">
        <v>—</v>
      </c>
      <c r="R60" s="426" t="str">
        <v>—</v>
      </c>
    </row>
    <row r="61" spans="2:18" x14ac:dyDescent="0.25">
      <c r="B61" s="439" t="str">
        <v>ME-11</v>
      </c>
      <c r="C61" s="420" t="str">
        <v>INACTIVA</v>
      </c>
      <c r="D61" s="442">
        <v>144</v>
      </c>
      <c r="E61" s="421" t="str">
        <v>1J9671</v>
      </c>
      <c r="F61" s="443" t="str">
        <v>JUNTA</v>
      </c>
      <c r="G61" s="423">
        <v>2</v>
      </c>
      <c r="H61" s="424">
        <v>29.71</v>
      </c>
      <c r="I61" s="425">
        <v>59.42</v>
      </c>
      <c r="J61" s="426" t="str">
        <v>5-7</v>
      </c>
      <c r="K61" s="427">
        <v>0</v>
      </c>
      <c r="L61" s="427" t="str">
        <v>—</v>
      </c>
      <c r="M61" s="428" t="str">
        <v>—</v>
      </c>
      <c r="N61" s="426" t="str">
        <v>—</v>
      </c>
      <c r="O61" s="427">
        <v>0</v>
      </c>
      <c r="P61" s="427" t="str">
        <v>—</v>
      </c>
      <c r="Q61" s="428" t="str">
        <v>—</v>
      </c>
      <c r="R61" s="426" t="str">
        <v>—</v>
      </c>
    </row>
    <row r="62" spans="2:18" x14ac:dyDescent="0.25">
      <c r="B62" s="439" t="str">
        <v>ME-11</v>
      </c>
      <c r="C62" s="420" t="str">
        <v>INACTIVA</v>
      </c>
      <c r="D62" s="442">
        <v>144</v>
      </c>
      <c r="E62" s="421" t="str">
        <v>1P3704</v>
      </c>
      <c r="F62" s="443" t="str">
        <v>SELLO</v>
      </c>
      <c r="G62" s="423">
        <v>2</v>
      </c>
      <c r="H62" s="424">
        <v>76.430000000000007</v>
      </c>
      <c r="I62" s="425">
        <v>152.86000000000001</v>
      </c>
      <c r="J62" s="426" t="str">
        <v>5-7</v>
      </c>
      <c r="K62" s="427">
        <v>0</v>
      </c>
      <c r="L62" s="427" t="str">
        <v>—</v>
      </c>
      <c r="M62" s="428" t="str">
        <v>—</v>
      </c>
      <c r="N62" s="426" t="str">
        <v>—</v>
      </c>
      <c r="O62" s="427">
        <v>0</v>
      </c>
      <c r="P62" s="427" t="str">
        <v>—</v>
      </c>
      <c r="Q62" s="428" t="str">
        <v>—</v>
      </c>
      <c r="R62" s="426" t="str">
        <v>—</v>
      </c>
    </row>
    <row r="63" spans="2:18" x14ac:dyDescent="0.25">
      <c r="B63" s="439" t="str">
        <v>ME-11</v>
      </c>
      <c r="C63" s="420" t="str">
        <v>INACTIVA</v>
      </c>
      <c r="D63" s="442">
        <v>144</v>
      </c>
      <c r="E63" s="421" t="str">
        <v>1S9799</v>
      </c>
      <c r="F63" s="443" t="str">
        <v>SELLO</v>
      </c>
      <c r="G63" s="423">
        <v>2</v>
      </c>
      <c r="H63" s="424">
        <v>125.84</v>
      </c>
      <c r="I63" s="425">
        <v>251.68</v>
      </c>
      <c r="J63" s="426" t="str">
        <v>5-7</v>
      </c>
      <c r="K63" s="427">
        <v>0</v>
      </c>
      <c r="L63" s="427" t="str">
        <v>—</v>
      </c>
      <c r="M63" s="428" t="str">
        <v>—</v>
      </c>
      <c r="N63" s="426" t="str">
        <v>—</v>
      </c>
      <c r="O63" s="427">
        <v>0</v>
      </c>
      <c r="P63" s="427" t="str">
        <v>—</v>
      </c>
      <c r="Q63" s="428" t="str">
        <v>—</v>
      </c>
      <c r="R63" s="426" t="str">
        <v>—</v>
      </c>
    </row>
    <row r="64" spans="2:18" x14ac:dyDescent="0.25">
      <c r="B64" s="439" t="str">
        <v>ME-11</v>
      </c>
      <c r="C64" s="420" t="str">
        <v>INACTIVA</v>
      </c>
      <c r="D64" s="442">
        <v>144</v>
      </c>
      <c r="E64" s="421" t="str">
        <v>2M9780</v>
      </c>
      <c r="F64" s="443" t="str">
        <v>JUNTA</v>
      </c>
      <c r="G64" s="423">
        <v>2</v>
      </c>
      <c r="H64" s="424">
        <v>38.479999999999997</v>
      </c>
      <c r="I64" s="425">
        <v>76.959999999999994</v>
      </c>
      <c r="J64" s="426" t="str">
        <v>5-7</v>
      </c>
      <c r="K64" s="427">
        <v>0</v>
      </c>
      <c r="L64" s="427" t="str">
        <v>—</v>
      </c>
      <c r="M64" s="428" t="str">
        <v>—</v>
      </c>
      <c r="N64" s="426" t="str">
        <v>—</v>
      </c>
      <c r="O64" s="427">
        <v>0</v>
      </c>
      <c r="P64" s="427" t="str">
        <v>—</v>
      </c>
      <c r="Q64" s="428" t="str">
        <v>—</v>
      </c>
      <c r="R64" s="426" t="str">
        <v>—</v>
      </c>
    </row>
    <row r="65" spans="2:18" x14ac:dyDescent="0.25">
      <c r="B65" s="439" t="str">
        <v>ME-11</v>
      </c>
      <c r="C65" s="438" t="str">
        <v>INACTIVA</v>
      </c>
      <c r="D65" s="442">
        <v>144</v>
      </c>
      <c r="E65" s="421" t="str">
        <v>3308196</v>
      </c>
      <c r="F65" s="443" t="str">
        <v>SEAL-O-RING</v>
      </c>
      <c r="G65" s="423">
        <v>5</v>
      </c>
      <c r="H65" s="424">
        <v>123.69</v>
      </c>
      <c r="I65" s="425">
        <v>618.45000000000005</v>
      </c>
      <c r="J65" s="426" t="str">
        <v>5-7</v>
      </c>
      <c r="K65" s="427">
        <v>0</v>
      </c>
      <c r="L65" s="427" t="str">
        <v>—</v>
      </c>
      <c r="M65" s="428" t="str">
        <v>—</v>
      </c>
      <c r="N65" s="426" t="str">
        <v>—</v>
      </c>
      <c r="O65" s="427">
        <v>0</v>
      </c>
      <c r="P65" s="427" t="str">
        <v>—</v>
      </c>
      <c r="Q65" s="428" t="str">
        <v>—</v>
      </c>
      <c r="R65" s="426" t="str">
        <v>—</v>
      </c>
    </row>
    <row r="66" spans="2:18" x14ac:dyDescent="0.25">
      <c r="B66" s="439" t="str">
        <v>ME-11</v>
      </c>
      <c r="C66" s="438" t="str">
        <v>INACTIVA</v>
      </c>
      <c r="D66" s="442">
        <v>144</v>
      </c>
      <c r="E66" s="421" t="str">
        <v>3464897</v>
      </c>
      <c r="F66" s="443" t="str">
        <v>SEAL-O-RING</v>
      </c>
      <c r="G66" s="423">
        <v>1</v>
      </c>
      <c r="H66" s="424">
        <v>325.95999999999998</v>
      </c>
      <c r="I66" s="425">
        <v>325.95999999999998</v>
      </c>
      <c r="J66" s="426" t="str">
        <v>5-7</v>
      </c>
      <c r="K66" s="427">
        <v>0</v>
      </c>
      <c r="L66" s="427" t="str">
        <v>—</v>
      </c>
      <c r="M66" s="428" t="str">
        <v>—</v>
      </c>
      <c r="N66" s="426" t="str">
        <v>—</v>
      </c>
      <c r="O66" s="427">
        <v>0</v>
      </c>
      <c r="P66" s="427" t="str">
        <v>—</v>
      </c>
      <c r="Q66" s="428" t="str">
        <v>—</v>
      </c>
      <c r="R66" s="426" t="str">
        <v>—</v>
      </c>
    </row>
    <row r="67" spans="2:18" x14ac:dyDescent="0.25">
      <c r="B67" s="439" t="str">
        <v>ME-11</v>
      </c>
      <c r="C67" s="438" t="str">
        <v>INACTIVA</v>
      </c>
      <c r="D67" s="442">
        <v>144</v>
      </c>
      <c r="E67" s="421" t="str">
        <v>3618205</v>
      </c>
      <c r="F67" s="443" t="str">
        <v>SEAL-FUEL SY</v>
      </c>
      <c r="G67" s="423">
        <v>12</v>
      </c>
      <c r="H67" s="424">
        <v>194.04</v>
      </c>
      <c r="I67" s="425">
        <v>2328.48</v>
      </c>
      <c r="J67" s="426" t="str">
        <v>5-7</v>
      </c>
      <c r="K67" s="427">
        <v>0</v>
      </c>
      <c r="L67" s="427" t="str">
        <v>—</v>
      </c>
      <c r="M67" s="428" t="str">
        <v>—</v>
      </c>
      <c r="N67" s="426" t="str">
        <v>—</v>
      </c>
      <c r="O67" s="427">
        <v>0</v>
      </c>
      <c r="P67" s="427" t="str">
        <v>—</v>
      </c>
      <c r="Q67" s="428" t="str">
        <v>—</v>
      </c>
      <c r="R67" s="426" t="str">
        <v>—</v>
      </c>
    </row>
    <row r="68" spans="2:18" x14ac:dyDescent="0.25">
      <c r="B68" s="439" t="str">
        <v>ME-11</v>
      </c>
      <c r="C68" s="438" t="str">
        <v>INACTIVA</v>
      </c>
      <c r="D68" s="442">
        <v>144</v>
      </c>
      <c r="E68" s="421" t="str">
        <v>3J1907</v>
      </c>
      <c r="F68" s="443" t="str">
        <v>SELLOS</v>
      </c>
      <c r="G68" s="423">
        <v>14</v>
      </c>
      <c r="H68" s="424">
        <v>31.5</v>
      </c>
      <c r="I68" s="425">
        <v>441</v>
      </c>
      <c r="J68" s="426" t="str">
        <v>5-7</v>
      </c>
      <c r="K68" s="427">
        <v>0</v>
      </c>
      <c r="L68" s="427" t="str">
        <v>—</v>
      </c>
      <c r="M68" s="428" t="str">
        <v>—</v>
      </c>
      <c r="N68" s="426" t="str">
        <v>—</v>
      </c>
      <c r="O68" s="427">
        <v>0</v>
      </c>
      <c r="P68" s="427" t="str">
        <v>—</v>
      </c>
      <c r="Q68" s="428" t="str">
        <v>—</v>
      </c>
      <c r="R68" s="426" t="str">
        <v>—</v>
      </c>
    </row>
    <row r="69" spans="2:18" x14ac:dyDescent="0.25">
      <c r="B69" s="439" t="str">
        <v>ME-11</v>
      </c>
      <c r="C69" s="438" t="str">
        <v>INACTIVA</v>
      </c>
      <c r="D69" s="442">
        <v>144</v>
      </c>
      <c r="E69" s="421" t="str">
        <v>3K0360</v>
      </c>
      <c r="F69" s="443" t="str">
        <v>JUNTA CAUC</v>
      </c>
      <c r="G69" s="423">
        <v>5</v>
      </c>
      <c r="H69" s="424">
        <v>34.9</v>
      </c>
      <c r="I69" s="425">
        <v>174.5</v>
      </c>
      <c r="J69" s="426" t="str">
        <v>5-7</v>
      </c>
      <c r="K69" s="427">
        <v>0</v>
      </c>
      <c r="L69" s="427" t="str">
        <v>—</v>
      </c>
      <c r="M69" s="428" t="str">
        <v>—</v>
      </c>
      <c r="N69" s="426" t="str">
        <v>—</v>
      </c>
      <c r="O69" s="427">
        <v>0</v>
      </c>
      <c r="P69" s="427" t="str">
        <v>—</v>
      </c>
      <c r="Q69" s="428" t="str">
        <v>—</v>
      </c>
      <c r="R69" s="426" t="str">
        <v>—</v>
      </c>
    </row>
    <row r="70" spans="2:18" x14ac:dyDescent="0.25">
      <c r="B70" s="439" t="str">
        <v>ME-11</v>
      </c>
      <c r="C70" s="438" t="str">
        <v>INACTIVA</v>
      </c>
      <c r="D70" s="442">
        <v>144</v>
      </c>
      <c r="E70" s="421" t="str">
        <v>4511493</v>
      </c>
      <c r="F70" s="443" t="str">
        <v>SEAL-O-RING</v>
      </c>
      <c r="G70" s="423">
        <v>8</v>
      </c>
      <c r="H70" s="424">
        <v>241.29</v>
      </c>
      <c r="I70" s="425">
        <v>1930.32</v>
      </c>
      <c r="J70" s="426" t="str">
        <v>5-7</v>
      </c>
      <c r="K70" s="427">
        <v>0</v>
      </c>
      <c r="L70" s="427" t="str">
        <v>—</v>
      </c>
      <c r="M70" s="428" t="str">
        <v>—</v>
      </c>
      <c r="N70" s="426" t="str">
        <v>—</v>
      </c>
      <c r="O70" s="427">
        <v>0</v>
      </c>
      <c r="P70" s="427" t="str">
        <v>—</v>
      </c>
      <c r="Q70" s="428" t="str">
        <v>—</v>
      </c>
      <c r="R70" s="426" t="str">
        <v>—</v>
      </c>
    </row>
    <row r="71" spans="2:18" x14ac:dyDescent="0.25">
      <c r="B71" s="439" t="str">
        <v>ME-11</v>
      </c>
      <c r="C71" s="438" t="str">
        <v>INACTIVA</v>
      </c>
      <c r="D71" s="442">
        <v>144</v>
      </c>
      <c r="E71" s="421" t="str">
        <v>4J7533</v>
      </c>
      <c r="F71" s="443" t="str">
        <v>JUNTAS</v>
      </c>
      <c r="G71" s="423">
        <v>21</v>
      </c>
      <c r="H71" s="424">
        <v>25.24</v>
      </c>
      <c r="I71" s="425">
        <v>530.04</v>
      </c>
      <c r="J71" s="426" t="str">
        <v>5-7</v>
      </c>
      <c r="K71" s="427">
        <v>0</v>
      </c>
      <c r="L71" s="427" t="str">
        <v>—</v>
      </c>
      <c r="M71" s="428" t="str">
        <v>—</v>
      </c>
      <c r="N71" s="426" t="str">
        <v>—</v>
      </c>
      <c r="O71" s="427">
        <v>0</v>
      </c>
      <c r="P71" s="427" t="str">
        <v>—</v>
      </c>
      <c r="Q71" s="428" t="str">
        <v>—</v>
      </c>
      <c r="R71" s="426" t="str">
        <v>—</v>
      </c>
    </row>
    <row r="72" spans="2:18" x14ac:dyDescent="0.25">
      <c r="B72" s="439" t="str">
        <v>ME-11</v>
      </c>
      <c r="C72" s="438" t="str">
        <v>INACTIVA</v>
      </c>
      <c r="D72" s="442">
        <v>144</v>
      </c>
      <c r="E72" s="421" t="str">
        <v>5H6005</v>
      </c>
      <c r="F72" s="443" t="str">
        <v>SELLO</v>
      </c>
      <c r="G72" s="423">
        <v>2</v>
      </c>
      <c r="H72" s="424">
        <v>31.5</v>
      </c>
      <c r="I72" s="425">
        <v>63</v>
      </c>
      <c r="J72" s="426" t="str">
        <v>5-7</v>
      </c>
      <c r="K72" s="427">
        <v>0</v>
      </c>
      <c r="L72" s="427" t="str">
        <v>—</v>
      </c>
      <c r="M72" s="428" t="str">
        <v>—</v>
      </c>
      <c r="N72" s="426" t="str">
        <v>—</v>
      </c>
      <c r="O72" s="427">
        <v>0</v>
      </c>
      <c r="P72" s="427" t="str">
        <v>—</v>
      </c>
      <c r="Q72" s="428" t="str">
        <v>—</v>
      </c>
      <c r="R72" s="426" t="str">
        <v>—</v>
      </c>
    </row>
    <row r="73" spans="2:18" x14ac:dyDescent="0.25">
      <c r="B73" s="439" t="str">
        <v>ME-11</v>
      </c>
      <c r="C73" s="438" t="str">
        <v>INACTIVA</v>
      </c>
      <c r="D73" s="442">
        <v>144</v>
      </c>
      <c r="E73" s="421" t="str">
        <v>5P6718</v>
      </c>
      <c r="F73" s="443" t="str">
        <v>EMPAQUE HU</v>
      </c>
      <c r="G73" s="423">
        <v>5</v>
      </c>
      <c r="H73" s="424">
        <v>184.55</v>
      </c>
      <c r="I73" s="425">
        <v>922.75</v>
      </c>
      <c r="J73" s="426" t="str">
        <v>5-7</v>
      </c>
      <c r="K73" s="427">
        <v>0</v>
      </c>
      <c r="L73" s="427" t="str">
        <v>—</v>
      </c>
      <c r="M73" s="428" t="str">
        <v>—</v>
      </c>
      <c r="N73" s="426" t="str">
        <v>—</v>
      </c>
      <c r="O73" s="427">
        <v>0</v>
      </c>
      <c r="P73" s="427" t="str">
        <v>—</v>
      </c>
      <c r="Q73" s="428" t="str">
        <v>—</v>
      </c>
      <c r="R73" s="426" t="str">
        <v>—</v>
      </c>
    </row>
    <row r="74" spans="2:18" x14ac:dyDescent="0.25">
      <c r="B74" s="439" t="str">
        <v>ME-11</v>
      </c>
      <c r="C74" s="438" t="str">
        <v>INACTIVA</v>
      </c>
      <c r="D74" s="442">
        <v>144</v>
      </c>
      <c r="E74" s="421" t="str">
        <v>6T5133</v>
      </c>
      <c r="F74" s="443" t="str">
        <v>EMPAQUE</v>
      </c>
      <c r="G74" s="423">
        <v>1</v>
      </c>
      <c r="H74" s="424">
        <v>100.42</v>
      </c>
      <c r="I74" s="425">
        <v>100.42</v>
      </c>
      <c r="J74" s="426" t="str">
        <v>5-7</v>
      </c>
      <c r="K74" s="427">
        <v>0</v>
      </c>
      <c r="L74" s="427" t="str">
        <v>—</v>
      </c>
      <c r="M74" s="428" t="str">
        <v>—</v>
      </c>
      <c r="N74" s="426" t="str">
        <v>—</v>
      </c>
      <c r="O74" s="427">
        <v>0</v>
      </c>
      <c r="P74" s="427" t="str">
        <v>—</v>
      </c>
      <c r="Q74" s="428" t="str">
        <v>—</v>
      </c>
      <c r="R74" s="426" t="str">
        <v>—</v>
      </c>
    </row>
    <row r="75" spans="2:18" x14ac:dyDescent="0.25">
      <c r="B75" s="439" t="str">
        <v>ME-11</v>
      </c>
      <c r="C75" s="438" t="str">
        <v>INACTIVA</v>
      </c>
      <c r="D75" s="442">
        <v>144</v>
      </c>
      <c r="E75" s="421" t="str">
        <v>6V3683</v>
      </c>
      <c r="F75" s="443" t="str">
        <v>JUNTA</v>
      </c>
      <c r="G75" s="423">
        <v>1</v>
      </c>
      <c r="H75" s="424">
        <v>210.33</v>
      </c>
      <c r="I75" s="425">
        <v>210.33</v>
      </c>
      <c r="J75" s="426" t="str">
        <v>5-7</v>
      </c>
      <c r="K75" s="427">
        <v>0</v>
      </c>
      <c r="L75" s="427" t="str">
        <v>—</v>
      </c>
      <c r="M75" s="428" t="str">
        <v>—</v>
      </c>
      <c r="N75" s="426" t="str">
        <v>—</v>
      </c>
      <c r="O75" s="427">
        <v>0</v>
      </c>
      <c r="P75" s="427" t="str">
        <v>—</v>
      </c>
      <c r="Q75" s="428" t="str">
        <v>—</v>
      </c>
      <c r="R75" s="426" t="str">
        <v>—</v>
      </c>
    </row>
    <row r="76" spans="2:18" x14ac:dyDescent="0.25">
      <c r="B76" s="439" t="str">
        <v>ME-11</v>
      </c>
      <c r="C76" s="438" t="str">
        <v>INACTIVA</v>
      </c>
      <c r="D76" s="442">
        <v>144</v>
      </c>
      <c r="E76" s="421" t="str">
        <v>7G6373</v>
      </c>
      <c r="F76" s="443" t="str">
        <v>EMPAQUE</v>
      </c>
      <c r="G76" s="423">
        <v>1</v>
      </c>
      <c r="H76" s="424">
        <v>608.05999999999995</v>
      </c>
      <c r="I76" s="425">
        <v>608.05999999999995</v>
      </c>
      <c r="J76" s="426" t="str">
        <v>5-7</v>
      </c>
      <c r="K76" s="427">
        <v>0</v>
      </c>
      <c r="L76" s="427" t="str">
        <v>—</v>
      </c>
      <c r="M76" s="428" t="str">
        <v>—</v>
      </c>
      <c r="N76" s="426" t="str">
        <v>—</v>
      </c>
      <c r="O76" s="427">
        <v>0</v>
      </c>
      <c r="P76" s="427" t="str">
        <v>—</v>
      </c>
      <c r="Q76" s="428" t="str">
        <v>—</v>
      </c>
      <c r="R76" s="426" t="str">
        <v>—</v>
      </c>
    </row>
    <row r="77" spans="2:18" x14ac:dyDescent="0.25">
      <c r="B77" s="439" t="str">
        <v>ME-11</v>
      </c>
      <c r="C77" s="438" t="str">
        <v>INACTIVA</v>
      </c>
      <c r="D77" s="442">
        <v>144</v>
      </c>
      <c r="E77" s="421" t="str">
        <v>7M8485</v>
      </c>
      <c r="F77" s="443" t="str">
        <v>SELLO</v>
      </c>
      <c r="G77" s="423">
        <v>1</v>
      </c>
      <c r="H77" s="424">
        <v>52.63</v>
      </c>
      <c r="I77" s="425">
        <v>52.63</v>
      </c>
      <c r="J77" s="426" t="str">
        <v>5-7</v>
      </c>
      <c r="K77" s="427">
        <v>0</v>
      </c>
      <c r="L77" s="427" t="str">
        <v>—</v>
      </c>
      <c r="M77" s="428" t="str">
        <v>—</v>
      </c>
      <c r="N77" s="426" t="str">
        <v>—</v>
      </c>
      <c r="O77" s="427">
        <v>0</v>
      </c>
      <c r="P77" s="427" t="str">
        <v>—</v>
      </c>
      <c r="Q77" s="428" t="str">
        <v>—</v>
      </c>
      <c r="R77" s="426" t="str">
        <v>—</v>
      </c>
    </row>
    <row r="78" spans="2:18" x14ac:dyDescent="0.25">
      <c r="B78" s="439" t="str">
        <v>ME-11</v>
      </c>
      <c r="C78" s="438" t="str">
        <v>INACTIVA</v>
      </c>
      <c r="D78" s="442">
        <v>144</v>
      </c>
      <c r="E78" s="421" t="str">
        <v>8M4437</v>
      </c>
      <c r="F78" s="443" t="str">
        <v>JUNTA</v>
      </c>
      <c r="G78" s="423">
        <v>2</v>
      </c>
      <c r="H78" s="424">
        <v>60.14</v>
      </c>
      <c r="I78" s="425">
        <v>120.28</v>
      </c>
      <c r="J78" s="426" t="str">
        <v>5-7</v>
      </c>
      <c r="K78" s="427">
        <v>0</v>
      </c>
      <c r="L78" s="427" t="str">
        <v>—</v>
      </c>
      <c r="M78" s="428" t="str">
        <v>—</v>
      </c>
      <c r="N78" s="426" t="str">
        <v>—</v>
      </c>
      <c r="O78" s="427">
        <v>0</v>
      </c>
      <c r="P78" s="427" t="str">
        <v>—</v>
      </c>
      <c r="Q78" s="428" t="str">
        <v>—</v>
      </c>
      <c r="R78" s="426" t="str">
        <v>—</v>
      </c>
    </row>
    <row r="79" spans="2:18" x14ac:dyDescent="0.25">
      <c r="B79" s="439" t="str">
        <v>ME-11</v>
      </c>
      <c r="C79" s="438" t="str">
        <v>INACTIVA</v>
      </c>
      <c r="D79" s="442">
        <v>144</v>
      </c>
      <c r="E79" s="421" t="str">
        <v>8M4988</v>
      </c>
      <c r="F79" s="443" t="str">
        <v>JUNTA</v>
      </c>
      <c r="G79" s="423">
        <v>1</v>
      </c>
      <c r="H79" s="424">
        <v>97.73</v>
      </c>
      <c r="I79" s="425">
        <v>97.73</v>
      </c>
      <c r="J79" s="426" t="str">
        <v>5-7</v>
      </c>
      <c r="K79" s="427">
        <v>0</v>
      </c>
      <c r="L79" s="427" t="str">
        <v>—</v>
      </c>
      <c r="M79" s="428" t="str">
        <v>—</v>
      </c>
      <c r="N79" s="426" t="str">
        <v>—</v>
      </c>
      <c r="O79" s="427">
        <v>0</v>
      </c>
      <c r="P79" s="427" t="str">
        <v>—</v>
      </c>
      <c r="Q79" s="428" t="str">
        <v>—</v>
      </c>
      <c r="R79" s="426" t="str">
        <v>—</v>
      </c>
    </row>
    <row r="80" spans="2:18" x14ac:dyDescent="0.25">
      <c r="B80" s="439" t="str">
        <v>ME-11</v>
      </c>
      <c r="C80" s="438" t="str">
        <v>INACTIVA</v>
      </c>
      <c r="D80" s="442">
        <v>144</v>
      </c>
      <c r="E80" s="421" t="str">
        <v>8M5127</v>
      </c>
      <c r="F80" s="443" t="str">
        <v>SELLO</v>
      </c>
      <c r="G80" s="423">
        <v>7</v>
      </c>
      <c r="H80" s="424">
        <v>54.77</v>
      </c>
      <c r="I80" s="425">
        <v>383.39000000000004</v>
      </c>
      <c r="J80" s="426" t="str">
        <v>5-7</v>
      </c>
      <c r="K80" s="427">
        <v>0</v>
      </c>
      <c r="L80" s="427" t="str">
        <v>—</v>
      </c>
      <c r="M80" s="428" t="str">
        <v>—</v>
      </c>
      <c r="N80" s="426" t="str">
        <v>—</v>
      </c>
      <c r="O80" s="427">
        <v>0</v>
      </c>
      <c r="P80" s="427" t="str">
        <v>—</v>
      </c>
      <c r="Q80" s="428" t="str">
        <v>—</v>
      </c>
      <c r="R80" s="426" t="str">
        <v>—</v>
      </c>
    </row>
    <row r="81" spans="2:18" x14ac:dyDescent="0.25">
      <c r="B81" s="439" t="str">
        <v>ME-11</v>
      </c>
      <c r="C81" s="438" t="str">
        <v>INACTIVA</v>
      </c>
      <c r="D81" s="442">
        <v>144</v>
      </c>
      <c r="E81" s="421" t="str">
        <v>8M5250</v>
      </c>
      <c r="F81" s="443" t="str">
        <v>SELLO</v>
      </c>
      <c r="G81" s="423">
        <v>8</v>
      </c>
      <c r="H81" s="424">
        <v>43.14</v>
      </c>
      <c r="I81" s="425">
        <v>345.12</v>
      </c>
      <c r="J81" s="426" t="str">
        <v>5-7</v>
      </c>
      <c r="K81" s="427">
        <v>0</v>
      </c>
      <c r="L81" s="427" t="str">
        <v>—</v>
      </c>
      <c r="M81" s="428" t="str">
        <v>—</v>
      </c>
      <c r="N81" s="426" t="str">
        <v>—</v>
      </c>
      <c r="O81" s="427">
        <v>0</v>
      </c>
      <c r="P81" s="427" t="str">
        <v>—</v>
      </c>
      <c r="Q81" s="428" t="str">
        <v>—</v>
      </c>
      <c r="R81" s="426" t="str">
        <v>—</v>
      </c>
    </row>
    <row r="82" spans="2:18" x14ac:dyDescent="0.25">
      <c r="B82" s="439" t="str">
        <v>ME-11</v>
      </c>
      <c r="C82" s="438" t="str">
        <v>INACTIVA</v>
      </c>
      <c r="D82" s="442">
        <v>144</v>
      </c>
      <c r="E82" s="421" t="str">
        <v>8M8283</v>
      </c>
      <c r="F82" s="443" t="str">
        <v>JUNTAS</v>
      </c>
      <c r="G82" s="423">
        <v>6</v>
      </c>
      <c r="H82" s="424">
        <v>76.069999999999993</v>
      </c>
      <c r="I82" s="425">
        <v>456.41999999999996</v>
      </c>
      <c r="J82" s="426" t="str">
        <v>5-7</v>
      </c>
      <c r="K82" s="427">
        <v>0</v>
      </c>
      <c r="L82" s="427" t="str">
        <v>—</v>
      </c>
      <c r="M82" s="428" t="str">
        <v>—</v>
      </c>
      <c r="N82" s="426" t="str">
        <v>—</v>
      </c>
      <c r="O82" s="427">
        <v>0</v>
      </c>
      <c r="P82" s="427" t="str">
        <v>—</v>
      </c>
      <c r="Q82" s="428" t="str">
        <v>—</v>
      </c>
      <c r="R82" s="426" t="str">
        <v>—</v>
      </c>
    </row>
    <row r="83" spans="2:18" x14ac:dyDescent="0.25">
      <c r="B83" s="439" t="str">
        <v>ME-11</v>
      </c>
      <c r="C83" s="438" t="str">
        <v>INACTIVA</v>
      </c>
      <c r="D83" s="442">
        <v>144</v>
      </c>
      <c r="E83" s="421" t="str">
        <v>8M8515</v>
      </c>
      <c r="F83" s="443" t="str">
        <v>JUNTA</v>
      </c>
      <c r="G83" s="423">
        <v>1</v>
      </c>
      <c r="H83" s="424">
        <v>96.3</v>
      </c>
      <c r="I83" s="425">
        <v>96.3</v>
      </c>
      <c r="J83" s="426" t="str">
        <v>5-7</v>
      </c>
      <c r="K83" s="427">
        <v>0</v>
      </c>
      <c r="L83" s="427" t="str">
        <v>—</v>
      </c>
      <c r="M83" s="428" t="str">
        <v>—</v>
      </c>
      <c r="N83" s="426" t="str">
        <v>—</v>
      </c>
      <c r="O83" s="427">
        <v>0</v>
      </c>
      <c r="P83" s="427" t="str">
        <v>—</v>
      </c>
      <c r="Q83" s="428" t="str">
        <v>—</v>
      </c>
      <c r="R83" s="426" t="str">
        <v>—</v>
      </c>
    </row>
    <row r="84" spans="2:18" x14ac:dyDescent="0.25">
      <c r="B84" s="439" t="str">
        <v>ME-11</v>
      </c>
      <c r="C84" s="438" t="str">
        <v>INACTIVA</v>
      </c>
      <c r="D84" s="442">
        <v>144</v>
      </c>
      <c r="E84" s="421" t="str">
        <v>8M8544</v>
      </c>
      <c r="F84" s="443" t="str">
        <v>EMPAQUE</v>
      </c>
      <c r="G84" s="423">
        <v>2</v>
      </c>
      <c r="H84" s="424">
        <v>27.57</v>
      </c>
      <c r="I84" s="425">
        <v>55.14</v>
      </c>
      <c r="J84" s="426" t="str">
        <v>5-7</v>
      </c>
      <c r="K84" s="427">
        <v>0</v>
      </c>
      <c r="L84" s="427" t="str">
        <v>—</v>
      </c>
      <c r="M84" s="428" t="str">
        <v>—</v>
      </c>
      <c r="N84" s="426" t="str">
        <v>—</v>
      </c>
      <c r="O84" s="427">
        <v>0</v>
      </c>
      <c r="P84" s="427" t="str">
        <v>—</v>
      </c>
      <c r="Q84" s="428" t="str">
        <v>—</v>
      </c>
      <c r="R84" s="426" t="str">
        <v>—</v>
      </c>
    </row>
    <row r="85" spans="2:18" x14ac:dyDescent="0.25">
      <c r="B85" s="439" t="str">
        <v>ME-11</v>
      </c>
      <c r="C85" s="438" t="str">
        <v>INACTIVA</v>
      </c>
      <c r="D85" s="442">
        <v>144</v>
      </c>
      <c r="E85" s="421" t="str">
        <v>8S5575</v>
      </c>
      <c r="F85" s="443" t="str">
        <v>RETEN</v>
      </c>
      <c r="G85" s="423">
        <v>1</v>
      </c>
      <c r="H85" s="424">
        <v>152.87</v>
      </c>
      <c r="I85" s="425">
        <v>152.87</v>
      </c>
      <c r="J85" s="426" t="str">
        <v>5-7</v>
      </c>
      <c r="K85" s="427">
        <v>0</v>
      </c>
      <c r="L85" s="427" t="str">
        <v>—</v>
      </c>
      <c r="M85" s="428" t="str">
        <v>—</v>
      </c>
      <c r="N85" s="426" t="str">
        <v>—</v>
      </c>
      <c r="O85" s="427">
        <v>0</v>
      </c>
      <c r="P85" s="427" t="str">
        <v>—</v>
      </c>
      <c r="Q85" s="428" t="str">
        <v>—</v>
      </c>
      <c r="R85" s="426" t="str">
        <v>—</v>
      </c>
    </row>
    <row r="86" spans="2:18" x14ac:dyDescent="0.25">
      <c r="B86" s="439" t="str">
        <v>ME-11</v>
      </c>
      <c r="C86" s="438" t="str">
        <v>INACTIVA</v>
      </c>
      <c r="D86" s="442">
        <v>144</v>
      </c>
      <c r="E86" s="421" t="str">
        <v>0619458</v>
      </c>
      <c r="F86" s="443" t="str">
        <v>SELLO</v>
      </c>
      <c r="G86" s="423">
        <v>6</v>
      </c>
      <c r="H86" s="424">
        <v>238.07</v>
      </c>
      <c r="I86" s="425">
        <v>1428.42</v>
      </c>
      <c r="J86" s="426" t="str">
        <v>5-7</v>
      </c>
      <c r="K86" s="427">
        <v>0</v>
      </c>
      <c r="L86" s="427" t="str">
        <v>—</v>
      </c>
      <c r="M86" s="428" t="str">
        <v>—</v>
      </c>
      <c r="N86" s="426" t="str">
        <v>—</v>
      </c>
      <c r="O86" s="427">
        <v>0</v>
      </c>
      <c r="P86" s="427" t="str">
        <v>—</v>
      </c>
      <c r="Q86" s="428" t="str">
        <v>—</v>
      </c>
      <c r="R86" s="426" t="str">
        <v>—</v>
      </c>
    </row>
    <row r="87" spans="2:18" x14ac:dyDescent="0.25">
      <c r="B87" s="439" t="str">
        <v>ME-11</v>
      </c>
      <c r="C87" s="438" t="str">
        <v>INACTIVA</v>
      </c>
      <c r="D87" s="442">
        <v>144</v>
      </c>
      <c r="E87" s="421" t="str">
        <v>1J9671</v>
      </c>
      <c r="F87" s="443" t="str">
        <v>JUNTA</v>
      </c>
      <c r="G87" s="423">
        <v>2</v>
      </c>
      <c r="H87" s="424">
        <v>29.71</v>
      </c>
      <c r="I87" s="425">
        <v>59.42</v>
      </c>
      <c r="J87" s="426" t="str">
        <v>5-7</v>
      </c>
      <c r="K87" s="427">
        <v>0</v>
      </c>
      <c r="L87" s="427" t="str">
        <v>—</v>
      </c>
      <c r="M87" s="428" t="str">
        <v>—</v>
      </c>
      <c r="N87" s="426" t="str">
        <v>—</v>
      </c>
      <c r="O87" s="427">
        <v>0</v>
      </c>
      <c r="P87" s="427" t="str">
        <v>—</v>
      </c>
      <c r="Q87" s="428" t="str">
        <v>—</v>
      </c>
      <c r="R87" s="426" t="str">
        <v>—</v>
      </c>
    </row>
    <row r="88" spans="2:18" x14ac:dyDescent="0.25">
      <c r="B88" s="439" t="str">
        <v>ME-11</v>
      </c>
      <c r="C88" s="438" t="str">
        <v>INACTIVA</v>
      </c>
      <c r="D88" s="442">
        <v>144</v>
      </c>
      <c r="E88" s="421" t="str">
        <v>1P3704</v>
      </c>
      <c r="F88" s="443" t="str">
        <v>SELLO</v>
      </c>
      <c r="G88" s="423">
        <v>6</v>
      </c>
      <c r="H88" s="424">
        <v>76.430000000000007</v>
      </c>
      <c r="I88" s="425">
        <v>458.58000000000004</v>
      </c>
      <c r="J88" s="426" t="str">
        <v>5-7</v>
      </c>
      <c r="K88" s="427">
        <v>0</v>
      </c>
      <c r="L88" s="427" t="str">
        <v>—</v>
      </c>
      <c r="M88" s="428" t="str">
        <v>—</v>
      </c>
      <c r="N88" s="426" t="str">
        <v>—</v>
      </c>
      <c r="O88" s="427">
        <v>0</v>
      </c>
      <c r="P88" s="427" t="str">
        <v>—</v>
      </c>
      <c r="Q88" s="428" t="str">
        <v>—</v>
      </c>
      <c r="R88" s="426" t="str">
        <v>—</v>
      </c>
    </row>
    <row r="89" spans="2:18" x14ac:dyDescent="0.25">
      <c r="B89" s="439" t="str">
        <v>ME-11</v>
      </c>
      <c r="C89" s="438" t="str">
        <v>INACTIVA</v>
      </c>
      <c r="D89" s="442">
        <v>144</v>
      </c>
      <c r="E89" s="421" t="str">
        <v>2M9780</v>
      </c>
      <c r="F89" s="443" t="str">
        <v>JUNTA</v>
      </c>
      <c r="G89" s="423">
        <v>2</v>
      </c>
      <c r="H89" s="424">
        <v>38.479999999999997</v>
      </c>
      <c r="I89" s="425">
        <v>76.959999999999994</v>
      </c>
      <c r="J89" s="426" t="str">
        <v>5-7</v>
      </c>
      <c r="K89" s="427">
        <v>0</v>
      </c>
      <c r="L89" s="427" t="str">
        <v>—</v>
      </c>
      <c r="M89" s="428" t="str">
        <v>—</v>
      </c>
      <c r="N89" s="426" t="str">
        <v>—</v>
      </c>
      <c r="O89" s="427">
        <v>0</v>
      </c>
      <c r="P89" s="427" t="str">
        <v>—</v>
      </c>
      <c r="Q89" s="428" t="str">
        <v>—</v>
      </c>
      <c r="R89" s="426" t="str">
        <v>—</v>
      </c>
    </row>
    <row r="90" spans="2:18" x14ac:dyDescent="0.25">
      <c r="B90" s="439" t="str">
        <v>ME-11</v>
      </c>
      <c r="C90" s="438" t="str">
        <v>INACTIVA</v>
      </c>
      <c r="D90" s="442">
        <v>144</v>
      </c>
      <c r="E90" s="421" t="str">
        <v>3308196</v>
      </c>
      <c r="F90" s="443" t="str">
        <v>SEAL-O-RING</v>
      </c>
      <c r="G90" s="423">
        <v>5</v>
      </c>
      <c r="H90" s="424">
        <v>123.69</v>
      </c>
      <c r="I90" s="425">
        <v>618.45000000000005</v>
      </c>
      <c r="J90" s="426" t="str">
        <v>5-7</v>
      </c>
      <c r="K90" s="427">
        <v>0</v>
      </c>
      <c r="L90" s="427" t="str">
        <v>—</v>
      </c>
      <c r="M90" s="428" t="str">
        <v>—</v>
      </c>
      <c r="N90" s="426" t="str">
        <v>—</v>
      </c>
      <c r="O90" s="427">
        <v>0</v>
      </c>
      <c r="P90" s="427" t="str">
        <v>—</v>
      </c>
      <c r="Q90" s="428" t="str">
        <v>—</v>
      </c>
      <c r="R90" s="426" t="str">
        <v>—</v>
      </c>
    </row>
    <row r="91" spans="2:18" x14ac:dyDescent="0.25">
      <c r="B91" s="439" t="str">
        <v>ME-11</v>
      </c>
      <c r="C91" s="438" t="str">
        <v>INACTIVA</v>
      </c>
      <c r="D91" s="442">
        <v>144</v>
      </c>
      <c r="E91" s="421" t="str">
        <v>3464897</v>
      </c>
      <c r="F91" s="443" t="str">
        <v>SEAL-O-RING</v>
      </c>
      <c r="G91" s="423">
        <v>1</v>
      </c>
      <c r="H91" s="424">
        <v>325.95999999999998</v>
      </c>
      <c r="I91" s="425">
        <v>325.95999999999998</v>
      </c>
      <c r="J91" s="426" t="str">
        <v>5-7</v>
      </c>
      <c r="K91" s="427">
        <v>0</v>
      </c>
      <c r="L91" s="427" t="str">
        <v>—</v>
      </c>
      <c r="M91" s="428" t="str">
        <v>—</v>
      </c>
      <c r="N91" s="426" t="str">
        <v>—</v>
      </c>
      <c r="O91" s="427">
        <v>0</v>
      </c>
      <c r="P91" s="427" t="str">
        <v>—</v>
      </c>
      <c r="Q91" s="428" t="str">
        <v>—</v>
      </c>
      <c r="R91" s="426" t="str">
        <v>—</v>
      </c>
    </row>
    <row r="92" spans="2:18" x14ac:dyDescent="0.25">
      <c r="B92" s="439" t="str">
        <v>ME-11</v>
      </c>
      <c r="C92" s="438" t="str">
        <v>INACTIVA</v>
      </c>
      <c r="D92" s="442">
        <v>144</v>
      </c>
      <c r="E92" s="421" t="str">
        <v>3618205</v>
      </c>
      <c r="F92" s="443" t="str">
        <v>SEAL-FUEL SY</v>
      </c>
      <c r="G92" s="423">
        <v>12</v>
      </c>
      <c r="H92" s="424">
        <v>194.04</v>
      </c>
      <c r="I92" s="425">
        <v>2328.48</v>
      </c>
      <c r="J92" s="426" t="str">
        <v>5-7</v>
      </c>
      <c r="K92" s="427">
        <v>0</v>
      </c>
      <c r="L92" s="427" t="str">
        <v>—</v>
      </c>
      <c r="M92" s="428" t="str">
        <v>—</v>
      </c>
      <c r="N92" s="426" t="str">
        <v>—</v>
      </c>
      <c r="O92" s="427">
        <v>0</v>
      </c>
      <c r="P92" s="427" t="str">
        <v>—</v>
      </c>
      <c r="Q92" s="428" t="str">
        <v>—</v>
      </c>
      <c r="R92" s="426" t="str">
        <v>—</v>
      </c>
    </row>
    <row r="93" spans="2:18" x14ac:dyDescent="0.25">
      <c r="B93" s="439" t="str">
        <v>ME-11</v>
      </c>
      <c r="C93" s="438" t="str">
        <v>INACTIVA</v>
      </c>
      <c r="D93" s="442">
        <v>144</v>
      </c>
      <c r="E93" s="421" t="str">
        <v>3J1907</v>
      </c>
      <c r="F93" s="443" t="str">
        <v>SELLOS</v>
      </c>
      <c r="G93" s="423">
        <v>15</v>
      </c>
      <c r="H93" s="424">
        <v>31.5</v>
      </c>
      <c r="I93" s="425">
        <v>472.5</v>
      </c>
      <c r="J93" s="426" t="str">
        <v>5-7</v>
      </c>
      <c r="K93" s="427">
        <v>0</v>
      </c>
      <c r="L93" s="427" t="str">
        <v>—</v>
      </c>
      <c r="M93" s="428" t="str">
        <v>—</v>
      </c>
      <c r="N93" s="426" t="str">
        <v>—</v>
      </c>
      <c r="O93" s="427">
        <v>0</v>
      </c>
      <c r="P93" s="427" t="str">
        <v>—</v>
      </c>
      <c r="Q93" s="428" t="str">
        <v>—</v>
      </c>
      <c r="R93" s="426" t="str">
        <v>—</v>
      </c>
    </row>
    <row r="94" spans="2:18" x14ac:dyDescent="0.25">
      <c r="B94" s="439" t="str">
        <v>ME-11</v>
      </c>
      <c r="C94" s="438" t="str">
        <v>INACTIVA</v>
      </c>
      <c r="D94" s="442">
        <v>144</v>
      </c>
      <c r="E94" s="421" t="str">
        <v>3K0360</v>
      </c>
      <c r="F94" s="443" t="str">
        <v>JUNTA CAUC</v>
      </c>
      <c r="G94" s="423">
        <v>5</v>
      </c>
      <c r="H94" s="424">
        <v>34.9</v>
      </c>
      <c r="I94" s="425">
        <v>174.5</v>
      </c>
      <c r="J94" s="426" t="str">
        <v>5-7</v>
      </c>
      <c r="K94" s="427">
        <v>0</v>
      </c>
      <c r="L94" s="427" t="str">
        <v>—</v>
      </c>
      <c r="M94" s="428" t="str">
        <v>—</v>
      </c>
      <c r="N94" s="426" t="str">
        <v>—</v>
      </c>
      <c r="O94" s="427">
        <v>0</v>
      </c>
      <c r="P94" s="427" t="str">
        <v>—</v>
      </c>
      <c r="Q94" s="428" t="str">
        <v>—</v>
      </c>
      <c r="R94" s="426" t="str">
        <v>—</v>
      </c>
    </row>
    <row r="95" spans="2:18" x14ac:dyDescent="0.25">
      <c r="B95" s="439" t="str">
        <v>ME-11</v>
      </c>
      <c r="C95" s="438" t="str">
        <v>INACTIVA</v>
      </c>
      <c r="D95" s="442">
        <v>144</v>
      </c>
      <c r="E95" s="421" t="str">
        <v>4511493</v>
      </c>
      <c r="F95" s="443" t="str">
        <v>SEAL-O-RING</v>
      </c>
      <c r="G95" s="423">
        <v>8</v>
      </c>
      <c r="H95" s="424">
        <v>241.29</v>
      </c>
      <c r="I95" s="425">
        <v>1930.32</v>
      </c>
      <c r="J95" s="426" t="str">
        <v>5-7</v>
      </c>
      <c r="K95" s="427">
        <v>0</v>
      </c>
      <c r="L95" s="427" t="str">
        <v>—</v>
      </c>
      <c r="M95" s="428" t="str">
        <v>—</v>
      </c>
      <c r="N95" s="426" t="str">
        <v>—</v>
      </c>
      <c r="O95" s="427">
        <v>0</v>
      </c>
      <c r="P95" s="427" t="str">
        <v>—</v>
      </c>
      <c r="Q95" s="428" t="str">
        <v>—</v>
      </c>
      <c r="R95" s="426" t="str">
        <v>—</v>
      </c>
    </row>
    <row r="96" spans="2:18" x14ac:dyDescent="0.25">
      <c r="B96" s="439" t="str">
        <v>ME-11</v>
      </c>
      <c r="C96" s="438" t="str">
        <v>INACTIVA</v>
      </c>
      <c r="D96" s="442">
        <v>144</v>
      </c>
      <c r="E96" s="421" t="str">
        <v>4J7533</v>
      </c>
      <c r="F96" s="443" t="str">
        <v>JUNTAS</v>
      </c>
      <c r="G96" s="423">
        <v>21</v>
      </c>
      <c r="H96" s="424">
        <v>25.24</v>
      </c>
      <c r="I96" s="425">
        <v>530.04</v>
      </c>
      <c r="J96" s="426" t="str">
        <v>5-7</v>
      </c>
      <c r="K96" s="427">
        <v>0</v>
      </c>
      <c r="L96" s="427" t="str">
        <v>—</v>
      </c>
      <c r="M96" s="428" t="str">
        <v>—</v>
      </c>
      <c r="N96" s="426" t="str">
        <v>—</v>
      </c>
      <c r="O96" s="427">
        <v>0</v>
      </c>
      <c r="P96" s="427" t="str">
        <v>—</v>
      </c>
      <c r="Q96" s="428" t="str">
        <v>—</v>
      </c>
      <c r="R96" s="426" t="str">
        <v>—</v>
      </c>
    </row>
    <row r="97" spans="2:18" x14ac:dyDescent="0.25">
      <c r="B97" s="439" t="str">
        <v>ME-11</v>
      </c>
      <c r="C97" s="438" t="str">
        <v>INACTIVA</v>
      </c>
      <c r="D97" s="442">
        <v>144</v>
      </c>
      <c r="E97" s="421" t="str">
        <v>5H6005</v>
      </c>
      <c r="F97" s="443" t="str">
        <v>SELLO</v>
      </c>
      <c r="G97" s="423">
        <v>2</v>
      </c>
      <c r="H97" s="424">
        <v>31.5</v>
      </c>
      <c r="I97" s="425">
        <v>63</v>
      </c>
      <c r="J97" s="426" t="str">
        <v>5-7</v>
      </c>
      <c r="K97" s="427">
        <v>0</v>
      </c>
      <c r="L97" s="427" t="str">
        <v>—</v>
      </c>
      <c r="M97" s="428" t="str">
        <v>—</v>
      </c>
      <c r="N97" s="426" t="str">
        <v>—</v>
      </c>
      <c r="O97" s="427">
        <v>0</v>
      </c>
      <c r="P97" s="427" t="str">
        <v>—</v>
      </c>
      <c r="Q97" s="428" t="str">
        <v>—</v>
      </c>
      <c r="R97" s="426" t="str">
        <v>—</v>
      </c>
    </row>
    <row r="98" spans="2:18" x14ac:dyDescent="0.25">
      <c r="B98" s="439" t="str">
        <v>ME-11</v>
      </c>
      <c r="C98" s="438" t="str">
        <v>INACTIVA</v>
      </c>
      <c r="D98" s="442">
        <v>144</v>
      </c>
      <c r="E98" s="421" t="str">
        <v>5P6718</v>
      </c>
      <c r="F98" s="443" t="str">
        <v>EMPAQUE HU</v>
      </c>
      <c r="G98" s="423">
        <v>5</v>
      </c>
      <c r="H98" s="424">
        <v>184.55</v>
      </c>
      <c r="I98" s="425">
        <v>922.75</v>
      </c>
      <c r="J98" s="426" t="str">
        <v>5-7</v>
      </c>
      <c r="K98" s="427">
        <v>0</v>
      </c>
      <c r="L98" s="427" t="str">
        <v>—</v>
      </c>
      <c r="M98" s="428" t="str">
        <v>—</v>
      </c>
      <c r="N98" s="426" t="str">
        <v>—</v>
      </c>
      <c r="O98" s="427">
        <v>0</v>
      </c>
      <c r="P98" s="427" t="str">
        <v>—</v>
      </c>
      <c r="Q98" s="428" t="str">
        <v>—</v>
      </c>
      <c r="R98" s="426" t="str">
        <v>—</v>
      </c>
    </row>
    <row r="99" spans="2:18" x14ac:dyDescent="0.25">
      <c r="B99" s="439" t="str">
        <v>ME-11</v>
      </c>
      <c r="C99" s="438" t="str">
        <v>INACTIVA</v>
      </c>
      <c r="D99" s="442">
        <v>144</v>
      </c>
      <c r="E99" s="421" t="str">
        <v>6T5133</v>
      </c>
      <c r="F99" s="443" t="str">
        <v>EMPAQUE</v>
      </c>
      <c r="G99" s="423">
        <v>1</v>
      </c>
      <c r="H99" s="424">
        <v>100.42</v>
      </c>
      <c r="I99" s="425">
        <v>100.42</v>
      </c>
      <c r="J99" s="426" t="str">
        <v>5-7</v>
      </c>
      <c r="K99" s="427">
        <v>0</v>
      </c>
      <c r="L99" s="427" t="str">
        <v>—</v>
      </c>
      <c r="M99" s="428" t="str">
        <v>—</v>
      </c>
      <c r="N99" s="426" t="str">
        <v>—</v>
      </c>
      <c r="O99" s="427">
        <v>0</v>
      </c>
      <c r="P99" s="427" t="str">
        <v>—</v>
      </c>
      <c r="Q99" s="428" t="str">
        <v>—</v>
      </c>
      <c r="R99" s="426" t="str">
        <v>—</v>
      </c>
    </row>
    <row r="100" spans="2:18" x14ac:dyDescent="0.25">
      <c r="B100" s="439" t="str">
        <v>ME-11</v>
      </c>
      <c r="C100" s="438" t="str">
        <v>INACTIVA</v>
      </c>
      <c r="D100" s="442">
        <v>144</v>
      </c>
      <c r="E100" s="421" t="str">
        <v>6V3683</v>
      </c>
      <c r="F100" s="443" t="str">
        <v>JUNTA</v>
      </c>
      <c r="G100" s="423">
        <v>1</v>
      </c>
      <c r="H100" s="424">
        <v>210.33</v>
      </c>
      <c r="I100" s="425">
        <v>210.33</v>
      </c>
      <c r="J100" s="426" t="str">
        <v>5-7</v>
      </c>
      <c r="K100" s="427">
        <v>0</v>
      </c>
      <c r="L100" s="427" t="str">
        <v>—</v>
      </c>
      <c r="M100" s="428" t="str">
        <v>—</v>
      </c>
      <c r="N100" s="426" t="str">
        <v>—</v>
      </c>
      <c r="O100" s="427">
        <v>0</v>
      </c>
      <c r="P100" s="427" t="str">
        <v>—</v>
      </c>
      <c r="Q100" s="428" t="str">
        <v>—</v>
      </c>
      <c r="R100" s="426" t="str">
        <v>—</v>
      </c>
    </row>
    <row r="101" spans="2:18" x14ac:dyDescent="0.25">
      <c r="B101" s="439" t="str">
        <v>ME-11</v>
      </c>
      <c r="C101" s="438" t="str">
        <v>INACTIVA</v>
      </c>
      <c r="D101" s="442">
        <v>144</v>
      </c>
      <c r="E101" s="421" t="str">
        <v>8M4437</v>
      </c>
      <c r="F101" s="443" t="str">
        <v>JUNTA</v>
      </c>
      <c r="G101" s="423">
        <v>2</v>
      </c>
      <c r="H101" s="424">
        <v>60.14</v>
      </c>
      <c r="I101" s="425">
        <v>120.28</v>
      </c>
      <c r="J101" s="426" t="str">
        <v>5-7</v>
      </c>
      <c r="K101" s="427">
        <v>0</v>
      </c>
      <c r="L101" s="427" t="str">
        <v>—</v>
      </c>
      <c r="M101" s="428" t="str">
        <v>—</v>
      </c>
      <c r="N101" s="426" t="str">
        <v>—</v>
      </c>
      <c r="O101" s="427">
        <v>0</v>
      </c>
      <c r="P101" s="427" t="str">
        <v>—</v>
      </c>
      <c r="Q101" s="428" t="str">
        <v>—</v>
      </c>
      <c r="R101" s="426" t="str">
        <v>—</v>
      </c>
    </row>
    <row r="102" spans="2:18" x14ac:dyDescent="0.25">
      <c r="B102" s="439" t="str">
        <v>ME-11</v>
      </c>
      <c r="C102" s="438" t="str">
        <v>INACTIVA</v>
      </c>
      <c r="D102" s="442">
        <v>144</v>
      </c>
      <c r="E102" s="421" t="str">
        <v>8M4988</v>
      </c>
      <c r="F102" s="443" t="str">
        <v>JUNTA</v>
      </c>
      <c r="G102" s="423">
        <v>3</v>
      </c>
      <c r="H102" s="424">
        <v>97.73</v>
      </c>
      <c r="I102" s="425">
        <v>293.19</v>
      </c>
      <c r="J102" s="426" t="str">
        <v>5-7</v>
      </c>
      <c r="K102" s="427">
        <v>0</v>
      </c>
      <c r="L102" s="427" t="str">
        <v>—</v>
      </c>
      <c r="M102" s="428" t="str">
        <v>—</v>
      </c>
      <c r="N102" s="426" t="str">
        <v>—</v>
      </c>
      <c r="O102" s="427">
        <v>0</v>
      </c>
      <c r="P102" s="427" t="str">
        <v>—</v>
      </c>
      <c r="Q102" s="428" t="str">
        <v>—</v>
      </c>
      <c r="R102" s="426" t="str">
        <v>—</v>
      </c>
    </row>
    <row r="103" spans="2:18" x14ac:dyDescent="0.25">
      <c r="B103" s="439" t="str">
        <v>ME-11</v>
      </c>
      <c r="C103" s="438" t="str">
        <v>INACTIVA</v>
      </c>
      <c r="D103" s="442">
        <v>144</v>
      </c>
      <c r="E103" s="421" t="str">
        <v>8M5127</v>
      </c>
      <c r="F103" s="443" t="str">
        <v>SELLO</v>
      </c>
      <c r="G103" s="423">
        <v>7</v>
      </c>
      <c r="H103" s="424">
        <v>54.77</v>
      </c>
      <c r="I103" s="425">
        <v>383.39000000000004</v>
      </c>
      <c r="J103" s="426" t="str">
        <v>5-7</v>
      </c>
      <c r="K103" s="427">
        <v>0</v>
      </c>
      <c r="L103" s="427" t="str">
        <v>—</v>
      </c>
      <c r="M103" s="428" t="str">
        <v>—</v>
      </c>
      <c r="N103" s="426" t="str">
        <v>—</v>
      </c>
      <c r="O103" s="427">
        <v>0</v>
      </c>
      <c r="P103" s="427" t="str">
        <v>—</v>
      </c>
      <c r="Q103" s="428" t="str">
        <v>—</v>
      </c>
      <c r="R103" s="426" t="str">
        <v>—</v>
      </c>
    </row>
    <row r="104" spans="2:18" x14ac:dyDescent="0.25">
      <c r="B104" s="439" t="str">
        <v>ME-11</v>
      </c>
      <c r="C104" s="438" t="str">
        <v>INACTIVA</v>
      </c>
      <c r="D104" s="442">
        <v>144</v>
      </c>
      <c r="E104" s="421" t="str">
        <v>8M5250</v>
      </c>
      <c r="F104" s="443" t="str">
        <v>SELLO</v>
      </c>
      <c r="G104" s="423">
        <v>8</v>
      </c>
      <c r="H104" s="424">
        <v>43.14</v>
      </c>
      <c r="I104" s="425">
        <v>345.12</v>
      </c>
      <c r="J104" s="426" t="str">
        <v>5-7</v>
      </c>
      <c r="K104" s="427">
        <v>0</v>
      </c>
      <c r="L104" s="427" t="str">
        <v>—</v>
      </c>
      <c r="M104" s="428" t="str">
        <v>—</v>
      </c>
      <c r="N104" s="426" t="str">
        <v>—</v>
      </c>
      <c r="O104" s="427">
        <v>0</v>
      </c>
      <c r="P104" s="427" t="str">
        <v>—</v>
      </c>
      <c r="Q104" s="428" t="str">
        <v>—</v>
      </c>
      <c r="R104" s="426" t="str">
        <v>—</v>
      </c>
    </row>
    <row r="105" spans="2:18" x14ac:dyDescent="0.25">
      <c r="B105" s="439" t="str">
        <v>ME-11</v>
      </c>
      <c r="C105" s="438" t="str">
        <v>INACTIVA</v>
      </c>
      <c r="D105" s="442">
        <v>144</v>
      </c>
      <c r="E105" s="421" t="str">
        <v>8M8283</v>
      </c>
      <c r="F105" s="443" t="str">
        <v>JUNTAS</v>
      </c>
      <c r="G105" s="423">
        <v>6</v>
      </c>
      <c r="H105" s="424">
        <v>76.069999999999993</v>
      </c>
      <c r="I105" s="425">
        <v>456.41999999999996</v>
      </c>
      <c r="J105" s="426" t="str">
        <v>5-7</v>
      </c>
      <c r="K105" s="427">
        <v>0</v>
      </c>
      <c r="L105" s="427" t="str">
        <v>—</v>
      </c>
      <c r="M105" s="428" t="str">
        <v>—</v>
      </c>
      <c r="N105" s="426" t="str">
        <v>—</v>
      </c>
      <c r="O105" s="427">
        <v>0</v>
      </c>
      <c r="P105" s="427" t="str">
        <v>—</v>
      </c>
      <c r="Q105" s="428" t="str">
        <v>—</v>
      </c>
      <c r="R105" s="426" t="str">
        <v>—</v>
      </c>
    </row>
    <row r="106" spans="2:18" x14ac:dyDescent="0.25">
      <c r="B106" s="439" t="str">
        <v>ME-11</v>
      </c>
      <c r="C106" s="438" t="str">
        <v>INACTIVA</v>
      </c>
      <c r="D106" s="442">
        <v>144</v>
      </c>
      <c r="E106" s="421" t="str">
        <v>8M8515</v>
      </c>
      <c r="F106" s="443" t="str">
        <v>JUNTA</v>
      </c>
      <c r="G106" s="423">
        <v>1</v>
      </c>
      <c r="H106" s="424">
        <v>96.3</v>
      </c>
      <c r="I106" s="425">
        <v>96.3</v>
      </c>
      <c r="J106" s="426" t="str">
        <v>5-7</v>
      </c>
      <c r="K106" s="427">
        <v>0</v>
      </c>
      <c r="L106" s="427" t="str">
        <v>—</v>
      </c>
      <c r="M106" s="428" t="str">
        <v>—</v>
      </c>
      <c r="N106" s="426" t="str">
        <v>—</v>
      </c>
      <c r="O106" s="427">
        <v>0</v>
      </c>
      <c r="P106" s="427" t="str">
        <v>—</v>
      </c>
      <c r="Q106" s="428" t="str">
        <v>—</v>
      </c>
      <c r="R106" s="426" t="str">
        <v>—</v>
      </c>
    </row>
    <row r="107" spans="2:18" x14ac:dyDescent="0.25">
      <c r="B107" s="439" t="str">
        <v>ME-11</v>
      </c>
      <c r="C107" s="438" t="str">
        <v>INACTIVA</v>
      </c>
      <c r="D107" s="442">
        <v>144</v>
      </c>
      <c r="E107" s="421" t="str">
        <v>8M8544</v>
      </c>
      <c r="F107" s="443" t="str">
        <v>EMPAQUE</v>
      </c>
      <c r="G107" s="423">
        <v>2</v>
      </c>
      <c r="H107" s="424">
        <v>27.57</v>
      </c>
      <c r="I107" s="425">
        <v>55.14</v>
      </c>
      <c r="J107" s="426" t="str">
        <v>5-7</v>
      </c>
      <c r="K107" s="427">
        <v>0</v>
      </c>
      <c r="L107" s="427" t="str">
        <v>—</v>
      </c>
      <c r="M107" s="428" t="str">
        <v>—</v>
      </c>
      <c r="N107" s="426" t="str">
        <v>—</v>
      </c>
      <c r="O107" s="427">
        <v>0</v>
      </c>
      <c r="P107" s="427" t="str">
        <v>—</v>
      </c>
      <c r="Q107" s="428" t="str">
        <v>—</v>
      </c>
      <c r="R107" s="426" t="str">
        <v>—</v>
      </c>
    </row>
    <row r="108" spans="2:18" x14ac:dyDescent="0.25">
      <c r="B108" s="439" t="str">
        <v>ME-11</v>
      </c>
      <c r="C108" s="438" t="str">
        <v>INACTIVA</v>
      </c>
      <c r="D108" s="442">
        <v>144</v>
      </c>
      <c r="E108" s="421" t="str">
        <v>8S5575</v>
      </c>
      <c r="F108" s="443" t="str">
        <v>RETEN</v>
      </c>
      <c r="G108" s="423">
        <v>1</v>
      </c>
      <c r="H108" s="424">
        <v>152.87</v>
      </c>
      <c r="I108" s="425">
        <v>152.87</v>
      </c>
      <c r="J108" s="426" t="str">
        <v>5-7</v>
      </c>
      <c r="K108" s="427">
        <v>0</v>
      </c>
      <c r="L108" s="427" t="str">
        <v>—</v>
      </c>
      <c r="M108" s="428" t="str">
        <v>—</v>
      </c>
      <c r="N108" s="426" t="str">
        <v>—</v>
      </c>
      <c r="O108" s="427">
        <v>0</v>
      </c>
      <c r="P108" s="427" t="str">
        <v>—</v>
      </c>
      <c r="Q108" s="428" t="str">
        <v>—</v>
      </c>
      <c r="R108" s="426" t="str">
        <v>—</v>
      </c>
    </row>
    <row r="109" spans="2:18" x14ac:dyDescent="0.25">
      <c r="B109" s="439" t="str">
        <v>ME-11</v>
      </c>
      <c r="C109" s="438" t="str">
        <v>INACTIVA</v>
      </c>
      <c r="D109" s="442">
        <v>144</v>
      </c>
      <c r="E109" s="421" t="str">
        <v>2M1309</v>
      </c>
      <c r="F109" s="443" t="str">
        <v>JUNTA</v>
      </c>
      <c r="G109" s="423">
        <v>1</v>
      </c>
      <c r="H109" s="424">
        <v>279.24</v>
      </c>
      <c r="I109" s="425">
        <v>279.24</v>
      </c>
      <c r="J109" s="426" t="str">
        <v>5-7</v>
      </c>
      <c r="K109" s="427">
        <v>0</v>
      </c>
      <c r="L109" s="427" t="str">
        <v>—</v>
      </c>
      <c r="M109" s="428" t="str">
        <v>—</v>
      </c>
      <c r="N109" s="426" t="str">
        <v>—</v>
      </c>
      <c r="O109" s="427">
        <v>0</v>
      </c>
      <c r="P109" s="427" t="str">
        <v>—</v>
      </c>
      <c r="Q109" s="428" t="str">
        <v>—</v>
      </c>
      <c r="R109" s="426" t="str">
        <v>—</v>
      </c>
    </row>
    <row r="110" spans="2:18" x14ac:dyDescent="0.25">
      <c r="B110" s="439" t="str">
        <v>ME-11</v>
      </c>
      <c r="C110" s="438" t="str">
        <v>INACTIVA</v>
      </c>
      <c r="D110" s="442">
        <v>144</v>
      </c>
      <c r="E110" s="421" t="str">
        <v>3F5792</v>
      </c>
      <c r="F110" s="443" t="str">
        <v>JUNTAS</v>
      </c>
      <c r="G110" s="423">
        <v>3</v>
      </c>
      <c r="H110" s="424">
        <v>151.97</v>
      </c>
      <c r="I110" s="425">
        <v>455.90999999999997</v>
      </c>
      <c r="J110" s="426" t="str">
        <v>5-7</v>
      </c>
      <c r="K110" s="427">
        <v>0</v>
      </c>
      <c r="L110" s="427" t="str">
        <v>—</v>
      </c>
      <c r="M110" s="428" t="str">
        <v>—</v>
      </c>
      <c r="N110" s="426" t="str">
        <v>—</v>
      </c>
      <c r="O110" s="427">
        <v>0</v>
      </c>
      <c r="P110" s="427" t="str">
        <v>—</v>
      </c>
      <c r="Q110" s="428" t="str">
        <v>—</v>
      </c>
      <c r="R110" s="426" t="str">
        <v>—</v>
      </c>
    </row>
    <row r="111" spans="2:18" x14ac:dyDescent="0.25">
      <c r="B111" s="439" t="str">
        <v>ME-11</v>
      </c>
      <c r="C111" s="438" t="str">
        <v>INACTIVA</v>
      </c>
      <c r="D111" s="442">
        <v>144</v>
      </c>
      <c r="E111" s="421" t="str">
        <v>3J0634</v>
      </c>
      <c r="F111" s="443" t="str">
        <v>JUNTA</v>
      </c>
      <c r="G111" s="423">
        <v>1</v>
      </c>
      <c r="H111" s="424">
        <v>177.39</v>
      </c>
      <c r="I111" s="425">
        <v>177.39</v>
      </c>
      <c r="J111" s="426" t="str">
        <v>5-7</v>
      </c>
      <c r="K111" s="427">
        <v>0</v>
      </c>
      <c r="L111" s="427" t="str">
        <v>—</v>
      </c>
      <c r="M111" s="428" t="str">
        <v>—</v>
      </c>
      <c r="N111" s="426" t="str">
        <v>—</v>
      </c>
      <c r="O111" s="427">
        <v>0</v>
      </c>
      <c r="P111" s="427" t="str">
        <v>—</v>
      </c>
      <c r="Q111" s="428" t="str">
        <v>—</v>
      </c>
      <c r="R111" s="426" t="str">
        <v>—</v>
      </c>
    </row>
    <row r="112" spans="2:18" x14ac:dyDescent="0.25">
      <c r="B112" s="439" t="str">
        <v>ME-11</v>
      </c>
      <c r="C112" s="438" t="str">
        <v>INACTIVA</v>
      </c>
      <c r="D112" s="442">
        <v>144</v>
      </c>
      <c r="E112" s="421" t="str">
        <v>4K1388</v>
      </c>
      <c r="F112" s="443" t="str">
        <v>JUNTA</v>
      </c>
      <c r="G112" s="423">
        <v>1</v>
      </c>
      <c r="H112" s="424">
        <v>51.91</v>
      </c>
      <c r="I112" s="425">
        <v>51.91</v>
      </c>
      <c r="J112" s="426" t="str">
        <v>5-7</v>
      </c>
      <c r="K112" s="427">
        <v>0</v>
      </c>
      <c r="L112" s="427" t="str">
        <v>—</v>
      </c>
      <c r="M112" s="428" t="str">
        <v>—</v>
      </c>
      <c r="N112" s="426" t="str">
        <v>—</v>
      </c>
      <c r="O112" s="427">
        <v>0</v>
      </c>
      <c r="P112" s="427" t="str">
        <v>—</v>
      </c>
      <c r="Q112" s="428" t="str">
        <v>—</v>
      </c>
      <c r="R112" s="426" t="str">
        <v>—</v>
      </c>
    </row>
    <row r="113" spans="2:18" x14ac:dyDescent="0.25">
      <c r="B113" s="439" t="str">
        <v>ME-11</v>
      </c>
      <c r="C113" s="438" t="str">
        <v>INACTIVA</v>
      </c>
      <c r="D113" s="442">
        <v>144</v>
      </c>
      <c r="E113" s="421" t="str">
        <v>6D1004</v>
      </c>
      <c r="F113" s="443" t="str">
        <v>JUNTAS</v>
      </c>
      <c r="G113" s="423">
        <v>1</v>
      </c>
      <c r="H113" s="424">
        <v>56.03</v>
      </c>
      <c r="I113" s="425">
        <v>56.03</v>
      </c>
      <c r="J113" s="426" t="str">
        <v>5-7</v>
      </c>
      <c r="K113" s="427">
        <v>0</v>
      </c>
      <c r="L113" s="427" t="str">
        <v>—</v>
      </c>
      <c r="M113" s="428" t="str">
        <v>—</v>
      </c>
      <c r="N113" s="426" t="str">
        <v>—</v>
      </c>
      <c r="O113" s="427">
        <v>0</v>
      </c>
      <c r="P113" s="427" t="str">
        <v>—</v>
      </c>
      <c r="Q113" s="428" t="str">
        <v>—</v>
      </c>
      <c r="R113" s="426" t="str">
        <v>—</v>
      </c>
    </row>
    <row r="114" spans="2:18" x14ac:dyDescent="0.25">
      <c r="B114" s="439" t="str">
        <v>ME-11</v>
      </c>
      <c r="C114" s="438" t="str">
        <v>INACTIVA</v>
      </c>
      <c r="D114" s="442">
        <v>144</v>
      </c>
      <c r="E114" s="421" t="str">
        <v>6F0711</v>
      </c>
      <c r="F114" s="443" t="str">
        <v>JUNTA</v>
      </c>
      <c r="G114" s="423">
        <v>4</v>
      </c>
      <c r="H114" s="424">
        <v>70.709999999999994</v>
      </c>
      <c r="I114" s="425">
        <v>282.83999999999997</v>
      </c>
      <c r="J114" s="426" t="str">
        <v>5-7</v>
      </c>
      <c r="K114" s="427">
        <v>0</v>
      </c>
      <c r="L114" s="427" t="str">
        <v>—</v>
      </c>
      <c r="M114" s="428" t="str">
        <v>—</v>
      </c>
      <c r="N114" s="426" t="str">
        <v>—</v>
      </c>
      <c r="O114" s="427">
        <v>0</v>
      </c>
      <c r="P114" s="427" t="str">
        <v>—</v>
      </c>
      <c r="Q114" s="428" t="str">
        <v>—</v>
      </c>
      <c r="R114" s="426" t="str">
        <v>—</v>
      </c>
    </row>
    <row r="115" spans="2:18" x14ac:dyDescent="0.25">
      <c r="B115" s="439" t="str">
        <v>ME-11</v>
      </c>
      <c r="C115" s="438" t="str">
        <v>INACTIVA</v>
      </c>
      <c r="D115" s="442">
        <v>144</v>
      </c>
      <c r="E115" s="421" t="str">
        <v>6T5612</v>
      </c>
      <c r="F115" s="443" t="str">
        <v>EMPAQUE</v>
      </c>
      <c r="G115" s="423">
        <v>5</v>
      </c>
      <c r="H115" s="424">
        <v>108.47</v>
      </c>
      <c r="I115" s="425">
        <v>542.35</v>
      </c>
      <c r="J115" s="426" t="str">
        <v>5-7</v>
      </c>
      <c r="K115" s="427">
        <v>0</v>
      </c>
      <c r="L115" s="427" t="str">
        <v>—</v>
      </c>
      <c r="M115" s="428" t="str">
        <v>—</v>
      </c>
      <c r="N115" s="426" t="str">
        <v>—</v>
      </c>
      <c r="O115" s="427">
        <v>0</v>
      </c>
      <c r="P115" s="427" t="str">
        <v>—</v>
      </c>
      <c r="Q115" s="428" t="str">
        <v>—</v>
      </c>
      <c r="R115" s="426" t="str">
        <v>—</v>
      </c>
    </row>
    <row r="116" spans="2:18" x14ac:dyDescent="0.25">
      <c r="B116" s="439" t="str">
        <v>ME-11</v>
      </c>
      <c r="C116" s="438" t="str">
        <v>INACTIVA</v>
      </c>
      <c r="D116" s="442">
        <v>144</v>
      </c>
      <c r="E116" s="421" t="str">
        <v>6T5613</v>
      </c>
      <c r="F116" s="443" t="str">
        <v>SELLO</v>
      </c>
      <c r="G116" s="423">
        <v>1</v>
      </c>
      <c r="H116" s="424">
        <v>1229.55</v>
      </c>
      <c r="I116" s="425">
        <v>1229.55</v>
      </c>
      <c r="J116" s="426" t="str">
        <v>5-7</v>
      </c>
      <c r="K116" s="427">
        <v>0</v>
      </c>
      <c r="L116" s="427" t="str">
        <v>—</v>
      </c>
      <c r="M116" s="428" t="str">
        <v>—</v>
      </c>
      <c r="N116" s="426" t="str">
        <v>—</v>
      </c>
      <c r="O116" s="427">
        <v>0</v>
      </c>
      <c r="P116" s="427" t="str">
        <v>—</v>
      </c>
      <c r="Q116" s="428" t="str">
        <v>—</v>
      </c>
      <c r="R116" s="426" t="str">
        <v>—</v>
      </c>
    </row>
    <row r="117" spans="2:18" x14ac:dyDescent="0.25">
      <c r="B117" s="439" t="str">
        <v>ME-11</v>
      </c>
      <c r="C117" s="438" t="str">
        <v>INACTIVA</v>
      </c>
      <c r="D117" s="442">
        <v>144</v>
      </c>
      <c r="E117" s="421" t="str">
        <v>8T1643</v>
      </c>
      <c r="F117" s="443" t="str">
        <v>SELLOS</v>
      </c>
      <c r="G117" s="423">
        <v>1</v>
      </c>
      <c r="H117" s="424">
        <v>8452.2000000000007</v>
      </c>
      <c r="I117" s="425">
        <v>8452.2000000000007</v>
      </c>
      <c r="J117" s="426" t="str">
        <v>5-7</v>
      </c>
      <c r="K117" s="427">
        <v>0</v>
      </c>
      <c r="L117" s="427" t="str">
        <v>—</v>
      </c>
      <c r="M117" s="428" t="str">
        <v>—</v>
      </c>
      <c r="N117" s="426" t="str">
        <v>—</v>
      </c>
      <c r="O117" s="427">
        <v>0</v>
      </c>
      <c r="P117" s="427" t="str">
        <v>—</v>
      </c>
      <c r="Q117" s="428" t="str">
        <v>—</v>
      </c>
      <c r="R117" s="426" t="str">
        <v>—</v>
      </c>
    </row>
    <row r="118" spans="2:18" x14ac:dyDescent="0.25">
      <c r="B118" s="439" t="str">
        <v>ME-11</v>
      </c>
      <c r="C118" s="438" t="str">
        <v>INACTIVA</v>
      </c>
      <c r="D118" s="442">
        <v>144</v>
      </c>
      <c r="E118" s="421" t="str">
        <v>8T4876</v>
      </c>
      <c r="F118" s="443" t="str">
        <v>ESPACIADOR</v>
      </c>
      <c r="G118" s="423">
        <v>1</v>
      </c>
      <c r="H118" s="424">
        <v>1310.46</v>
      </c>
      <c r="I118" s="425">
        <v>1310.46</v>
      </c>
      <c r="J118" s="426" t="str">
        <v>5-7</v>
      </c>
      <c r="K118" s="427">
        <v>0</v>
      </c>
      <c r="L118" s="427" t="str">
        <v>—</v>
      </c>
      <c r="M118" s="428" t="str">
        <v>—</v>
      </c>
      <c r="N118" s="426" t="str">
        <v>—</v>
      </c>
      <c r="O118" s="427">
        <v>0</v>
      </c>
      <c r="P118" s="427" t="str">
        <v>—</v>
      </c>
      <c r="Q118" s="428" t="str">
        <v>—</v>
      </c>
      <c r="R118" s="426" t="str">
        <v>—</v>
      </c>
    </row>
    <row r="119" spans="2:18" x14ac:dyDescent="0.25">
      <c r="B119" s="439" t="str">
        <v>ME-11</v>
      </c>
      <c r="C119" s="438" t="str">
        <v>INACTIVA</v>
      </c>
      <c r="D119" s="442">
        <v>144</v>
      </c>
      <c r="E119" s="421" t="str">
        <v>8T4877</v>
      </c>
      <c r="F119" s="443" t="str">
        <v>JUNTAS</v>
      </c>
      <c r="G119" s="423">
        <v>1</v>
      </c>
      <c r="H119" s="424">
        <v>857.23</v>
      </c>
      <c r="I119" s="425">
        <v>857.23</v>
      </c>
      <c r="J119" s="426" t="str">
        <v>5-7</v>
      </c>
      <c r="K119" s="427">
        <v>0</v>
      </c>
      <c r="L119" s="427" t="str">
        <v>—</v>
      </c>
      <c r="M119" s="428" t="str">
        <v>—</v>
      </c>
      <c r="N119" s="426" t="str">
        <v>—</v>
      </c>
      <c r="O119" s="427">
        <v>0</v>
      </c>
      <c r="P119" s="427" t="str">
        <v>—</v>
      </c>
      <c r="Q119" s="428" t="str">
        <v>—</v>
      </c>
      <c r="R119" s="426" t="str">
        <v>—</v>
      </c>
    </row>
    <row r="120" spans="2:18" x14ac:dyDescent="0.25">
      <c r="B120" s="439" t="str">
        <v>ME-11</v>
      </c>
      <c r="C120" s="438" t="str">
        <v>INACTIVA</v>
      </c>
      <c r="D120" s="442">
        <v>144</v>
      </c>
      <c r="E120" s="421" t="str">
        <v>1S6481</v>
      </c>
      <c r="F120" s="443" t="str">
        <v>JUNTAS</v>
      </c>
      <c r="G120" s="423">
        <v>1</v>
      </c>
      <c r="H120" s="424">
        <v>1394.95</v>
      </c>
      <c r="I120" s="425">
        <v>1394.95</v>
      </c>
      <c r="J120" s="426" t="str">
        <v>5-7</v>
      </c>
      <c r="K120" s="427">
        <v>0</v>
      </c>
      <c r="L120" s="427" t="str">
        <v>—</v>
      </c>
      <c r="M120" s="428" t="str">
        <v>—</v>
      </c>
      <c r="N120" s="426" t="str">
        <v>—</v>
      </c>
      <c r="O120" s="427">
        <v>0</v>
      </c>
      <c r="P120" s="427" t="str">
        <v>—</v>
      </c>
      <c r="Q120" s="428" t="str">
        <v>—</v>
      </c>
      <c r="R120" s="426" t="str">
        <v>—</v>
      </c>
    </row>
    <row r="121" spans="2:18" x14ac:dyDescent="0.25">
      <c r="B121" s="439" t="str">
        <v>ME-11</v>
      </c>
      <c r="C121" s="438" t="str">
        <v>INACTIVA</v>
      </c>
      <c r="D121" s="442">
        <v>144</v>
      </c>
      <c r="E121" s="421" t="str">
        <v>1T1356</v>
      </c>
      <c r="F121" s="443" t="str">
        <v>JUNTAS</v>
      </c>
      <c r="G121" s="423">
        <v>1</v>
      </c>
      <c r="H121" s="424">
        <v>2172.34</v>
      </c>
      <c r="I121" s="425">
        <v>2172.34</v>
      </c>
      <c r="J121" s="426" t="str">
        <v>5-7</v>
      </c>
      <c r="K121" s="427">
        <v>0</v>
      </c>
      <c r="L121" s="427" t="str">
        <v>—</v>
      </c>
      <c r="M121" s="428" t="str">
        <v>—</v>
      </c>
      <c r="N121" s="426" t="str">
        <v>—</v>
      </c>
      <c r="O121" s="427">
        <v>0</v>
      </c>
      <c r="P121" s="427" t="str">
        <v>—</v>
      </c>
      <c r="Q121" s="428" t="str">
        <v>—</v>
      </c>
      <c r="R121" s="426" t="str">
        <v>—</v>
      </c>
    </row>
    <row r="122" spans="2:18" x14ac:dyDescent="0.25">
      <c r="B122" s="439" t="str">
        <v>ME-11</v>
      </c>
      <c r="C122" s="438" t="str">
        <v>INACTIVA</v>
      </c>
      <c r="D122" s="442">
        <v>144</v>
      </c>
      <c r="E122" s="421" t="str">
        <v>1T1597</v>
      </c>
      <c r="F122" s="443" t="str">
        <v>EMPAQUE</v>
      </c>
      <c r="G122" s="423">
        <v>2</v>
      </c>
      <c r="H122" s="424">
        <v>2152.12</v>
      </c>
      <c r="I122" s="425">
        <v>4304.24</v>
      </c>
      <c r="J122" s="426" t="str">
        <v>5-7</v>
      </c>
      <c r="K122" s="427">
        <v>0</v>
      </c>
      <c r="L122" s="427" t="str">
        <v>—</v>
      </c>
      <c r="M122" s="428" t="str">
        <v>—</v>
      </c>
      <c r="N122" s="426" t="str">
        <v>—</v>
      </c>
      <c r="O122" s="427">
        <v>0</v>
      </c>
      <c r="P122" s="427" t="str">
        <v>—</v>
      </c>
      <c r="Q122" s="428" t="str">
        <v>—</v>
      </c>
      <c r="R122" s="426" t="str">
        <v>—</v>
      </c>
    </row>
    <row r="123" spans="2:18" x14ac:dyDescent="0.25">
      <c r="B123" s="439" t="str">
        <v>ME-11</v>
      </c>
      <c r="C123" s="438" t="str">
        <v>INACTIVA</v>
      </c>
      <c r="D123" s="442">
        <v>144</v>
      </c>
      <c r="E123" s="421" t="str">
        <v>1T1599</v>
      </c>
      <c r="F123" s="443" t="str">
        <v>JUNTA</v>
      </c>
      <c r="G123" s="423">
        <v>1</v>
      </c>
      <c r="H123" s="424">
        <v>931.87</v>
      </c>
      <c r="I123" s="425">
        <v>931.87</v>
      </c>
      <c r="J123" s="426" t="str">
        <v>5-7</v>
      </c>
      <c r="K123" s="427">
        <v>0</v>
      </c>
      <c r="L123" s="427" t="str">
        <v>—</v>
      </c>
      <c r="M123" s="428" t="str">
        <v>—</v>
      </c>
      <c r="N123" s="426" t="str">
        <v>—</v>
      </c>
      <c r="O123" s="427">
        <v>0</v>
      </c>
      <c r="P123" s="427" t="str">
        <v>—</v>
      </c>
      <c r="Q123" s="428" t="str">
        <v>—</v>
      </c>
      <c r="R123" s="426" t="str">
        <v>—</v>
      </c>
    </row>
    <row r="124" spans="2:18" x14ac:dyDescent="0.25">
      <c r="B124" s="439" t="str">
        <v>ME-11</v>
      </c>
      <c r="C124" s="438" t="str">
        <v>INACTIVA</v>
      </c>
      <c r="D124" s="442">
        <v>144</v>
      </c>
      <c r="E124" s="421" t="str">
        <v>3S1279</v>
      </c>
      <c r="F124" s="443" t="str">
        <v>SELLO</v>
      </c>
      <c r="G124" s="423">
        <v>1</v>
      </c>
      <c r="H124" s="424">
        <v>857.23</v>
      </c>
      <c r="I124" s="425">
        <v>857.23</v>
      </c>
      <c r="J124" s="426" t="str">
        <v>5-7</v>
      </c>
      <c r="K124" s="427">
        <v>0</v>
      </c>
      <c r="L124" s="427" t="str">
        <v>—</v>
      </c>
      <c r="M124" s="428" t="str">
        <v>—</v>
      </c>
      <c r="N124" s="426" t="str">
        <v>—</v>
      </c>
      <c r="O124" s="427">
        <v>0</v>
      </c>
      <c r="P124" s="427" t="str">
        <v>—</v>
      </c>
      <c r="Q124" s="428" t="str">
        <v>—</v>
      </c>
      <c r="R124" s="426" t="str">
        <v>—</v>
      </c>
    </row>
    <row r="125" spans="2:18" x14ac:dyDescent="0.25">
      <c r="B125" s="439" t="str">
        <v>ME-11</v>
      </c>
      <c r="C125" s="438" t="str">
        <v>INACTIVA</v>
      </c>
      <c r="D125" s="442">
        <v>144</v>
      </c>
      <c r="E125" s="421" t="str">
        <v>8T4878</v>
      </c>
      <c r="F125" s="443" t="str">
        <v>SELLO</v>
      </c>
      <c r="G125" s="423">
        <v>1</v>
      </c>
      <c r="H125" s="424">
        <v>1394.95</v>
      </c>
      <c r="I125" s="425">
        <v>1394.95</v>
      </c>
      <c r="J125" s="426" t="str">
        <v>5-7</v>
      </c>
      <c r="K125" s="427">
        <v>0</v>
      </c>
      <c r="L125" s="427" t="str">
        <v>—</v>
      </c>
      <c r="M125" s="428" t="str">
        <v>—</v>
      </c>
      <c r="N125" s="426" t="str">
        <v>—</v>
      </c>
      <c r="O125" s="427">
        <v>0</v>
      </c>
      <c r="P125" s="427" t="str">
        <v>—</v>
      </c>
      <c r="Q125" s="428" t="str">
        <v>—</v>
      </c>
      <c r="R125" s="426" t="str">
        <v>—</v>
      </c>
    </row>
    <row r="126" spans="2:18" x14ac:dyDescent="0.25">
      <c r="B126" s="439" t="str">
        <v>ME-11</v>
      </c>
      <c r="C126" s="438" t="str">
        <v>INACTIVA</v>
      </c>
      <c r="D126" s="442">
        <v>144</v>
      </c>
      <c r="E126" s="421" t="str">
        <v>1P3704</v>
      </c>
      <c r="F126" s="443" t="str">
        <v>EMPAQUES</v>
      </c>
      <c r="G126" s="423">
        <v>1</v>
      </c>
      <c r="H126" s="424">
        <v>2172.34</v>
      </c>
      <c r="I126" s="425">
        <v>2172.34</v>
      </c>
      <c r="J126" s="426" t="str">
        <v>5-7</v>
      </c>
      <c r="K126" s="427">
        <v>0</v>
      </c>
      <c r="L126" s="427" t="str">
        <v>—</v>
      </c>
      <c r="M126" s="428" t="str">
        <v>—</v>
      </c>
      <c r="N126" s="426" t="str">
        <v>—</v>
      </c>
      <c r="O126" s="427">
        <v>0</v>
      </c>
      <c r="P126" s="427" t="str">
        <v>—</v>
      </c>
      <c r="Q126" s="428" t="str">
        <v>—</v>
      </c>
      <c r="R126" s="426" t="str">
        <v>—</v>
      </c>
    </row>
    <row r="127" spans="2:18" x14ac:dyDescent="0.25">
      <c r="B127" s="439" t="str">
        <v>ME-11</v>
      </c>
      <c r="C127" s="438" t="str">
        <v>INACTIVA</v>
      </c>
      <c r="D127" s="442">
        <v>144</v>
      </c>
      <c r="E127" s="421" t="str">
        <v>3D2824</v>
      </c>
      <c r="F127" s="443" t="str">
        <v>EMPAQUE</v>
      </c>
      <c r="G127" s="423">
        <v>1</v>
      </c>
      <c r="H127" s="424">
        <v>2152.12</v>
      </c>
      <c r="I127" s="425">
        <v>2152.12</v>
      </c>
      <c r="J127" s="426" t="str">
        <v>5-7</v>
      </c>
      <c r="K127" s="427">
        <v>0</v>
      </c>
      <c r="L127" s="427" t="str">
        <v>—</v>
      </c>
      <c r="M127" s="428" t="str">
        <v>—</v>
      </c>
      <c r="N127" s="426" t="str">
        <v>—</v>
      </c>
      <c r="O127" s="427">
        <v>0</v>
      </c>
      <c r="P127" s="427" t="str">
        <v>—</v>
      </c>
      <c r="Q127" s="428" t="str">
        <v>—</v>
      </c>
      <c r="R127" s="426" t="str">
        <v>—</v>
      </c>
    </row>
    <row r="128" spans="2:18" x14ac:dyDescent="0.25">
      <c r="B128" s="439" t="str">
        <v>ME-11</v>
      </c>
      <c r="C128" s="438" t="str">
        <v>INACTIVA</v>
      </c>
      <c r="D128" s="442">
        <v>144</v>
      </c>
      <c r="E128" s="421" t="str">
        <v>3J1907</v>
      </c>
      <c r="F128" s="443" t="str">
        <v>JUNTA</v>
      </c>
      <c r="G128" s="423">
        <v>1</v>
      </c>
      <c r="H128" s="424">
        <v>931.87</v>
      </c>
      <c r="I128" s="425">
        <v>931.87</v>
      </c>
      <c r="J128" s="426" t="str">
        <v>5-7</v>
      </c>
      <c r="K128" s="427">
        <v>0</v>
      </c>
      <c r="L128" s="427" t="str">
        <v>—</v>
      </c>
      <c r="M128" s="428" t="str">
        <v>—</v>
      </c>
      <c r="N128" s="426" t="str">
        <v>—</v>
      </c>
      <c r="O128" s="427">
        <v>0</v>
      </c>
      <c r="P128" s="427" t="str">
        <v>—</v>
      </c>
      <c r="Q128" s="428" t="str">
        <v>—</v>
      </c>
      <c r="R128" s="426" t="str">
        <v>—</v>
      </c>
    </row>
    <row r="129" spans="2:18" x14ac:dyDescent="0.25">
      <c r="B129" s="439" t="str">
        <v>ME-11</v>
      </c>
      <c r="C129" s="438" t="str">
        <v>INACTIVA</v>
      </c>
      <c r="D129" s="442">
        <v>144</v>
      </c>
      <c r="E129" s="421" t="str">
        <v>3J7354</v>
      </c>
      <c r="F129" s="443" t="str">
        <v>SELLO</v>
      </c>
      <c r="G129" s="423">
        <v>3</v>
      </c>
      <c r="H129" s="424">
        <v>76.430000000000007</v>
      </c>
      <c r="I129" s="425">
        <v>229.29000000000002</v>
      </c>
      <c r="J129" s="426" t="str">
        <v>5-7</v>
      </c>
      <c r="K129" s="427">
        <v>0</v>
      </c>
      <c r="L129" s="427" t="str">
        <v>—</v>
      </c>
      <c r="M129" s="428" t="str">
        <v>—</v>
      </c>
      <c r="N129" s="426" t="str">
        <v>—</v>
      </c>
      <c r="O129" s="427">
        <v>0</v>
      </c>
      <c r="P129" s="427" t="str">
        <v>—</v>
      </c>
      <c r="Q129" s="428" t="str">
        <v>—</v>
      </c>
      <c r="R129" s="426" t="str">
        <v>—</v>
      </c>
    </row>
    <row r="130" spans="2:18" x14ac:dyDescent="0.25">
      <c r="B130" s="439" t="str">
        <v>ME-11</v>
      </c>
      <c r="C130" s="438" t="str">
        <v>INACTIVA</v>
      </c>
      <c r="D130" s="442">
        <v>144</v>
      </c>
      <c r="E130" s="421" t="str">
        <v>5B5947</v>
      </c>
      <c r="F130" s="443" t="str">
        <v>EMPAQUES</v>
      </c>
      <c r="G130" s="423">
        <v>4</v>
      </c>
      <c r="H130" s="424">
        <v>48.33</v>
      </c>
      <c r="I130" s="425">
        <v>193.32</v>
      </c>
      <c r="J130" s="426" t="str">
        <v>5-7</v>
      </c>
      <c r="K130" s="427">
        <v>0</v>
      </c>
      <c r="L130" s="427" t="str">
        <v>—</v>
      </c>
      <c r="M130" s="428" t="str">
        <v>—</v>
      </c>
      <c r="N130" s="426" t="str">
        <v>—</v>
      </c>
      <c r="O130" s="427">
        <v>0</v>
      </c>
      <c r="P130" s="427" t="str">
        <v>—</v>
      </c>
      <c r="Q130" s="428" t="str">
        <v>—</v>
      </c>
      <c r="R130" s="426" t="str">
        <v>—</v>
      </c>
    </row>
    <row r="131" spans="2:18" x14ac:dyDescent="0.25">
      <c r="B131" s="439" t="str">
        <v>ME-11</v>
      </c>
      <c r="C131" s="438" t="str">
        <v>INACTIVA</v>
      </c>
      <c r="D131" s="442">
        <v>144</v>
      </c>
      <c r="E131" s="421" t="str">
        <v>8M4431</v>
      </c>
      <c r="F131" s="443" t="str">
        <v>JUNTAS</v>
      </c>
      <c r="G131" s="423">
        <v>1</v>
      </c>
      <c r="H131" s="424">
        <v>31.5</v>
      </c>
      <c r="I131" s="425">
        <v>31.5</v>
      </c>
      <c r="J131" s="426" t="str">
        <v>5-7</v>
      </c>
      <c r="K131" s="427">
        <v>0</v>
      </c>
      <c r="L131" s="427" t="str">
        <v>—</v>
      </c>
      <c r="M131" s="428" t="str">
        <v>—</v>
      </c>
      <c r="N131" s="426" t="str">
        <v>—</v>
      </c>
      <c r="O131" s="427">
        <v>0</v>
      </c>
      <c r="P131" s="427" t="str">
        <v>—</v>
      </c>
      <c r="Q131" s="428" t="str">
        <v>—</v>
      </c>
      <c r="R131" s="426" t="str">
        <v>—</v>
      </c>
    </row>
    <row r="132" spans="2:18" x14ac:dyDescent="0.25">
      <c r="B132" s="439" t="str">
        <v>ME-11</v>
      </c>
      <c r="C132" s="438" t="str">
        <v>INACTIVA</v>
      </c>
      <c r="D132" s="442">
        <v>144</v>
      </c>
      <c r="E132" s="421" t="str">
        <v>3J7354</v>
      </c>
      <c r="F132" s="443" t="str">
        <v>JUNTA CAUC</v>
      </c>
      <c r="G132" s="423">
        <v>1</v>
      </c>
      <c r="H132" s="424">
        <v>28.28</v>
      </c>
      <c r="I132" s="425">
        <v>28.28</v>
      </c>
      <c r="J132" s="426" t="str">
        <v>5-7</v>
      </c>
      <c r="K132" s="427">
        <v>0</v>
      </c>
      <c r="L132" s="427" t="str">
        <v>—</v>
      </c>
      <c r="M132" s="428" t="str">
        <v>—</v>
      </c>
      <c r="N132" s="426" t="str">
        <v>—</v>
      </c>
      <c r="O132" s="427">
        <v>0</v>
      </c>
      <c r="P132" s="427" t="str">
        <v>—</v>
      </c>
      <c r="Q132" s="428" t="str">
        <v>—</v>
      </c>
      <c r="R132" s="426" t="str">
        <v>—</v>
      </c>
    </row>
    <row r="133" spans="2:18" x14ac:dyDescent="0.25">
      <c r="B133" s="439" t="str">
        <v>ME-11</v>
      </c>
      <c r="C133" s="438" t="str">
        <v>INACTIVA</v>
      </c>
      <c r="D133" s="442">
        <v>144</v>
      </c>
      <c r="E133" s="421" t="str">
        <v>5B5947</v>
      </c>
      <c r="F133" s="443" t="str">
        <v>GASKET</v>
      </c>
      <c r="G133" s="423">
        <v>1</v>
      </c>
      <c r="H133" s="424">
        <v>85.38</v>
      </c>
      <c r="I133" s="425">
        <v>85.38</v>
      </c>
      <c r="J133" s="426" t="str">
        <v>5-7</v>
      </c>
      <c r="K133" s="427">
        <v>0</v>
      </c>
      <c r="L133" s="427" t="str">
        <v>—</v>
      </c>
      <c r="M133" s="428" t="str">
        <v>—</v>
      </c>
      <c r="N133" s="426" t="str">
        <v>—</v>
      </c>
      <c r="O133" s="427">
        <v>0</v>
      </c>
      <c r="P133" s="427" t="str">
        <v>—</v>
      </c>
      <c r="Q133" s="428" t="str">
        <v>—</v>
      </c>
      <c r="R133" s="426" t="str">
        <v>—</v>
      </c>
    </row>
    <row r="134" spans="2:18" x14ac:dyDescent="0.25">
      <c r="B134" s="439" t="str">
        <v>ME-11</v>
      </c>
      <c r="C134" s="438" t="str">
        <v>INACTIVA</v>
      </c>
      <c r="D134" s="442">
        <v>144</v>
      </c>
      <c r="E134" s="421" t="str">
        <v>8M4431</v>
      </c>
      <c r="F134" s="443" t="str">
        <v>ANILLO</v>
      </c>
      <c r="G134" s="423">
        <v>1</v>
      </c>
      <c r="H134" s="424">
        <v>84.49</v>
      </c>
      <c r="I134" s="425">
        <v>84.49</v>
      </c>
      <c r="J134" s="426" t="str">
        <v>5-7</v>
      </c>
      <c r="K134" s="427">
        <v>0</v>
      </c>
      <c r="L134" s="427" t="str">
        <v>—</v>
      </c>
      <c r="M134" s="428" t="str">
        <v>—</v>
      </c>
      <c r="N134" s="426" t="str">
        <v>—</v>
      </c>
      <c r="O134" s="427">
        <v>0</v>
      </c>
      <c r="P134" s="427" t="str">
        <v>—</v>
      </c>
      <c r="Q134" s="428" t="str">
        <v>—</v>
      </c>
      <c r="R134" s="426" t="str">
        <v>—</v>
      </c>
    </row>
    <row r="135" spans="2:18" x14ac:dyDescent="0.25">
      <c r="B135" s="439" t="str">
        <v>ME-11</v>
      </c>
      <c r="C135" s="438" t="str">
        <v>INACTIVA</v>
      </c>
      <c r="D135" s="442">
        <v>144</v>
      </c>
      <c r="E135" s="421" t="str">
        <v>8M4986</v>
      </c>
      <c r="F135" s="443" t="str">
        <v>JUNTA</v>
      </c>
      <c r="G135" s="423">
        <v>4</v>
      </c>
      <c r="H135" s="424">
        <v>130.49</v>
      </c>
      <c r="I135" s="425">
        <v>521.96</v>
      </c>
      <c r="J135" s="426" t="str">
        <v>5-7</v>
      </c>
      <c r="K135" s="427">
        <v>0</v>
      </c>
      <c r="L135" s="427" t="str">
        <v>—</v>
      </c>
      <c r="M135" s="428" t="str">
        <v>—</v>
      </c>
      <c r="N135" s="426" t="str">
        <v>—</v>
      </c>
      <c r="O135" s="427">
        <v>0</v>
      </c>
      <c r="P135" s="427" t="str">
        <v>—</v>
      </c>
      <c r="Q135" s="428" t="str">
        <v>—</v>
      </c>
      <c r="R135" s="426" t="str">
        <v>—</v>
      </c>
    </row>
    <row r="136" spans="2:18" x14ac:dyDescent="0.25">
      <c r="B136" s="439" t="str">
        <v>ME-11</v>
      </c>
      <c r="C136" s="438" t="str">
        <v>INACTIVA</v>
      </c>
      <c r="D136" s="442">
        <v>144</v>
      </c>
      <c r="E136" s="421" t="str">
        <v>8M4987</v>
      </c>
      <c r="F136" s="443" t="str">
        <v>JUNTA</v>
      </c>
      <c r="G136" s="423">
        <v>4</v>
      </c>
      <c r="H136" s="424">
        <v>116.89</v>
      </c>
      <c r="I136" s="425">
        <v>467.56</v>
      </c>
      <c r="J136" s="426" t="str">
        <v>5-7</v>
      </c>
      <c r="K136" s="427">
        <v>0</v>
      </c>
      <c r="L136" s="427" t="str">
        <v>—</v>
      </c>
      <c r="M136" s="428" t="str">
        <v>—</v>
      </c>
      <c r="N136" s="426" t="str">
        <v>—</v>
      </c>
      <c r="O136" s="427">
        <v>0</v>
      </c>
      <c r="P136" s="427" t="str">
        <v>—</v>
      </c>
      <c r="Q136" s="428" t="str">
        <v>—</v>
      </c>
      <c r="R136" s="426" t="str">
        <v>—</v>
      </c>
    </row>
    <row r="137" spans="2:18" x14ac:dyDescent="0.25">
      <c r="B137" s="439" t="str">
        <v>ME-11</v>
      </c>
      <c r="C137" s="438" t="str">
        <v>INACTIVA</v>
      </c>
      <c r="D137" s="442">
        <v>144</v>
      </c>
      <c r="E137" s="421" t="str">
        <v>8M4988</v>
      </c>
      <c r="F137" s="443" t="str">
        <v>JUNTA</v>
      </c>
      <c r="G137" s="423">
        <v>2</v>
      </c>
      <c r="H137" s="424">
        <v>97.73</v>
      </c>
      <c r="I137" s="425">
        <v>195.46</v>
      </c>
      <c r="J137" s="426" t="str">
        <v>5-7</v>
      </c>
      <c r="K137" s="427">
        <v>0</v>
      </c>
      <c r="L137" s="427" t="str">
        <v>—</v>
      </c>
      <c r="M137" s="428" t="str">
        <v>—</v>
      </c>
      <c r="N137" s="426" t="str">
        <v>—</v>
      </c>
      <c r="O137" s="427">
        <v>0</v>
      </c>
      <c r="P137" s="427" t="str">
        <v>—</v>
      </c>
      <c r="Q137" s="428" t="str">
        <v>—</v>
      </c>
      <c r="R137" s="426" t="str">
        <v>—</v>
      </c>
    </row>
    <row r="138" spans="2:18" x14ac:dyDescent="0.25">
      <c r="B138" s="439" t="str">
        <v>ME-11</v>
      </c>
      <c r="C138" s="438" t="str">
        <v>INACTIVA</v>
      </c>
      <c r="D138" s="442">
        <v>144</v>
      </c>
      <c r="E138" s="421" t="str">
        <v>8M5010</v>
      </c>
      <c r="F138" s="443" t="str">
        <v>SELLO</v>
      </c>
      <c r="G138" s="423">
        <v>1</v>
      </c>
      <c r="H138" s="424">
        <v>171.3</v>
      </c>
      <c r="I138" s="425">
        <v>171.3</v>
      </c>
      <c r="J138" s="426" t="str">
        <v>5-7</v>
      </c>
      <c r="K138" s="427">
        <v>0</v>
      </c>
      <c r="L138" s="427" t="str">
        <v>—</v>
      </c>
      <c r="M138" s="428" t="str">
        <v>—</v>
      </c>
      <c r="N138" s="426" t="str">
        <v>—</v>
      </c>
      <c r="O138" s="427">
        <v>0</v>
      </c>
      <c r="P138" s="427" t="str">
        <v>—</v>
      </c>
      <c r="Q138" s="428" t="str">
        <v>—</v>
      </c>
      <c r="R138" s="426" t="str">
        <v>—</v>
      </c>
    </row>
    <row r="139" spans="2:18" x14ac:dyDescent="0.25">
      <c r="B139" s="439" t="str">
        <v>ME-11</v>
      </c>
      <c r="C139" s="438" t="str">
        <v>INACTIVA</v>
      </c>
      <c r="D139" s="442">
        <v>144</v>
      </c>
      <c r="E139" s="421" t="str">
        <v>8M5254</v>
      </c>
      <c r="F139" s="443" t="str">
        <v>SELLO</v>
      </c>
      <c r="G139" s="423">
        <v>1</v>
      </c>
      <c r="H139" s="424">
        <v>113.13</v>
      </c>
      <c r="I139" s="425">
        <v>113.13</v>
      </c>
      <c r="J139" s="426" t="str">
        <v>5-7</v>
      </c>
      <c r="K139" s="427">
        <v>0</v>
      </c>
      <c r="L139" s="427" t="str">
        <v>—</v>
      </c>
      <c r="M139" s="428" t="str">
        <v>—</v>
      </c>
      <c r="N139" s="426" t="str">
        <v>—</v>
      </c>
      <c r="O139" s="427">
        <v>0</v>
      </c>
      <c r="P139" s="427" t="str">
        <v>—</v>
      </c>
      <c r="Q139" s="428" t="str">
        <v>—</v>
      </c>
      <c r="R139" s="426" t="str">
        <v>—</v>
      </c>
    </row>
    <row r="140" spans="2:18" x14ac:dyDescent="0.25">
      <c r="B140" s="439" t="str">
        <v>ME-11</v>
      </c>
      <c r="C140" s="438" t="str">
        <v>INACTIVA</v>
      </c>
      <c r="D140" s="442">
        <v>144</v>
      </c>
      <c r="E140" s="421" t="str">
        <v>8M5661</v>
      </c>
      <c r="F140" s="443" t="str">
        <v>JUNTA</v>
      </c>
      <c r="G140" s="423">
        <v>6</v>
      </c>
      <c r="H140" s="424">
        <v>153.76</v>
      </c>
      <c r="I140" s="425">
        <v>922.56</v>
      </c>
      <c r="J140" s="426" t="str">
        <v>5-7</v>
      </c>
      <c r="K140" s="427">
        <v>0</v>
      </c>
      <c r="L140" s="427" t="str">
        <v>—</v>
      </c>
      <c r="M140" s="428" t="str">
        <v>—</v>
      </c>
      <c r="N140" s="426" t="str">
        <v>—</v>
      </c>
      <c r="O140" s="427">
        <v>0</v>
      </c>
      <c r="P140" s="427" t="str">
        <v>—</v>
      </c>
      <c r="Q140" s="428" t="str">
        <v>—</v>
      </c>
      <c r="R140" s="426" t="str">
        <v>—</v>
      </c>
    </row>
    <row r="141" spans="2:18" x14ac:dyDescent="0.25">
      <c r="B141" s="439" t="str">
        <v>ME-11</v>
      </c>
      <c r="C141" s="438" t="str">
        <v>INACTIVA</v>
      </c>
      <c r="D141" s="442">
        <v>144</v>
      </c>
      <c r="E141" s="421" t="str">
        <v>8M8281</v>
      </c>
      <c r="F141" s="443" t="str">
        <v>EMPAQUE HU</v>
      </c>
      <c r="G141" s="423">
        <v>1</v>
      </c>
      <c r="H141" s="424">
        <v>50.48</v>
      </c>
      <c r="I141" s="425">
        <v>50.48</v>
      </c>
      <c r="J141" s="426" t="str">
        <v>5-7</v>
      </c>
      <c r="K141" s="427">
        <v>0</v>
      </c>
      <c r="L141" s="427" t="str">
        <v>—</v>
      </c>
      <c r="M141" s="428" t="str">
        <v>—</v>
      </c>
      <c r="N141" s="426" t="str">
        <v>—</v>
      </c>
      <c r="O141" s="427">
        <v>0</v>
      </c>
      <c r="P141" s="427" t="str">
        <v>—</v>
      </c>
      <c r="Q141" s="428" t="str">
        <v>—</v>
      </c>
      <c r="R141" s="426" t="str">
        <v>—</v>
      </c>
    </row>
    <row r="142" spans="2:18" x14ac:dyDescent="0.25">
      <c r="B142" s="439" t="str">
        <v>ME-11</v>
      </c>
      <c r="C142" s="438" t="str">
        <v>INACTIVA</v>
      </c>
      <c r="D142" s="442">
        <v>144</v>
      </c>
      <c r="E142" s="421" t="str">
        <v>9M7539</v>
      </c>
      <c r="F142" s="443" t="str">
        <v>JUNTA</v>
      </c>
      <c r="G142" s="423">
        <v>1</v>
      </c>
      <c r="H142" s="424">
        <v>209.61</v>
      </c>
      <c r="I142" s="425">
        <v>209.61</v>
      </c>
      <c r="J142" s="426" t="str">
        <v>5-7</v>
      </c>
      <c r="K142" s="427">
        <v>0</v>
      </c>
      <c r="L142" s="427" t="str">
        <v>—</v>
      </c>
      <c r="M142" s="428" t="str">
        <v>—</v>
      </c>
      <c r="N142" s="426" t="str">
        <v>—</v>
      </c>
      <c r="O142" s="427">
        <v>0</v>
      </c>
      <c r="P142" s="427" t="str">
        <v>—</v>
      </c>
      <c r="Q142" s="428" t="str">
        <v>—</v>
      </c>
      <c r="R142" s="426" t="str">
        <v>—</v>
      </c>
    </row>
    <row r="143" spans="2:18" x14ac:dyDescent="0.25">
      <c r="B143" s="439" t="str">
        <v>ME-11</v>
      </c>
      <c r="C143" s="438" t="str">
        <v>INACTIVA</v>
      </c>
      <c r="D143" s="442">
        <v>144</v>
      </c>
      <c r="E143" s="421" t="str">
        <v>3J7354</v>
      </c>
      <c r="F143" s="443" t="str">
        <v>JUNTA CAUC</v>
      </c>
      <c r="G143" s="423">
        <v>1</v>
      </c>
      <c r="H143" s="424">
        <v>28.28</v>
      </c>
      <c r="I143" s="425">
        <v>28.28</v>
      </c>
      <c r="J143" s="426" t="str">
        <v>5-7</v>
      </c>
      <c r="K143" s="427">
        <v>0</v>
      </c>
      <c r="L143" s="427" t="str">
        <v>—</v>
      </c>
      <c r="M143" s="428" t="str">
        <v>—</v>
      </c>
      <c r="N143" s="426" t="str">
        <v>—</v>
      </c>
      <c r="O143" s="427">
        <v>0</v>
      </c>
      <c r="P143" s="427" t="str">
        <v>—</v>
      </c>
      <c r="Q143" s="428" t="str">
        <v>—</v>
      </c>
      <c r="R143" s="426" t="str">
        <v>—</v>
      </c>
    </row>
    <row r="144" spans="2:18" x14ac:dyDescent="0.25">
      <c r="B144" s="439" t="str">
        <v>ME-11</v>
      </c>
      <c r="C144" s="438" t="str">
        <v>INACTIVA</v>
      </c>
      <c r="D144" s="442">
        <v>144</v>
      </c>
      <c r="E144" s="421" t="str">
        <v>5B5947</v>
      </c>
      <c r="F144" s="443" t="str">
        <v>GASKET</v>
      </c>
      <c r="G144" s="423">
        <v>1</v>
      </c>
      <c r="H144" s="424">
        <v>85.38</v>
      </c>
      <c r="I144" s="425">
        <v>85.38</v>
      </c>
      <c r="J144" s="426" t="str">
        <v>5-7</v>
      </c>
      <c r="K144" s="427">
        <v>0</v>
      </c>
      <c r="L144" s="427" t="str">
        <v>—</v>
      </c>
      <c r="M144" s="428" t="str">
        <v>—</v>
      </c>
      <c r="N144" s="426" t="str">
        <v>—</v>
      </c>
      <c r="O144" s="427">
        <v>0</v>
      </c>
      <c r="P144" s="427" t="str">
        <v>—</v>
      </c>
      <c r="Q144" s="428" t="str">
        <v>—</v>
      </c>
      <c r="R144" s="426" t="str">
        <v>—</v>
      </c>
    </row>
    <row r="145" spans="2:18" x14ac:dyDescent="0.25">
      <c r="B145" s="439" t="str">
        <v>ME-11</v>
      </c>
      <c r="C145" s="438" t="str">
        <v>INACTIVA</v>
      </c>
      <c r="D145" s="442">
        <v>144</v>
      </c>
      <c r="E145" s="421" t="str">
        <v>8M4431</v>
      </c>
      <c r="F145" s="443" t="str">
        <v>ANILLO</v>
      </c>
      <c r="G145" s="423">
        <v>1</v>
      </c>
      <c r="H145" s="424">
        <v>84.49</v>
      </c>
      <c r="I145" s="425">
        <v>84.49</v>
      </c>
      <c r="J145" s="426" t="str">
        <v>5-7</v>
      </c>
      <c r="K145" s="427">
        <v>0</v>
      </c>
      <c r="L145" s="427" t="str">
        <v>—</v>
      </c>
      <c r="M145" s="428" t="str">
        <v>—</v>
      </c>
      <c r="N145" s="426" t="str">
        <v>—</v>
      </c>
      <c r="O145" s="427">
        <v>0</v>
      </c>
      <c r="P145" s="427" t="str">
        <v>—</v>
      </c>
      <c r="Q145" s="428" t="str">
        <v>—</v>
      </c>
      <c r="R145" s="426" t="str">
        <v>—</v>
      </c>
    </row>
    <row r="146" spans="2:18" x14ac:dyDescent="0.25">
      <c r="B146" s="439" t="str">
        <v>ME-11</v>
      </c>
      <c r="C146" s="438" t="str">
        <v>INACTIVA</v>
      </c>
      <c r="D146" s="442">
        <v>144</v>
      </c>
      <c r="E146" s="421" t="str">
        <v>8M4986</v>
      </c>
      <c r="F146" s="443" t="str">
        <v>JUNTA</v>
      </c>
      <c r="G146" s="423">
        <v>4</v>
      </c>
      <c r="H146" s="424">
        <v>130.49</v>
      </c>
      <c r="I146" s="425">
        <v>521.96</v>
      </c>
      <c r="J146" s="426" t="str">
        <v>5-7</v>
      </c>
      <c r="K146" s="427">
        <v>0</v>
      </c>
      <c r="L146" s="427" t="str">
        <v>—</v>
      </c>
      <c r="M146" s="428" t="str">
        <v>—</v>
      </c>
      <c r="N146" s="426" t="str">
        <v>—</v>
      </c>
      <c r="O146" s="427">
        <v>0</v>
      </c>
      <c r="P146" s="427" t="str">
        <v>—</v>
      </c>
      <c r="Q146" s="428" t="str">
        <v>—</v>
      </c>
      <c r="R146" s="426" t="str">
        <v>—</v>
      </c>
    </row>
    <row r="147" spans="2:18" x14ac:dyDescent="0.25">
      <c r="B147" s="439" t="str">
        <v>ME-11</v>
      </c>
      <c r="C147" s="438" t="str">
        <v>INACTIVA</v>
      </c>
      <c r="D147" s="442">
        <v>144</v>
      </c>
      <c r="E147" s="421" t="str">
        <v>8M4987</v>
      </c>
      <c r="F147" s="443" t="str">
        <v>JUNTA</v>
      </c>
      <c r="G147" s="423">
        <v>4</v>
      </c>
      <c r="H147" s="424">
        <v>116.89</v>
      </c>
      <c r="I147" s="425">
        <v>467.56</v>
      </c>
      <c r="J147" s="426" t="str">
        <v>5-7</v>
      </c>
      <c r="K147" s="427">
        <v>0</v>
      </c>
      <c r="L147" s="427" t="str">
        <v>—</v>
      </c>
      <c r="M147" s="428" t="str">
        <v>—</v>
      </c>
      <c r="N147" s="426" t="str">
        <v>—</v>
      </c>
      <c r="O147" s="427">
        <v>0</v>
      </c>
      <c r="P147" s="427" t="str">
        <v>—</v>
      </c>
      <c r="Q147" s="428" t="str">
        <v>—</v>
      </c>
      <c r="R147" s="426" t="str">
        <v>—</v>
      </c>
    </row>
    <row r="148" spans="2:18" x14ac:dyDescent="0.25">
      <c r="B148" s="439" t="str">
        <v>ME-11</v>
      </c>
      <c r="C148" s="438" t="str">
        <v>INACTIVA</v>
      </c>
      <c r="D148" s="442">
        <v>144</v>
      </c>
      <c r="E148" s="421" t="str">
        <v>8M5010</v>
      </c>
      <c r="F148" s="443" t="str">
        <v>SELLO</v>
      </c>
      <c r="G148" s="423">
        <v>1</v>
      </c>
      <c r="H148" s="424">
        <v>171.3</v>
      </c>
      <c r="I148" s="425">
        <v>171.3</v>
      </c>
      <c r="J148" s="426" t="str">
        <v>5-7</v>
      </c>
      <c r="K148" s="427">
        <v>0</v>
      </c>
      <c r="L148" s="427" t="str">
        <v>—</v>
      </c>
      <c r="M148" s="428" t="str">
        <v>—</v>
      </c>
      <c r="N148" s="426" t="str">
        <v>—</v>
      </c>
      <c r="O148" s="427">
        <v>0</v>
      </c>
      <c r="P148" s="427" t="str">
        <v>—</v>
      </c>
      <c r="Q148" s="428" t="str">
        <v>—</v>
      </c>
      <c r="R148" s="426" t="str">
        <v>—</v>
      </c>
    </row>
    <row r="149" spans="2:18" x14ac:dyDescent="0.25">
      <c r="B149" s="439" t="str">
        <v>ME-11</v>
      </c>
      <c r="C149" s="438" t="str">
        <v>INACTIVA</v>
      </c>
      <c r="D149" s="442">
        <v>144</v>
      </c>
      <c r="E149" s="421" t="str">
        <v>8M5254</v>
      </c>
      <c r="F149" s="443" t="str">
        <v>SELLO</v>
      </c>
      <c r="G149" s="423">
        <v>1</v>
      </c>
      <c r="H149" s="424">
        <v>113.13</v>
      </c>
      <c r="I149" s="425">
        <v>113.13</v>
      </c>
      <c r="J149" s="426" t="str">
        <v>5-7</v>
      </c>
      <c r="K149" s="427">
        <v>0</v>
      </c>
      <c r="L149" s="427" t="str">
        <v>—</v>
      </c>
      <c r="M149" s="428" t="str">
        <v>—</v>
      </c>
      <c r="N149" s="426" t="str">
        <v>—</v>
      </c>
      <c r="O149" s="427">
        <v>0</v>
      </c>
      <c r="P149" s="427" t="str">
        <v>—</v>
      </c>
      <c r="Q149" s="428" t="str">
        <v>—</v>
      </c>
      <c r="R149" s="426" t="str">
        <v>—</v>
      </c>
    </row>
    <row r="150" spans="2:18" x14ac:dyDescent="0.25">
      <c r="B150" s="439" t="str">
        <v>ME-11</v>
      </c>
      <c r="C150" s="438" t="str">
        <v>INACTIVA</v>
      </c>
      <c r="D150" s="442">
        <v>144</v>
      </c>
      <c r="E150" s="421" t="str">
        <v>8M5661</v>
      </c>
      <c r="F150" s="443" t="str">
        <v>JUNTA</v>
      </c>
      <c r="G150" s="423">
        <v>6</v>
      </c>
      <c r="H150" s="424">
        <v>153.76</v>
      </c>
      <c r="I150" s="425">
        <v>922.56</v>
      </c>
      <c r="J150" s="426" t="str">
        <v>5-7</v>
      </c>
      <c r="K150" s="427">
        <v>0</v>
      </c>
      <c r="L150" s="427" t="str">
        <v>—</v>
      </c>
      <c r="M150" s="428" t="str">
        <v>—</v>
      </c>
      <c r="N150" s="426" t="str">
        <v>—</v>
      </c>
      <c r="O150" s="427">
        <v>0</v>
      </c>
      <c r="P150" s="427" t="str">
        <v>—</v>
      </c>
      <c r="Q150" s="428" t="str">
        <v>—</v>
      </c>
      <c r="R150" s="426" t="str">
        <v>—</v>
      </c>
    </row>
    <row r="151" spans="2:18" x14ac:dyDescent="0.25">
      <c r="B151" s="439" t="str">
        <v>ME-11</v>
      </c>
      <c r="C151" s="438" t="str">
        <v>INACTIVA</v>
      </c>
      <c r="D151" s="442">
        <v>144</v>
      </c>
      <c r="E151" s="421" t="str">
        <v>8M8281</v>
      </c>
      <c r="F151" s="443" t="str">
        <v>EMPAQUE HU</v>
      </c>
      <c r="G151" s="423">
        <v>1</v>
      </c>
      <c r="H151" s="424">
        <v>50.48</v>
      </c>
      <c r="I151" s="425">
        <v>50.48</v>
      </c>
      <c r="J151" s="426" t="str">
        <v>5-7</v>
      </c>
      <c r="K151" s="427">
        <v>0</v>
      </c>
      <c r="L151" s="427" t="str">
        <v>—</v>
      </c>
      <c r="M151" s="428" t="str">
        <v>—</v>
      </c>
      <c r="N151" s="426" t="str">
        <v>—</v>
      </c>
      <c r="O151" s="427">
        <v>0</v>
      </c>
      <c r="P151" s="427" t="str">
        <v>—</v>
      </c>
      <c r="Q151" s="428" t="str">
        <v>—</v>
      </c>
      <c r="R151" s="426" t="str">
        <v>—</v>
      </c>
    </row>
    <row r="152" spans="2:18" x14ac:dyDescent="0.25">
      <c r="B152" s="439" t="str">
        <v>ME-11</v>
      </c>
      <c r="C152" s="438" t="str">
        <v>INACTIVA</v>
      </c>
      <c r="D152" s="442">
        <v>144</v>
      </c>
      <c r="E152" s="421" t="str">
        <v>9M7539</v>
      </c>
      <c r="F152" s="443" t="str">
        <v>JUNTA</v>
      </c>
      <c r="G152" s="423">
        <v>1</v>
      </c>
      <c r="H152" s="424">
        <v>209.61</v>
      </c>
      <c r="I152" s="425">
        <v>209.61</v>
      </c>
      <c r="J152" s="426" t="str">
        <v>5-7</v>
      </c>
      <c r="K152" s="427">
        <v>0</v>
      </c>
      <c r="L152" s="427" t="str">
        <v>—</v>
      </c>
      <c r="M152" s="428" t="str">
        <v>—</v>
      </c>
      <c r="N152" s="426" t="str">
        <v>—</v>
      </c>
      <c r="O152" s="427">
        <v>0</v>
      </c>
      <c r="P152" s="427" t="str">
        <v>—</v>
      </c>
      <c r="Q152" s="428" t="str">
        <v>—</v>
      </c>
      <c r="R152" s="426" t="str">
        <v>—</v>
      </c>
    </row>
    <row r="153" spans="2:18" x14ac:dyDescent="0.25">
      <c r="B153" s="439" t="str">
        <v>ME-11</v>
      </c>
      <c r="C153" s="438" t="str">
        <v>INACTIVA</v>
      </c>
      <c r="D153" s="442">
        <v>144</v>
      </c>
      <c r="E153" s="421" t="str">
        <v>2131304</v>
      </c>
      <c r="F153" s="443" t="str">
        <v>GASKET KIT</v>
      </c>
      <c r="G153" s="423">
        <v>1</v>
      </c>
      <c r="H153" s="424">
        <v>42353.91</v>
      </c>
      <c r="I153" s="425">
        <v>42353.91</v>
      </c>
      <c r="J153" s="426" t="str">
        <v>5-7</v>
      </c>
      <c r="K153" s="427">
        <v>0</v>
      </c>
      <c r="L153" s="427" t="str">
        <v>—</v>
      </c>
      <c r="M153" s="428" t="str">
        <v>—</v>
      </c>
      <c r="N153" s="426" t="str">
        <v>—</v>
      </c>
      <c r="O153" s="427">
        <v>0</v>
      </c>
      <c r="P153" s="427" t="str">
        <v>—</v>
      </c>
      <c r="Q153" s="428" t="str">
        <v>—</v>
      </c>
      <c r="R153" s="426" t="str">
        <v>—</v>
      </c>
    </row>
    <row r="154" spans="2:18" x14ac:dyDescent="0.25">
      <c r="B154" s="439" t="str">
        <v>ME-11</v>
      </c>
      <c r="C154" s="438" t="str">
        <v>INACTIVA</v>
      </c>
      <c r="D154" s="442">
        <v>144</v>
      </c>
      <c r="E154" s="421" t="str">
        <v>2S2978</v>
      </c>
      <c r="F154" s="443" t="str">
        <v>ANILLO</v>
      </c>
      <c r="G154" s="423">
        <v>1</v>
      </c>
      <c r="H154" s="424">
        <v>464.15</v>
      </c>
      <c r="I154" s="425">
        <v>464.15</v>
      </c>
      <c r="J154" s="426" t="str">
        <v>5-7</v>
      </c>
      <c r="K154" s="427">
        <v>0</v>
      </c>
      <c r="L154" s="427" t="str">
        <v>—</v>
      </c>
      <c r="M154" s="428" t="str">
        <v>—</v>
      </c>
      <c r="N154" s="426" t="str">
        <v>—</v>
      </c>
      <c r="O154" s="427">
        <v>0</v>
      </c>
      <c r="P154" s="427" t="str">
        <v>—</v>
      </c>
      <c r="Q154" s="428" t="str">
        <v>—</v>
      </c>
      <c r="R154" s="426" t="str">
        <v>—</v>
      </c>
    </row>
    <row r="155" spans="2:18" x14ac:dyDescent="0.25">
      <c r="B155" s="439" t="str">
        <v>ME-11</v>
      </c>
      <c r="C155" s="438" t="str">
        <v>INACTIVA</v>
      </c>
      <c r="D155" s="442">
        <v>144</v>
      </c>
      <c r="E155" s="421" t="str">
        <v>3H1816</v>
      </c>
      <c r="F155" s="443" t="str">
        <v>ANILLO</v>
      </c>
      <c r="G155" s="423">
        <v>1</v>
      </c>
      <c r="H155" s="424">
        <v>85.38</v>
      </c>
      <c r="I155" s="425">
        <v>85.38</v>
      </c>
      <c r="J155" s="426" t="str">
        <v>5-7</v>
      </c>
      <c r="K155" s="427">
        <v>0</v>
      </c>
      <c r="L155" s="427" t="str">
        <v>—</v>
      </c>
      <c r="M155" s="428" t="str">
        <v>—</v>
      </c>
      <c r="N155" s="426" t="str">
        <v>—</v>
      </c>
      <c r="O155" s="427">
        <v>0</v>
      </c>
      <c r="P155" s="427" t="str">
        <v>—</v>
      </c>
      <c r="Q155" s="428" t="str">
        <v>—</v>
      </c>
      <c r="R155" s="426" t="str">
        <v>—</v>
      </c>
    </row>
    <row r="156" spans="2:18" x14ac:dyDescent="0.25">
      <c r="B156" s="439" t="str">
        <v>ME-11</v>
      </c>
      <c r="C156" s="438" t="str">
        <v>INACTIVA</v>
      </c>
      <c r="D156" s="442">
        <v>144</v>
      </c>
      <c r="E156" s="421" t="str">
        <v>9M1975</v>
      </c>
      <c r="F156" s="443" t="str">
        <v>ANILLO</v>
      </c>
      <c r="G156" s="423">
        <v>1</v>
      </c>
      <c r="H156" s="424">
        <v>56.74</v>
      </c>
      <c r="I156" s="425">
        <v>56.74</v>
      </c>
      <c r="J156" s="426" t="str">
        <v>5-7</v>
      </c>
      <c r="K156" s="427">
        <v>0</v>
      </c>
      <c r="L156" s="427" t="str">
        <v>—</v>
      </c>
      <c r="M156" s="428" t="str">
        <v>—</v>
      </c>
      <c r="N156" s="426" t="str">
        <v>—</v>
      </c>
      <c r="O156" s="427">
        <v>0</v>
      </c>
      <c r="P156" s="427" t="str">
        <v>—</v>
      </c>
      <c r="Q156" s="428" t="str">
        <v>—</v>
      </c>
      <c r="R156" s="426" t="str">
        <v>—</v>
      </c>
    </row>
    <row r="157" spans="2:18" x14ac:dyDescent="0.25">
      <c r="B157" s="439" t="str">
        <v>ME-11</v>
      </c>
      <c r="C157" s="438" t="str">
        <v>INACTIVA</v>
      </c>
      <c r="D157" s="442">
        <v>144</v>
      </c>
      <c r="E157" s="421" t="str">
        <v>1T0651</v>
      </c>
      <c r="F157" s="443" t="str">
        <v>ANILLO</v>
      </c>
      <c r="G157" s="423">
        <v>1</v>
      </c>
      <c r="H157" s="424">
        <v>280.85000000000002</v>
      </c>
      <c r="I157" s="425">
        <v>280.85000000000002</v>
      </c>
      <c r="J157" s="426" t="str">
        <v>5-7</v>
      </c>
      <c r="K157" s="427">
        <v>0</v>
      </c>
      <c r="L157" s="427" t="str">
        <v>—</v>
      </c>
      <c r="M157" s="428" t="str">
        <v>—</v>
      </c>
      <c r="N157" s="426" t="str">
        <v>—</v>
      </c>
      <c r="O157" s="427">
        <v>0</v>
      </c>
      <c r="P157" s="427" t="str">
        <v>—</v>
      </c>
      <c r="Q157" s="428" t="str">
        <v>—</v>
      </c>
      <c r="R157" s="426" t="str">
        <v>—</v>
      </c>
    </row>
    <row r="158" spans="2:18" x14ac:dyDescent="0.25">
      <c r="B158" s="439" t="str">
        <v>ME-11</v>
      </c>
      <c r="C158" s="438" t="str">
        <v>INACTIVA</v>
      </c>
      <c r="D158" s="442">
        <v>144</v>
      </c>
      <c r="E158" s="421" t="str">
        <v>1T1078</v>
      </c>
      <c r="F158" s="443" t="str">
        <v>RODAMIENTO</v>
      </c>
      <c r="G158" s="423">
        <v>2</v>
      </c>
      <c r="H158" s="424">
        <v>1160.0999999999999</v>
      </c>
      <c r="I158" s="425">
        <v>2320.1999999999998</v>
      </c>
      <c r="J158" s="426" t="str">
        <v>5-7</v>
      </c>
      <c r="K158" s="427">
        <v>0</v>
      </c>
      <c r="L158" s="427" t="str">
        <v>—</v>
      </c>
      <c r="M158" s="428" t="str">
        <v>—</v>
      </c>
      <c r="N158" s="426" t="str">
        <v>—</v>
      </c>
      <c r="O158" s="427">
        <v>0</v>
      </c>
      <c r="P158" s="427" t="str">
        <v>—</v>
      </c>
      <c r="Q158" s="428" t="str">
        <v>—</v>
      </c>
      <c r="R158" s="426" t="str">
        <v>—</v>
      </c>
    </row>
    <row r="159" spans="2:18" x14ac:dyDescent="0.25">
      <c r="B159" s="439" t="str">
        <v>ME-11</v>
      </c>
      <c r="C159" s="438" t="str">
        <v>INACTIVA</v>
      </c>
      <c r="D159" s="442">
        <v>144</v>
      </c>
      <c r="E159" s="421" t="str">
        <v>1T1079</v>
      </c>
      <c r="F159" s="443" t="str">
        <v>MAZA</v>
      </c>
      <c r="G159" s="423">
        <v>1</v>
      </c>
      <c r="H159" s="424">
        <v>16391.21</v>
      </c>
      <c r="I159" s="425">
        <v>16391.21</v>
      </c>
      <c r="J159" s="426" t="str">
        <v>5-7</v>
      </c>
      <c r="K159" s="427">
        <v>0</v>
      </c>
      <c r="L159" s="427" t="str">
        <v>—</v>
      </c>
      <c r="M159" s="428" t="str">
        <v>—</v>
      </c>
      <c r="N159" s="426" t="str">
        <v>—</v>
      </c>
      <c r="O159" s="427">
        <v>0</v>
      </c>
      <c r="P159" s="427" t="str">
        <v>—</v>
      </c>
      <c r="Q159" s="428" t="str">
        <v>—</v>
      </c>
      <c r="R159" s="426" t="str">
        <v>—</v>
      </c>
    </row>
    <row r="160" spans="2:18" x14ac:dyDescent="0.25">
      <c r="B160" s="439" t="str">
        <v>ME-11</v>
      </c>
      <c r="C160" s="438" t="str">
        <v>INACTIVA</v>
      </c>
      <c r="D160" s="442">
        <v>144</v>
      </c>
      <c r="E160" s="421" t="str">
        <v>1T0767</v>
      </c>
      <c r="F160" s="443" t="str">
        <v>COJINETE</v>
      </c>
      <c r="G160" s="423">
        <v>1</v>
      </c>
      <c r="H160" s="424">
        <v>721.19</v>
      </c>
      <c r="I160" s="425">
        <v>721.19</v>
      </c>
      <c r="J160" s="426" t="str">
        <v>5-7</v>
      </c>
      <c r="K160" s="427">
        <v>0</v>
      </c>
      <c r="L160" s="427" t="str">
        <v>—</v>
      </c>
      <c r="M160" s="428" t="str">
        <v>—</v>
      </c>
      <c r="N160" s="426" t="str">
        <v>—</v>
      </c>
      <c r="O160" s="427">
        <v>0</v>
      </c>
      <c r="P160" s="427" t="str">
        <v>—</v>
      </c>
      <c r="Q160" s="428" t="str">
        <v>—</v>
      </c>
      <c r="R160" s="426" t="str">
        <v>—</v>
      </c>
    </row>
    <row r="161" spans="2:18" x14ac:dyDescent="0.25">
      <c r="B161" s="439" t="str">
        <v>ME-11</v>
      </c>
      <c r="C161" s="438" t="str">
        <v>INACTIVA</v>
      </c>
      <c r="D161" s="442">
        <v>144</v>
      </c>
      <c r="E161" s="421" t="str">
        <v>1T0649</v>
      </c>
      <c r="F161" s="443" t="str">
        <v>PERNOS</v>
      </c>
      <c r="G161" s="423">
        <v>1</v>
      </c>
      <c r="H161" s="424">
        <v>202.09</v>
      </c>
      <c r="I161" s="425">
        <v>202.09</v>
      </c>
      <c r="J161" s="426" t="str">
        <v>5-7</v>
      </c>
      <c r="K161" s="427">
        <v>0</v>
      </c>
      <c r="L161" s="427" t="str">
        <v>—</v>
      </c>
      <c r="M161" s="428" t="str">
        <v>—</v>
      </c>
      <c r="N161" s="426" t="str">
        <v>—</v>
      </c>
      <c r="O161" s="427">
        <v>0</v>
      </c>
      <c r="P161" s="427" t="str">
        <v>—</v>
      </c>
      <c r="Q161" s="428" t="str">
        <v>—</v>
      </c>
      <c r="R161" s="426" t="str">
        <v>—</v>
      </c>
    </row>
    <row r="162" spans="2:18" x14ac:dyDescent="0.25">
      <c r="B162" s="439" t="str">
        <v>ME-11</v>
      </c>
      <c r="C162" s="438" t="str">
        <v>INACTIVA</v>
      </c>
      <c r="D162" s="442">
        <v>144</v>
      </c>
      <c r="E162" s="421" t="str">
        <v>1T0648</v>
      </c>
      <c r="F162" s="443" t="str">
        <v>ANILLO</v>
      </c>
      <c r="G162" s="423">
        <v>1</v>
      </c>
      <c r="H162" s="424">
        <v>398.45</v>
      </c>
      <c r="I162" s="425">
        <v>398.45</v>
      </c>
      <c r="J162" s="426" t="str">
        <v>5-7</v>
      </c>
      <c r="K162" s="427">
        <v>0</v>
      </c>
      <c r="L162" s="427" t="str">
        <v>—</v>
      </c>
      <c r="M162" s="428" t="str">
        <v>—</v>
      </c>
      <c r="N162" s="426" t="str">
        <v>—</v>
      </c>
      <c r="O162" s="427">
        <v>0</v>
      </c>
      <c r="P162" s="427" t="str">
        <v>—</v>
      </c>
      <c r="Q162" s="428" t="str">
        <v>—</v>
      </c>
      <c r="R162" s="426" t="str">
        <v>—</v>
      </c>
    </row>
    <row r="163" spans="2:18" x14ac:dyDescent="0.25">
      <c r="B163" s="439" t="str">
        <v>ME-11</v>
      </c>
      <c r="C163" s="438" t="str">
        <v>INACTIVA</v>
      </c>
      <c r="D163" s="442">
        <v>144</v>
      </c>
      <c r="E163" s="421" t="str">
        <v>1T1347</v>
      </c>
      <c r="F163" s="443" t="str">
        <v>COJINETE</v>
      </c>
      <c r="G163" s="423">
        <v>1</v>
      </c>
      <c r="H163" s="424">
        <v>1605.63</v>
      </c>
      <c r="I163" s="425">
        <v>1605.63</v>
      </c>
      <c r="J163" s="426" t="str">
        <v>5-7</v>
      </c>
      <c r="K163" s="427">
        <v>0</v>
      </c>
      <c r="L163" s="427" t="str">
        <v>—</v>
      </c>
      <c r="M163" s="428" t="str">
        <v>—</v>
      </c>
      <c r="N163" s="426" t="str">
        <v>—</v>
      </c>
      <c r="O163" s="427">
        <v>0</v>
      </c>
      <c r="P163" s="427" t="str">
        <v>—</v>
      </c>
      <c r="Q163" s="428" t="str">
        <v>—</v>
      </c>
      <c r="R163" s="426" t="str">
        <v>—</v>
      </c>
    </row>
    <row r="164" spans="2:18" x14ac:dyDescent="0.25">
      <c r="B164" s="439" t="str">
        <v>ME-11</v>
      </c>
      <c r="C164" s="438" t="str">
        <v>INACTIVA</v>
      </c>
      <c r="D164" s="442">
        <v>144</v>
      </c>
      <c r="E164" s="421" t="str">
        <v>1T0657</v>
      </c>
      <c r="F164" s="443" t="str">
        <v>PLACA</v>
      </c>
      <c r="G164" s="423">
        <v>1</v>
      </c>
      <c r="H164" s="424">
        <v>1397.99</v>
      </c>
      <c r="I164" s="425">
        <v>1397.99</v>
      </c>
      <c r="J164" s="426" t="str">
        <v>5-7</v>
      </c>
      <c r="K164" s="427">
        <v>0</v>
      </c>
      <c r="L164" s="427" t="str">
        <v>—</v>
      </c>
      <c r="M164" s="428" t="str">
        <v>—</v>
      </c>
      <c r="N164" s="426" t="str">
        <v>—</v>
      </c>
      <c r="O164" s="427">
        <v>0</v>
      </c>
      <c r="P164" s="427" t="str">
        <v>—</v>
      </c>
      <c r="Q164" s="428" t="str">
        <v>—</v>
      </c>
      <c r="R164" s="426" t="str">
        <v>—</v>
      </c>
    </row>
    <row r="165" spans="2:18" x14ac:dyDescent="0.25">
      <c r="B165" s="439" t="str">
        <v>ME-11</v>
      </c>
      <c r="C165" s="438" t="str">
        <v>INACTIVA</v>
      </c>
      <c r="D165" s="442">
        <v>144</v>
      </c>
      <c r="E165" s="421" t="str">
        <v>1T0901</v>
      </c>
      <c r="F165" s="443" t="str">
        <v>IMPULSOR</v>
      </c>
      <c r="G165" s="423">
        <v>1</v>
      </c>
      <c r="H165" s="424">
        <v>45101.2</v>
      </c>
      <c r="I165" s="425">
        <v>45101.2</v>
      </c>
      <c r="J165" s="426" t="str">
        <v>5-7</v>
      </c>
      <c r="K165" s="427">
        <v>0</v>
      </c>
      <c r="L165" s="427" t="str">
        <v>—</v>
      </c>
      <c r="M165" s="428" t="str">
        <v>—</v>
      </c>
      <c r="N165" s="426" t="str">
        <v>—</v>
      </c>
      <c r="O165" s="427">
        <v>0</v>
      </c>
      <c r="P165" s="427" t="str">
        <v>—</v>
      </c>
      <c r="Q165" s="428" t="str">
        <v>—</v>
      </c>
      <c r="R165" s="426" t="str">
        <v>—</v>
      </c>
    </row>
    <row r="166" spans="2:18" x14ac:dyDescent="0.25">
      <c r="B166" s="439" t="str">
        <v>ME-11</v>
      </c>
      <c r="C166" s="438" t="str">
        <v>INACTIVA</v>
      </c>
      <c r="D166" s="442">
        <v>144</v>
      </c>
      <c r="E166" s="421" t="str">
        <v>1T0680</v>
      </c>
      <c r="F166" s="443" t="str">
        <v>RESORTE</v>
      </c>
      <c r="G166" s="423">
        <v>11</v>
      </c>
      <c r="H166" s="424">
        <v>171.48</v>
      </c>
      <c r="I166" s="425">
        <v>1886.28</v>
      </c>
      <c r="J166" s="426" t="str">
        <v>5-7</v>
      </c>
      <c r="K166" s="427">
        <v>0</v>
      </c>
      <c r="L166" s="427" t="str">
        <v>—</v>
      </c>
      <c r="M166" s="428" t="str">
        <v>—</v>
      </c>
      <c r="N166" s="426" t="str">
        <v>—</v>
      </c>
      <c r="O166" s="427">
        <v>0</v>
      </c>
      <c r="P166" s="427" t="str">
        <v>—</v>
      </c>
      <c r="Q166" s="428" t="str">
        <v>—</v>
      </c>
      <c r="R166" s="426" t="str">
        <v>—</v>
      </c>
    </row>
    <row r="167" spans="2:18" x14ac:dyDescent="0.25">
      <c r="B167" s="439" t="str">
        <v>ME-11</v>
      </c>
      <c r="C167" s="438" t="str">
        <v>INACTIVA</v>
      </c>
      <c r="D167" s="442">
        <v>144</v>
      </c>
      <c r="E167" s="421" t="str">
        <v>1T0679</v>
      </c>
      <c r="F167" s="443" t="str">
        <v>PASADORES</v>
      </c>
      <c r="G167" s="423">
        <v>11</v>
      </c>
      <c r="H167" s="424">
        <v>182.4</v>
      </c>
      <c r="I167" s="425">
        <v>2006.4</v>
      </c>
      <c r="J167" s="426" t="str">
        <v>5-7</v>
      </c>
      <c r="K167" s="427">
        <v>0</v>
      </c>
      <c r="L167" s="427" t="str">
        <v>—</v>
      </c>
      <c r="M167" s="428" t="str">
        <v>—</v>
      </c>
      <c r="N167" s="426" t="str">
        <v>—</v>
      </c>
      <c r="O167" s="427">
        <v>0</v>
      </c>
      <c r="P167" s="427" t="str">
        <v>—</v>
      </c>
      <c r="Q167" s="428" t="str">
        <v>—</v>
      </c>
      <c r="R167" s="426" t="str">
        <v>—</v>
      </c>
    </row>
    <row r="168" spans="2:18" x14ac:dyDescent="0.25">
      <c r="B168" s="439" t="str">
        <v>ME-11</v>
      </c>
      <c r="C168" s="438" t="str">
        <v>INACTIVA</v>
      </c>
      <c r="D168" s="442">
        <v>144</v>
      </c>
      <c r="E168" s="421" t="str">
        <v>1T0662</v>
      </c>
      <c r="F168" s="443" t="str">
        <v>TURBINA</v>
      </c>
      <c r="G168" s="423">
        <v>1</v>
      </c>
      <c r="H168" s="424">
        <v>34357.440000000002</v>
      </c>
      <c r="I168" s="425">
        <v>34357.440000000002</v>
      </c>
      <c r="J168" s="426" t="str">
        <v>5-7</v>
      </c>
      <c r="K168" s="427">
        <v>0</v>
      </c>
      <c r="L168" s="427" t="str">
        <v>—</v>
      </c>
      <c r="M168" s="428" t="str">
        <v>—</v>
      </c>
      <c r="N168" s="426" t="str">
        <v>—</v>
      </c>
      <c r="O168" s="427">
        <v>0</v>
      </c>
      <c r="P168" s="427" t="str">
        <v>—</v>
      </c>
      <c r="Q168" s="428" t="str">
        <v>—</v>
      </c>
      <c r="R168" s="426" t="str">
        <v>—</v>
      </c>
    </row>
    <row r="169" spans="2:18" x14ac:dyDescent="0.25">
      <c r="B169" s="439" t="str">
        <v>ME-11</v>
      </c>
      <c r="C169" s="438" t="str">
        <v>INACTIVA</v>
      </c>
      <c r="D169" s="442">
        <v>144</v>
      </c>
      <c r="E169" s="421" t="str">
        <v>1T0665</v>
      </c>
      <c r="F169" s="443" t="str">
        <v>ANILLO</v>
      </c>
      <c r="G169" s="423">
        <v>1</v>
      </c>
      <c r="H169" s="424">
        <v>11675.1</v>
      </c>
      <c r="I169" s="425">
        <v>11675.1</v>
      </c>
      <c r="J169" s="426" t="str">
        <v>5-7</v>
      </c>
      <c r="K169" s="427">
        <v>0</v>
      </c>
      <c r="L169" s="427" t="str">
        <v>—</v>
      </c>
      <c r="M169" s="428" t="str">
        <v>—</v>
      </c>
      <c r="N169" s="426" t="str">
        <v>—</v>
      </c>
      <c r="O169" s="427">
        <v>0</v>
      </c>
      <c r="P169" s="427" t="str">
        <v>—</v>
      </c>
      <c r="Q169" s="428" t="str">
        <v>—</v>
      </c>
      <c r="R169" s="426" t="str">
        <v>—</v>
      </c>
    </row>
    <row r="170" spans="2:18" x14ac:dyDescent="0.25">
      <c r="B170" s="439" t="str">
        <v>ME-11</v>
      </c>
      <c r="C170" s="438" t="str">
        <v>INACTIVA</v>
      </c>
      <c r="D170" s="442">
        <v>144</v>
      </c>
      <c r="E170" s="421" t="str">
        <v>1T0762</v>
      </c>
      <c r="F170" s="443" t="str">
        <v>PISTA</v>
      </c>
      <c r="G170" s="423">
        <v>1</v>
      </c>
      <c r="H170" s="424">
        <v>1236.71</v>
      </c>
      <c r="I170" s="425">
        <v>1236.71</v>
      </c>
      <c r="J170" s="426" t="str">
        <v>5-7</v>
      </c>
      <c r="K170" s="427">
        <v>0</v>
      </c>
      <c r="L170" s="427" t="str">
        <v>—</v>
      </c>
      <c r="M170" s="428" t="str">
        <v>—</v>
      </c>
      <c r="N170" s="426" t="str">
        <v>—</v>
      </c>
      <c r="O170" s="427">
        <v>0</v>
      </c>
      <c r="P170" s="427" t="str">
        <v>—</v>
      </c>
      <c r="Q170" s="428" t="str">
        <v>—</v>
      </c>
      <c r="R170" s="426" t="str">
        <v>—</v>
      </c>
    </row>
    <row r="171" spans="2:18" x14ac:dyDescent="0.25">
      <c r="B171" s="439" t="str">
        <v>ME-11</v>
      </c>
      <c r="C171" s="438" t="str">
        <v>INACTIVA</v>
      </c>
      <c r="D171" s="442">
        <v>144</v>
      </c>
      <c r="E171" s="421" t="str">
        <v>1T0647</v>
      </c>
      <c r="F171" s="443" t="str">
        <v>BUJE</v>
      </c>
      <c r="G171" s="423">
        <v>1</v>
      </c>
      <c r="H171" s="424">
        <v>700.43</v>
      </c>
      <c r="I171" s="425">
        <v>700.43</v>
      </c>
      <c r="J171" s="426" t="str">
        <v>5-7</v>
      </c>
      <c r="K171" s="427">
        <v>0</v>
      </c>
      <c r="L171" s="427" t="str">
        <v>—</v>
      </c>
      <c r="M171" s="428" t="str">
        <v>—</v>
      </c>
      <c r="N171" s="426" t="str">
        <v>—</v>
      </c>
      <c r="O171" s="427">
        <v>0</v>
      </c>
      <c r="P171" s="427" t="str">
        <v>—</v>
      </c>
      <c r="Q171" s="428" t="str">
        <v>—</v>
      </c>
      <c r="R171" s="426" t="str">
        <v>—</v>
      </c>
    </row>
    <row r="172" spans="2:18" x14ac:dyDescent="0.25">
      <c r="B172" s="439" t="str">
        <v>ME-11</v>
      </c>
      <c r="C172" s="438" t="str">
        <v>INACTIVA</v>
      </c>
      <c r="D172" s="442">
        <v>144</v>
      </c>
      <c r="E172" s="421" t="str">
        <v>1T0686</v>
      </c>
      <c r="F172" s="443" t="str">
        <v>PISTA</v>
      </c>
      <c r="G172" s="423">
        <v>3</v>
      </c>
      <c r="H172" s="424">
        <v>1295.24</v>
      </c>
      <c r="I172" s="425">
        <v>3885.7200000000003</v>
      </c>
      <c r="J172" s="426" t="str">
        <v>5-7</v>
      </c>
      <c r="K172" s="427">
        <v>0</v>
      </c>
      <c r="L172" s="427" t="str">
        <v>—</v>
      </c>
      <c r="M172" s="428" t="str">
        <v>—</v>
      </c>
      <c r="N172" s="426" t="str">
        <v>—</v>
      </c>
      <c r="O172" s="427">
        <v>0</v>
      </c>
      <c r="P172" s="427" t="str">
        <v>—</v>
      </c>
      <c r="Q172" s="428" t="str">
        <v>—</v>
      </c>
      <c r="R172" s="426" t="str">
        <v>—</v>
      </c>
    </row>
    <row r="173" spans="2:18" x14ac:dyDescent="0.25">
      <c r="B173" s="439" t="str">
        <v>ME-11</v>
      </c>
      <c r="C173" s="438" t="str">
        <v>INACTIVA</v>
      </c>
      <c r="D173" s="442">
        <v>144</v>
      </c>
      <c r="E173" s="421" t="str">
        <v>1T0655</v>
      </c>
      <c r="F173" s="443" t="str">
        <v>RODAMIENTO</v>
      </c>
      <c r="G173" s="423">
        <v>2</v>
      </c>
      <c r="H173" s="424">
        <v>3990.63</v>
      </c>
      <c r="I173" s="425">
        <v>7981.26</v>
      </c>
      <c r="J173" s="426" t="str">
        <v>5-7</v>
      </c>
      <c r="K173" s="427">
        <v>0</v>
      </c>
      <c r="L173" s="427" t="str">
        <v>—</v>
      </c>
      <c r="M173" s="428" t="str">
        <v>—</v>
      </c>
      <c r="N173" s="426" t="str">
        <v>—</v>
      </c>
      <c r="O173" s="427">
        <v>0</v>
      </c>
      <c r="P173" s="427" t="str">
        <v>—</v>
      </c>
      <c r="Q173" s="428" t="str">
        <v>—</v>
      </c>
      <c r="R173" s="426" t="str">
        <v>—</v>
      </c>
    </row>
    <row r="174" spans="2:18" x14ac:dyDescent="0.25">
      <c r="B174" s="439" t="str">
        <v>ME-11</v>
      </c>
      <c r="C174" s="438" t="str">
        <v>INACTIVA</v>
      </c>
      <c r="D174" s="442">
        <v>144</v>
      </c>
      <c r="E174" s="421" t="str">
        <v>1495986</v>
      </c>
      <c r="F174" s="443" t="str">
        <v>STATOR-CONVE</v>
      </c>
      <c r="G174" s="423">
        <v>1</v>
      </c>
      <c r="H174" s="424">
        <v>46311.95</v>
      </c>
      <c r="I174" s="425">
        <v>46311.95</v>
      </c>
      <c r="J174" s="426" t="str">
        <v>5-7</v>
      </c>
      <c r="K174" s="427">
        <v>0</v>
      </c>
      <c r="L174" s="427" t="str">
        <v>—</v>
      </c>
      <c r="M174" s="428" t="str">
        <v>—</v>
      </c>
      <c r="N174" s="426" t="str">
        <v>—</v>
      </c>
      <c r="O174" s="427">
        <v>0</v>
      </c>
      <c r="P174" s="427" t="str">
        <v>—</v>
      </c>
      <c r="Q174" s="428" t="str">
        <v>—</v>
      </c>
      <c r="R174" s="426" t="str">
        <v>—</v>
      </c>
    </row>
    <row r="175" spans="2:18" x14ac:dyDescent="0.25">
      <c r="B175" s="439" t="str">
        <v>ME-11</v>
      </c>
      <c r="C175" s="438" t="str">
        <v>INACTIVA</v>
      </c>
      <c r="D175" s="442">
        <v>144</v>
      </c>
      <c r="E175" s="421" t="str">
        <v>8B7789</v>
      </c>
      <c r="F175" s="443" t="str">
        <v>CANDADO</v>
      </c>
      <c r="G175" s="423">
        <v>1</v>
      </c>
      <c r="H175" s="424">
        <v>368.2</v>
      </c>
      <c r="I175" s="425">
        <v>368.2</v>
      </c>
      <c r="J175" s="426" t="str">
        <v>5-7</v>
      </c>
      <c r="K175" s="427">
        <v>0</v>
      </c>
      <c r="L175" s="427" t="str">
        <v>—</v>
      </c>
      <c r="M175" s="428" t="str">
        <v>—</v>
      </c>
      <c r="N175" s="426" t="str">
        <v>—</v>
      </c>
      <c r="O175" s="427">
        <v>0</v>
      </c>
      <c r="P175" s="427" t="str">
        <v>—</v>
      </c>
      <c r="Q175" s="428" t="str">
        <v>—</v>
      </c>
      <c r="R175" s="426" t="str">
        <v>—</v>
      </c>
    </row>
    <row r="176" spans="2:18" x14ac:dyDescent="0.25">
      <c r="B176" s="439" t="str">
        <v>ME-15</v>
      </c>
      <c r="C176" s="438" t="str">
        <v>INACTIVA</v>
      </c>
      <c r="D176" s="442">
        <v>145</v>
      </c>
      <c r="E176" s="421" t="str">
        <v>1R0773</v>
      </c>
      <c r="F176" s="443" t="str">
        <v>ELEMENT AS</v>
      </c>
      <c r="G176" s="423">
        <v>1</v>
      </c>
      <c r="H176" s="424">
        <v>533.78</v>
      </c>
      <c r="I176" s="425">
        <v>533.78</v>
      </c>
      <c r="J176" s="426" t="str">
        <v>5-7</v>
      </c>
      <c r="K176" s="427">
        <v>0</v>
      </c>
      <c r="L176" s="427" t="str">
        <v>—</v>
      </c>
      <c r="M176" s="428" t="str">
        <v>—</v>
      </c>
      <c r="N176" s="426" t="str">
        <v>—</v>
      </c>
      <c r="O176" s="427">
        <v>0</v>
      </c>
      <c r="P176" s="427" t="str">
        <v>—</v>
      </c>
      <c r="Q176" s="428" t="str">
        <v>—</v>
      </c>
      <c r="R176" s="426" t="str">
        <v>—</v>
      </c>
    </row>
    <row r="177" spans="2:18" x14ac:dyDescent="0.25">
      <c r="B177" s="439" t="str">
        <v>ME-15</v>
      </c>
      <c r="C177" s="438" t="str">
        <v>INACTIVA</v>
      </c>
      <c r="D177" s="442">
        <v>145</v>
      </c>
      <c r="E177" s="421" t="str">
        <v>5K1770</v>
      </c>
      <c r="F177" s="443" t="str">
        <v>JUNTA</v>
      </c>
      <c r="G177" s="423">
        <v>2</v>
      </c>
      <c r="H177" s="424">
        <v>267.95999999999998</v>
      </c>
      <c r="I177" s="425">
        <v>535.91999999999996</v>
      </c>
      <c r="J177" s="426" t="str">
        <v>5-7</v>
      </c>
      <c r="K177" s="427">
        <v>0</v>
      </c>
      <c r="L177" s="427" t="str">
        <v>—</v>
      </c>
      <c r="M177" s="428" t="str">
        <v>—</v>
      </c>
      <c r="N177" s="426" t="str">
        <v>—</v>
      </c>
      <c r="O177" s="427">
        <v>0</v>
      </c>
      <c r="P177" s="427" t="str">
        <v>—</v>
      </c>
      <c r="Q177" s="428" t="str">
        <v>—</v>
      </c>
      <c r="R177" s="426" t="str">
        <v>—</v>
      </c>
    </row>
    <row r="178" spans="2:18" x14ac:dyDescent="0.25">
      <c r="B178" s="439" t="str">
        <v>ME-15</v>
      </c>
      <c r="C178" s="438" t="str">
        <v>INACTIVA</v>
      </c>
      <c r="D178" s="442">
        <v>145</v>
      </c>
      <c r="E178" s="421" t="str">
        <v>2H3928</v>
      </c>
      <c r="F178" s="443" t="str">
        <v>JUNTAS</v>
      </c>
      <c r="G178" s="423">
        <v>1</v>
      </c>
      <c r="H178" s="424">
        <v>143.56</v>
      </c>
      <c r="I178" s="425">
        <v>143.56</v>
      </c>
      <c r="J178" s="426" t="str">
        <v>5-7</v>
      </c>
      <c r="K178" s="427">
        <v>0</v>
      </c>
      <c r="L178" s="427" t="str">
        <v>—</v>
      </c>
      <c r="M178" s="428" t="str">
        <v>—</v>
      </c>
      <c r="N178" s="426" t="str">
        <v>—</v>
      </c>
      <c r="O178" s="427">
        <v>0</v>
      </c>
      <c r="P178" s="427" t="str">
        <v>—</v>
      </c>
      <c r="Q178" s="428" t="str">
        <v>—</v>
      </c>
      <c r="R178" s="426" t="str">
        <v>—</v>
      </c>
    </row>
    <row r="179" spans="2:18" x14ac:dyDescent="0.25">
      <c r="B179" s="439" t="str">
        <v>ME-15</v>
      </c>
      <c r="C179" s="438" t="str">
        <v>INACTIVA</v>
      </c>
      <c r="D179" s="442">
        <v>145</v>
      </c>
      <c r="E179" s="421" t="str">
        <v>1P4110</v>
      </c>
      <c r="F179" s="443" t="str">
        <v>CILINDRO</v>
      </c>
      <c r="G179" s="423">
        <v>9</v>
      </c>
      <c r="H179" s="424">
        <v>5089.87</v>
      </c>
      <c r="I179" s="425">
        <v>45808.83</v>
      </c>
      <c r="J179" s="426" t="str">
        <v>5-7</v>
      </c>
      <c r="K179" s="427">
        <v>0</v>
      </c>
      <c r="L179" s="427" t="str">
        <v>—</v>
      </c>
      <c r="M179" s="428" t="str">
        <v>—</v>
      </c>
      <c r="N179" s="426" t="str">
        <v>—</v>
      </c>
      <c r="O179" s="427">
        <v>0</v>
      </c>
      <c r="P179" s="427" t="str">
        <v>—</v>
      </c>
      <c r="Q179" s="428" t="str">
        <v>—</v>
      </c>
      <c r="R179" s="426" t="str">
        <v>—</v>
      </c>
    </row>
    <row r="180" spans="2:18" x14ac:dyDescent="0.25">
      <c r="B180" s="439" t="str">
        <v>ME-15</v>
      </c>
      <c r="C180" s="438" t="str">
        <v>INACTIVA</v>
      </c>
      <c r="D180" s="442">
        <v>145</v>
      </c>
      <c r="E180" s="421" t="str">
        <v>9S8789</v>
      </c>
      <c r="F180" s="443" t="str">
        <v>DISCO</v>
      </c>
      <c r="G180" s="423">
        <v>1</v>
      </c>
      <c r="H180" s="424">
        <v>8928.34</v>
      </c>
      <c r="I180" s="425">
        <v>8928.34</v>
      </c>
      <c r="J180" s="426" t="str">
        <v>5-7</v>
      </c>
      <c r="K180" s="427">
        <v>0</v>
      </c>
      <c r="L180" s="427" t="str">
        <v>—</v>
      </c>
      <c r="M180" s="428" t="str">
        <v>—</v>
      </c>
      <c r="N180" s="426" t="str">
        <v>—</v>
      </c>
      <c r="O180" s="427">
        <v>0</v>
      </c>
      <c r="P180" s="427" t="str">
        <v>—</v>
      </c>
      <c r="Q180" s="428" t="str">
        <v>—</v>
      </c>
      <c r="R180" s="426" t="str">
        <v>—</v>
      </c>
    </row>
    <row r="181" spans="2:18" x14ac:dyDescent="0.25">
      <c r="B181" s="439" t="str">
        <v>ME-15</v>
      </c>
      <c r="C181" s="438" t="str">
        <v>INACTIVA</v>
      </c>
      <c r="D181" s="442">
        <v>145</v>
      </c>
      <c r="E181" s="421" t="str">
        <v>9P4251</v>
      </c>
      <c r="F181" s="443" t="str">
        <v>DISCO</v>
      </c>
      <c r="G181" s="423">
        <v>3</v>
      </c>
      <c r="H181" s="424">
        <v>4319.09</v>
      </c>
      <c r="I181" s="425">
        <v>12957.27</v>
      </c>
      <c r="J181" s="426" t="str">
        <v>5-7</v>
      </c>
      <c r="K181" s="427">
        <v>0</v>
      </c>
      <c r="L181" s="427" t="str">
        <v>—</v>
      </c>
      <c r="M181" s="428" t="str">
        <v>—</v>
      </c>
      <c r="N181" s="426" t="str">
        <v>—</v>
      </c>
      <c r="O181" s="427">
        <v>0</v>
      </c>
      <c r="P181" s="427" t="str">
        <v>—</v>
      </c>
      <c r="Q181" s="428" t="str">
        <v>—</v>
      </c>
      <c r="R181" s="426" t="str">
        <v>—</v>
      </c>
    </row>
    <row r="182" spans="2:18" x14ac:dyDescent="0.25">
      <c r="B182" s="439" t="str">
        <v>ME-15</v>
      </c>
      <c r="C182" s="438" t="str">
        <v>INACTIVA</v>
      </c>
      <c r="D182" s="442">
        <v>145</v>
      </c>
      <c r="E182" s="421" t="str">
        <v>9M6193</v>
      </c>
      <c r="F182" s="443" t="str">
        <v>RESORTE</v>
      </c>
      <c r="G182" s="423">
        <v>75</v>
      </c>
      <c r="H182" s="424">
        <v>92.01</v>
      </c>
      <c r="I182" s="425">
        <v>6900.75</v>
      </c>
      <c r="J182" s="426" t="str">
        <v>5-7</v>
      </c>
      <c r="K182" s="427">
        <v>0</v>
      </c>
      <c r="L182" s="427" t="str">
        <v>—</v>
      </c>
      <c r="M182" s="428" t="str">
        <v>—</v>
      </c>
      <c r="N182" s="426" t="str">
        <v>—</v>
      </c>
      <c r="O182" s="427">
        <v>0</v>
      </c>
      <c r="P182" s="427" t="str">
        <v>—</v>
      </c>
      <c r="Q182" s="428" t="str">
        <v>—</v>
      </c>
      <c r="R182" s="426" t="str">
        <v>—</v>
      </c>
    </row>
    <row r="183" spans="2:18" x14ac:dyDescent="0.25">
      <c r="B183" s="439" t="str">
        <v>ME-15</v>
      </c>
      <c r="C183" s="438" t="str">
        <v>INACTIVA</v>
      </c>
      <c r="D183" s="442">
        <v>145</v>
      </c>
      <c r="E183" s="421" t="str">
        <v>RN0R5011</v>
      </c>
      <c r="F183" s="443" t="str">
        <v>PLATE CLUTCH</v>
      </c>
      <c r="G183" s="423">
        <v>4</v>
      </c>
      <c r="H183" s="424">
        <v>7737.82</v>
      </c>
      <c r="I183" s="425">
        <v>30951.279999999999</v>
      </c>
      <c r="J183" s="426" t="str">
        <v>5-7</v>
      </c>
      <c r="K183" s="427">
        <v>0</v>
      </c>
      <c r="L183" s="427" t="str">
        <v>—</v>
      </c>
      <c r="M183" s="428" t="str">
        <v>—</v>
      </c>
      <c r="N183" s="426" t="str">
        <v>—</v>
      </c>
      <c r="O183" s="427">
        <v>0</v>
      </c>
      <c r="P183" s="427" t="str">
        <v>—</v>
      </c>
      <c r="Q183" s="428" t="str">
        <v>—</v>
      </c>
      <c r="R183" s="426" t="str">
        <v>—</v>
      </c>
    </row>
    <row r="184" spans="2:18" x14ac:dyDescent="0.25">
      <c r="B184" s="439" t="str">
        <v>ME-15</v>
      </c>
      <c r="C184" s="438" t="str">
        <v>INACTIVA</v>
      </c>
      <c r="D184" s="442">
        <v>145</v>
      </c>
      <c r="E184" s="421" t="str">
        <v>CARGO REMAN</v>
      </c>
      <c r="F184" s="443" t="str">
        <v>CARGO REMANENTE RN0R5011</v>
      </c>
      <c r="G184" s="423">
        <v>4</v>
      </c>
      <c r="H184" s="424">
        <v>3675.46</v>
      </c>
      <c r="I184" s="425">
        <v>14701.84</v>
      </c>
      <c r="J184" s="426" t="str">
        <v>5-7</v>
      </c>
      <c r="K184" s="427">
        <v>0</v>
      </c>
      <c r="L184" s="427" t="str">
        <v>—</v>
      </c>
      <c r="M184" s="428" t="str">
        <v>—</v>
      </c>
      <c r="N184" s="426" t="str">
        <v>—</v>
      </c>
      <c r="O184" s="427">
        <v>0</v>
      </c>
      <c r="P184" s="427" t="str">
        <v>—</v>
      </c>
      <c r="Q184" s="428" t="str">
        <v>—</v>
      </c>
      <c r="R184" s="426" t="str">
        <v>—</v>
      </c>
    </row>
    <row r="185" spans="2:18" x14ac:dyDescent="0.25">
      <c r="B185" s="439" t="str">
        <v>ME-15</v>
      </c>
      <c r="C185" s="438" t="str">
        <v>INACTIVA</v>
      </c>
      <c r="D185" s="442">
        <v>145</v>
      </c>
      <c r="E185" s="421" t="str">
        <v>N0R5016</v>
      </c>
      <c r="F185" s="443" t="str">
        <v>PLATE CLUTCH</v>
      </c>
      <c r="G185" s="423">
        <v>9</v>
      </c>
      <c r="H185" s="424">
        <v>9028.76</v>
      </c>
      <c r="I185" s="425">
        <v>81258.84</v>
      </c>
      <c r="J185" s="426" t="str">
        <v>5-7</v>
      </c>
      <c r="K185" s="427">
        <v>0</v>
      </c>
      <c r="L185" s="427" t="str">
        <v>—</v>
      </c>
      <c r="M185" s="428" t="str">
        <v>—</v>
      </c>
      <c r="N185" s="426" t="str">
        <v>—</v>
      </c>
      <c r="O185" s="427">
        <v>0</v>
      </c>
      <c r="P185" s="427" t="str">
        <v>—</v>
      </c>
      <c r="Q185" s="428" t="str">
        <v>—</v>
      </c>
      <c r="R185" s="426" t="str">
        <v>—</v>
      </c>
    </row>
    <row r="186" spans="2:18" x14ac:dyDescent="0.25">
      <c r="B186" s="439" t="str">
        <v>ME-15</v>
      </c>
      <c r="C186" s="438" t="str">
        <v>INACTIVA</v>
      </c>
      <c r="D186" s="442">
        <v>145</v>
      </c>
      <c r="E186" s="421" t="str">
        <v>CARGO REMAN</v>
      </c>
      <c r="F186" s="443" t="str">
        <v>CARGO REMANENTE N0R5016</v>
      </c>
      <c r="G186" s="423">
        <v>9</v>
      </c>
      <c r="H186" s="424">
        <v>4288.66</v>
      </c>
      <c r="I186" s="425">
        <v>38597.94</v>
      </c>
      <c r="J186" s="426" t="str">
        <v>5-7</v>
      </c>
      <c r="K186" s="427">
        <v>0</v>
      </c>
      <c r="L186" s="427" t="str">
        <v>—</v>
      </c>
      <c r="M186" s="428" t="str">
        <v>—</v>
      </c>
      <c r="N186" s="426" t="str">
        <v>—</v>
      </c>
      <c r="O186" s="427">
        <v>0</v>
      </c>
      <c r="P186" s="427" t="str">
        <v>—</v>
      </c>
      <c r="Q186" s="428" t="str">
        <v>—</v>
      </c>
      <c r="R186" s="426" t="str">
        <v>—</v>
      </c>
    </row>
    <row r="187" spans="2:18" x14ac:dyDescent="0.25">
      <c r="B187" s="439" t="str">
        <v>ME-15</v>
      </c>
      <c r="C187" s="438" t="str">
        <v>INACTIVA</v>
      </c>
      <c r="D187" s="442">
        <v>145</v>
      </c>
      <c r="E187" s="421" t="str">
        <v>4M9592</v>
      </c>
      <c r="F187" s="443" t="str">
        <v>RESORTE</v>
      </c>
      <c r="G187" s="423">
        <v>20</v>
      </c>
      <c r="H187" s="424">
        <v>184.37</v>
      </c>
      <c r="I187" s="425">
        <v>3687.4</v>
      </c>
      <c r="J187" s="426" t="str">
        <v>5-7</v>
      </c>
      <c r="K187" s="427">
        <v>0</v>
      </c>
      <c r="L187" s="427" t="str">
        <v>—</v>
      </c>
      <c r="M187" s="428" t="str">
        <v>—</v>
      </c>
      <c r="N187" s="426" t="str">
        <v>—</v>
      </c>
      <c r="O187" s="427">
        <v>0</v>
      </c>
      <c r="P187" s="427" t="str">
        <v>—</v>
      </c>
      <c r="Q187" s="428" t="str">
        <v>—</v>
      </c>
      <c r="R187" s="426" t="str">
        <v>—</v>
      </c>
    </row>
    <row r="188" spans="2:18" x14ac:dyDescent="0.25">
      <c r="B188" s="439" t="str">
        <v>ME-15</v>
      </c>
      <c r="C188" s="438" t="str">
        <v>INACTIVA</v>
      </c>
      <c r="D188" s="442">
        <v>145</v>
      </c>
      <c r="E188" s="421" t="str">
        <v>5B1952</v>
      </c>
      <c r="F188" s="443" t="str">
        <v>RESORTE</v>
      </c>
      <c r="G188" s="423">
        <v>5</v>
      </c>
      <c r="H188" s="424">
        <v>270.47000000000003</v>
      </c>
      <c r="I188" s="425">
        <v>1352.3500000000001</v>
      </c>
      <c r="J188" s="426" t="str">
        <v>5-7</v>
      </c>
      <c r="K188" s="427">
        <v>0</v>
      </c>
      <c r="L188" s="427" t="str">
        <v>—</v>
      </c>
      <c r="M188" s="428" t="str">
        <v>—</v>
      </c>
      <c r="N188" s="426" t="str">
        <v>—</v>
      </c>
      <c r="O188" s="427">
        <v>0</v>
      </c>
      <c r="P188" s="427" t="str">
        <v>—</v>
      </c>
      <c r="Q188" s="428" t="str">
        <v>—</v>
      </c>
      <c r="R188" s="426" t="str">
        <v>—</v>
      </c>
    </row>
    <row r="189" spans="2:18" x14ac:dyDescent="0.25">
      <c r="B189" s="439" t="str">
        <v>ME-15</v>
      </c>
      <c r="C189" s="438" t="str">
        <v>INACTIVA</v>
      </c>
      <c r="D189" s="442">
        <v>145</v>
      </c>
      <c r="E189" s="421" t="str">
        <v>4S8724</v>
      </c>
      <c r="F189" s="443" t="str">
        <v>DISCO</v>
      </c>
      <c r="G189" s="423">
        <v>3</v>
      </c>
      <c r="H189" s="424">
        <v>2814.6</v>
      </c>
      <c r="I189" s="425">
        <v>8443.7999999999993</v>
      </c>
      <c r="J189" s="426" t="str">
        <v>5-7</v>
      </c>
      <c r="K189" s="427">
        <v>0</v>
      </c>
      <c r="L189" s="427" t="str">
        <v>—</v>
      </c>
      <c r="M189" s="428" t="str">
        <v>—</v>
      </c>
      <c r="N189" s="426" t="str">
        <v>—</v>
      </c>
      <c r="O189" s="427">
        <v>0</v>
      </c>
      <c r="P189" s="427" t="str">
        <v>—</v>
      </c>
      <c r="Q189" s="428" t="str">
        <v>—</v>
      </c>
      <c r="R189" s="426" t="str">
        <v>—</v>
      </c>
    </row>
    <row r="190" spans="2:18" x14ac:dyDescent="0.25">
      <c r="B190" s="439" t="str">
        <v>ME-15</v>
      </c>
      <c r="C190" s="438" t="str">
        <v>INACTIVA</v>
      </c>
      <c r="D190" s="442">
        <v>145</v>
      </c>
      <c r="E190" s="421" t="str">
        <v>3892007</v>
      </c>
      <c r="F190" s="443" t="str">
        <v>DISC-FRICTIO</v>
      </c>
      <c r="G190" s="423">
        <v>5</v>
      </c>
      <c r="H190" s="424">
        <v>4319.09</v>
      </c>
      <c r="I190" s="425">
        <v>21595.45</v>
      </c>
      <c r="J190" s="426" t="str">
        <v>5-7</v>
      </c>
      <c r="K190" s="427">
        <v>0</v>
      </c>
      <c r="L190" s="427" t="str">
        <v>—</v>
      </c>
      <c r="M190" s="428" t="str">
        <v>—</v>
      </c>
      <c r="N190" s="426" t="str">
        <v>—</v>
      </c>
      <c r="O190" s="427">
        <v>0</v>
      </c>
      <c r="P190" s="427" t="str">
        <v>—</v>
      </c>
      <c r="Q190" s="428" t="str">
        <v>—</v>
      </c>
      <c r="R190" s="426" t="str">
        <v>—</v>
      </c>
    </row>
    <row r="191" spans="2:18" x14ac:dyDescent="0.25">
      <c r="B191" s="439" t="str">
        <v>ME-15</v>
      </c>
      <c r="C191" s="438" t="str">
        <v>INACTIVA</v>
      </c>
      <c r="D191" s="442">
        <v>145</v>
      </c>
      <c r="E191" s="421" t="str">
        <v>8E8300</v>
      </c>
      <c r="F191" s="443" t="str">
        <v>ARANDELA</v>
      </c>
      <c r="G191" s="423">
        <v>8</v>
      </c>
      <c r="H191" s="424">
        <v>175.24</v>
      </c>
      <c r="I191" s="425">
        <v>1401.92</v>
      </c>
      <c r="J191" s="426" t="str">
        <v>5-7</v>
      </c>
      <c r="K191" s="427">
        <v>0</v>
      </c>
      <c r="L191" s="427" t="str">
        <v>—</v>
      </c>
      <c r="M191" s="428" t="str">
        <v>—</v>
      </c>
      <c r="N191" s="426" t="str">
        <v>—</v>
      </c>
      <c r="O191" s="427">
        <v>0</v>
      </c>
      <c r="P191" s="427" t="str">
        <v>—</v>
      </c>
      <c r="Q191" s="428" t="str">
        <v>—</v>
      </c>
      <c r="R191" s="426" t="str">
        <v>—</v>
      </c>
    </row>
    <row r="192" spans="2:18" x14ac:dyDescent="0.25">
      <c r="B192" s="439" t="str">
        <v>ME-15</v>
      </c>
      <c r="C192" s="438" t="str">
        <v>INACTIVA</v>
      </c>
      <c r="D192" s="442">
        <v>145</v>
      </c>
      <c r="E192" s="421" t="str">
        <v>8E8304</v>
      </c>
      <c r="F192" s="443" t="str">
        <v>DISCO</v>
      </c>
      <c r="G192" s="423">
        <v>22</v>
      </c>
      <c r="H192" s="424">
        <v>197.62</v>
      </c>
      <c r="I192" s="425">
        <v>4347.6400000000003</v>
      </c>
      <c r="J192" s="426" t="str">
        <v>5-7</v>
      </c>
      <c r="K192" s="427">
        <v>0</v>
      </c>
      <c r="L192" s="427" t="str">
        <v>—</v>
      </c>
      <c r="M192" s="428" t="str">
        <v>—</v>
      </c>
      <c r="N192" s="426" t="str">
        <v>—</v>
      </c>
      <c r="O192" s="427">
        <v>0</v>
      </c>
      <c r="P192" s="427" t="str">
        <v>—</v>
      </c>
      <c r="Q192" s="428" t="str">
        <v>—</v>
      </c>
      <c r="R192" s="426" t="str">
        <v>—</v>
      </c>
    </row>
    <row r="193" spans="2:18" x14ac:dyDescent="0.25">
      <c r="B193" s="439" t="str">
        <v>ME-15</v>
      </c>
      <c r="C193" s="438" t="str">
        <v>INACTIVA</v>
      </c>
      <c r="D193" s="442">
        <v>145</v>
      </c>
      <c r="E193" s="421" t="str">
        <v>8E8307</v>
      </c>
      <c r="F193" s="443" t="str">
        <v>ARANDELA P</v>
      </c>
      <c r="G193" s="423">
        <v>16</v>
      </c>
      <c r="H193" s="424">
        <v>217.13</v>
      </c>
      <c r="I193" s="425">
        <v>3474.08</v>
      </c>
      <c r="J193" s="426" t="str">
        <v>5-7</v>
      </c>
      <c r="K193" s="427">
        <v>0</v>
      </c>
      <c r="L193" s="427" t="str">
        <v>—</v>
      </c>
      <c r="M193" s="428" t="str">
        <v>—</v>
      </c>
      <c r="N193" s="426" t="str">
        <v>—</v>
      </c>
      <c r="O193" s="427">
        <v>0</v>
      </c>
      <c r="P193" s="427" t="str">
        <v>—</v>
      </c>
      <c r="Q193" s="428" t="str">
        <v>—</v>
      </c>
      <c r="R193" s="426" t="str">
        <v>—</v>
      </c>
    </row>
    <row r="194" spans="2:18" x14ac:dyDescent="0.25">
      <c r="B194" s="439" t="str">
        <v>ME-15</v>
      </c>
      <c r="C194" s="438" t="str">
        <v>INACTIVA</v>
      </c>
      <c r="D194" s="442">
        <v>145</v>
      </c>
      <c r="E194" s="421" t="str">
        <v>9W4662</v>
      </c>
      <c r="F194" s="443" t="str">
        <v>DISCO</v>
      </c>
      <c r="G194" s="423">
        <v>3</v>
      </c>
      <c r="H194" s="424">
        <v>2868.65</v>
      </c>
      <c r="I194" s="425">
        <v>8605.9500000000007</v>
      </c>
      <c r="J194" s="426" t="str">
        <v>5-7</v>
      </c>
      <c r="K194" s="427">
        <v>0</v>
      </c>
      <c r="L194" s="427" t="str">
        <v>—</v>
      </c>
      <c r="M194" s="428" t="str">
        <v>—</v>
      </c>
      <c r="N194" s="426" t="str">
        <v>—</v>
      </c>
      <c r="O194" s="427">
        <v>0</v>
      </c>
      <c r="P194" s="427" t="str">
        <v>—</v>
      </c>
      <c r="Q194" s="428" t="str">
        <v>—</v>
      </c>
      <c r="R194" s="426" t="str">
        <v>—</v>
      </c>
    </row>
    <row r="195" spans="2:18" x14ac:dyDescent="0.25">
      <c r="B195" s="439" t="str">
        <v>ME-15</v>
      </c>
      <c r="C195" s="438" t="str">
        <v>INACTIVA</v>
      </c>
      <c r="D195" s="442">
        <v>145</v>
      </c>
      <c r="E195" s="421" t="str">
        <v>2157639</v>
      </c>
      <c r="F195" s="443" t="str">
        <v>BEARING KIT</v>
      </c>
      <c r="G195" s="423">
        <v>1</v>
      </c>
      <c r="H195" s="424">
        <v>87438.82</v>
      </c>
      <c r="I195" s="425">
        <v>87438.82</v>
      </c>
      <c r="J195" s="426" t="str">
        <v>5-7</v>
      </c>
      <c r="K195" s="427">
        <v>0</v>
      </c>
      <c r="L195" s="427" t="str">
        <v>—</v>
      </c>
      <c r="M195" s="428" t="str">
        <v>—</v>
      </c>
      <c r="N195" s="426" t="str">
        <v>—</v>
      </c>
      <c r="O195" s="427">
        <v>0</v>
      </c>
      <c r="P195" s="427" t="str">
        <v>—</v>
      </c>
      <c r="Q195" s="428" t="str">
        <v>—</v>
      </c>
      <c r="R195" s="426" t="str">
        <v>—</v>
      </c>
    </row>
    <row r="196" spans="2:18" x14ac:dyDescent="0.25">
      <c r="B196" s="439" t="str">
        <v>ME-15</v>
      </c>
      <c r="C196" s="438" t="str">
        <v>INACTIVA</v>
      </c>
      <c r="D196" s="442">
        <v>145</v>
      </c>
      <c r="E196" s="421" t="str">
        <v>6V7477</v>
      </c>
      <c r="F196" s="443" t="str">
        <v>JUNTAS</v>
      </c>
      <c r="G196" s="423">
        <v>1</v>
      </c>
      <c r="H196" s="424">
        <v>2340.7800000000002</v>
      </c>
      <c r="I196" s="425">
        <v>2340.7800000000002</v>
      </c>
      <c r="J196" s="426" t="str">
        <v>5-7</v>
      </c>
      <c r="K196" s="427">
        <v>0</v>
      </c>
      <c r="L196" s="427" t="str">
        <v>—</v>
      </c>
      <c r="M196" s="428" t="str">
        <v>—</v>
      </c>
      <c r="N196" s="426" t="str">
        <v>—</v>
      </c>
      <c r="O196" s="427">
        <v>0</v>
      </c>
      <c r="P196" s="427" t="str">
        <v>—</v>
      </c>
      <c r="Q196" s="428" t="str">
        <v>—</v>
      </c>
      <c r="R196" s="426" t="str">
        <v>—</v>
      </c>
    </row>
    <row r="197" spans="2:18" x14ac:dyDescent="0.25">
      <c r="B197" s="439" t="str">
        <v>ME-15</v>
      </c>
      <c r="C197" s="438" t="str">
        <v>INACTIVA</v>
      </c>
      <c r="D197" s="442">
        <v>145</v>
      </c>
      <c r="E197" s="421" t="str">
        <v>8C5378</v>
      </c>
      <c r="F197" s="443" t="str">
        <v>KIT GASKET</v>
      </c>
      <c r="G197" s="423">
        <v>1</v>
      </c>
      <c r="H197" s="424">
        <v>0</v>
      </c>
      <c r="I197" s="425">
        <v>0</v>
      </c>
      <c r="J197" s="426" t="str">
        <v>5-7</v>
      </c>
      <c r="K197" s="427">
        <v>0</v>
      </c>
      <c r="L197" s="427" t="str">
        <v>—</v>
      </c>
      <c r="M197" s="428" t="str">
        <v>—</v>
      </c>
      <c r="N197" s="426" t="str">
        <v>—</v>
      </c>
      <c r="O197" s="427">
        <v>0</v>
      </c>
      <c r="P197" s="427" t="str">
        <v>—</v>
      </c>
      <c r="Q197" s="428" t="str">
        <v>—</v>
      </c>
      <c r="R197" s="426" t="str">
        <v>—</v>
      </c>
    </row>
    <row r="198" spans="2:18" x14ac:dyDescent="0.25">
      <c r="B198" s="439" t="str">
        <v>ME-15</v>
      </c>
      <c r="C198" s="438" t="str">
        <v>INACTIVA</v>
      </c>
      <c r="D198" s="442">
        <v>145</v>
      </c>
      <c r="E198" s="421" t="str">
        <v>159799</v>
      </c>
      <c r="F198" s="443" t="str">
        <v>SELLO</v>
      </c>
      <c r="G198" s="423">
        <v>2</v>
      </c>
      <c r="H198" s="424">
        <v>125.84</v>
      </c>
      <c r="I198" s="425">
        <v>251.68</v>
      </c>
      <c r="J198" s="426" t="str">
        <v>5-7</v>
      </c>
      <c r="K198" s="427">
        <v>0</v>
      </c>
      <c r="L198" s="427" t="str">
        <v>—</v>
      </c>
      <c r="M198" s="428" t="str">
        <v>—</v>
      </c>
      <c r="N198" s="426" t="str">
        <v>—</v>
      </c>
      <c r="O198" s="427">
        <v>0</v>
      </c>
      <c r="P198" s="427" t="str">
        <v>—</v>
      </c>
      <c r="Q198" s="428" t="str">
        <v>—</v>
      </c>
      <c r="R198" s="426" t="str">
        <v>—</v>
      </c>
    </row>
    <row r="199" spans="2:18" x14ac:dyDescent="0.25">
      <c r="B199" s="439" t="str">
        <v>ME-15</v>
      </c>
      <c r="C199" s="438" t="str">
        <v>INACTIVA</v>
      </c>
      <c r="D199" s="442">
        <v>145</v>
      </c>
      <c r="E199" s="421" t="str">
        <v>2D6507</v>
      </c>
      <c r="F199" s="443" t="str">
        <v>EMPAQUE</v>
      </c>
      <c r="G199" s="423">
        <v>2</v>
      </c>
      <c r="H199" s="424">
        <v>295.17</v>
      </c>
      <c r="I199" s="425">
        <v>590.34</v>
      </c>
      <c r="J199" s="426" t="str">
        <v>5-7</v>
      </c>
      <c r="K199" s="427">
        <v>0</v>
      </c>
      <c r="L199" s="427" t="str">
        <v>—</v>
      </c>
      <c r="M199" s="428" t="str">
        <v>—</v>
      </c>
      <c r="N199" s="426" t="str">
        <v>—</v>
      </c>
      <c r="O199" s="427">
        <v>0</v>
      </c>
      <c r="P199" s="427" t="str">
        <v>—</v>
      </c>
      <c r="Q199" s="428" t="str">
        <v>—</v>
      </c>
      <c r="R199" s="426" t="str">
        <v>—</v>
      </c>
    </row>
    <row r="200" spans="2:18" x14ac:dyDescent="0.25">
      <c r="B200" s="439" t="str">
        <v>ME-15</v>
      </c>
      <c r="C200" s="438" t="str">
        <v>INACTIVA</v>
      </c>
      <c r="D200" s="442">
        <v>145</v>
      </c>
      <c r="E200" s="421" t="str">
        <v>2K2939</v>
      </c>
      <c r="F200" s="443" t="str">
        <v>JUNTA</v>
      </c>
      <c r="G200" s="423">
        <v>1</v>
      </c>
      <c r="H200" s="424">
        <v>173.09</v>
      </c>
      <c r="I200" s="425">
        <v>173.09</v>
      </c>
      <c r="J200" s="426" t="str">
        <v>5-7</v>
      </c>
      <c r="K200" s="427">
        <v>0</v>
      </c>
      <c r="L200" s="427" t="str">
        <v>—</v>
      </c>
      <c r="M200" s="428" t="str">
        <v>—</v>
      </c>
      <c r="N200" s="426" t="str">
        <v>—</v>
      </c>
      <c r="O200" s="427">
        <v>0</v>
      </c>
      <c r="P200" s="427" t="str">
        <v>—</v>
      </c>
      <c r="Q200" s="428" t="str">
        <v>—</v>
      </c>
      <c r="R200" s="426" t="str">
        <v>—</v>
      </c>
    </row>
    <row r="201" spans="2:18" x14ac:dyDescent="0.25">
      <c r="B201" s="439" t="str">
        <v>ME-15</v>
      </c>
      <c r="C201" s="438" t="str">
        <v>INACTIVA</v>
      </c>
      <c r="D201" s="442">
        <v>145</v>
      </c>
      <c r="E201" s="421" t="str">
        <v>3D2824</v>
      </c>
      <c r="F201" s="443" t="str">
        <v>JUNTA</v>
      </c>
      <c r="G201" s="423">
        <v>1</v>
      </c>
      <c r="H201" s="424">
        <v>48.33</v>
      </c>
      <c r="I201" s="425">
        <v>48.33</v>
      </c>
      <c r="J201" s="426" t="str">
        <v>5-7</v>
      </c>
      <c r="K201" s="427">
        <v>0</v>
      </c>
      <c r="L201" s="427" t="str">
        <v>—</v>
      </c>
      <c r="M201" s="428" t="str">
        <v>—</v>
      </c>
      <c r="N201" s="426" t="str">
        <v>—</v>
      </c>
      <c r="O201" s="427">
        <v>0</v>
      </c>
      <c r="P201" s="427" t="str">
        <v>—</v>
      </c>
      <c r="Q201" s="428" t="str">
        <v>—</v>
      </c>
      <c r="R201" s="426" t="str">
        <v>—</v>
      </c>
    </row>
    <row r="202" spans="2:18" x14ac:dyDescent="0.25">
      <c r="B202" s="439" t="str">
        <v>ME-15</v>
      </c>
      <c r="C202" s="438" t="str">
        <v>INACTIVA</v>
      </c>
      <c r="D202" s="442">
        <v>145</v>
      </c>
      <c r="E202" s="421" t="str">
        <v>3J1907</v>
      </c>
      <c r="F202" s="443" t="str">
        <v>SELLOS</v>
      </c>
      <c r="G202" s="423">
        <v>2</v>
      </c>
      <c r="H202" s="424">
        <v>31.5</v>
      </c>
      <c r="I202" s="425">
        <v>63</v>
      </c>
      <c r="J202" s="426" t="str">
        <v>5-7</v>
      </c>
      <c r="K202" s="427">
        <v>0</v>
      </c>
      <c r="L202" s="427" t="str">
        <v>—</v>
      </c>
      <c r="M202" s="428" t="str">
        <v>—</v>
      </c>
      <c r="N202" s="426" t="str">
        <v>—</v>
      </c>
      <c r="O202" s="427">
        <v>0</v>
      </c>
      <c r="P202" s="427" t="str">
        <v>—</v>
      </c>
      <c r="Q202" s="428" t="str">
        <v>—</v>
      </c>
      <c r="R202" s="426" t="str">
        <v>—</v>
      </c>
    </row>
    <row r="203" spans="2:18" x14ac:dyDescent="0.25">
      <c r="B203" s="439" t="str">
        <v>ME-15</v>
      </c>
      <c r="C203" s="438" t="str">
        <v>INACTIVA</v>
      </c>
      <c r="D203" s="442">
        <v>145</v>
      </c>
      <c r="E203" s="421" t="str">
        <v>4F7390</v>
      </c>
      <c r="F203" s="443" t="str">
        <v>JUNTA</v>
      </c>
      <c r="G203" s="423">
        <v>1</v>
      </c>
      <c r="H203" s="424">
        <v>122.61</v>
      </c>
      <c r="I203" s="425">
        <v>122.61</v>
      </c>
      <c r="J203" s="426" t="str">
        <v>5-7</v>
      </c>
      <c r="K203" s="427">
        <v>0</v>
      </c>
      <c r="L203" s="427" t="str">
        <v>—</v>
      </c>
      <c r="M203" s="428" t="str">
        <v>—</v>
      </c>
      <c r="N203" s="426" t="str">
        <v>—</v>
      </c>
      <c r="O203" s="427">
        <v>0</v>
      </c>
      <c r="P203" s="427" t="str">
        <v>—</v>
      </c>
      <c r="Q203" s="428" t="str">
        <v>—</v>
      </c>
      <c r="R203" s="426" t="str">
        <v>—</v>
      </c>
    </row>
    <row r="204" spans="2:18" x14ac:dyDescent="0.25">
      <c r="B204" s="439" t="str">
        <v>ME-15</v>
      </c>
      <c r="C204" s="438" t="str">
        <v>INACTIVA</v>
      </c>
      <c r="D204" s="442">
        <v>145</v>
      </c>
      <c r="E204" s="421" t="str">
        <v>4F9029</v>
      </c>
      <c r="F204" s="443" t="str">
        <v>JUNTA CAUC</v>
      </c>
      <c r="G204" s="423">
        <v>1</v>
      </c>
      <c r="H204" s="424">
        <v>55.85</v>
      </c>
      <c r="I204" s="425">
        <v>55.85</v>
      </c>
      <c r="J204" s="426" t="str">
        <v>5-7</v>
      </c>
      <c r="K204" s="427">
        <v>0</v>
      </c>
      <c r="L204" s="427" t="str">
        <v>—</v>
      </c>
      <c r="M204" s="428" t="str">
        <v>—</v>
      </c>
      <c r="N204" s="426" t="str">
        <v>—</v>
      </c>
      <c r="O204" s="427">
        <v>0</v>
      </c>
      <c r="P204" s="427" t="str">
        <v>—</v>
      </c>
      <c r="Q204" s="428" t="str">
        <v>—</v>
      </c>
      <c r="R204" s="426" t="str">
        <v>—</v>
      </c>
    </row>
    <row r="205" spans="2:18" x14ac:dyDescent="0.25">
      <c r="B205" s="439" t="str">
        <v>ME-15</v>
      </c>
      <c r="C205" s="438" t="str">
        <v>INACTIVA</v>
      </c>
      <c r="D205" s="442">
        <v>145</v>
      </c>
      <c r="E205" s="421" t="str">
        <v>5D7523</v>
      </c>
      <c r="F205" s="443" t="str">
        <v>EMPAQUE</v>
      </c>
      <c r="G205" s="423">
        <v>1</v>
      </c>
      <c r="H205" s="424">
        <v>475.42</v>
      </c>
      <c r="I205" s="425">
        <v>475.42</v>
      </c>
      <c r="J205" s="426" t="str">
        <v>5-7</v>
      </c>
      <c r="K205" s="427">
        <v>0</v>
      </c>
      <c r="L205" s="427" t="str">
        <v>—</v>
      </c>
      <c r="M205" s="428" t="str">
        <v>—</v>
      </c>
      <c r="N205" s="426" t="str">
        <v>—</v>
      </c>
      <c r="O205" s="427">
        <v>0</v>
      </c>
      <c r="P205" s="427" t="str">
        <v>—</v>
      </c>
      <c r="Q205" s="428" t="str">
        <v>—</v>
      </c>
      <c r="R205" s="426" t="str">
        <v>—</v>
      </c>
    </row>
    <row r="206" spans="2:18" x14ac:dyDescent="0.25">
      <c r="B206" s="439" t="str">
        <v>ME-15</v>
      </c>
      <c r="C206" s="438" t="str">
        <v>INACTIVA</v>
      </c>
      <c r="D206" s="442">
        <v>145</v>
      </c>
      <c r="E206" s="421" t="str">
        <v>5H7153</v>
      </c>
      <c r="F206" s="443" t="str">
        <v>JUNTA</v>
      </c>
      <c r="G206" s="423">
        <v>1</v>
      </c>
      <c r="H206" s="424">
        <v>153.4</v>
      </c>
      <c r="I206" s="425">
        <v>153.4</v>
      </c>
      <c r="J206" s="426" t="str">
        <v>5-7</v>
      </c>
      <c r="K206" s="427">
        <v>0</v>
      </c>
      <c r="L206" s="427" t="str">
        <v>—</v>
      </c>
      <c r="M206" s="428" t="str">
        <v>—</v>
      </c>
      <c r="N206" s="426" t="str">
        <v>—</v>
      </c>
      <c r="O206" s="427">
        <v>0</v>
      </c>
      <c r="P206" s="427" t="str">
        <v>—</v>
      </c>
      <c r="Q206" s="428" t="str">
        <v>—</v>
      </c>
      <c r="R206" s="426" t="str">
        <v>—</v>
      </c>
    </row>
    <row r="207" spans="2:18" x14ac:dyDescent="0.25">
      <c r="B207" s="439" t="str">
        <v>ME-15</v>
      </c>
      <c r="C207" s="438" t="str">
        <v>INACTIVA</v>
      </c>
      <c r="D207" s="442">
        <v>145</v>
      </c>
      <c r="E207" s="421" t="str">
        <v>7G1594</v>
      </c>
      <c r="F207" s="443" t="str">
        <v>EMPAQUE</v>
      </c>
      <c r="G207" s="423">
        <v>1</v>
      </c>
      <c r="H207" s="424">
        <v>198.33</v>
      </c>
      <c r="I207" s="425">
        <v>198.33</v>
      </c>
      <c r="J207" s="426" t="str">
        <v>5-7</v>
      </c>
      <c r="K207" s="427">
        <v>0</v>
      </c>
      <c r="L207" s="427" t="str">
        <v>—</v>
      </c>
      <c r="M207" s="428" t="str">
        <v>—</v>
      </c>
      <c r="N207" s="426" t="str">
        <v>—</v>
      </c>
      <c r="O207" s="427">
        <v>0</v>
      </c>
      <c r="P207" s="427" t="str">
        <v>—</v>
      </c>
      <c r="Q207" s="428" t="str">
        <v>—</v>
      </c>
      <c r="R207" s="426" t="str">
        <v>—</v>
      </c>
    </row>
    <row r="208" spans="2:18" x14ac:dyDescent="0.25">
      <c r="B208" s="439" t="str">
        <v>ME-15</v>
      </c>
      <c r="C208" s="438" t="str">
        <v>INACTIVA</v>
      </c>
      <c r="D208" s="442">
        <v>145</v>
      </c>
      <c r="E208" s="421" t="str">
        <v>7G6373</v>
      </c>
      <c r="F208" s="443" t="str">
        <v>EMPAQUE</v>
      </c>
      <c r="G208" s="423">
        <v>1</v>
      </c>
      <c r="H208" s="424">
        <v>608.05999999999995</v>
      </c>
      <c r="I208" s="425">
        <v>608.05999999999995</v>
      </c>
      <c r="J208" s="426" t="str">
        <v>5-7</v>
      </c>
      <c r="K208" s="427">
        <v>0</v>
      </c>
      <c r="L208" s="427" t="str">
        <v>—</v>
      </c>
      <c r="M208" s="428" t="str">
        <v>—</v>
      </c>
      <c r="N208" s="426" t="str">
        <v>—</v>
      </c>
      <c r="O208" s="427">
        <v>0</v>
      </c>
      <c r="P208" s="427" t="str">
        <v>—</v>
      </c>
      <c r="Q208" s="428" t="str">
        <v>—</v>
      </c>
      <c r="R208" s="426" t="str">
        <v>—</v>
      </c>
    </row>
    <row r="209" spans="2:18" x14ac:dyDescent="0.25">
      <c r="B209" s="439" t="str">
        <v>ME-15</v>
      </c>
      <c r="C209" s="438" t="str">
        <v>INACTIVA</v>
      </c>
      <c r="D209" s="442">
        <v>145</v>
      </c>
      <c r="E209" s="421" t="str">
        <v>7M8485</v>
      </c>
      <c r="F209" s="443" t="str">
        <v>SELLO</v>
      </c>
      <c r="G209" s="423">
        <v>1</v>
      </c>
      <c r="H209" s="424">
        <v>52.63</v>
      </c>
      <c r="I209" s="425">
        <v>52.63</v>
      </c>
      <c r="J209" s="426" t="str">
        <v>5-7</v>
      </c>
      <c r="K209" s="427">
        <v>0</v>
      </c>
      <c r="L209" s="427" t="str">
        <v>—</v>
      </c>
      <c r="M209" s="428" t="str">
        <v>—</v>
      </c>
      <c r="N209" s="426" t="str">
        <v>—</v>
      </c>
      <c r="O209" s="427">
        <v>0</v>
      </c>
      <c r="P209" s="427" t="str">
        <v>—</v>
      </c>
      <c r="Q209" s="428" t="str">
        <v>—</v>
      </c>
      <c r="R209" s="426" t="str">
        <v>—</v>
      </c>
    </row>
    <row r="210" spans="2:18" x14ac:dyDescent="0.25">
      <c r="B210" s="439" t="str">
        <v>ME-15</v>
      </c>
      <c r="C210" s="438" t="str">
        <v>INACTIVA</v>
      </c>
      <c r="D210" s="442">
        <v>145</v>
      </c>
      <c r="E210" s="421" t="str">
        <v>8M4390</v>
      </c>
      <c r="F210" s="443" t="str">
        <v>JUNTA</v>
      </c>
      <c r="G210" s="423">
        <v>2</v>
      </c>
      <c r="H210" s="424">
        <v>178.82</v>
      </c>
      <c r="I210" s="425">
        <v>357.64</v>
      </c>
      <c r="J210" s="426" t="str">
        <v>5-7</v>
      </c>
      <c r="K210" s="427">
        <v>0</v>
      </c>
      <c r="L210" s="427" t="str">
        <v>—</v>
      </c>
      <c r="M210" s="428" t="str">
        <v>—</v>
      </c>
      <c r="N210" s="426" t="str">
        <v>—</v>
      </c>
      <c r="O210" s="427">
        <v>0</v>
      </c>
      <c r="P210" s="427" t="str">
        <v>—</v>
      </c>
      <c r="Q210" s="428" t="str">
        <v>—</v>
      </c>
      <c r="R210" s="426" t="str">
        <v>—</v>
      </c>
    </row>
    <row r="211" spans="2:18" x14ac:dyDescent="0.25">
      <c r="B211" s="439" t="str">
        <v>ME-15</v>
      </c>
      <c r="C211" s="438" t="str">
        <v>INACTIVA</v>
      </c>
      <c r="D211" s="442">
        <v>145</v>
      </c>
      <c r="E211" s="421" t="str">
        <v>8M4992</v>
      </c>
      <c r="F211" s="443" t="str">
        <v>SELLO</v>
      </c>
      <c r="G211" s="423">
        <v>2</v>
      </c>
      <c r="H211" s="424">
        <v>137.83000000000001</v>
      </c>
      <c r="I211" s="425">
        <v>275.66000000000003</v>
      </c>
      <c r="J211" s="426" t="str">
        <v>5-7</v>
      </c>
      <c r="K211" s="427">
        <v>0</v>
      </c>
      <c r="L211" s="427" t="str">
        <v>—</v>
      </c>
      <c r="M211" s="428" t="str">
        <v>—</v>
      </c>
      <c r="N211" s="426" t="str">
        <v>—</v>
      </c>
      <c r="O211" s="427">
        <v>0</v>
      </c>
      <c r="P211" s="427" t="str">
        <v>—</v>
      </c>
      <c r="Q211" s="428" t="str">
        <v>—</v>
      </c>
      <c r="R211" s="426" t="str">
        <v>—</v>
      </c>
    </row>
    <row r="212" spans="2:18" x14ac:dyDescent="0.25">
      <c r="B212" s="439" t="str">
        <v>ME-15</v>
      </c>
      <c r="C212" s="438" t="str">
        <v>INACTIVA</v>
      </c>
      <c r="D212" s="442">
        <v>145</v>
      </c>
      <c r="E212" s="421" t="str">
        <v>9H3360</v>
      </c>
      <c r="F212" s="443" t="str">
        <v>SELLO</v>
      </c>
      <c r="G212" s="423">
        <v>1</v>
      </c>
      <c r="H212" s="424">
        <v>427.81</v>
      </c>
      <c r="I212" s="425">
        <v>427.81</v>
      </c>
      <c r="J212" s="426" t="str">
        <v>5-7</v>
      </c>
      <c r="K212" s="427">
        <v>0</v>
      </c>
      <c r="L212" s="427" t="str">
        <v>—</v>
      </c>
      <c r="M212" s="428" t="str">
        <v>—</v>
      </c>
      <c r="N212" s="426" t="str">
        <v>—</v>
      </c>
      <c r="O212" s="427">
        <v>0</v>
      </c>
      <c r="P212" s="427" t="str">
        <v>—</v>
      </c>
      <c r="Q212" s="428" t="str">
        <v>—</v>
      </c>
      <c r="R212" s="426" t="str">
        <v>—</v>
      </c>
    </row>
    <row r="213" spans="2:18" x14ac:dyDescent="0.25">
      <c r="B213" s="439" t="str">
        <v>ME-15</v>
      </c>
      <c r="C213" s="438" t="str">
        <v>INACTIVA</v>
      </c>
      <c r="D213" s="442">
        <v>145</v>
      </c>
      <c r="E213" s="421" t="str">
        <v>9M4849</v>
      </c>
      <c r="F213" s="443" t="str">
        <v>JUNTA</v>
      </c>
      <c r="G213" s="423">
        <v>1</v>
      </c>
      <c r="H213" s="424">
        <v>123.69</v>
      </c>
      <c r="I213" s="425">
        <v>123.69</v>
      </c>
      <c r="J213" s="426" t="str">
        <v>5-7</v>
      </c>
      <c r="K213" s="427">
        <v>0</v>
      </c>
      <c r="L213" s="427" t="str">
        <v>—</v>
      </c>
      <c r="M213" s="428" t="str">
        <v>—</v>
      </c>
      <c r="N213" s="426" t="str">
        <v>—</v>
      </c>
      <c r="O213" s="427">
        <v>0</v>
      </c>
      <c r="P213" s="427" t="str">
        <v>—</v>
      </c>
      <c r="Q213" s="428" t="str">
        <v>—</v>
      </c>
      <c r="R213" s="426" t="str">
        <v>—</v>
      </c>
    </row>
    <row r="214" spans="2:18" x14ac:dyDescent="0.25">
      <c r="B214" s="439" t="str">
        <v>ME-15</v>
      </c>
      <c r="C214" s="438" t="str">
        <v>INACTIVA</v>
      </c>
      <c r="D214" s="442">
        <v>145</v>
      </c>
      <c r="E214" s="421" t="str">
        <v>159799</v>
      </c>
      <c r="F214" s="443" t="str">
        <v>SELLO</v>
      </c>
      <c r="G214" s="423">
        <v>4</v>
      </c>
      <c r="H214" s="424">
        <v>125.84</v>
      </c>
      <c r="I214" s="425">
        <v>503.36</v>
      </c>
      <c r="J214" s="426" t="str">
        <v>5-7</v>
      </c>
      <c r="K214" s="427">
        <v>0</v>
      </c>
      <c r="L214" s="427" t="str">
        <v>—</v>
      </c>
      <c r="M214" s="428" t="str">
        <v>—</v>
      </c>
      <c r="N214" s="426" t="str">
        <v>—</v>
      </c>
      <c r="O214" s="427">
        <v>0</v>
      </c>
      <c r="P214" s="427" t="str">
        <v>—</v>
      </c>
      <c r="Q214" s="428" t="str">
        <v>—</v>
      </c>
      <c r="R214" s="426" t="str">
        <v>—</v>
      </c>
    </row>
    <row r="215" spans="2:18" x14ac:dyDescent="0.25">
      <c r="B215" s="439" t="str">
        <v>ME-15</v>
      </c>
      <c r="C215" s="438" t="str">
        <v>INACTIVA</v>
      </c>
      <c r="D215" s="442">
        <v>145</v>
      </c>
      <c r="E215" s="421" t="str">
        <v>2D6507</v>
      </c>
      <c r="F215" s="443" t="str">
        <v>EMPAQUE</v>
      </c>
      <c r="G215" s="423">
        <v>2</v>
      </c>
      <c r="H215" s="424">
        <v>295.17</v>
      </c>
      <c r="I215" s="425">
        <v>590.34</v>
      </c>
      <c r="J215" s="426" t="str">
        <v>5-7</v>
      </c>
      <c r="K215" s="427">
        <v>0</v>
      </c>
      <c r="L215" s="427" t="str">
        <v>—</v>
      </c>
      <c r="M215" s="428" t="str">
        <v>—</v>
      </c>
      <c r="N215" s="426" t="str">
        <v>—</v>
      </c>
      <c r="O215" s="427">
        <v>0</v>
      </c>
      <c r="P215" s="427" t="str">
        <v>—</v>
      </c>
      <c r="Q215" s="428" t="str">
        <v>—</v>
      </c>
      <c r="R215" s="426" t="str">
        <v>—</v>
      </c>
    </row>
    <row r="216" spans="2:18" x14ac:dyDescent="0.25">
      <c r="B216" s="439" t="str">
        <v>ME-15</v>
      </c>
      <c r="C216" s="438" t="str">
        <v>INACTIVA</v>
      </c>
      <c r="D216" s="442">
        <v>145</v>
      </c>
      <c r="E216" s="421" t="str">
        <v>2K2939</v>
      </c>
      <c r="F216" s="443" t="str">
        <v>JUNTA</v>
      </c>
      <c r="G216" s="423">
        <v>1</v>
      </c>
      <c r="H216" s="424">
        <v>173.09</v>
      </c>
      <c r="I216" s="425">
        <v>173.09</v>
      </c>
      <c r="J216" s="426" t="str">
        <v>5-7</v>
      </c>
      <c r="K216" s="427">
        <v>0</v>
      </c>
      <c r="L216" s="427" t="str">
        <v>—</v>
      </c>
      <c r="M216" s="428" t="str">
        <v>—</v>
      </c>
      <c r="N216" s="426" t="str">
        <v>—</v>
      </c>
      <c r="O216" s="427">
        <v>0</v>
      </c>
      <c r="P216" s="427" t="str">
        <v>—</v>
      </c>
      <c r="Q216" s="428" t="str">
        <v>—</v>
      </c>
      <c r="R216" s="426" t="str">
        <v>—</v>
      </c>
    </row>
    <row r="217" spans="2:18" x14ac:dyDescent="0.25">
      <c r="B217" s="439" t="str">
        <v>ME-15</v>
      </c>
      <c r="C217" s="438" t="str">
        <v>INACTIVA</v>
      </c>
      <c r="D217" s="442">
        <v>145</v>
      </c>
      <c r="E217" s="421" t="str">
        <v>3D2824</v>
      </c>
      <c r="F217" s="443" t="str">
        <v>JUNTA</v>
      </c>
      <c r="G217" s="423">
        <v>2</v>
      </c>
      <c r="H217" s="424">
        <v>48.33</v>
      </c>
      <c r="I217" s="425">
        <v>96.66</v>
      </c>
      <c r="J217" s="426" t="str">
        <v>5-7</v>
      </c>
      <c r="K217" s="427">
        <v>0</v>
      </c>
      <c r="L217" s="427" t="str">
        <v>—</v>
      </c>
      <c r="M217" s="428" t="str">
        <v>—</v>
      </c>
      <c r="N217" s="426" t="str">
        <v>—</v>
      </c>
      <c r="O217" s="427">
        <v>0</v>
      </c>
      <c r="P217" s="427" t="str">
        <v>—</v>
      </c>
      <c r="Q217" s="428" t="str">
        <v>—</v>
      </c>
      <c r="R217" s="426" t="str">
        <v>—</v>
      </c>
    </row>
    <row r="218" spans="2:18" x14ac:dyDescent="0.25">
      <c r="B218" s="439" t="str">
        <v>ME-15</v>
      </c>
      <c r="C218" s="438" t="str">
        <v>INACTIVA</v>
      </c>
      <c r="D218" s="442">
        <v>145</v>
      </c>
      <c r="E218" s="421" t="str">
        <v>3J1907</v>
      </c>
      <c r="F218" s="443" t="str">
        <v>SELLOS</v>
      </c>
      <c r="G218" s="423">
        <v>2</v>
      </c>
      <c r="H218" s="424">
        <v>31.5</v>
      </c>
      <c r="I218" s="425">
        <v>63</v>
      </c>
      <c r="J218" s="426" t="str">
        <v>5-7</v>
      </c>
      <c r="K218" s="427">
        <v>0</v>
      </c>
      <c r="L218" s="427" t="str">
        <v>—</v>
      </c>
      <c r="M218" s="428" t="str">
        <v>—</v>
      </c>
      <c r="N218" s="426" t="str">
        <v>—</v>
      </c>
      <c r="O218" s="427">
        <v>0</v>
      </c>
      <c r="P218" s="427" t="str">
        <v>—</v>
      </c>
      <c r="Q218" s="428" t="str">
        <v>—</v>
      </c>
      <c r="R218" s="426" t="str">
        <v>—</v>
      </c>
    </row>
    <row r="219" spans="2:18" x14ac:dyDescent="0.25">
      <c r="B219" s="439" t="str">
        <v>ME-15</v>
      </c>
      <c r="C219" s="438" t="str">
        <v>INACTIVA</v>
      </c>
      <c r="D219" s="442">
        <v>145</v>
      </c>
      <c r="E219" s="421" t="str">
        <v>4F7390</v>
      </c>
      <c r="F219" s="443" t="str">
        <v>JUNTA</v>
      </c>
      <c r="G219" s="423">
        <v>1</v>
      </c>
      <c r="H219" s="424">
        <v>122.61</v>
      </c>
      <c r="I219" s="425">
        <v>122.61</v>
      </c>
      <c r="J219" s="426" t="str">
        <v>5-7</v>
      </c>
      <c r="K219" s="427">
        <v>0</v>
      </c>
      <c r="L219" s="427" t="str">
        <v>—</v>
      </c>
      <c r="M219" s="428" t="str">
        <v>—</v>
      </c>
      <c r="N219" s="426" t="str">
        <v>—</v>
      </c>
      <c r="O219" s="427">
        <v>0</v>
      </c>
      <c r="P219" s="427" t="str">
        <v>—</v>
      </c>
      <c r="Q219" s="428" t="str">
        <v>—</v>
      </c>
      <c r="R219" s="426" t="str">
        <v>—</v>
      </c>
    </row>
    <row r="220" spans="2:18" x14ac:dyDescent="0.25">
      <c r="B220" s="439" t="str">
        <v>ME-15</v>
      </c>
      <c r="C220" s="438" t="str">
        <v>INACTIVA</v>
      </c>
      <c r="D220" s="442">
        <v>145</v>
      </c>
      <c r="E220" s="421" t="str">
        <v>4F9029</v>
      </c>
      <c r="F220" s="443" t="str">
        <v>JUNTA CAUC</v>
      </c>
      <c r="G220" s="423">
        <v>1</v>
      </c>
      <c r="H220" s="424">
        <v>55.85</v>
      </c>
      <c r="I220" s="425">
        <v>55.85</v>
      </c>
      <c r="J220" s="426" t="str">
        <v>5-7</v>
      </c>
      <c r="K220" s="427">
        <v>0</v>
      </c>
      <c r="L220" s="427" t="str">
        <v>—</v>
      </c>
      <c r="M220" s="428" t="str">
        <v>—</v>
      </c>
      <c r="N220" s="426" t="str">
        <v>—</v>
      </c>
      <c r="O220" s="427">
        <v>0</v>
      </c>
      <c r="P220" s="427" t="str">
        <v>—</v>
      </c>
      <c r="Q220" s="428" t="str">
        <v>—</v>
      </c>
      <c r="R220" s="426" t="str">
        <v>—</v>
      </c>
    </row>
    <row r="221" spans="2:18" x14ac:dyDescent="0.25">
      <c r="B221" s="439" t="str">
        <v>ME-15</v>
      </c>
      <c r="C221" s="438" t="str">
        <v>INACTIVA</v>
      </c>
      <c r="D221" s="442">
        <v>145</v>
      </c>
      <c r="E221" s="421" t="str">
        <v>5D7523</v>
      </c>
      <c r="F221" s="443" t="str">
        <v>EMPAQUE</v>
      </c>
      <c r="G221" s="423">
        <v>1</v>
      </c>
      <c r="H221" s="424">
        <v>475.42</v>
      </c>
      <c r="I221" s="425">
        <v>475.42</v>
      </c>
      <c r="J221" s="426" t="str">
        <v>5-7</v>
      </c>
      <c r="K221" s="427">
        <v>0</v>
      </c>
      <c r="L221" s="427" t="str">
        <v>—</v>
      </c>
      <c r="M221" s="428" t="str">
        <v>—</v>
      </c>
      <c r="N221" s="426" t="str">
        <v>—</v>
      </c>
      <c r="O221" s="427">
        <v>0</v>
      </c>
      <c r="P221" s="427" t="str">
        <v>—</v>
      </c>
      <c r="Q221" s="428" t="str">
        <v>—</v>
      </c>
      <c r="R221" s="426" t="str">
        <v>—</v>
      </c>
    </row>
    <row r="222" spans="2:18" x14ac:dyDescent="0.25">
      <c r="B222" s="439" t="str">
        <v>ME-15</v>
      </c>
      <c r="C222" s="438" t="str">
        <v>INACTIVA</v>
      </c>
      <c r="D222" s="442">
        <v>145</v>
      </c>
      <c r="E222" s="421" t="str">
        <v>5H7153</v>
      </c>
      <c r="F222" s="443" t="str">
        <v>JUNTA</v>
      </c>
      <c r="G222" s="423">
        <v>1</v>
      </c>
      <c r="H222" s="424">
        <v>153.4</v>
      </c>
      <c r="I222" s="425">
        <v>153.4</v>
      </c>
      <c r="J222" s="426" t="str">
        <v>5-7</v>
      </c>
      <c r="K222" s="427">
        <v>0</v>
      </c>
      <c r="L222" s="427" t="str">
        <v>—</v>
      </c>
      <c r="M222" s="428" t="str">
        <v>—</v>
      </c>
      <c r="N222" s="426" t="str">
        <v>—</v>
      </c>
      <c r="O222" s="427">
        <v>0</v>
      </c>
      <c r="P222" s="427" t="str">
        <v>—</v>
      </c>
      <c r="Q222" s="428" t="str">
        <v>—</v>
      </c>
      <c r="R222" s="426" t="str">
        <v>—</v>
      </c>
    </row>
    <row r="223" spans="2:18" x14ac:dyDescent="0.25">
      <c r="B223" s="439" t="str">
        <v>ME-15</v>
      </c>
      <c r="C223" s="438" t="str">
        <v>INACTIVA</v>
      </c>
      <c r="D223" s="442">
        <v>145</v>
      </c>
      <c r="E223" s="421" t="str">
        <v>7G1594</v>
      </c>
      <c r="F223" s="443" t="str">
        <v>EMPAQUE</v>
      </c>
      <c r="G223" s="423">
        <v>1</v>
      </c>
      <c r="H223" s="424">
        <v>198.33</v>
      </c>
      <c r="I223" s="425">
        <v>198.33</v>
      </c>
      <c r="J223" s="426" t="str">
        <v>5-7</v>
      </c>
      <c r="K223" s="427">
        <v>0</v>
      </c>
      <c r="L223" s="427" t="str">
        <v>—</v>
      </c>
      <c r="M223" s="428" t="str">
        <v>—</v>
      </c>
      <c r="N223" s="426" t="str">
        <v>—</v>
      </c>
      <c r="O223" s="427">
        <v>0</v>
      </c>
      <c r="P223" s="427" t="str">
        <v>—</v>
      </c>
      <c r="Q223" s="428" t="str">
        <v>—</v>
      </c>
      <c r="R223" s="426" t="str">
        <v>—</v>
      </c>
    </row>
    <row r="224" spans="2:18" x14ac:dyDescent="0.25">
      <c r="B224" s="439" t="str">
        <v>ME-15</v>
      </c>
      <c r="C224" s="438" t="str">
        <v>INACTIVA</v>
      </c>
      <c r="D224" s="442">
        <v>145</v>
      </c>
      <c r="E224" s="421" t="str">
        <v>7G6373</v>
      </c>
      <c r="F224" s="443" t="str">
        <v>EMPAQUE</v>
      </c>
      <c r="G224" s="423">
        <v>2</v>
      </c>
      <c r="H224" s="424">
        <v>608.05999999999995</v>
      </c>
      <c r="I224" s="425">
        <v>1216.1199999999999</v>
      </c>
      <c r="J224" s="426" t="str">
        <v>5-7</v>
      </c>
      <c r="K224" s="427">
        <v>0</v>
      </c>
      <c r="L224" s="427" t="str">
        <v>—</v>
      </c>
      <c r="M224" s="428" t="str">
        <v>—</v>
      </c>
      <c r="N224" s="426" t="str">
        <v>—</v>
      </c>
      <c r="O224" s="427">
        <v>0</v>
      </c>
      <c r="P224" s="427" t="str">
        <v>—</v>
      </c>
      <c r="Q224" s="428" t="str">
        <v>—</v>
      </c>
      <c r="R224" s="426" t="str">
        <v>—</v>
      </c>
    </row>
    <row r="225" spans="2:18" x14ac:dyDescent="0.25">
      <c r="B225" s="439" t="str">
        <v>ME-15</v>
      </c>
      <c r="C225" s="438" t="str">
        <v>INACTIVA</v>
      </c>
      <c r="D225" s="442">
        <v>145</v>
      </c>
      <c r="E225" s="421" t="str">
        <v>7M8485</v>
      </c>
      <c r="F225" s="443" t="str">
        <v>SELLO</v>
      </c>
      <c r="G225" s="423">
        <v>2</v>
      </c>
      <c r="H225" s="424">
        <v>52.63</v>
      </c>
      <c r="I225" s="425">
        <v>105.26</v>
      </c>
      <c r="J225" s="426" t="str">
        <v>5-7</v>
      </c>
      <c r="K225" s="427">
        <v>0</v>
      </c>
      <c r="L225" s="427" t="str">
        <v>—</v>
      </c>
      <c r="M225" s="428" t="str">
        <v>—</v>
      </c>
      <c r="N225" s="426" t="str">
        <v>—</v>
      </c>
      <c r="O225" s="427">
        <v>0</v>
      </c>
      <c r="P225" s="427" t="str">
        <v>—</v>
      </c>
      <c r="Q225" s="428" t="str">
        <v>—</v>
      </c>
      <c r="R225" s="426" t="str">
        <v>—</v>
      </c>
    </row>
    <row r="226" spans="2:18" x14ac:dyDescent="0.25">
      <c r="B226" s="439" t="str">
        <v>ME-15</v>
      </c>
      <c r="C226" s="438" t="str">
        <v>INACTIVA</v>
      </c>
      <c r="D226" s="442">
        <v>145</v>
      </c>
      <c r="E226" s="421" t="str">
        <v>8M4390</v>
      </c>
      <c r="F226" s="443" t="str">
        <v>JUNTA</v>
      </c>
      <c r="G226" s="423">
        <v>4</v>
      </c>
      <c r="H226" s="424">
        <v>178.82</v>
      </c>
      <c r="I226" s="425">
        <v>715.28</v>
      </c>
      <c r="J226" s="426" t="str">
        <v>5-7</v>
      </c>
      <c r="K226" s="427">
        <v>0</v>
      </c>
      <c r="L226" s="427" t="str">
        <v>—</v>
      </c>
      <c r="M226" s="428" t="str">
        <v>—</v>
      </c>
      <c r="N226" s="426" t="str">
        <v>—</v>
      </c>
      <c r="O226" s="427">
        <v>0</v>
      </c>
      <c r="P226" s="427" t="str">
        <v>—</v>
      </c>
      <c r="Q226" s="428" t="str">
        <v>—</v>
      </c>
      <c r="R226" s="426" t="str">
        <v>—</v>
      </c>
    </row>
    <row r="227" spans="2:18" x14ac:dyDescent="0.25">
      <c r="B227" s="439" t="str">
        <v>ME-15</v>
      </c>
      <c r="C227" s="438" t="str">
        <v>INACTIVA</v>
      </c>
      <c r="D227" s="442">
        <v>145</v>
      </c>
      <c r="E227" s="421" t="str">
        <v>8M4992</v>
      </c>
      <c r="F227" s="443" t="str">
        <v>SELLO</v>
      </c>
      <c r="G227" s="423">
        <v>4</v>
      </c>
      <c r="H227" s="424">
        <v>137.83000000000001</v>
      </c>
      <c r="I227" s="425">
        <v>551.32000000000005</v>
      </c>
      <c r="J227" s="426" t="str">
        <v>5-7</v>
      </c>
      <c r="K227" s="427">
        <v>0</v>
      </c>
      <c r="L227" s="427" t="str">
        <v>—</v>
      </c>
      <c r="M227" s="428" t="str">
        <v>—</v>
      </c>
      <c r="N227" s="426" t="str">
        <v>—</v>
      </c>
      <c r="O227" s="427">
        <v>0</v>
      </c>
      <c r="P227" s="427" t="str">
        <v>—</v>
      </c>
      <c r="Q227" s="428" t="str">
        <v>—</v>
      </c>
      <c r="R227" s="426" t="str">
        <v>—</v>
      </c>
    </row>
    <row r="228" spans="2:18" x14ac:dyDescent="0.25">
      <c r="B228" s="439" t="str">
        <v>ME-15</v>
      </c>
      <c r="C228" s="438" t="str">
        <v>INACTIVA</v>
      </c>
      <c r="D228" s="442">
        <v>145</v>
      </c>
      <c r="E228" s="421" t="str">
        <v>9H3360</v>
      </c>
      <c r="F228" s="443" t="str">
        <v>SELLO</v>
      </c>
      <c r="G228" s="423">
        <v>2</v>
      </c>
      <c r="H228" s="424">
        <v>427.81</v>
      </c>
      <c r="I228" s="425">
        <v>855.62</v>
      </c>
      <c r="J228" s="426" t="str">
        <v>5-7</v>
      </c>
      <c r="K228" s="427">
        <v>0</v>
      </c>
      <c r="L228" s="427" t="str">
        <v>—</v>
      </c>
      <c r="M228" s="428" t="str">
        <v>—</v>
      </c>
      <c r="N228" s="426" t="str">
        <v>—</v>
      </c>
      <c r="O228" s="427">
        <v>0</v>
      </c>
      <c r="P228" s="427" t="str">
        <v>—</v>
      </c>
      <c r="Q228" s="428" t="str">
        <v>—</v>
      </c>
      <c r="R228" s="426" t="str">
        <v>—</v>
      </c>
    </row>
    <row r="229" spans="2:18" x14ac:dyDescent="0.25">
      <c r="B229" s="439" t="str">
        <v>ME-15</v>
      </c>
      <c r="C229" s="438" t="str">
        <v>INACTIVA</v>
      </c>
      <c r="D229" s="442">
        <v>145</v>
      </c>
      <c r="E229" s="421" t="str">
        <v>9M4849</v>
      </c>
      <c r="F229" s="443" t="str">
        <v>JUNTA</v>
      </c>
      <c r="G229" s="423">
        <v>2</v>
      </c>
      <c r="H229" s="424">
        <v>123.69</v>
      </c>
      <c r="I229" s="425">
        <v>247.38</v>
      </c>
      <c r="J229" s="426" t="str">
        <v>5-7</v>
      </c>
      <c r="K229" s="427">
        <v>0</v>
      </c>
      <c r="L229" s="427" t="str">
        <v>—</v>
      </c>
      <c r="M229" s="428" t="str">
        <v>—</v>
      </c>
      <c r="N229" s="426" t="str">
        <v>—</v>
      </c>
      <c r="O229" s="427">
        <v>0</v>
      </c>
      <c r="P229" s="427" t="str">
        <v>—</v>
      </c>
      <c r="Q229" s="428" t="str">
        <v>—</v>
      </c>
      <c r="R229" s="426" t="str">
        <v>—</v>
      </c>
    </row>
    <row r="230" spans="2:18" x14ac:dyDescent="0.25">
      <c r="B230" s="439" t="str">
        <v>ME-15</v>
      </c>
      <c r="C230" s="438" t="str">
        <v>INACTIVA</v>
      </c>
      <c r="D230" s="442">
        <v>145</v>
      </c>
      <c r="E230" s="421" t="str">
        <v>8C5383</v>
      </c>
      <c r="F230" s="443" t="str">
        <v>KIT GASKET</v>
      </c>
      <c r="G230" s="423">
        <v>1</v>
      </c>
      <c r="H230" s="424">
        <v>1428.42</v>
      </c>
      <c r="I230" s="425">
        <v>1428.42</v>
      </c>
      <c r="J230" s="426" t="str">
        <v>5-7</v>
      </c>
      <c r="K230" s="427">
        <v>0</v>
      </c>
      <c r="L230" s="427" t="str">
        <v>—</v>
      </c>
      <c r="M230" s="428" t="str">
        <v>—</v>
      </c>
      <c r="N230" s="426" t="str">
        <v>—</v>
      </c>
      <c r="O230" s="427">
        <v>0</v>
      </c>
      <c r="P230" s="427" t="str">
        <v>—</v>
      </c>
      <c r="Q230" s="428" t="str">
        <v>—</v>
      </c>
      <c r="R230" s="426" t="str">
        <v>—</v>
      </c>
    </row>
    <row r="231" spans="2:18" x14ac:dyDescent="0.25">
      <c r="B231" s="439" t="str">
        <v>ME-15</v>
      </c>
      <c r="C231" s="438" t="str">
        <v>INACTIVA</v>
      </c>
      <c r="D231" s="442">
        <v>145</v>
      </c>
      <c r="E231" s="421" t="str">
        <v>1J9671</v>
      </c>
      <c r="F231" s="443" t="str">
        <v>JUNTA</v>
      </c>
      <c r="G231" s="423">
        <v>2</v>
      </c>
      <c r="H231" s="424">
        <v>29.71</v>
      </c>
      <c r="I231" s="425">
        <v>59.42</v>
      </c>
      <c r="J231" s="426" t="str">
        <v>5-7</v>
      </c>
      <c r="K231" s="427">
        <v>0</v>
      </c>
      <c r="L231" s="427" t="str">
        <v>—</v>
      </c>
      <c r="M231" s="428" t="str">
        <v>—</v>
      </c>
      <c r="N231" s="426" t="str">
        <v>—</v>
      </c>
      <c r="O231" s="427">
        <v>0</v>
      </c>
      <c r="P231" s="427" t="str">
        <v>—</v>
      </c>
      <c r="Q231" s="428" t="str">
        <v>—</v>
      </c>
      <c r="R231" s="426" t="str">
        <v>—</v>
      </c>
    </row>
    <row r="232" spans="2:18" x14ac:dyDescent="0.25">
      <c r="B232" s="439" t="str">
        <v>ME-15</v>
      </c>
      <c r="C232" s="438" t="str">
        <v>INACTIVA</v>
      </c>
      <c r="D232" s="442">
        <v>145</v>
      </c>
      <c r="E232" s="421" t="str">
        <v>1P3704</v>
      </c>
      <c r="F232" s="443" t="str">
        <v>SELLO</v>
      </c>
      <c r="G232" s="423">
        <v>2</v>
      </c>
      <c r="H232" s="424">
        <v>76.430000000000007</v>
      </c>
      <c r="I232" s="425">
        <v>152.86000000000001</v>
      </c>
      <c r="J232" s="426" t="str">
        <v>5-7</v>
      </c>
      <c r="K232" s="427">
        <v>0</v>
      </c>
      <c r="L232" s="427" t="str">
        <v>—</v>
      </c>
      <c r="M232" s="428" t="str">
        <v>—</v>
      </c>
      <c r="N232" s="426" t="str">
        <v>—</v>
      </c>
      <c r="O232" s="427">
        <v>0</v>
      </c>
      <c r="P232" s="427" t="str">
        <v>—</v>
      </c>
      <c r="Q232" s="428" t="str">
        <v>—</v>
      </c>
      <c r="R232" s="426" t="str">
        <v>—</v>
      </c>
    </row>
    <row r="233" spans="2:18" x14ac:dyDescent="0.25">
      <c r="B233" s="439" t="str">
        <v>ME-15</v>
      </c>
      <c r="C233" s="438" t="str">
        <v>INACTIVA</v>
      </c>
      <c r="D233" s="442">
        <v>145</v>
      </c>
      <c r="E233" s="421" t="str">
        <v>1S9799</v>
      </c>
      <c r="F233" s="443" t="str">
        <v>SELLO</v>
      </c>
      <c r="G233" s="423">
        <v>2</v>
      </c>
      <c r="H233" s="424">
        <v>125.84</v>
      </c>
      <c r="I233" s="425">
        <v>251.68</v>
      </c>
      <c r="J233" s="426" t="str">
        <v>5-7</v>
      </c>
      <c r="K233" s="427">
        <v>0</v>
      </c>
      <c r="L233" s="427" t="str">
        <v>—</v>
      </c>
      <c r="M233" s="428" t="str">
        <v>—</v>
      </c>
      <c r="N233" s="426" t="str">
        <v>—</v>
      </c>
      <c r="O233" s="427">
        <v>0</v>
      </c>
      <c r="P233" s="427" t="str">
        <v>—</v>
      </c>
      <c r="Q233" s="428" t="str">
        <v>—</v>
      </c>
      <c r="R233" s="426" t="str">
        <v>—</v>
      </c>
    </row>
    <row r="234" spans="2:18" x14ac:dyDescent="0.25">
      <c r="B234" s="439" t="str">
        <v>ME-15</v>
      </c>
      <c r="C234" s="438" t="str">
        <v>INACTIVA</v>
      </c>
      <c r="D234" s="442">
        <v>145</v>
      </c>
      <c r="E234" s="421" t="str">
        <v>2M9780</v>
      </c>
      <c r="F234" s="443" t="str">
        <v>JUNTA</v>
      </c>
      <c r="G234" s="423">
        <v>2</v>
      </c>
      <c r="H234" s="424">
        <v>38.479999999999997</v>
      </c>
      <c r="I234" s="425">
        <v>76.959999999999994</v>
      </c>
      <c r="J234" s="426" t="str">
        <v>5-7</v>
      </c>
      <c r="K234" s="427">
        <v>0</v>
      </c>
      <c r="L234" s="427" t="str">
        <v>—</v>
      </c>
      <c r="M234" s="428" t="str">
        <v>—</v>
      </c>
      <c r="N234" s="426" t="str">
        <v>—</v>
      </c>
      <c r="O234" s="427">
        <v>0</v>
      </c>
      <c r="P234" s="427" t="str">
        <v>—</v>
      </c>
      <c r="Q234" s="428" t="str">
        <v>—</v>
      </c>
      <c r="R234" s="426" t="str">
        <v>—</v>
      </c>
    </row>
    <row r="235" spans="2:18" x14ac:dyDescent="0.25">
      <c r="B235" s="439" t="str">
        <v>ME-15</v>
      </c>
      <c r="C235" s="438" t="str">
        <v>INACTIVA</v>
      </c>
      <c r="D235" s="442">
        <v>145</v>
      </c>
      <c r="E235" s="421" t="str">
        <v>3308196</v>
      </c>
      <c r="F235" s="443" t="str">
        <v>SEAL-O-RING</v>
      </c>
      <c r="G235" s="423">
        <v>5</v>
      </c>
      <c r="H235" s="424">
        <v>123.69</v>
      </c>
      <c r="I235" s="425">
        <v>618.45000000000005</v>
      </c>
      <c r="J235" s="426" t="str">
        <v>5-7</v>
      </c>
      <c r="K235" s="427">
        <v>0</v>
      </c>
      <c r="L235" s="427" t="str">
        <v>—</v>
      </c>
      <c r="M235" s="428" t="str">
        <v>—</v>
      </c>
      <c r="N235" s="426" t="str">
        <v>—</v>
      </c>
      <c r="O235" s="427">
        <v>0</v>
      </c>
      <c r="P235" s="427" t="str">
        <v>—</v>
      </c>
      <c r="Q235" s="428" t="str">
        <v>—</v>
      </c>
      <c r="R235" s="426" t="str">
        <v>—</v>
      </c>
    </row>
    <row r="236" spans="2:18" x14ac:dyDescent="0.25">
      <c r="B236" s="439" t="str">
        <v>ME-15</v>
      </c>
      <c r="C236" s="438" t="str">
        <v>INACTIVA</v>
      </c>
      <c r="D236" s="442">
        <v>145</v>
      </c>
      <c r="E236" s="421" t="str">
        <v>3464897</v>
      </c>
      <c r="F236" s="443" t="str">
        <v>SEAL-O-RING</v>
      </c>
      <c r="G236" s="423">
        <v>1</v>
      </c>
      <c r="H236" s="424">
        <v>325.95999999999998</v>
      </c>
      <c r="I236" s="425">
        <v>325.95999999999998</v>
      </c>
      <c r="J236" s="426" t="str">
        <v>5-7</v>
      </c>
      <c r="K236" s="427">
        <v>0</v>
      </c>
      <c r="L236" s="427" t="str">
        <v>—</v>
      </c>
      <c r="M236" s="428" t="str">
        <v>—</v>
      </c>
      <c r="N236" s="426" t="str">
        <v>—</v>
      </c>
      <c r="O236" s="427">
        <v>0</v>
      </c>
      <c r="P236" s="427" t="str">
        <v>—</v>
      </c>
      <c r="Q236" s="428" t="str">
        <v>—</v>
      </c>
      <c r="R236" s="426" t="str">
        <v>—</v>
      </c>
    </row>
    <row r="237" spans="2:18" x14ac:dyDescent="0.25">
      <c r="B237" s="439" t="str">
        <v>ME-15</v>
      </c>
      <c r="C237" s="438" t="str">
        <v>INACTIVA</v>
      </c>
      <c r="D237" s="442">
        <v>145</v>
      </c>
      <c r="E237" s="421" t="str">
        <v>3618205</v>
      </c>
      <c r="F237" s="443" t="str">
        <v>SEAL-FUEL SY</v>
      </c>
      <c r="G237" s="423">
        <v>12</v>
      </c>
      <c r="H237" s="424">
        <v>194.04</v>
      </c>
      <c r="I237" s="425">
        <v>2328.48</v>
      </c>
      <c r="J237" s="426" t="str">
        <v>5-7</v>
      </c>
      <c r="K237" s="427">
        <v>0</v>
      </c>
      <c r="L237" s="427" t="str">
        <v>—</v>
      </c>
      <c r="M237" s="428" t="str">
        <v>—</v>
      </c>
      <c r="N237" s="426" t="str">
        <v>—</v>
      </c>
      <c r="O237" s="427">
        <v>0</v>
      </c>
      <c r="P237" s="427" t="str">
        <v>—</v>
      </c>
      <c r="Q237" s="428" t="str">
        <v>—</v>
      </c>
      <c r="R237" s="426" t="str">
        <v>—</v>
      </c>
    </row>
    <row r="238" spans="2:18" x14ac:dyDescent="0.25">
      <c r="B238" s="439" t="str">
        <v>ME-15</v>
      </c>
      <c r="C238" s="438" t="str">
        <v>INACTIVA</v>
      </c>
      <c r="D238" s="442">
        <v>145</v>
      </c>
      <c r="E238" s="421" t="str">
        <v>3J1907</v>
      </c>
      <c r="F238" s="443" t="str">
        <v>SELLOS</v>
      </c>
      <c r="G238" s="423">
        <v>14</v>
      </c>
      <c r="H238" s="424">
        <v>31.5</v>
      </c>
      <c r="I238" s="425">
        <v>441</v>
      </c>
      <c r="J238" s="426" t="str">
        <v>5-7</v>
      </c>
      <c r="K238" s="427">
        <v>0</v>
      </c>
      <c r="L238" s="427" t="str">
        <v>—</v>
      </c>
      <c r="M238" s="428" t="str">
        <v>—</v>
      </c>
      <c r="N238" s="426" t="str">
        <v>—</v>
      </c>
      <c r="O238" s="427">
        <v>0</v>
      </c>
      <c r="P238" s="427" t="str">
        <v>—</v>
      </c>
      <c r="Q238" s="428" t="str">
        <v>—</v>
      </c>
      <c r="R238" s="426" t="str">
        <v>—</v>
      </c>
    </row>
    <row r="239" spans="2:18" x14ac:dyDescent="0.25">
      <c r="B239" s="439" t="str">
        <v>ME-15</v>
      </c>
      <c r="C239" s="438" t="str">
        <v>INACTIVA</v>
      </c>
      <c r="D239" s="442">
        <v>145</v>
      </c>
      <c r="E239" s="421" t="str">
        <v>3K0360</v>
      </c>
      <c r="F239" s="443" t="str">
        <v>JUNTA CAUC</v>
      </c>
      <c r="G239" s="423">
        <v>5</v>
      </c>
      <c r="H239" s="424">
        <v>34.9</v>
      </c>
      <c r="I239" s="425">
        <v>174.5</v>
      </c>
      <c r="J239" s="426" t="str">
        <v>5-7</v>
      </c>
      <c r="K239" s="427">
        <v>0</v>
      </c>
      <c r="L239" s="427" t="str">
        <v>—</v>
      </c>
      <c r="M239" s="428" t="str">
        <v>—</v>
      </c>
      <c r="N239" s="426" t="str">
        <v>—</v>
      </c>
      <c r="O239" s="427">
        <v>0</v>
      </c>
      <c r="P239" s="427" t="str">
        <v>—</v>
      </c>
      <c r="Q239" s="428" t="str">
        <v>—</v>
      </c>
      <c r="R239" s="426" t="str">
        <v>—</v>
      </c>
    </row>
    <row r="240" spans="2:18" x14ac:dyDescent="0.25">
      <c r="B240" s="439" t="str">
        <v>ME-15</v>
      </c>
      <c r="C240" s="438" t="str">
        <v>INACTIVA</v>
      </c>
      <c r="D240" s="442">
        <v>145</v>
      </c>
      <c r="E240" s="421" t="str">
        <v>4511493</v>
      </c>
      <c r="F240" s="443" t="str">
        <v>SEAL-O-RING</v>
      </c>
      <c r="G240" s="423">
        <v>8</v>
      </c>
      <c r="H240" s="424">
        <v>241.29</v>
      </c>
      <c r="I240" s="425">
        <v>1930.32</v>
      </c>
      <c r="J240" s="426" t="str">
        <v>5-7</v>
      </c>
      <c r="K240" s="427">
        <v>0</v>
      </c>
      <c r="L240" s="427" t="str">
        <v>—</v>
      </c>
      <c r="M240" s="428" t="str">
        <v>—</v>
      </c>
      <c r="N240" s="426" t="str">
        <v>—</v>
      </c>
      <c r="O240" s="427">
        <v>0</v>
      </c>
      <c r="P240" s="427" t="str">
        <v>—</v>
      </c>
      <c r="Q240" s="428" t="str">
        <v>—</v>
      </c>
      <c r="R240" s="426" t="str">
        <v>—</v>
      </c>
    </row>
    <row r="241" spans="2:18" x14ac:dyDescent="0.25">
      <c r="B241" s="439" t="str">
        <v>ME-15</v>
      </c>
      <c r="C241" s="438" t="str">
        <v>INACTIVA</v>
      </c>
      <c r="D241" s="442">
        <v>145</v>
      </c>
      <c r="E241" s="421" t="str">
        <v>4J7533</v>
      </c>
      <c r="F241" s="443" t="str">
        <v>JUNTAS</v>
      </c>
      <c r="G241" s="423">
        <v>21</v>
      </c>
      <c r="H241" s="424">
        <v>25.24</v>
      </c>
      <c r="I241" s="425">
        <v>530.04</v>
      </c>
      <c r="J241" s="426" t="str">
        <v>5-7</v>
      </c>
      <c r="K241" s="427">
        <v>0</v>
      </c>
      <c r="L241" s="427" t="str">
        <v>—</v>
      </c>
      <c r="M241" s="428" t="str">
        <v>—</v>
      </c>
      <c r="N241" s="426" t="str">
        <v>—</v>
      </c>
      <c r="O241" s="427">
        <v>0</v>
      </c>
      <c r="P241" s="427" t="str">
        <v>—</v>
      </c>
      <c r="Q241" s="428" t="str">
        <v>—</v>
      </c>
      <c r="R241" s="426" t="str">
        <v>—</v>
      </c>
    </row>
    <row r="242" spans="2:18" x14ac:dyDescent="0.25">
      <c r="B242" s="439" t="str">
        <v>ME-15</v>
      </c>
      <c r="C242" s="438" t="str">
        <v>INACTIVA</v>
      </c>
      <c r="D242" s="442">
        <v>145</v>
      </c>
      <c r="E242" s="421" t="str">
        <v>5H6005</v>
      </c>
      <c r="F242" s="443" t="str">
        <v>SELLO</v>
      </c>
      <c r="G242" s="423">
        <v>2</v>
      </c>
      <c r="H242" s="424">
        <v>31.5</v>
      </c>
      <c r="I242" s="425">
        <v>63</v>
      </c>
      <c r="J242" s="426" t="str">
        <v>5-7</v>
      </c>
      <c r="K242" s="427">
        <v>0</v>
      </c>
      <c r="L242" s="427" t="str">
        <v>—</v>
      </c>
      <c r="M242" s="428" t="str">
        <v>—</v>
      </c>
      <c r="N242" s="426" t="str">
        <v>—</v>
      </c>
      <c r="O242" s="427">
        <v>0</v>
      </c>
      <c r="P242" s="427" t="str">
        <v>—</v>
      </c>
      <c r="Q242" s="428" t="str">
        <v>—</v>
      </c>
      <c r="R242" s="426" t="str">
        <v>—</v>
      </c>
    </row>
    <row r="243" spans="2:18" x14ac:dyDescent="0.25">
      <c r="B243" s="440" t="str">
        <v>ME-15</v>
      </c>
      <c r="C243" s="438" t="str">
        <v>INACTIVA</v>
      </c>
      <c r="D243" s="442">
        <v>145</v>
      </c>
      <c r="E243" s="429" t="str">
        <v>5P6718</v>
      </c>
      <c r="F243" s="443" t="str">
        <v>EMPAQUE HU</v>
      </c>
      <c r="G243" s="430">
        <v>5</v>
      </c>
      <c r="H243" s="424">
        <v>184.55</v>
      </c>
      <c r="I243" s="425">
        <v>922.75</v>
      </c>
      <c r="J243" s="432" t="str">
        <v>5-7</v>
      </c>
      <c r="K243" s="431">
        <v>0</v>
      </c>
      <c r="L243" s="431" t="str">
        <v>—</v>
      </c>
      <c r="M243" s="431" t="str">
        <v>—</v>
      </c>
      <c r="N243" s="432" t="str">
        <v>—</v>
      </c>
      <c r="O243" s="431">
        <v>0</v>
      </c>
      <c r="P243" s="431" t="str">
        <v>—</v>
      </c>
      <c r="Q243" s="431" t="str">
        <v>—</v>
      </c>
      <c r="R243" s="432" t="str">
        <v>—</v>
      </c>
    </row>
    <row r="244" spans="2:18" x14ac:dyDescent="0.25">
      <c r="B244" s="441" t="str">
        <v>ME-15</v>
      </c>
      <c r="C244" s="438" t="str">
        <v>INACTIVA</v>
      </c>
      <c r="D244" s="442">
        <v>145</v>
      </c>
      <c r="E244" s="433" t="str">
        <v>6T5133</v>
      </c>
      <c r="F244" s="443" t="str">
        <v>EMPAQUE</v>
      </c>
      <c r="G244" s="434">
        <v>1</v>
      </c>
      <c r="H244" s="424">
        <v>100.42</v>
      </c>
      <c r="I244" s="425">
        <v>100.42</v>
      </c>
      <c r="J244" s="436" t="str">
        <v>5-7</v>
      </c>
      <c r="K244" s="435">
        <v>0</v>
      </c>
      <c r="L244" s="435" t="str">
        <v>—</v>
      </c>
      <c r="M244" s="435" t="str">
        <v>—</v>
      </c>
      <c r="N244" s="436" t="str">
        <v>—</v>
      </c>
      <c r="O244" s="435">
        <v>0</v>
      </c>
      <c r="P244" s="435" t="str">
        <v>—</v>
      </c>
      <c r="Q244" s="435" t="str">
        <v>—</v>
      </c>
      <c r="R244" s="436" t="str">
        <v>—</v>
      </c>
    </row>
    <row r="245" spans="2:18" x14ac:dyDescent="0.25">
      <c r="B245" s="440" t="str">
        <v>ME-15</v>
      </c>
      <c r="C245" s="438" t="str">
        <v>INACTIVA</v>
      </c>
      <c r="D245" s="442">
        <v>145</v>
      </c>
      <c r="E245" s="429" t="str">
        <v>6V3683</v>
      </c>
      <c r="F245" s="443" t="str">
        <v>JUNTA</v>
      </c>
      <c r="G245" s="430">
        <v>1</v>
      </c>
      <c r="H245" s="424">
        <v>210.33</v>
      </c>
      <c r="I245" s="425">
        <v>210.33</v>
      </c>
      <c r="J245" s="432" t="str">
        <v>5-7</v>
      </c>
      <c r="K245" s="431">
        <v>0</v>
      </c>
      <c r="L245" s="431" t="str">
        <v>—</v>
      </c>
      <c r="M245" s="431" t="str">
        <v>—</v>
      </c>
      <c r="N245" s="432" t="str">
        <v>—</v>
      </c>
      <c r="O245" s="431">
        <v>0</v>
      </c>
      <c r="P245" s="431" t="str">
        <v>—</v>
      </c>
      <c r="Q245" s="431" t="str">
        <v>—</v>
      </c>
      <c r="R245" s="432" t="str">
        <v>—</v>
      </c>
    </row>
    <row r="246" spans="2:18" x14ac:dyDescent="0.25">
      <c r="B246" s="440" t="str">
        <v>ME-15</v>
      </c>
      <c r="C246" s="438" t="str">
        <v>INACTIVA</v>
      </c>
      <c r="D246" s="442">
        <v>145</v>
      </c>
      <c r="E246" s="429" t="str">
        <v>7G6373</v>
      </c>
      <c r="F246" s="443" t="str">
        <v>EMPAQUE</v>
      </c>
      <c r="G246" s="430">
        <v>1</v>
      </c>
      <c r="H246" s="424">
        <v>608.05999999999995</v>
      </c>
      <c r="I246" s="425">
        <v>608.05999999999995</v>
      </c>
      <c r="J246" s="432" t="str">
        <v>5-7</v>
      </c>
      <c r="K246" s="431">
        <v>0</v>
      </c>
      <c r="L246" s="431" t="str">
        <v>—</v>
      </c>
      <c r="M246" s="431" t="str">
        <v>—</v>
      </c>
      <c r="N246" s="432" t="str">
        <v>—</v>
      </c>
      <c r="O246" s="431">
        <v>0</v>
      </c>
      <c r="P246" s="431" t="str">
        <v>—</v>
      </c>
      <c r="Q246" s="431" t="str">
        <v>—</v>
      </c>
      <c r="R246" s="432" t="str">
        <v>—</v>
      </c>
    </row>
    <row r="247" spans="2:18" x14ac:dyDescent="0.25">
      <c r="B247" s="440" t="str">
        <v>ME-15</v>
      </c>
      <c r="C247" s="438" t="str">
        <v>INACTIVA</v>
      </c>
      <c r="D247" s="442">
        <v>145</v>
      </c>
      <c r="E247" s="429" t="str">
        <v>7M8485</v>
      </c>
      <c r="F247" s="443" t="str">
        <v>SELLO</v>
      </c>
      <c r="G247" s="430">
        <v>1</v>
      </c>
      <c r="H247" s="424">
        <v>52.63</v>
      </c>
      <c r="I247" s="425">
        <v>52.63</v>
      </c>
      <c r="J247" s="432" t="str">
        <v>5-7</v>
      </c>
      <c r="K247" s="431">
        <v>0</v>
      </c>
      <c r="L247" s="431" t="str">
        <v>—</v>
      </c>
      <c r="M247" s="431" t="str">
        <v>—</v>
      </c>
      <c r="N247" s="432" t="str">
        <v>—</v>
      </c>
      <c r="O247" s="431">
        <v>0</v>
      </c>
      <c r="P247" s="431" t="str">
        <v>—</v>
      </c>
      <c r="Q247" s="431" t="str">
        <v>—</v>
      </c>
      <c r="R247" s="432" t="str">
        <v>—</v>
      </c>
    </row>
    <row r="248" spans="2:18" x14ac:dyDescent="0.25">
      <c r="B248" s="440" t="str">
        <v>ME-15</v>
      </c>
      <c r="C248" s="438" t="str">
        <v>INACTIVA</v>
      </c>
      <c r="D248" s="442">
        <v>145</v>
      </c>
      <c r="E248" s="429" t="str">
        <v>8M4437</v>
      </c>
      <c r="F248" s="443" t="str">
        <v>JUNTA</v>
      </c>
      <c r="G248" s="430">
        <v>2</v>
      </c>
      <c r="H248" s="424">
        <v>60.14</v>
      </c>
      <c r="I248" s="425">
        <v>120.28</v>
      </c>
      <c r="J248" s="432" t="str">
        <v>5-7</v>
      </c>
      <c r="K248" s="431">
        <v>0</v>
      </c>
      <c r="L248" s="431" t="str">
        <v>—</v>
      </c>
      <c r="M248" s="431" t="str">
        <v>—</v>
      </c>
      <c r="N248" s="432" t="str">
        <v>—</v>
      </c>
      <c r="O248" s="431">
        <v>0</v>
      </c>
      <c r="P248" s="431" t="str">
        <v>—</v>
      </c>
      <c r="Q248" s="431" t="str">
        <v>—</v>
      </c>
      <c r="R248" s="432" t="str">
        <v>—</v>
      </c>
    </row>
    <row r="249" spans="2:18" x14ac:dyDescent="0.25">
      <c r="B249" s="440" t="str">
        <v>ME-15</v>
      </c>
      <c r="C249" s="438" t="str">
        <v>INACTIVA</v>
      </c>
      <c r="D249" s="442">
        <v>145</v>
      </c>
      <c r="E249" s="429" t="str">
        <v>8M4988</v>
      </c>
      <c r="F249" s="443" t="str">
        <v>JUNTA</v>
      </c>
      <c r="G249" s="430">
        <v>1</v>
      </c>
      <c r="H249" s="424">
        <v>97.73</v>
      </c>
      <c r="I249" s="425">
        <v>97.73</v>
      </c>
      <c r="J249" s="432" t="str">
        <v>5-7</v>
      </c>
      <c r="K249" s="431">
        <v>0</v>
      </c>
      <c r="L249" s="431" t="str">
        <v>—</v>
      </c>
      <c r="M249" s="431" t="str">
        <v>—</v>
      </c>
      <c r="N249" s="432" t="str">
        <v>—</v>
      </c>
      <c r="O249" s="431">
        <v>0</v>
      </c>
      <c r="P249" s="431" t="str">
        <v>—</v>
      </c>
      <c r="Q249" s="431" t="str">
        <v>—</v>
      </c>
      <c r="R249" s="432" t="str">
        <v>—</v>
      </c>
    </row>
    <row r="250" spans="2:18" x14ac:dyDescent="0.25">
      <c r="B250" s="440" t="str">
        <v>ME-15</v>
      </c>
      <c r="C250" s="438" t="str">
        <v>INACTIVA</v>
      </c>
      <c r="D250" s="442">
        <v>145</v>
      </c>
      <c r="E250" s="429" t="str">
        <v>8M5127</v>
      </c>
      <c r="F250" s="443" t="str">
        <v>SELLO</v>
      </c>
      <c r="G250" s="430">
        <v>7</v>
      </c>
      <c r="H250" s="424">
        <v>54.77</v>
      </c>
      <c r="I250" s="425">
        <v>383.39000000000004</v>
      </c>
      <c r="J250" s="432" t="str">
        <v>5-7</v>
      </c>
      <c r="K250" s="431">
        <v>0</v>
      </c>
      <c r="L250" s="431" t="str">
        <v>—</v>
      </c>
      <c r="M250" s="431" t="str">
        <v>—</v>
      </c>
      <c r="N250" s="432" t="str">
        <v>—</v>
      </c>
      <c r="O250" s="431">
        <v>0</v>
      </c>
      <c r="P250" s="431" t="str">
        <v>—</v>
      </c>
      <c r="Q250" s="431" t="str">
        <v>—</v>
      </c>
      <c r="R250" s="432" t="str">
        <v>—</v>
      </c>
    </row>
    <row r="251" spans="2:18" x14ac:dyDescent="0.25">
      <c r="B251" s="440" t="str">
        <v>ME-15</v>
      </c>
      <c r="C251" s="438" t="str">
        <v>INACTIVA</v>
      </c>
      <c r="D251" s="442">
        <v>145</v>
      </c>
      <c r="E251" s="429" t="str">
        <v>8M5250</v>
      </c>
      <c r="F251" s="443" t="str">
        <v>SELLO</v>
      </c>
      <c r="G251" s="430">
        <v>8</v>
      </c>
      <c r="H251" s="424">
        <v>43.14</v>
      </c>
      <c r="I251" s="425">
        <v>345.12</v>
      </c>
      <c r="J251" s="432" t="str">
        <v>5-7</v>
      </c>
      <c r="K251" s="431">
        <v>0</v>
      </c>
      <c r="L251" s="431" t="str">
        <v>—</v>
      </c>
      <c r="M251" s="431" t="str">
        <v>—</v>
      </c>
      <c r="N251" s="432" t="str">
        <v>—</v>
      </c>
      <c r="O251" s="431">
        <v>0</v>
      </c>
      <c r="P251" s="431" t="str">
        <v>—</v>
      </c>
      <c r="Q251" s="431" t="str">
        <v>—</v>
      </c>
      <c r="R251" s="432" t="str">
        <v>—</v>
      </c>
    </row>
    <row r="252" spans="2:18" x14ac:dyDescent="0.25">
      <c r="B252" s="440" t="str">
        <v>ME-15</v>
      </c>
      <c r="C252" s="438" t="str">
        <v>INACTIVA</v>
      </c>
      <c r="D252" s="442">
        <v>145</v>
      </c>
      <c r="E252" s="429" t="str">
        <v>8M8283</v>
      </c>
      <c r="F252" s="443" t="str">
        <v>JUNTAS</v>
      </c>
      <c r="G252" s="430">
        <v>6</v>
      </c>
      <c r="H252" s="424">
        <v>76.069999999999993</v>
      </c>
      <c r="I252" s="425">
        <v>456.41999999999996</v>
      </c>
      <c r="J252" s="432" t="str">
        <v>5-7</v>
      </c>
      <c r="K252" s="431">
        <v>0</v>
      </c>
      <c r="L252" s="431" t="str">
        <v>—</v>
      </c>
      <c r="M252" s="431" t="str">
        <v>—</v>
      </c>
      <c r="N252" s="432" t="str">
        <v>—</v>
      </c>
      <c r="O252" s="431">
        <v>0</v>
      </c>
      <c r="P252" s="431" t="str">
        <v>—</v>
      </c>
      <c r="Q252" s="431" t="str">
        <v>—</v>
      </c>
      <c r="R252" s="432" t="str">
        <v>—</v>
      </c>
    </row>
    <row r="253" spans="2:18" x14ac:dyDescent="0.25">
      <c r="B253" s="440" t="str">
        <v>ME-15</v>
      </c>
      <c r="C253" s="438" t="str">
        <v>INACTIVA</v>
      </c>
      <c r="D253" s="442">
        <v>145</v>
      </c>
      <c r="E253" s="429" t="str">
        <v>8M8515</v>
      </c>
      <c r="F253" s="443" t="str">
        <v>JUNTA</v>
      </c>
      <c r="G253" s="430">
        <v>1</v>
      </c>
      <c r="H253" s="424">
        <v>96.3</v>
      </c>
      <c r="I253" s="425">
        <v>96.3</v>
      </c>
      <c r="J253" s="432" t="str">
        <v>5-7</v>
      </c>
      <c r="K253" s="431">
        <v>0</v>
      </c>
      <c r="L253" s="431" t="str">
        <v>—</v>
      </c>
      <c r="M253" s="431" t="str">
        <v>—</v>
      </c>
      <c r="N253" s="432" t="str">
        <v>—</v>
      </c>
      <c r="O253" s="431">
        <v>0</v>
      </c>
      <c r="P253" s="431" t="str">
        <v>—</v>
      </c>
      <c r="Q253" s="431" t="str">
        <v>—</v>
      </c>
      <c r="R253" s="432" t="str">
        <v>—</v>
      </c>
    </row>
    <row r="254" spans="2:18" x14ac:dyDescent="0.25">
      <c r="B254" s="440" t="str">
        <v>ME-15</v>
      </c>
      <c r="C254" s="438" t="str">
        <v>INACTIVA</v>
      </c>
      <c r="D254" s="442">
        <v>145</v>
      </c>
      <c r="E254" s="429" t="str">
        <v>8M8544</v>
      </c>
      <c r="F254" s="443" t="str">
        <v>EMPAQUE</v>
      </c>
      <c r="G254" s="430">
        <v>2</v>
      </c>
      <c r="H254" s="424">
        <v>27.57</v>
      </c>
      <c r="I254" s="425">
        <v>55.14</v>
      </c>
      <c r="J254" s="432" t="str">
        <v>5-7</v>
      </c>
      <c r="K254" s="431">
        <v>0</v>
      </c>
      <c r="L254" s="431" t="str">
        <v>—</v>
      </c>
      <c r="M254" s="431" t="str">
        <v>—</v>
      </c>
      <c r="N254" s="432" t="str">
        <v>—</v>
      </c>
      <c r="O254" s="431">
        <v>0</v>
      </c>
      <c r="P254" s="431" t="str">
        <v>—</v>
      </c>
      <c r="Q254" s="431" t="str">
        <v>—</v>
      </c>
      <c r="R254" s="432" t="str">
        <v>—</v>
      </c>
    </row>
    <row r="255" spans="2:18" x14ac:dyDescent="0.25">
      <c r="B255" s="440" t="str">
        <v>ME-15</v>
      </c>
      <c r="C255" s="438" t="str">
        <v>INACTIVA</v>
      </c>
      <c r="D255" s="442">
        <v>145</v>
      </c>
      <c r="E255" s="429" t="str">
        <v>8S5575</v>
      </c>
      <c r="F255" s="443" t="str">
        <v>RETEN</v>
      </c>
      <c r="G255" s="430">
        <v>1</v>
      </c>
      <c r="H255" s="424">
        <v>152.87</v>
      </c>
      <c r="I255" s="425">
        <v>152.87</v>
      </c>
      <c r="J255" s="432" t="str">
        <v>5-7</v>
      </c>
      <c r="K255" s="431">
        <v>0</v>
      </c>
      <c r="L255" s="431" t="str">
        <v>—</v>
      </c>
      <c r="M255" s="431" t="str">
        <v>—</v>
      </c>
      <c r="N255" s="432" t="str">
        <v>—</v>
      </c>
      <c r="O255" s="431">
        <v>0</v>
      </c>
      <c r="P255" s="431" t="str">
        <v>—</v>
      </c>
      <c r="Q255" s="431" t="str">
        <v>—</v>
      </c>
      <c r="R255" s="432" t="str">
        <v>—</v>
      </c>
    </row>
    <row r="256" spans="2:18" x14ac:dyDescent="0.25">
      <c r="B256" s="440" t="str">
        <v>ME-15</v>
      </c>
      <c r="C256" s="438" t="str">
        <v>INACTIVA</v>
      </c>
      <c r="D256" s="442">
        <v>145</v>
      </c>
      <c r="E256" s="429" t="str">
        <v>0619458</v>
      </c>
      <c r="F256" s="443" t="str">
        <v>SELLO</v>
      </c>
      <c r="G256" s="430">
        <v>6</v>
      </c>
      <c r="H256" s="424">
        <v>238.07</v>
      </c>
      <c r="I256" s="425">
        <v>1428.42</v>
      </c>
      <c r="J256" s="432" t="str">
        <v>5-7</v>
      </c>
      <c r="K256" s="431">
        <v>0</v>
      </c>
      <c r="L256" s="431" t="str">
        <v>—</v>
      </c>
      <c r="M256" s="431" t="str">
        <v>—</v>
      </c>
      <c r="N256" s="432" t="str">
        <v>—</v>
      </c>
      <c r="O256" s="431">
        <v>0</v>
      </c>
      <c r="P256" s="431" t="str">
        <v>—</v>
      </c>
      <c r="Q256" s="431" t="str">
        <v>—</v>
      </c>
      <c r="R256" s="432" t="str">
        <v>—</v>
      </c>
    </row>
    <row r="257" spans="2:18" x14ac:dyDescent="0.25">
      <c r="B257" s="440" t="str">
        <v>ME-15</v>
      </c>
      <c r="C257" s="438" t="str">
        <v>INACTIVA</v>
      </c>
      <c r="D257" s="442">
        <v>145</v>
      </c>
      <c r="E257" s="429" t="str">
        <v>1J9671</v>
      </c>
      <c r="F257" s="443" t="str">
        <v>JUNTA</v>
      </c>
      <c r="G257" s="430">
        <v>2</v>
      </c>
      <c r="H257" s="424">
        <v>29.71</v>
      </c>
      <c r="I257" s="425">
        <v>59.42</v>
      </c>
      <c r="J257" s="432" t="str">
        <v>5-7</v>
      </c>
      <c r="K257" s="431">
        <v>0</v>
      </c>
      <c r="L257" s="431" t="str">
        <v>—</v>
      </c>
      <c r="M257" s="431" t="str">
        <v>—</v>
      </c>
      <c r="N257" s="432" t="str">
        <v>—</v>
      </c>
      <c r="O257" s="431">
        <v>0</v>
      </c>
      <c r="P257" s="431" t="str">
        <v>—</v>
      </c>
      <c r="Q257" s="431" t="str">
        <v>—</v>
      </c>
      <c r="R257" s="432" t="str">
        <v>—</v>
      </c>
    </row>
    <row r="258" spans="2:18" x14ac:dyDescent="0.25">
      <c r="B258" s="440" t="str">
        <v>ME-15</v>
      </c>
      <c r="C258" s="438" t="str">
        <v>INACTIVA</v>
      </c>
      <c r="D258" s="442">
        <v>145</v>
      </c>
      <c r="E258" s="429" t="str">
        <v>1P3704</v>
      </c>
      <c r="F258" s="443" t="str">
        <v>SELLO</v>
      </c>
      <c r="G258" s="430">
        <v>6</v>
      </c>
      <c r="H258" s="424">
        <v>76.430000000000007</v>
      </c>
      <c r="I258" s="425">
        <v>458.58000000000004</v>
      </c>
      <c r="J258" s="432" t="str">
        <v>5-7</v>
      </c>
      <c r="K258" s="431">
        <v>0</v>
      </c>
      <c r="L258" s="431" t="str">
        <v>—</v>
      </c>
      <c r="M258" s="431" t="str">
        <v>—</v>
      </c>
      <c r="N258" s="432" t="str">
        <v>—</v>
      </c>
      <c r="O258" s="431">
        <v>0</v>
      </c>
      <c r="P258" s="431" t="str">
        <v>—</v>
      </c>
      <c r="Q258" s="431" t="str">
        <v>—</v>
      </c>
      <c r="R258" s="432" t="str">
        <v>—</v>
      </c>
    </row>
    <row r="259" spans="2:18" x14ac:dyDescent="0.25">
      <c r="B259" s="440" t="str">
        <v>ME-15</v>
      </c>
      <c r="C259" s="438" t="str">
        <v>INACTIVA</v>
      </c>
      <c r="D259" s="442">
        <v>145</v>
      </c>
      <c r="E259" s="429" t="str">
        <v>2M9780</v>
      </c>
      <c r="F259" s="443" t="str">
        <v>JUNTA</v>
      </c>
      <c r="G259" s="430">
        <v>2</v>
      </c>
      <c r="H259" s="424">
        <v>38.479999999999997</v>
      </c>
      <c r="I259" s="425">
        <v>76.959999999999994</v>
      </c>
      <c r="J259" s="432" t="str">
        <v>5-7</v>
      </c>
      <c r="K259" s="431">
        <v>0</v>
      </c>
      <c r="L259" s="431" t="str">
        <v>—</v>
      </c>
      <c r="M259" s="431" t="str">
        <v>—</v>
      </c>
      <c r="N259" s="432" t="str">
        <v>—</v>
      </c>
      <c r="O259" s="431">
        <v>0</v>
      </c>
      <c r="P259" s="431" t="str">
        <v>—</v>
      </c>
      <c r="Q259" s="431" t="str">
        <v>—</v>
      </c>
      <c r="R259" s="432" t="str">
        <v>—</v>
      </c>
    </row>
    <row r="260" spans="2:18" x14ac:dyDescent="0.25">
      <c r="B260" s="440" t="str">
        <v>ME-15</v>
      </c>
      <c r="C260" s="438" t="str">
        <v>INACTIVA</v>
      </c>
      <c r="D260" s="442">
        <v>145</v>
      </c>
      <c r="E260" s="429" t="str">
        <v>3308196</v>
      </c>
      <c r="F260" s="443" t="str">
        <v>SEAL-O-RING</v>
      </c>
      <c r="G260" s="430">
        <v>5</v>
      </c>
      <c r="H260" s="424">
        <v>123.69</v>
      </c>
      <c r="I260" s="425">
        <v>618.45000000000005</v>
      </c>
      <c r="J260" s="432" t="str">
        <v>5-7</v>
      </c>
      <c r="K260" s="431">
        <v>0</v>
      </c>
      <c r="L260" s="431" t="str">
        <v>—</v>
      </c>
      <c r="M260" s="431" t="str">
        <v>—</v>
      </c>
      <c r="N260" s="432" t="str">
        <v>—</v>
      </c>
      <c r="O260" s="431">
        <v>0</v>
      </c>
      <c r="P260" s="431" t="str">
        <v>—</v>
      </c>
      <c r="Q260" s="431" t="str">
        <v>—</v>
      </c>
      <c r="R260" s="432" t="str">
        <v>—</v>
      </c>
    </row>
    <row r="261" spans="2:18" x14ac:dyDescent="0.25">
      <c r="B261" s="440" t="str">
        <v>ME-15</v>
      </c>
      <c r="C261" s="438" t="str">
        <v>INACTIVA</v>
      </c>
      <c r="D261" s="442">
        <v>145</v>
      </c>
      <c r="E261" s="429" t="str">
        <v>3464897</v>
      </c>
      <c r="F261" s="443" t="str">
        <v>SEAL-O-RING</v>
      </c>
      <c r="G261" s="430">
        <v>1</v>
      </c>
      <c r="H261" s="424">
        <v>325.95999999999998</v>
      </c>
      <c r="I261" s="425">
        <v>325.95999999999998</v>
      </c>
      <c r="J261" s="432" t="str">
        <v>5-7</v>
      </c>
      <c r="K261" s="431">
        <v>0</v>
      </c>
      <c r="L261" s="431" t="str">
        <v>—</v>
      </c>
      <c r="M261" s="431" t="str">
        <v>—</v>
      </c>
      <c r="N261" s="432" t="str">
        <v>—</v>
      </c>
      <c r="O261" s="431">
        <v>0</v>
      </c>
      <c r="P261" s="431" t="str">
        <v>—</v>
      </c>
      <c r="Q261" s="431" t="str">
        <v>—</v>
      </c>
      <c r="R261" s="432" t="str">
        <v>—</v>
      </c>
    </row>
    <row r="262" spans="2:18" x14ac:dyDescent="0.25">
      <c r="B262" s="440" t="str">
        <v>ME-15</v>
      </c>
      <c r="C262" s="438" t="str">
        <v>INACTIVA</v>
      </c>
      <c r="D262" s="442">
        <v>145</v>
      </c>
      <c r="E262" s="429" t="str">
        <v>3618205</v>
      </c>
      <c r="F262" s="443" t="str">
        <v>SEAL-FUEL SY</v>
      </c>
      <c r="G262" s="430">
        <v>12</v>
      </c>
      <c r="H262" s="424">
        <v>194.04</v>
      </c>
      <c r="I262" s="425">
        <v>2328.48</v>
      </c>
      <c r="J262" s="432" t="str">
        <v>5-7</v>
      </c>
      <c r="K262" s="431">
        <v>0</v>
      </c>
      <c r="L262" s="431" t="str">
        <v>—</v>
      </c>
      <c r="M262" s="431" t="str">
        <v>—</v>
      </c>
      <c r="N262" s="432" t="str">
        <v>—</v>
      </c>
      <c r="O262" s="431">
        <v>0</v>
      </c>
      <c r="P262" s="431" t="str">
        <v>—</v>
      </c>
      <c r="Q262" s="431" t="str">
        <v>—</v>
      </c>
      <c r="R262" s="432" t="str">
        <v>—</v>
      </c>
    </row>
    <row r="263" spans="2:18" x14ac:dyDescent="0.25">
      <c r="B263" s="440" t="str">
        <v>ME-15</v>
      </c>
      <c r="C263" s="438" t="str">
        <v>INACTIVA</v>
      </c>
      <c r="D263" s="442">
        <v>145</v>
      </c>
      <c r="E263" s="429" t="str">
        <v>3J1907</v>
      </c>
      <c r="F263" s="443" t="str">
        <v>SELLOS</v>
      </c>
      <c r="G263" s="430">
        <v>15</v>
      </c>
      <c r="H263" s="424">
        <v>31.5</v>
      </c>
      <c r="I263" s="425">
        <v>472.5</v>
      </c>
      <c r="J263" s="432" t="str">
        <v>5-7</v>
      </c>
      <c r="K263" s="431">
        <v>0</v>
      </c>
      <c r="L263" s="431" t="str">
        <v>—</v>
      </c>
      <c r="M263" s="431" t="str">
        <v>—</v>
      </c>
      <c r="N263" s="432" t="str">
        <v>—</v>
      </c>
      <c r="O263" s="431">
        <v>0</v>
      </c>
      <c r="P263" s="431" t="str">
        <v>—</v>
      </c>
      <c r="Q263" s="431" t="str">
        <v>—</v>
      </c>
      <c r="R263" s="432" t="str">
        <v>—</v>
      </c>
    </row>
    <row r="264" spans="2:18" x14ac:dyDescent="0.25">
      <c r="B264" s="440" t="str">
        <v>ME-15</v>
      </c>
      <c r="C264" s="438" t="str">
        <v>INACTIVA</v>
      </c>
      <c r="D264" s="442">
        <v>145</v>
      </c>
      <c r="E264" s="429" t="str">
        <v>3K0360</v>
      </c>
      <c r="F264" s="443" t="str">
        <v>JUNTA CAUC</v>
      </c>
      <c r="G264" s="430">
        <v>5</v>
      </c>
      <c r="H264" s="424">
        <v>34.9</v>
      </c>
      <c r="I264" s="425">
        <v>174.5</v>
      </c>
      <c r="J264" s="432" t="str">
        <v>5-7</v>
      </c>
      <c r="K264" s="431">
        <v>0</v>
      </c>
      <c r="L264" s="431" t="str">
        <v>—</v>
      </c>
      <c r="M264" s="431" t="str">
        <v>—</v>
      </c>
      <c r="N264" s="432" t="str">
        <v>—</v>
      </c>
      <c r="O264" s="431">
        <v>0</v>
      </c>
      <c r="P264" s="431" t="str">
        <v>—</v>
      </c>
      <c r="Q264" s="431" t="str">
        <v>—</v>
      </c>
      <c r="R264" s="432" t="str">
        <v>—</v>
      </c>
    </row>
    <row r="265" spans="2:18" x14ac:dyDescent="0.25">
      <c r="B265" s="440" t="str">
        <v>ME-15</v>
      </c>
      <c r="C265" s="438" t="str">
        <v>INACTIVA</v>
      </c>
      <c r="D265" s="442">
        <v>145</v>
      </c>
      <c r="E265" s="429" t="str">
        <v>4511493</v>
      </c>
      <c r="F265" s="443" t="str">
        <v>SEAL-O-RING</v>
      </c>
      <c r="G265" s="430">
        <v>8</v>
      </c>
      <c r="H265" s="424">
        <v>241.29</v>
      </c>
      <c r="I265" s="425">
        <v>1930.32</v>
      </c>
      <c r="J265" s="432" t="str">
        <v>5-7</v>
      </c>
      <c r="K265" s="431">
        <v>0</v>
      </c>
      <c r="L265" s="431" t="str">
        <v>—</v>
      </c>
      <c r="M265" s="431" t="str">
        <v>—</v>
      </c>
      <c r="N265" s="432" t="str">
        <v>—</v>
      </c>
      <c r="O265" s="431">
        <v>0</v>
      </c>
      <c r="P265" s="431" t="str">
        <v>—</v>
      </c>
      <c r="Q265" s="431" t="str">
        <v>—</v>
      </c>
      <c r="R265" s="432" t="str">
        <v>—</v>
      </c>
    </row>
    <row r="266" spans="2:18" x14ac:dyDescent="0.25">
      <c r="B266" s="440" t="str">
        <v>ME-15</v>
      </c>
      <c r="C266" s="438" t="str">
        <v>INACTIVA</v>
      </c>
      <c r="D266" s="442">
        <v>145</v>
      </c>
      <c r="E266" s="429" t="str">
        <v>4J7533</v>
      </c>
      <c r="F266" s="443" t="str">
        <v>JUNTAS</v>
      </c>
      <c r="G266" s="430">
        <v>21</v>
      </c>
      <c r="H266" s="424">
        <v>25.24</v>
      </c>
      <c r="I266" s="425">
        <v>530.04</v>
      </c>
      <c r="J266" s="432" t="str">
        <v>5-7</v>
      </c>
      <c r="K266" s="431">
        <v>0</v>
      </c>
      <c r="L266" s="431" t="str">
        <v>—</v>
      </c>
      <c r="M266" s="431" t="str">
        <v>—</v>
      </c>
      <c r="N266" s="432" t="str">
        <v>—</v>
      </c>
      <c r="O266" s="431">
        <v>0</v>
      </c>
      <c r="P266" s="431" t="str">
        <v>—</v>
      </c>
      <c r="Q266" s="431" t="str">
        <v>—</v>
      </c>
      <c r="R266" s="432" t="str">
        <v>—</v>
      </c>
    </row>
    <row r="267" spans="2:18" x14ac:dyDescent="0.25">
      <c r="B267" s="440" t="str">
        <v>ME-15</v>
      </c>
      <c r="C267" s="438" t="str">
        <v>INACTIVA</v>
      </c>
      <c r="D267" s="442">
        <v>145</v>
      </c>
      <c r="E267" s="429" t="str">
        <v>5H6005</v>
      </c>
      <c r="F267" s="443" t="str">
        <v>SELLO</v>
      </c>
      <c r="G267" s="430">
        <v>2</v>
      </c>
      <c r="H267" s="424">
        <v>31.5</v>
      </c>
      <c r="I267" s="425">
        <v>63</v>
      </c>
      <c r="J267" s="432" t="str">
        <v>5-7</v>
      </c>
      <c r="K267" s="431">
        <v>0</v>
      </c>
      <c r="L267" s="431" t="str">
        <v>—</v>
      </c>
      <c r="M267" s="431" t="str">
        <v>—</v>
      </c>
      <c r="N267" s="432" t="str">
        <v>—</v>
      </c>
      <c r="O267" s="431">
        <v>0</v>
      </c>
      <c r="P267" s="431" t="str">
        <v>—</v>
      </c>
      <c r="Q267" s="431" t="str">
        <v>—</v>
      </c>
      <c r="R267" s="432" t="str">
        <v>—</v>
      </c>
    </row>
    <row r="268" spans="2:18" x14ac:dyDescent="0.25">
      <c r="B268" s="440" t="str">
        <v>ME-15</v>
      </c>
      <c r="C268" s="438" t="str">
        <v>INACTIVA</v>
      </c>
      <c r="D268" s="442">
        <v>145</v>
      </c>
      <c r="E268" s="429" t="str">
        <v>5P6718</v>
      </c>
      <c r="F268" s="443" t="str">
        <v>EMPAQUE HU</v>
      </c>
      <c r="G268" s="430">
        <v>5</v>
      </c>
      <c r="H268" s="424">
        <v>184.55</v>
      </c>
      <c r="I268" s="425">
        <v>922.75</v>
      </c>
      <c r="J268" s="432" t="str">
        <v>5-7</v>
      </c>
      <c r="K268" s="431">
        <v>0</v>
      </c>
      <c r="L268" s="431" t="str">
        <v>—</v>
      </c>
      <c r="M268" s="431" t="str">
        <v>—</v>
      </c>
      <c r="N268" s="432" t="str">
        <v>—</v>
      </c>
      <c r="O268" s="431">
        <v>0</v>
      </c>
      <c r="P268" s="431" t="str">
        <v>—</v>
      </c>
      <c r="Q268" s="431" t="str">
        <v>—</v>
      </c>
      <c r="R268" s="432" t="str">
        <v>—</v>
      </c>
    </row>
    <row r="269" spans="2:18" x14ac:dyDescent="0.25">
      <c r="B269" s="440" t="str">
        <v>ME-15</v>
      </c>
      <c r="C269" s="438" t="str">
        <v>INACTIVA</v>
      </c>
      <c r="D269" s="442">
        <v>145</v>
      </c>
      <c r="E269" s="429" t="str">
        <v>6T5133</v>
      </c>
      <c r="F269" s="443" t="str">
        <v>EMPAQUE</v>
      </c>
      <c r="G269" s="430">
        <v>1</v>
      </c>
      <c r="H269" s="424">
        <v>100.42</v>
      </c>
      <c r="I269" s="425">
        <v>100.42</v>
      </c>
      <c r="J269" s="432" t="str">
        <v>5-7</v>
      </c>
      <c r="K269" s="431">
        <v>0</v>
      </c>
      <c r="L269" s="431" t="str">
        <v>—</v>
      </c>
      <c r="M269" s="431" t="str">
        <v>—</v>
      </c>
      <c r="N269" s="432" t="str">
        <v>—</v>
      </c>
      <c r="O269" s="431">
        <v>0</v>
      </c>
      <c r="P269" s="431" t="str">
        <v>—</v>
      </c>
      <c r="Q269" s="431" t="str">
        <v>—</v>
      </c>
      <c r="R269" s="432" t="str">
        <v>—</v>
      </c>
    </row>
    <row r="270" spans="2:18" x14ac:dyDescent="0.25">
      <c r="B270" s="440" t="str">
        <v>ME-15</v>
      </c>
      <c r="C270" s="438" t="str">
        <v>INACTIVA</v>
      </c>
      <c r="D270" s="442">
        <v>145</v>
      </c>
      <c r="E270" s="429" t="str">
        <v>6V3683</v>
      </c>
      <c r="F270" s="443" t="str">
        <v>JUNTA</v>
      </c>
      <c r="G270" s="430">
        <v>1</v>
      </c>
      <c r="H270" s="424">
        <v>210.33</v>
      </c>
      <c r="I270" s="425">
        <v>210.33</v>
      </c>
      <c r="J270" s="432" t="str">
        <v>5-7</v>
      </c>
      <c r="K270" s="431">
        <v>0</v>
      </c>
      <c r="L270" s="431" t="str">
        <v>—</v>
      </c>
      <c r="M270" s="431" t="str">
        <v>—</v>
      </c>
      <c r="N270" s="432" t="str">
        <v>—</v>
      </c>
      <c r="O270" s="431">
        <v>0</v>
      </c>
      <c r="P270" s="431" t="str">
        <v>—</v>
      </c>
      <c r="Q270" s="431" t="str">
        <v>—</v>
      </c>
      <c r="R270" s="432" t="str">
        <v>—</v>
      </c>
    </row>
    <row r="271" spans="2:18" x14ac:dyDescent="0.25">
      <c r="B271" s="440" t="str">
        <v>ME-15</v>
      </c>
      <c r="C271" s="438" t="str">
        <v>INACTIVA</v>
      </c>
      <c r="D271" s="442">
        <v>145</v>
      </c>
      <c r="E271" s="429" t="str">
        <v>8M4437</v>
      </c>
      <c r="F271" s="443" t="str">
        <v>JUNTA</v>
      </c>
      <c r="G271" s="430">
        <v>2</v>
      </c>
      <c r="H271" s="424">
        <v>60.14</v>
      </c>
      <c r="I271" s="425">
        <v>120.28</v>
      </c>
      <c r="J271" s="432" t="str">
        <v>5-7</v>
      </c>
      <c r="K271" s="431">
        <v>0</v>
      </c>
      <c r="L271" s="431" t="str">
        <v>—</v>
      </c>
      <c r="M271" s="431" t="str">
        <v>—</v>
      </c>
      <c r="N271" s="432" t="str">
        <v>—</v>
      </c>
      <c r="O271" s="431">
        <v>0</v>
      </c>
      <c r="P271" s="431" t="str">
        <v>—</v>
      </c>
      <c r="Q271" s="431" t="str">
        <v>—</v>
      </c>
      <c r="R271" s="432" t="str">
        <v>—</v>
      </c>
    </row>
    <row r="272" spans="2:18" x14ac:dyDescent="0.25">
      <c r="B272" s="440" t="str">
        <v>ME-15</v>
      </c>
      <c r="C272" s="438" t="str">
        <v>INACTIVA</v>
      </c>
      <c r="D272" s="442">
        <v>145</v>
      </c>
      <c r="E272" s="429" t="str">
        <v>8M4988</v>
      </c>
      <c r="F272" s="443" t="str">
        <v>JUNTA</v>
      </c>
      <c r="G272" s="430">
        <v>3</v>
      </c>
      <c r="H272" s="424">
        <v>97.73</v>
      </c>
      <c r="I272" s="425">
        <v>293.19</v>
      </c>
      <c r="J272" s="432" t="str">
        <v>5-7</v>
      </c>
      <c r="K272" s="431">
        <v>0</v>
      </c>
      <c r="L272" s="431" t="str">
        <v>—</v>
      </c>
      <c r="M272" s="431" t="str">
        <v>—</v>
      </c>
      <c r="N272" s="432" t="str">
        <v>—</v>
      </c>
      <c r="O272" s="431">
        <v>0</v>
      </c>
      <c r="P272" s="431" t="str">
        <v>—</v>
      </c>
      <c r="Q272" s="431" t="str">
        <v>—</v>
      </c>
      <c r="R272" s="432" t="str">
        <v>—</v>
      </c>
    </row>
    <row r="273" spans="2:18" x14ac:dyDescent="0.25">
      <c r="B273" s="440" t="str">
        <v>ME-15</v>
      </c>
      <c r="C273" s="438" t="str">
        <v>INACTIVA</v>
      </c>
      <c r="D273" s="442">
        <v>145</v>
      </c>
      <c r="E273" s="429" t="str">
        <v>8M5127</v>
      </c>
      <c r="F273" s="443" t="str">
        <v>SELLO</v>
      </c>
      <c r="G273" s="430">
        <v>7</v>
      </c>
      <c r="H273" s="424">
        <v>54.77</v>
      </c>
      <c r="I273" s="425">
        <v>383.39000000000004</v>
      </c>
      <c r="J273" s="432" t="str">
        <v>5-7</v>
      </c>
      <c r="K273" s="431">
        <v>0</v>
      </c>
      <c r="L273" s="431" t="str">
        <v>—</v>
      </c>
      <c r="M273" s="431" t="str">
        <v>—</v>
      </c>
      <c r="N273" s="432" t="str">
        <v>—</v>
      </c>
      <c r="O273" s="431">
        <v>0</v>
      </c>
      <c r="P273" s="431" t="str">
        <v>—</v>
      </c>
      <c r="Q273" s="431" t="str">
        <v>—</v>
      </c>
      <c r="R273" s="432" t="str">
        <v>—</v>
      </c>
    </row>
    <row r="274" spans="2:18" x14ac:dyDescent="0.25">
      <c r="B274" s="440" t="str">
        <v>ME-15</v>
      </c>
      <c r="C274" s="438" t="str">
        <v>INACTIVA</v>
      </c>
      <c r="D274" s="442">
        <v>145</v>
      </c>
      <c r="E274" s="429" t="str">
        <v>8M5250</v>
      </c>
      <c r="F274" s="443" t="str">
        <v>SELLO</v>
      </c>
      <c r="G274" s="430">
        <v>8</v>
      </c>
      <c r="H274" s="424">
        <v>43.14</v>
      </c>
      <c r="I274" s="425">
        <v>345.12</v>
      </c>
      <c r="J274" s="432" t="str">
        <v>5-7</v>
      </c>
      <c r="K274" s="431">
        <v>0</v>
      </c>
      <c r="L274" s="431" t="str">
        <v>—</v>
      </c>
      <c r="M274" s="431" t="str">
        <v>—</v>
      </c>
      <c r="N274" s="432" t="str">
        <v>—</v>
      </c>
      <c r="O274" s="431">
        <v>0</v>
      </c>
      <c r="P274" s="431" t="str">
        <v>—</v>
      </c>
      <c r="Q274" s="431" t="str">
        <v>—</v>
      </c>
      <c r="R274" s="432" t="str">
        <v>—</v>
      </c>
    </row>
    <row r="275" spans="2:18" x14ac:dyDescent="0.25">
      <c r="B275" s="440" t="str">
        <v>ME-15</v>
      </c>
      <c r="C275" s="438" t="str">
        <v>INACTIVA</v>
      </c>
      <c r="D275" s="442">
        <v>145</v>
      </c>
      <c r="E275" s="429" t="str">
        <v>8M8283</v>
      </c>
      <c r="F275" s="443" t="str">
        <v>JUNTAS</v>
      </c>
      <c r="G275" s="430">
        <v>6</v>
      </c>
      <c r="H275" s="424">
        <v>76.069999999999993</v>
      </c>
      <c r="I275" s="425">
        <v>456.41999999999996</v>
      </c>
      <c r="J275" s="432" t="str">
        <v>5-7</v>
      </c>
      <c r="K275" s="431">
        <v>0</v>
      </c>
      <c r="L275" s="431" t="str">
        <v>—</v>
      </c>
      <c r="M275" s="431" t="str">
        <v>—</v>
      </c>
      <c r="N275" s="432" t="str">
        <v>—</v>
      </c>
      <c r="O275" s="431">
        <v>0</v>
      </c>
      <c r="P275" s="431" t="str">
        <v>—</v>
      </c>
      <c r="Q275" s="431" t="str">
        <v>—</v>
      </c>
      <c r="R275" s="432" t="str">
        <v>—</v>
      </c>
    </row>
    <row r="276" spans="2:18" x14ac:dyDescent="0.25">
      <c r="B276" s="440" t="str">
        <v>ME-15</v>
      </c>
      <c r="C276" s="438" t="str">
        <v>INACTIVA</v>
      </c>
      <c r="D276" s="442">
        <v>145</v>
      </c>
      <c r="E276" s="429" t="str">
        <v>8M8515</v>
      </c>
      <c r="F276" s="443" t="str">
        <v>JUNTA</v>
      </c>
      <c r="G276" s="430">
        <v>1</v>
      </c>
      <c r="H276" s="424">
        <v>96.3</v>
      </c>
      <c r="I276" s="425">
        <v>96.3</v>
      </c>
      <c r="J276" s="432" t="str">
        <v>5-7</v>
      </c>
      <c r="K276" s="431">
        <v>0</v>
      </c>
      <c r="L276" s="431" t="str">
        <v>—</v>
      </c>
      <c r="M276" s="431" t="str">
        <v>—</v>
      </c>
      <c r="N276" s="432" t="str">
        <v>—</v>
      </c>
      <c r="O276" s="431">
        <v>0</v>
      </c>
      <c r="P276" s="431" t="str">
        <v>—</v>
      </c>
      <c r="Q276" s="431" t="str">
        <v>—</v>
      </c>
      <c r="R276" s="432" t="str">
        <v>—</v>
      </c>
    </row>
    <row r="277" spans="2:18" x14ac:dyDescent="0.25">
      <c r="B277" s="440" t="str">
        <v>ME-15</v>
      </c>
      <c r="C277" s="438" t="str">
        <v>INACTIVA</v>
      </c>
      <c r="D277" s="442">
        <v>145</v>
      </c>
      <c r="E277" s="429" t="str">
        <v>8M8544</v>
      </c>
      <c r="F277" s="443" t="str">
        <v>EMPAQUE</v>
      </c>
      <c r="G277" s="430">
        <v>2</v>
      </c>
      <c r="H277" s="424">
        <v>27.57</v>
      </c>
      <c r="I277" s="425">
        <v>55.14</v>
      </c>
      <c r="J277" s="432" t="str">
        <v>5-7</v>
      </c>
      <c r="K277" s="431">
        <v>0</v>
      </c>
      <c r="L277" s="431" t="str">
        <v>—</v>
      </c>
      <c r="M277" s="431" t="str">
        <v>—</v>
      </c>
      <c r="N277" s="432" t="str">
        <v>—</v>
      </c>
      <c r="O277" s="431">
        <v>0</v>
      </c>
      <c r="P277" s="431" t="str">
        <v>—</v>
      </c>
      <c r="Q277" s="431" t="str">
        <v>—</v>
      </c>
      <c r="R277" s="432" t="str">
        <v>—</v>
      </c>
    </row>
    <row r="278" spans="2:18" x14ac:dyDescent="0.25">
      <c r="B278" s="440" t="str">
        <v>ME-15</v>
      </c>
      <c r="C278" s="438" t="str">
        <v>INACTIVA</v>
      </c>
      <c r="D278" s="442">
        <v>145</v>
      </c>
      <c r="E278" s="429" t="str">
        <v>8S5575</v>
      </c>
      <c r="F278" s="443" t="str">
        <v>RETEN</v>
      </c>
      <c r="G278" s="430">
        <v>1</v>
      </c>
      <c r="H278" s="424">
        <v>152.87</v>
      </c>
      <c r="I278" s="425">
        <v>152.87</v>
      </c>
      <c r="J278" s="432" t="str">
        <v>5-7</v>
      </c>
      <c r="K278" s="431">
        <v>0</v>
      </c>
      <c r="L278" s="431" t="str">
        <v>—</v>
      </c>
      <c r="M278" s="431" t="str">
        <v>—</v>
      </c>
      <c r="N278" s="432" t="str">
        <v>—</v>
      </c>
      <c r="O278" s="431">
        <v>0</v>
      </c>
      <c r="P278" s="431" t="str">
        <v>—</v>
      </c>
      <c r="Q278" s="431" t="str">
        <v>—</v>
      </c>
      <c r="R278" s="432" t="str">
        <v>—</v>
      </c>
    </row>
    <row r="279" spans="2:18" x14ac:dyDescent="0.25">
      <c r="B279" s="440" t="str">
        <v>ME-15</v>
      </c>
      <c r="C279" s="438" t="str">
        <v>INACTIVA</v>
      </c>
      <c r="D279" s="442">
        <v>145</v>
      </c>
      <c r="E279" s="429" t="str">
        <v>2M1309</v>
      </c>
      <c r="F279" s="443" t="str">
        <v>JUNTA</v>
      </c>
      <c r="G279" s="430">
        <v>1</v>
      </c>
      <c r="H279" s="424">
        <v>279.24</v>
      </c>
      <c r="I279" s="425">
        <v>279.24</v>
      </c>
      <c r="J279" s="432" t="str">
        <v>5-7</v>
      </c>
      <c r="K279" s="431">
        <v>0</v>
      </c>
      <c r="L279" s="431" t="str">
        <v>—</v>
      </c>
      <c r="M279" s="431" t="str">
        <v>—</v>
      </c>
      <c r="N279" s="432" t="str">
        <v>—</v>
      </c>
      <c r="O279" s="431">
        <v>0</v>
      </c>
      <c r="P279" s="431" t="str">
        <v>—</v>
      </c>
      <c r="Q279" s="431" t="str">
        <v>—</v>
      </c>
      <c r="R279" s="432" t="str">
        <v>—</v>
      </c>
    </row>
    <row r="280" spans="2:18" x14ac:dyDescent="0.25">
      <c r="B280" s="440" t="str">
        <v>ME-15</v>
      </c>
      <c r="C280" s="438" t="str">
        <v>INACTIVA</v>
      </c>
      <c r="D280" s="442">
        <v>145</v>
      </c>
      <c r="E280" s="429" t="str">
        <v>3F5792</v>
      </c>
      <c r="F280" s="443" t="str">
        <v>JUNTAS</v>
      </c>
      <c r="G280" s="430">
        <v>3</v>
      </c>
      <c r="H280" s="424">
        <v>151.97</v>
      </c>
      <c r="I280" s="425">
        <v>455.90999999999997</v>
      </c>
      <c r="J280" s="432" t="str">
        <v>5-7</v>
      </c>
      <c r="K280" s="431">
        <v>0</v>
      </c>
      <c r="L280" s="431" t="str">
        <v>—</v>
      </c>
      <c r="M280" s="431" t="str">
        <v>—</v>
      </c>
      <c r="N280" s="432" t="str">
        <v>—</v>
      </c>
      <c r="O280" s="431">
        <v>0</v>
      </c>
      <c r="P280" s="431" t="str">
        <v>—</v>
      </c>
      <c r="Q280" s="431" t="str">
        <v>—</v>
      </c>
      <c r="R280" s="432" t="str">
        <v>—</v>
      </c>
    </row>
    <row r="281" spans="2:18" x14ac:dyDescent="0.25">
      <c r="B281" s="440" t="str">
        <v>ME-15</v>
      </c>
      <c r="C281" s="438" t="str">
        <v>INACTIVA</v>
      </c>
      <c r="D281" s="442">
        <v>145</v>
      </c>
      <c r="E281" s="429" t="str">
        <v>3J0634</v>
      </c>
      <c r="F281" s="443" t="str">
        <v>JUNTA</v>
      </c>
      <c r="G281" s="430">
        <v>1</v>
      </c>
      <c r="H281" s="424">
        <v>177.39</v>
      </c>
      <c r="I281" s="425">
        <v>177.39</v>
      </c>
      <c r="J281" s="432" t="str">
        <v>5-7</v>
      </c>
      <c r="K281" s="431">
        <v>0</v>
      </c>
      <c r="L281" s="431" t="str">
        <v>—</v>
      </c>
      <c r="M281" s="431" t="str">
        <v>—</v>
      </c>
      <c r="N281" s="432" t="str">
        <v>—</v>
      </c>
      <c r="O281" s="431">
        <v>0</v>
      </c>
      <c r="P281" s="431" t="str">
        <v>—</v>
      </c>
      <c r="Q281" s="431" t="str">
        <v>—</v>
      </c>
      <c r="R281" s="432" t="str">
        <v>—</v>
      </c>
    </row>
    <row r="282" spans="2:18" x14ac:dyDescent="0.25">
      <c r="B282" s="440" t="str">
        <v>ME-15</v>
      </c>
      <c r="C282" s="438" t="str">
        <v>INACTIVA</v>
      </c>
      <c r="D282" s="442">
        <v>145</v>
      </c>
      <c r="E282" s="429" t="str">
        <v>4K1388</v>
      </c>
      <c r="F282" s="443" t="str">
        <v>JUNTA</v>
      </c>
      <c r="G282" s="430">
        <v>1</v>
      </c>
      <c r="H282" s="424">
        <v>51.91</v>
      </c>
      <c r="I282" s="425">
        <v>51.91</v>
      </c>
      <c r="J282" s="432" t="str">
        <v>5-7</v>
      </c>
      <c r="K282" s="431">
        <v>0</v>
      </c>
      <c r="L282" s="431" t="str">
        <v>—</v>
      </c>
      <c r="M282" s="431" t="str">
        <v>—</v>
      </c>
      <c r="N282" s="432" t="str">
        <v>—</v>
      </c>
      <c r="O282" s="431">
        <v>0</v>
      </c>
      <c r="P282" s="431" t="str">
        <v>—</v>
      </c>
      <c r="Q282" s="431" t="str">
        <v>—</v>
      </c>
      <c r="R282" s="432" t="str">
        <v>—</v>
      </c>
    </row>
    <row r="283" spans="2:18" x14ac:dyDescent="0.25">
      <c r="B283" s="440" t="str">
        <v>ME-15</v>
      </c>
      <c r="C283" s="438" t="str">
        <v>INACTIVA</v>
      </c>
      <c r="D283" s="442">
        <v>145</v>
      </c>
      <c r="E283" s="429" t="str">
        <v>6D1004</v>
      </c>
      <c r="F283" s="443" t="str">
        <v>JUNTAS</v>
      </c>
      <c r="G283" s="430">
        <v>1</v>
      </c>
      <c r="H283" s="424">
        <v>56.03</v>
      </c>
      <c r="I283" s="425">
        <v>56.03</v>
      </c>
      <c r="J283" s="432" t="str">
        <v>5-7</v>
      </c>
      <c r="K283" s="431">
        <v>0</v>
      </c>
      <c r="L283" s="431" t="str">
        <v>—</v>
      </c>
      <c r="M283" s="431" t="str">
        <v>—</v>
      </c>
      <c r="N283" s="432" t="str">
        <v>—</v>
      </c>
      <c r="O283" s="431">
        <v>0</v>
      </c>
      <c r="P283" s="431" t="str">
        <v>—</v>
      </c>
      <c r="Q283" s="431" t="str">
        <v>—</v>
      </c>
      <c r="R283" s="432" t="str">
        <v>—</v>
      </c>
    </row>
    <row r="284" spans="2:18" x14ac:dyDescent="0.25">
      <c r="B284" s="440" t="str">
        <v>ME-15</v>
      </c>
      <c r="C284" s="438" t="str">
        <v>INACTIVA</v>
      </c>
      <c r="D284" s="442">
        <v>145</v>
      </c>
      <c r="E284" s="429" t="str">
        <v>6F0711</v>
      </c>
      <c r="F284" s="443" t="str">
        <v>JUNTA</v>
      </c>
      <c r="G284" s="430">
        <v>4</v>
      </c>
      <c r="H284" s="424">
        <v>70.709999999999994</v>
      </c>
      <c r="I284" s="425">
        <v>282.83999999999997</v>
      </c>
      <c r="J284" s="432" t="str">
        <v>5-7</v>
      </c>
      <c r="K284" s="431">
        <v>0</v>
      </c>
      <c r="L284" s="431" t="str">
        <v>—</v>
      </c>
      <c r="M284" s="431" t="str">
        <v>—</v>
      </c>
      <c r="N284" s="432" t="str">
        <v>—</v>
      </c>
      <c r="O284" s="431">
        <v>0</v>
      </c>
      <c r="P284" s="431" t="str">
        <v>—</v>
      </c>
      <c r="Q284" s="431" t="str">
        <v>—</v>
      </c>
      <c r="R284" s="432" t="str">
        <v>—</v>
      </c>
    </row>
    <row r="285" spans="2:18" x14ac:dyDescent="0.25">
      <c r="B285" s="440" t="str">
        <v>ME-15</v>
      </c>
      <c r="C285" s="438" t="str">
        <v>INACTIVA</v>
      </c>
      <c r="D285" s="442">
        <v>145</v>
      </c>
      <c r="E285" s="429" t="str">
        <v>6T5612</v>
      </c>
      <c r="F285" s="443" t="str">
        <v>EMPAQUE</v>
      </c>
      <c r="G285" s="430">
        <v>5</v>
      </c>
      <c r="H285" s="424">
        <v>108.47</v>
      </c>
      <c r="I285" s="425">
        <v>542.35</v>
      </c>
      <c r="J285" s="432" t="str">
        <v>5-7</v>
      </c>
      <c r="K285" s="431">
        <v>0</v>
      </c>
      <c r="L285" s="431" t="str">
        <v>—</v>
      </c>
      <c r="M285" s="431" t="str">
        <v>—</v>
      </c>
      <c r="N285" s="432" t="str">
        <v>—</v>
      </c>
      <c r="O285" s="431">
        <v>0</v>
      </c>
      <c r="P285" s="431" t="str">
        <v>—</v>
      </c>
      <c r="Q285" s="431" t="str">
        <v>—</v>
      </c>
      <c r="R285" s="432" t="str">
        <v>—</v>
      </c>
    </row>
    <row r="286" spans="2:18" x14ac:dyDescent="0.25">
      <c r="B286" s="440" t="str">
        <v>ME-15</v>
      </c>
      <c r="C286" s="438" t="str">
        <v>INACTIVA</v>
      </c>
      <c r="D286" s="442">
        <v>145</v>
      </c>
      <c r="E286" s="429" t="str">
        <v>6T5613</v>
      </c>
      <c r="F286" s="443" t="str">
        <v>SELLO</v>
      </c>
      <c r="G286" s="430">
        <v>1</v>
      </c>
      <c r="H286" s="424">
        <v>1229.55</v>
      </c>
      <c r="I286" s="425">
        <v>1229.55</v>
      </c>
      <c r="J286" s="432" t="str">
        <v>5-7</v>
      </c>
      <c r="K286" s="431">
        <v>0</v>
      </c>
      <c r="L286" s="431" t="str">
        <v>—</v>
      </c>
      <c r="M286" s="431" t="str">
        <v>—</v>
      </c>
      <c r="N286" s="432" t="str">
        <v>—</v>
      </c>
      <c r="O286" s="431">
        <v>0</v>
      </c>
      <c r="P286" s="431" t="str">
        <v>—</v>
      </c>
      <c r="Q286" s="431" t="str">
        <v>—</v>
      </c>
      <c r="R286" s="432" t="str">
        <v>—</v>
      </c>
    </row>
    <row r="287" spans="2:18" x14ac:dyDescent="0.25">
      <c r="B287" s="440" t="str">
        <v>ME-15</v>
      </c>
      <c r="C287" s="438" t="str">
        <v>INACTIVA</v>
      </c>
      <c r="D287" s="442">
        <v>145</v>
      </c>
      <c r="E287" s="429" t="str">
        <v>8T1643</v>
      </c>
      <c r="F287" s="443" t="str">
        <v>SELLOS</v>
      </c>
      <c r="G287" s="430">
        <v>1</v>
      </c>
      <c r="H287" s="424">
        <v>8452.2000000000007</v>
      </c>
      <c r="I287" s="425">
        <v>8452.2000000000007</v>
      </c>
      <c r="J287" s="432" t="str">
        <v>5-7</v>
      </c>
      <c r="K287" s="431">
        <v>0</v>
      </c>
      <c r="L287" s="431" t="str">
        <v>—</v>
      </c>
      <c r="M287" s="431" t="str">
        <v>—</v>
      </c>
      <c r="N287" s="432" t="str">
        <v>—</v>
      </c>
      <c r="O287" s="431">
        <v>0</v>
      </c>
      <c r="P287" s="431" t="str">
        <v>—</v>
      </c>
      <c r="Q287" s="431" t="str">
        <v>—</v>
      </c>
      <c r="R287" s="432" t="str">
        <v>—</v>
      </c>
    </row>
    <row r="288" spans="2:18" x14ac:dyDescent="0.25">
      <c r="B288" s="440" t="str">
        <v>ME-15</v>
      </c>
      <c r="C288" s="438" t="str">
        <v>INACTIVA</v>
      </c>
      <c r="D288" s="442">
        <v>145</v>
      </c>
      <c r="E288" s="429" t="str">
        <v>8T4876</v>
      </c>
      <c r="F288" s="443" t="str">
        <v>ESPACIADOR</v>
      </c>
      <c r="G288" s="430">
        <v>1</v>
      </c>
      <c r="H288" s="424">
        <v>1310.46</v>
      </c>
      <c r="I288" s="425">
        <v>1310.46</v>
      </c>
      <c r="J288" s="432" t="str">
        <v>5-7</v>
      </c>
      <c r="K288" s="431">
        <v>0</v>
      </c>
      <c r="L288" s="431" t="str">
        <v>—</v>
      </c>
      <c r="M288" s="431" t="str">
        <v>—</v>
      </c>
      <c r="N288" s="432" t="str">
        <v>—</v>
      </c>
      <c r="O288" s="431">
        <v>0</v>
      </c>
      <c r="P288" s="431" t="str">
        <v>—</v>
      </c>
      <c r="Q288" s="431" t="str">
        <v>—</v>
      </c>
      <c r="R288" s="432" t="str">
        <v>—</v>
      </c>
    </row>
    <row r="289" spans="2:18" x14ac:dyDescent="0.25">
      <c r="B289" s="440" t="str">
        <v>ME-15</v>
      </c>
      <c r="C289" s="438" t="str">
        <v>INACTIVA</v>
      </c>
      <c r="D289" s="442">
        <v>145</v>
      </c>
      <c r="E289" s="429" t="str">
        <v>8T4877</v>
      </c>
      <c r="F289" s="443" t="str">
        <v>JUNTAS</v>
      </c>
      <c r="G289" s="430">
        <v>1</v>
      </c>
      <c r="H289" s="424">
        <v>857.23</v>
      </c>
      <c r="I289" s="425">
        <v>857.23</v>
      </c>
      <c r="J289" s="432" t="str">
        <v>5-7</v>
      </c>
      <c r="K289" s="431">
        <v>0</v>
      </c>
      <c r="L289" s="431" t="str">
        <v>—</v>
      </c>
      <c r="M289" s="431" t="str">
        <v>—</v>
      </c>
      <c r="N289" s="432" t="str">
        <v>—</v>
      </c>
      <c r="O289" s="431">
        <v>0</v>
      </c>
      <c r="P289" s="431" t="str">
        <v>—</v>
      </c>
      <c r="Q289" s="431" t="str">
        <v>—</v>
      </c>
      <c r="R289" s="432" t="str">
        <v>—</v>
      </c>
    </row>
    <row r="290" spans="2:18" x14ac:dyDescent="0.25">
      <c r="B290" s="440" t="str">
        <v>ME-15</v>
      </c>
      <c r="C290" s="438" t="str">
        <v>INACTIVA</v>
      </c>
      <c r="D290" s="442">
        <v>145</v>
      </c>
      <c r="E290" s="429" t="str">
        <v>1S6481</v>
      </c>
      <c r="F290" s="443" t="str">
        <v>JUNTAS</v>
      </c>
      <c r="G290" s="430">
        <v>1</v>
      </c>
      <c r="H290" s="424">
        <v>1394.95</v>
      </c>
      <c r="I290" s="425">
        <v>1394.95</v>
      </c>
      <c r="J290" s="432" t="str">
        <v>5-7</v>
      </c>
      <c r="K290" s="431">
        <v>0</v>
      </c>
      <c r="L290" s="431" t="str">
        <v>—</v>
      </c>
      <c r="M290" s="431" t="str">
        <v>—</v>
      </c>
      <c r="N290" s="432" t="str">
        <v>—</v>
      </c>
      <c r="O290" s="431">
        <v>0</v>
      </c>
      <c r="P290" s="431" t="str">
        <v>—</v>
      </c>
      <c r="Q290" s="431" t="str">
        <v>—</v>
      </c>
      <c r="R290" s="432" t="str">
        <v>—</v>
      </c>
    </row>
    <row r="291" spans="2:18" x14ac:dyDescent="0.25">
      <c r="B291" s="440" t="str">
        <v>ME-15</v>
      </c>
      <c r="C291" s="438" t="str">
        <v>INACTIVA</v>
      </c>
      <c r="D291" s="442">
        <v>145</v>
      </c>
      <c r="E291" s="429" t="str">
        <v>1T1356</v>
      </c>
      <c r="F291" s="443" t="str">
        <v>JUNTAS</v>
      </c>
      <c r="G291" s="430">
        <v>1</v>
      </c>
      <c r="H291" s="424">
        <v>2172.34</v>
      </c>
      <c r="I291" s="425">
        <v>2172.34</v>
      </c>
      <c r="J291" s="432" t="str">
        <v>5-7</v>
      </c>
      <c r="K291" s="431">
        <v>0</v>
      </c>
      <c r="L291" s="431" t="str">
        <v>—</v>
      </c>
      <c r="M291" s="431" t="str">
        <v>—</v>
      </c>
      <c r="N291" s="432" t="str">
        <v>—</v>
      </c>
      <c r="O291" s="431">
        <v>0</v>
      </c>
      <c r="P291" s="431" t="str">
        <v>—</v>
      </c>
      <c r="Q291" s="431" t="str">
        <v>—</v>
      </c>
      <c r="R291" s="432" t="str">
        <v>—</v>
      </c>
    </row>
    <row r="292" spans="2:18" x14ac:dyDescent="0.25">
      <c r="B292" s="440" t="str">
        <v>ME-15</v>
      </c>
      <c r="C292" s="438" t="str">
        <v>INACTIVA</v>
      </c>
      <c r="D292" s="442">
        <v>145</v>
      </c>
      <c r="E292" s="429" t="str">
        <v>1T1597</v>
      </c>
      <c r="F292" s="443" t="str">
        <v>EMPAQUE</v>
      </c>
      <c r="G292" s="430">
        <v>2</v>
      </c>
      <c r="H292" s="424">
        <v>2152.12</v>
      </c>
      <c r="I292" s="425">
        <v>4304.24</v>
      </c>
      <c r="J292" s="432" t="str">
        <v>5-7</v>
      </c>
      <c r="K292" s="431">
        <v>0</v>
      </c>
      <c r="L292" s="431" t="str">
        <v>—</v>
      </c>
      <c r="M292" s="431" t="str">
        <v>—</v>
      </c>
      <c r="N292" s="432" t="str">
        <v>—</v>
      </c>
      <c r="O292" s="431">
        <v>0</v>
      </c>
      <c r="P292" s="431" t="str">
        <v>—</v>
      </c>
      <c r="Q292" s="431" t="str">
        <v>—</v>
      </c>
      <c r="R292" s="432" t="str">
        <v>—</v>
      </c>
    </row>
    <row r="293" spans="2:18" x14ac:dyDescent="0.25">
      <c r="B293" s="440" t="str">
        <v>ME-15</v>
      </c>
      <c r="C293" s="438" t="str">
        <v>INACTIVA</v>
      </c>
      <c r="D293" s="442">
        <v>145</v>
      </c>
      <c r="E293" s="429" t="str">
        <v>1T1599</v>
      </c>
      <c r="F293" s="443" t="str">
        <v>JUNTA</v>
      </c>
      <c r="G293" s="430">
        <v>1</v>
      </c>
      <c r="H293" s="424">
        <v>931.87</v>
      </c>
      <c r="I293" s="425">
        <v>931.87</v>
      </c>
      <c r="J293" s="432" t="str">
        <v>5-7</v>
      </c>
      <c r="K293" s="431">
        <v>0</v>
      </c>
      <c r="L293" s="431" t="str">
        <v>—</v>
      </c>
      <c r="M293" s="431" t="str">
        <v>—</v>
      </c>
      <c r="N293" s="432" t="str">
        <v>—</v>
      </c>
      <c r="O293" s="431">
        <v>0</v>
      </c>
      <c r="P293" s="431" t="str">
        <v>—</v>
      </c>
      <c r="Q293" s="431" t="str">
        <v>—</v>
      </c>
      <c r="R293" s="432" t="str">
        <v>—</v>
      </c>
    </row>
    <row r="294" spans="2:18" x14ac:dyDescent="0.25">
      <c r="B294" s="440" t="str">
        <v>ME-15</v>
      </c>
      <c r="C294" s="438" t="str">
        <v>INACTIVA</v>
      </c>
      <c r="D294" s="442">
        <v>145</v>
      </c>
      <c r="E294" s="429" t="str">
        <v>3S1279</v>
      </c>
      <c r="F294" s="443" t="str">
        <v>SELLO</v>
      </c>
      <c r="G294" s="430">
        <v>1</v>
      </c>
      <c r="H294" s="424">
        <v>857.23</v>
      </c>
      <c r="I294" s="425">
        <v>857.23</v>
      </c>
      <c r="J294" s="432" t="str">
        <v>5-7</v>
      </c>
      <c r="K294" s="431">
        <v>0</v>
      </c>
      <c r="L294" s="431" t="str">
        <v>—</v>
      </c>
      <c r="M294" s="431" t="str">
        <v>—</v>
      </c>
      <c r="N294" s="432" t="str">
        <v>—</v>
      </c>
      <c r="O294" s="431">
        <v>0</v>
      </c>
      <c r="P294" s="431" t="str">
        <v>—</v>
      </c>
      <c r="Q294" s="431" t="str">
        <v>—</v>
      </c>
      <c r="R294" s="432" t="str">
        <v>—</v>
      </c>
    </row>
    <row r="295" spans="2:18" x14ac:dyDescent="0.25">
      <c r="B295" s="440" t="str">
        <v>ME-15</v>
      </c>
      <c r="C295" s="438" t="str">
        <v>INACTIVA</v>
      </c>
      <c r="D295" s="442">
        <v>145</v>
      </c>
      <c r="E295" s="429" t="str">
        <v>8T4878</v>
      </c>
      <c r="F295" s="443" t="str">
        <v>SELLO</v>
      </c>
      <c r="G295" s="430">
        <v>1</v>
      </c>
      <c r="H295" s="424">
        <v>1394.95</v>
      </c>
      <c r="I295" s="425">
        <v>1394.95</v>
      </c>
      <c r="J295" s="432" t="str">
        <v>5-7</v>
      </c>
      <c r="K295" s="431">
        <v>0</v>
      </c>
      <c r="L295" s="431" t="str">
        <v>—</v>
      </c>
      <c r="M295" s="431" t="str">
        <v>—</v>
      </c>
      <c r="N295" s="432" t="str">
        <v>—</v>
      </c>
      <c r="O295" s="431">
        <v>0</v>
      </c>
      <c r="P295" s="431" t="str">
        <v>—</v>
      </c>
      <c r="Q295" s="431" t="str">
        <v>—</v>
      </c>
      <c r="R295" s="432" t="str">
        <v>—</v>
      </c>
    </row>
    <row r="296" spans="2:18" x14ac:dyDescent="0.25">
      <c r="B296" s="440" t="str">
        <v>ME-15</v>
      </c>
      <c r="C296" s="438" t="str">
        <v>INACTIVA</v>
      </c>
      <c r="D296" s="442">
        <v>145</v>
      </c>
      <c r="E296" s="429" t="str">
        <v>1P3704</v>
      </c>
      <c r="F296" s="443" t="str">
        <v>EMPAQUES</v>
      </c>
      <c r="G296" s="430">
        <v>1</v>
      </c>
      <c r="H296" s="424">
        <v>2172.34</v>
      </c>
      <c r="I296" s="425">
        <v>2172.34</v>
      </c>
      <c r="J296" s="432" t="str">
        <v>5-7</v>
      </c>
      <c r="K296" s="431">
        <v>0</v>
      </c>
      <c r="L296" s="431" t="str">
        <v>—</v>
      </c>
      <c r="M296" s="431" t="str">
        <v>—</v>
      </c>
      <c r="N296" s="432" t="str">
        <v>—</v>
      </c>
      <c r="O296" s="431">
        <v>0</v>
      </c>
      <c r="P296" s="431" t="str">
        <v>—</v>
      </c>
      <c r="Q296" s="431" t="str">
        <v>—</v>
      </c>
      <c r="R296" s="432" t="str">
        <v>—</v>
      </c>
    </row>
    <row r="297" spans="2:18" x14ac:dyDescent="0.25">
      <c r="B297" s="440" t="str">
        <v>ME-15</v>
      </c>
      <c r="C297" s="438" t="str">
        <v>INACTIVA</v>
      </c>
      <c r="D297" s="442">
        <v>145</v>
      </c>
      <c r="E297" s="429" t="str">
        <v>3D2824</v>
      </c>
      <c r="F297" s="443" t="str">
        <v>EMPAQUE</v>
      </c>
      <c r="G297" s="430">
        <v>1</v>
      </c>
      <c r="H297" s="424">
        <v>2152.12</v>
      </c>
      <c r="I297" s="425">
        <v>2152.12</v>
      </c>
      <c r="J297" s="432" t="str">
        <v>5-7</v>
      </c>
      <c r="K297" s="431">
        <v>0</v>
      </c>
      <c r="L297" s="431" t="str">
        <v>—</v>
      </c>
      <c r="M297" s="431" t="str">
        <v>—</v>
      </c>
      <c r="N297" s="432" t="str">
        <v>—</v>
      </c>
      <c r="O297" s="431">
        <v>0</v>
      </c>
      <c r="P297" s="431" t="str">
        <v>—</v>
      </c>
      <c r="Q297" s="431" t="str">
        <v>—</v>
      </c>
      <c r="R297" s="432" t="str">
        <v>—</v>
      </c>
    </row>
    <row r="298" spans="2:18" x14ac:dyDescent="0.25">
      <c r="B298" s="440" t="str">
        <v>ME-15</v>
      </c>
      <c r="C298" s="438" t="str">
        <v>INACTIVA</v>
      </c>
      <c r="D298" s="442">
        <v>145</v>
      </c>
      <c r="E298" s="429" t="str">
        <v>3J1907</v>
      </c>
      <c r="F298" s="443" t="str">
        <v>JUNTA</v>
      </c>
      <c r="G298" s="430">
        <v>1</v>
      </c>
      <c r="H298" s="424">
        <v>931.87</v>
      </c>
      <c r="I298" s="425">
        <v>931.87</v>
      </c>
      <c r="J298" s="432" t="str">
        <v>5-7</v>
      </c>
      <c r="K298" s="431">
        <v>0</v>
      </c>
      <c r="L298" s="431" t="str">
        <v>—</v>
      </c>
      <c r="M298" s="431" t="str">
        <v>—</v>
      </c>
      <c r="N298" s="432" t="str">
        <v>—</v>
      </c>
      <c r="O298" s="431">
        <v>0</v>
      </c>
      <c r="P298" s="431" t="str">
        <v>—</v>
      </c>
      <c r="Q298" s="431" t="str">
        <v>—</v>
      </c>
      <c r="R298" s="432" t="str">
        <v>—</v>
      </c>
    </row>
    <row r="299" spans="2:18" x14ac:dyDescent="0.25">
      <c r="B299" s="440" t="str">
        <v>ME-15</v>
      </c>
      <c r="C299" s="438" t="str">
        <v>INACTIVA</v>
      </c>
      <c r="D299" s="442">
        <v>145</v>
      </c>
      <c r="E299" s="429" t="str">
        <v>3J7354</v>
      </c>
      <c r="F299" s="443" t="str">
        <v>SELLO</v>
      </c>
      <c r="G299" s="430">
        <v>3</v>
      </c>
      <c r="H299" s="424">
        <v>76.430000000000007</v>
      </c>
      <c r="I299" s="425">
        <v>229.29000000000002</v>
      </c>
      <c r="J299" s="432" t="str">
        <v>5-7</v>
      </c>
      <c r="K299" s="431">
        <v>0</v>
      </c>
      <c r="L299" s="431" t="str">
        <v>—</v>
      </c>
      <c r="M299" s="431" t="str">
        <v>—</v>
      </c>
      <c r="N299" s="432" t="str">
        <v>—</v>
      </c>
      <c r="O299" s="431">
        <v>0</v>
      </c>
      <c r="P299" s="431" t="str">
        <v>—</v>
      </c>
      <c r="Q299" s="431" t="str">
        <v>—</v>
      </c>
      <c r="R299" s="432" t="str">
        <v>—</v>
      </c>
    </row>
    <row r="300" spans="2:18" x14ac:dyDescent="0.25">
      <c r="B300" s="440" t="str">
        <v>ME-15</v>
      </c>
      <c r="C300" s="438" t="str">
        <v>INACTIVA</v>
      </c>
      <c r="D300" s="442">
        <v>145</v>
      </c>
      <c r="E300" s="429" t="str">
        <v>5B5947</v>
      </c>
      <c r="F300" s="443" t="str">
        <v>EMPAQUES</v>
      </c>
      <c r="G300" s="430">
        <v>4</v>
      </c>
      <c r="H300" s="424">
        <v>48.33</v>
      </c>
      <c r="I300" s="425">
        <v>193.32</v>
      </c>
      <c r="J300" s="432" t="str">
        <v>5-7</v>
      </c>
      <c r="K300" s="431">
        <v>0</v>
      </c>
      <c r="L300" s="431" t="str">
        <v>—</v>
      </c>
      <c r="M300" s="431" t="str">
        <v>—</v>
      </c>
      <c r="N300" s="432" t="str">
        <v>—</v>
      </c>
      <c r="O300" s="431">
        <v>0</v>
      </c>
      <c r="P300" s="431" t="str">
        <v>—</v>
      </c>
      <c r="Q300" s="431" t="str">
        <v>—</v>
      </c>
      <c r="R300" s="432" t="str">
        <v>—</v>
      </c>
    </row>
    <row r="301" spans="2:18" x14ac:dyDescent="0.25">
      <c r="B301" s="440" t="str">
        <v>ME-15</v>
      </c>
      <c r="C301" s="438" t="str">
        <v>INACTIVA</v>
      </c>
      <c r="D301" s="442">
        <v>145</v>
      </c>
      <c r="E301" s="429" t="str">
        <v>8M4431</v>
      </c>
      <c r="F301" s="443" t="str">
        <v>JUNTAS</v>
      </c>
      <c r="G301" s="430">
        <v>1</v>
      </c>
      <c r="H301" s="424">
        <v>31.5</v>
      </c>
      <c r="I301" s="425">
        <v>31.5</v>
      </c>
      <c r="J301" s="432" t="str">
        <v>5-7</v>
      </c>
      <c r="K301" s="431">
        <v>0</v>
      </c>
      <c r="L301" s="431" t="str">
        <v>—</v>
      </c>
      <c r="M301" s="431" t="str">
        <v>—</v>
      </c>
      <c r="N301" s="432" t="str">
        <v>—</v>
      </c>
      <c r="O301" s="431">
        <v>0</v>
      </c>
      <c r="P301" s="431" t="str">
        <v>—</v>
      </c>
      <c r="Q301" s="431" t="str">
        <v>—</v>
      </c>
      <c r="R301" s="432" t="str">
        <v>—</v>
      </c>
    </row>
    <row r="302" spans="2:18" x14ac:dyDescent="0.25">
      <c r="B302" s="440" t="str">
        <v>ME-15</v>
      </c>
      <c r="C302" s="438" t="str">
        <v>INACTIVA</v>
      </c>
      <c r="D302" s="442">
        <v>145</v>
      </c>
      <c r="E302" s="429" t="str">
        <v>3J7354</v>
      </c>
      <c r="F302" s="443" t="str">
        <v>JUNTA CAUC</v>
      </c>
      <c r="G302" s="430">
        <v>1</v>
      </c>
      <c r="H302" s="424">
        <v>28.28</v>
      </c>
      <c r="I302" s="425">
        <v>28.28</v>
      </c>
      <c r="J302" s="432" t="str">
        <v>5-7</v>
      </c>
      <c r="K302" s="431">
        <v>0</v>
      </c>
      <c r="L302" s="431" t="str">
        <v>—</v>
      </c>
      <c r="M302" s="431" t="str">
        <v>—</v>
      </c>
      <c r="N302" s="432" t="str">
        <v>—</v>
      </c>
      <c r="O302" s="431">
        <v>0</v>
      </c>
      <c r="P302" s="431" t="str">
        <v>—</v>
      </c>
      <c r="Q302" s="431" t="str">
        <v>—</v>
      </c>
      <c r="R302" s="432" t="str">
        <v>—</v>
      </c>
    </row>
    <row r="303" spans="2:18" x14ac:dyDescent="0.25">
      <c r="B303" s="440" t="str">
        <v>ME-15</v>
      </c>
      <c r="C303" s="438" t="str">
        <v>INACTIVA</v>
      </c>
      <c r="D303" s="442">
        <v>145</v>
      </c>
      <c r="E303" s="429" t="str">
        <v>5B5947</v>
      </c>
      <c r="F303" s="443" t="str">
        <v>GASKET</v>
      </c>
      <c r="G303" s="430">
        <v>1</v>
      </c>
      <c r="H303" s="424">
        <v>85.38</v>
      </c>
      <c r="I303" s="425">
        <v>85.38</v>
      </c>
      <c r="J303" s="432" t="str">
        <v>5-7</v>
      </c>
      <c r="K303" s="431">
        <v>0</v>
      </c>
      <c r="L303" s="431" t="str">
        <v>—</v>
      </c>
      <c r="M303" s="431" t="str">
        <v>—</v>
      </c>
      <c r="N303" s="432" t="str">
        <v>—</v>
      </c>
      <c r="O303" s="431">
        <v>0</v>
      </c>
      <c r="P303" s="431" t="str">
        <v>—</v>
      </c>
      <c r="Q303" s="431" t="str">
        <v>—</v>
      </c>
      <c r="R303" s="432" t="str">
        <v>—</v>
      </c>
    </row>
    <row r="304" spans="2:18" x14ac:dyDescent="0.25">
      <c r="B304" s="440" t="str">
        <v>ME-15</v>
      </c>
      <c r="C304" s="438" t="str">
        <v>INACTIVA</v>
      </c>
      <c r="D304" s="442">
        <v>145</v>
      </c>
      <c r="E304" s="429" t="str">
        <v>8M4431</v>
      </c>
      <c r="F304" s="443" t="str">
        <v>ANILLO</v>
      </c>
      <c r="G304" s="430">
        <v>1</v>
      </c>
      <c r="H304" s="424">
        <v>84.49</v>
      </c>
      <c r="I304" s="425">
        <v>84.49</v>
      </c>
      <c r="J304" s="432" t="str">
        <v>5-7</v>
      </c>
      <c r="K304" s="431">
        <v>0</v>
      </c>
      <c r="L304" s="431" t="str">
        <v>—</v>
      </c>
      <c r="M304" s="431" t="str">
        <v>—</v>
      </c>
      <c r="N304" s="432" t="str">
        <v>—</v>
      </c>
      <c r="O304" s="431">
        <v>0</v>
      </c>
      <c r="P304" s="431" t="str">
        <v>—</v>
      </c>
      <c r="Q304" s="431" t="str">
        <v>—</v>
      </c>
      <c r="R304" s="432" t="str">
        <v>—</v>
      </c>
    </row>
    <row r="305" spans="2:18" x14ac:dyDescent="0.25">
      <c r="B305" s="440" t="str">
        <v>ME-15</v>
      </c>
      <c r="C305" s="438" t="str">
        <v>INACTIVA</v>
      </c>
      <c r="D305" s="442">
        <v>145</v>
      </c>
      <c r="E305" s="429" t="str">
        <v>8M4986</v>
      </c>
      <c r="F305" s="443" t="str">
        <v>JUNTA</v>
      </c>
      <c r="G305" s="430">
        <v>4</v>
      </c>
      <c r="H305" s="424">
        <v>130.49</v>
      </c>
      <c r="I305" s="425">
        <v>521.96</v>
      </c>
      <c r="J305" s="432" t="str">
        <v>5-7</v>
      </c>
      <c r="K305" s="431">
        <v>0</v>
      </c>
      <c r="L305" s="431" t="str">
        <v>—</v>
      </c>
      <c r="M305" s="431" t="str">
        <v>—</v>
      </c>
      <c r="N305" s="432" t="str">
        <v>—</v>
      </c>
      <c r="O305" s="431">
        <v>0</v>
      </c>
      <c r="P305" s="431" t="str">
        <v>—</v>
      </c>
      <c r="Q305" s="431" t="str">
        <v>—</v>
      </c>
      <c r="R305" s="432" t="str">
        <v>—</v>
      </c>
    </row>
    <row r="306" spans="2:18" x14ac:dyDescent="0.25">
      <c r="B306" s="440" t="str">
        <v>ME-15</v>
      </c>
      <c r="C306" s="438" t="str">
        <v>INACTIVA</v>
      </c>
      <c r="D306" s="442">
        <v>145</v>
      </c>
      <c r="E306" s="429" t="str">
        <v>8M4987</v>
      </c>
      <c r="F306" s="443" t="str">
        <v>JUNTA</v>
      </c>
      <c r="G306" s="430">
        <v>4</v>
      </c>
      <c r="H306" s="424">
        <v>116.89</v>
      </c>
      <c r="I306" s="425">
        <v>467.56</v>
      </c>
      <c r="J306" s="432" t="str">
        <v>5-7</v>
      </c>
      <c r="K306" s="431">
        <v>0</v>
      </c>
      <c r="L306" s="431" t="str">
        <v>—</v>
      </c>
      <c r="M306" s="431" t="str">
        <v>—</v>
      </c>
      <c r="N306" s="432" t="str">
        <v>—</v>
      </c>
      <c r="O306" s="431">
        <v>0</v>
      </c>
      <c r="P306" s="431" t="str">
        <v>—</v>
      </c>
      <c r="Q306" s="431" t="str">
        <v>—</v>
      </c>
      <c r="R306" s="432" t="str">
        <v>—</v>
      </c>
    </row>
    <row r="307" spans="2:18" x14ac:dyDescent="0.25">
      <c r="B307" s="440" t="str">
        <v>ME-15</v>
      </c>
      <c r="C307" s="438" t="str">
        <v>INACTIVA</v>
      </c>
      <c r="D307" s="442">
        <v>145</v>
      </c>
      <c r="E307" s="429" t="str">
        <v>8M4988</v>
      </c>
      <c r="F307" s="443" t="str">
        <v>JUNTA</v>
      </c>
      <c r="G307" s="430">
        <v>2</v>
      </c>
      <c r="H307" s="424">
        <v>97.73</v>
      </c>
      <c r="I307" s="425">
        <v>195.46</v>
      </c>
      <c r="J307" s="432" t="str">
        <v>5-7</v>
      </c>
      <c r="K307" s="431">
        <v>0</v>
      </c>
      <c r="L307" s="431" t="str">
        <v>—</v>
      </c>
      <c r="M307" s="431" t="str">
        <v>—</v>
      </c>
      <c r="N307" s="432" t="str">
        <v>—</v>
      </c>
      <c r="O307" s="431">
        <v>0</v>
      </c>
      <c r="P307" s="431" t="str">
        <v>—</v>
      </c>
      <c r="Q307" s="431" t="str">
        <v>—</v>
      </c>
      <c r="R307" s="432" t="str">
        <v>—</v>
      </c>
    </row>
    <row r="308" spans="2:18" x14ac:dyDescent="0.25">
      <c r="B308" s="440" t="str">
        <v>ME-15</v>
      </c>
      <c r="C308" s="438" t="str">
        <v>INACTIVA</v>
      </c>
      <c r="D308" s="442">
        <v>145</v>
      </c>
      <c r="E308" s="429" t="str">
        <v>8M5010</v>
      </c>
      <c r="F308" s="443" t="str">
        <v>SELLO</v>
      </c>
      <c r="G308" s="430">
        <v>1</v>
      </c>
      <c r="H308" s="424">
        <v>171.3</v>
      </c>
      <c r="I308" s="425">
        <v>171.3</v>
      </c>
      <c r="J308" s="432" t="str">
        <v>5-7</v>
      </c>
      <c r="K308" s="431">
        <v>0</v>
      </c>
      <c r="L308" s="431" t="str">
        <v>—</v>
      </c>
      <c r="M308" s="431" t="str">
        <v>—</v>
      </c>
      <c r="N308" s="432" t="str">
        <v>—</v>
      </c>
      <c r="O308" s="431">
        <v>0</v>
      </c>
      <c r="P308" s="431" t="str">
        <v>—</v>
      </c>
      <c r="Q308" s="431" t="str">
        <v>—</v>
      </c>
      <c r="R308" s="432" t="str">
        <v>—</v>
      </c>
    </row>
    <row r="309" spans="2:18" x14ac:dyDescent="0.25">
      <c r="B309" s="440" t="str">
        <v>ME-15</v>
      </c>
      <c r="C309" s="438" t="str">
        <v>INACTIVA</v>
      </c>
      <c r="D309" s="442">
        <v>145</v>
      </c>
      <c r="E309" s="429" t="str">
        <v>8M5254</v>
      </c>
      <c r="F309" s="443" t="str">
        <v>SELLO</v>
      </c>
      <c r="G309" s="430">
        <v>1</v>
      </c>
      <c r="H309" s="424">
        <v>113.13</v>
      </c>
      <c r="I309" s="425">
        <v>113.13</v>
      </c>
      <c r="J309" s="432" t="str">
        <v>5-7</v>
      </c>
      <c r="K309" s="431">
        <v>0</v>
      </c>
      <c r="L309" s="431" t="str">
        <v>—</v>
      </c>
      <c r="M309" s="431" t="str">
        <v>—</v>
      </c>
      <c r="N309" s="432" t="str">
        <v>—</v>
      </c>
      <c r="O309" s="431">
        <v>0</v>
      </c>
      <c r="P309" s="431" t="str">
        <v>—</v>
      </c>
      <c r="Q309" s="431" t="str">
        <v>—</v>
      </c>
      <c r="R309" s="432" t="str">
        <v>—</v>
      </c>
    </row>
    <row r="310" spans="2:18" x14ac:dyDescent="0.25">
      <c r="B310" s="440" t="str">
        <v>ME-15</v>
      </c>
      <c r="C310" s="438" t="str">
        <v>INACTIVA</v>
      </c>
      <c r="D310" s="442">
        <v>145</v>
      </c>
      <c r="E310" s="429" t="str">
        <v>8M5661</v>
      </c>
      <c r="F310" s="443" t="str">
        <v>JUNTA</v>
      </c>
      <c r="G310" s="430">
        <v>6</v>
      </c>
      <c r="H310" s="424">
        <v>153.76</v>
      </c>
      <c r="I310" s="425">
        <v>922.56</v>
      </c>
      <c r="J310" s="432" t="str">
        <v>5-7</v>
      </c>
      <c r="K310" s="431">
        <v>0</v>
      </c>
      <c r="L310" s="431" t="str">
        <v>—</v>
      </c>
      <c r="M310" s="431" t="str">
        <v>—</v>
      </c>
      <c r="N310" s="432" t="str">
        <v>—</v>
      </c>
      <c r="O310" s="431">
        <v>0</v>
      </c>
      <c r="P310" s="431" t="str">
        <v>—</v>
      </c>
      <c r="Q310" s="431" t="str">
        <v>—</v>
      </c>
      <c r="R310" s="432" t="str">
        <v>—</v>
      </c>
    </row>
    <row r="311" spans="2:18" x14ac:dyDescent="0.25">
      <c r="B311" s="440" t="str">
        <v>ME-15</v>
      </c>
      <c r="C311" s="438" t="str">
        <v>INACTIVA</v>
      </c>
      <c r="D311" s="442">
        <v>145</v>
      </c>
      <c r="E311" s="429" t="str">
        <v>8M8281</v>
      </c>
      <c r="F311" s="443" t="str">
        <v>EMPAQUE HU</v>
      </c>
      <c r="G311" s="430">
        <v>1</v>
      </c>
      <c r="H311" s="424">
        <v>50.48</v>
      </c>
      <c r="I311" s="425">
        <v>50.48</v>
      </c>
      <c r="J311" s="432" t="str">
        <v>5-7</v>
      </c>
      <c r="K311" s="431">
        <v>0</v>
      </c>
      <c r="L311" s="431" t="str">
        <v>—</v>
      </c>
      <c r="M311" s="431" t="str">
        <v>—</v>
      </c>
      <c r="N311" s="432" t="str">
        <v>—</v>
      </c>
      <c r="O311" s="431">
        <v>0</v>
      </c>
      <c r="P311" s="431" t="str">
        <v>—</v>
      </c>
      <c r="Q311" s="431" t="str">
        <v>—</v>
      </c>
      <c r="R311" s="432" t="str">
        <v>—</v>
      </c>
    </row>
    <row r="312" spans="2:18" x14ac:dyDescent="0.25">
      <c r="B312" s="440" t="str">
        <v>ME-15</v>
      </c>
      <c r="C312" s="438" t="str">
        <v>INACTIVA</v>
      </c>
      <c r="D312" s="442">
        <v>145</v>
      </c>
      <c r="E312" s="429" t="str">
        <v>9M7539</v>
      </c>
      <c r="F312" s="443" t="str">
        <v>JUNTA</v>
      </c>
      <c r="G312" s="430">
        <v>1</v>
      </c>
      <c r="H312" s="424">
        <v>209.61</v>
      </c>
      <c r="I312" s="425">
        <v>209.61</v>
      </c>
      <c r="J312" s="432" t="str">
        <v>5-7</v>
      </c>
      <c r="K312" s="431">
        <v>0</v>
      </c>
      <c r="L312" s="431" t="str">
        <v>—</v>
      </c>
      <c r="M312" s="431" t="str">
        <v>—</v>
      </c>
      <c r="N312" s="432" t="str">
        <v>—</v>
      </c>
      <c r="O312" s="431">
        <v>0</v>
      </c>
      <c r="P312" s="431" t="str">
        <v>—</v>
      </c>
      <c r="Q312" s="431" t="str">
        <v>—</v>
      </c>
      <c r="R312" s="432" t="str">
        <v>—</v>
      </c>
    </row>
    <row r="313" spans="2:18" x14ac:dyDescent="0.25">
      <c r="B313" s="440" t="str">
        <v>ME-15</v>
      </c>
      <c r="C313" s="438" t="str">
        <v>INACTIVA</v>
      </c>
      <c r="D313" s="442">
        <v>145</v>
      </c>
      <c r="E313" s="429" t="str">
        <v>3J7354</v>
      </c>
      <c r="F313" s="443" t="str">
        <v>JUNTA CAUC</v>
      </c>
      <c r="G313" s="430">
        <v>1</v>
      </c>
      <c r="H313" s="424">
        <v>28.28</v>
      </c>
      <c r="I313" s="425">
        <v>28.28</v>
      </c>
      <c r="J313" s="432" t="str">
        <v>5-7</v>
      </c>
      <c r="K313" s="431">
        <v>0</v>
      </c>
      <c r="L313" s="431" t="str">
        <v>—</v>
      </c>
      <c r="M313" s="431" t="str">
        <v>—</v>
      </c>
      <c r="N313" s="432" t="str">
        <v>—</v>
      </c>
      <c r="O313" s="431">
        <v>0</v>
      </c>
      <c r="P313" s="431" t="str">
        <v>—</v>
      </c>
      <c r="Q313" s="431" t="str">
        <v>—</v>
      </c>
      <c r="R313" s="432" t="str">
        <v>—</v>
      </c>
    </row>
    <row r="314" spans="2:18" x14ac:dyDescent="0.25">
      <c r="B314" s="440" t="str">
        <v>ME-15</v>
      </c>
      <c r="C314" s="438" t="str">
        <v>INACTIVA</v>
      </c>
      <c r="D314" s="442">
        <v>145</v>
      </c>
      <c r="E314" s="429" t="str">
        <v>5B5947</v>
      </c>
      <c r="F314" s="443" t="str">
        <v>GASKET</v>
      </c>
      <c r="G314" s="430">
        <v>1</v>
      </c>
      <c r="H314" s="424">
        <v>85.38</v>
      </c>
      <c r="I314" s="425">
        <v>85.38</v>
      </c>
      <c r="J314" s="432" t="str">
        <v>5-7</v>
      </c>
      <c r="K314" s="431">
        <v>0</v>
      </c>
      <c r="L314" s="431" t="str">
        <v>—</v>
      </c>
      <c r="M314" s="431" t="str">
        <v>—</v>
      </c>
      <c r="N314" s="432" t="str">
        <v>—</v>
      </c>
      <c r="O314" s="431">
        <v>0</v>
      </c>
      <c r="P314" s="431" t="str">
        <v>—</v>
      </c>
      <c r="Q314" s="431" t="str">
        <v>—</v>
      </c>
      <c r="R314" s="432" t="str">
        <v>—</v>
      </c>
    </row>
    <row r="315" spans="2:18" x14ac:dyDescent="0.25">
      <c r="B315" s="440" t="str">
        <v>ME-15</v>
      </c>
      <c r="C315" s="438" t="str">
        <v>INACTIVA</v>
      </c>
      <c r="D315" s="442">
        <v>145</v>
      </c>
      <c r="E315" s="429" t="str">
        <v>8M4431</v>
      </c>
      <c r="F315" s="443" t="str">
        <v>ANILLO</v>
      </c>
      <c r="G315" s="430">
        <v>1</v>
      </c>
      <c r="H315" s="424">
        <v>84.49</v>
      </c>
      <c r="I315" s="425">
        <v>84.49</v>
      </c>
      <c r="J315" s="432" t="str">
        <v>5-7</v>
      </c>
      <c r="K315" s="431">
        <v>0</v>
      </c>
      <c r="L315" s="431" t="str">
        <v>—</v>
      </c>
      <c r="M315" s="431" t="str">
        <v>—</v>
      </c>
      <c r="N315" s="432" t="str">
        <v>—</v>
      </c>
      <c r="O315" s="431">
        <v>0</v>
      </c>
      <c r="P315" s="431" t="str">
        <v>—</v>
      </c>
      <c r="Q315" s="431" t="str">
        <v>—</v>
      </c>
      <c r="R315" s="432" t="str">
        <v>—</v>
      </c>
    </row>
    <row r="316" spans="2:18" x14ac:dyDescent="0.25">
      <c r="B316" s="440" t="str">
        <v>ME-15</v>
      </c>
      <c r="C316" s="438" t="str">
        <v>INACTIVA</v>
      </c>
      <c r="D316" s="442">
        <v>145</v>
      </c>
      <c r="E316" s="429" t="str">
        <v>8M4986</v>
      </c>
      <c r="F316" s="443" t="str">
        <v>JUNTA</v>
      </c>
      <c r="G316" s="430">
        <v>4</v>
      </c>
      <c r="H316" s="424">
        <v>130.49</v>
      </c>
      <c r="I316" s="425">
        <v>521.96</v>
      </c>
      <c r="J316" s="432" t="str">
        <v>5-7</v>
      </c>
      <c r="K316" s="431">
        <v>0</v>
      </c>
      <c r="L316" s="431" t="str">
        <v>—</v>
      </c>
      <c r="M316" s="431" t="str">
        <v>—</v>
      </c>
      <c r="N316" s="432" t="str">
        <v>—</v>
      </c>
      <c r="O316" s="431">
        <v>0</v>
      </c>
      <c r="P316" s="431" t="str">
        <v>—</v>
      </c>
      <c r="Q316" s="431" t="str">
        <v>—</v>
      </c>
      <c r="R316" s="432" t="str">
        <v>—</v>
      </c>
    </row>
    <row r="317" spans="2:18" x14ac:dyDescent="0.25">
      <c r="B317" s="440" t="str">
        <v>ME-15</v>
      </c>
      <c r="C317" s="438" t="str">
        <v>INACTIVA</v>
      </c>
      <c r="D317" s="442">
        <v>145</v>
      </c>
      <c r="E317" s="429" t="str">
        <v>8M4987</v>
      </c>
      <c r="F317" s="443" t="str">
        <v>JUNTA</v>
      </c>
      <c r="G317" s="430">
        <v>4</v>
      </c>
      <c r="H317" s="424">
        <v>116.89</v>
      </c>
      <c r="I317" s="425">
        <v>467.56</v>
      </c>
      <c r="J317" s="432" t="str">
        <v>5-7</v>
      </c>
      <c r="K317" s="431">
        <v>0</v>
      </c>
      <c r="L317" s="431" t="str">
        <v>—</v>
      </c>
      <c r="M317" s="431" t="str">
        <v>—</v>
      </c>
      <c r="N317" s="432" t="str">
        <v>—</v>
      </c>
      <c r="O317" s="431">
        <v>0</v>
      </c>
      <c r="P317" s="431" t="str">
        <v>—</v>
      </c>
      <c r="Q317" s="431" t="str">
        <v>—</v>
      </c>
      <c r="R317" s="432" t="str">
        <v>—</v>
      </c>
    </row>
    <row r="318" spans="2:18" x14ac:dyDescent="0.25">
      <c r="B318" s="440" t="str">
        <v>ME-15</v>
      </c>
      <c r="C318" s="438" t="str">
        <v>INACTIVA</v>
      </c>
      <c r="D318" s="442">
        <v>145</v>
      </c>
      <c r="E318" s="429" t="str">
        <v>8M5010</v>
      </c>
      <c r="F318" s="443" t="str">
        <v>SELLO</v>
      </c>
      <c r="G318" s="430">
        <v>1</v>
      </c>
      <c r="H318" s="424">
        <v>171.3</v>
      </c>
      <c r="I318" s="425">
        <v>171.3</v>
      </c>
      <c r="J318" s="432" t="str">
        <v>5-7</v>
      </c>
      <c r="K318" s="431">
        <v>0</v>
      </c>
      <c r="L318" s="431" t="str">
        <v>—</v>
      </c>
      <c r="M318" s="431" t="str">
        <v>—</v>
      </c>
      <c r="N318" s="432" t="str">
        <v>—</v>
      </c>
      <c r="O318" s="431">
        <v>0</v>
      </c>
      <c r="P318" s="431" t="str">
        <v>—</v>
      </c>
      <c r="Q318" s="431" t="str">
        <v>—</v>
      </c>
      <c r="R318" s="432" t="str">
        <v>—</v>
      </c>
    </row>
    <row r="319" spans="2:18" x14ac:dyDescent="0.25">
      <c r="B319" s="440" t="str">
        <v>ME-15</v>
      </c>
      <c r="C319" s="438" t="str">
        <v>INACTIVA</v>
      </c>
      <c r="D319" s="442">
        <v>145</v>
      </c>
      <c r="E319" s="429" t="str">
        <v>8M5254</v>
      </c>
      <c r="F319" s="443" t="str">
        <v>SELLO</v>
      </c>
      <c r="G319" s="430">
        <v>1</v>
      </c>
      <c r="H319" s="424">
        <v>113.13</v>
      </c>
      <c r="I319" s="425">
        <v>113.13</v>
      </c>
      <c r="J319" s="432" t="str">
        <v>5-7</v>
      </c>
      <c r="K319" s="431">
        <v>0</v>
      </c>
      <c r="L319" s="431" t="str">
        <v>—</v>
      </c>
      <c r="M319" s="431" t="str">
        <v>—</v>
      </c>
      <c r="N319" s="432" t="str">
        <v>—</v>
      </c>
      <c r="O319" s="431">
        <v>0</v>
      </c>
      <c r="P319" s="431" t="str">
        <v>—</v>
      </c>
      <c r="Q319" s="431" t="str">
        <v>—</v>
      </c>
      <c r="R319" s="432" t="str">
        <v>—</v>
      </c>
    </row>
    <row r="320" spans="2:18" x14ac:dyDescent="0.25">
      <c r="B320" s="440" t="str">
        <v>ME-15</v>
      </c>
      <c r="C320" s="438" t="str">
        <v>INACTIVA</v>
      </c>
      <c r="D320" s="442">
        <v>145</v>
      </c>
      <c r="E320" s="429" t="str">
        <v>8M5661</v>
      </c>
      <c r="F320" s="443" t="str">
        <v>JUNTA</v>
      </c>
      <c r="G320" s="430">
        <v>6</v>
      </c>
      <c r="H320" s="424">
        <v>153.76</v>
      </c>
      <c r="I320" s="425">
        <v>922.56</v>
      </c>
      <c r="J320" s="432" t="str">
        <v>5-7</v>
      </c>
      <c r="K320" s="431">
        <v>0</v>
      </c>
      <c r="L320" s="431" t="str">
        <v>—</v>
      </c>
      <c r="M320" s="431" t="str">
        <v>—</v>
      </c>
      <c r="N320" s="432" t="str">
        <v>—</v>
      </c>
      <c r="O320" s="431">
        <v>0</v>
      </c>
      <c r="P320" s="431" t="str">
        <v>—</v>
      </c>
      <c r="Q320" s="431" t="str">
        <v>—</v>
      </c>
      <c r="R320" s="432" t="str">
        <v>—</v>
      </c>
    </row>
    <row r="321" spans="2:18" x14ac:dyDescent="0.25">
      <c r="B321" s="440" t="str">
        <v>ME-15</v>
      </c>
      <c r="C321" s="438" t="str">
        <v>INACTIVA</v>
      </c>
      <c r="D321" s="442">
        <v>145</v>
      </c>
      <c r="E321" s="429" t="str">
        <v>8M8281</v>
      </c>
      <c r="F321" s="443" t="str">
        <v>EMPAQUE HU</v>
      </c>
      <c r="G321" s="430">
        <v>1</v>
      </c>
      <c r="H321" s="424">
        <v>50.48</v>
      </c>
      <c r="I321" s="425">
        <v>50.48</v>
      </c>
      <c r="J321" s="432" t="str">
        <v>5-7</v>
      </c>
      <c r="K321" s="431">
        <v>0</v>
      </c>
      <c r="L321" s="431" t="str">
        <v>—</v>
      </c>
      <c r="M321" s="431" t="str">
        <v>—</v>
      </c>
      <c r="N321" s="432" t="str">
        <v>—</v>
      </c>
      <c r="O321" s="431">
        <v>0</v>
      </c>
      <c r="P321" s="431" t="str">
        <v>—</v>
      </c>
      <c r="Q321" s="431" t="str">
        <v>—</v>
      </c>
      <c r="R321" s="432" t="str">
        <v>—</v>
      </c>
    </row>
    <row r="322" spans="2:18" x14ac:dyDescent="0.25">
      <c r="B322" s="440" t="str">
        <v>ME-15</v>
      </c>
      <c r="C322" s="438" t="str">
        <v>INACTIVA</v>
      </c>
      <c r="D322" s="442">
        <v>145</v>
      </c>
      <c r="E322" s="429" t="str">
        <v>9M7539</v>
      </c>
      <c r="F322" s="443" t="str">
        <v>JUNTA</v>
      </c>
      <c r="G322" s="430">
        <v>1</v>
      </c>
      <c r="H322" s="424">
        <v>209.61</v>
      </c>
      <c r="I322" s="425">
        <v>209.61</v>
      </c>
      <c r="J322" s="432" t="str">
        <v>5-7</v>
      </c>
      <c r="K322" s="431">
        <v>0</v>
      </c>
      <c r="L322" s="431" t="str">
        <v>—</v>
      </c>
      <c r="M322" s="431" t="str">
        <v>—</v>
      </c>
      <c r="N322" s="432" t="str">
        <v>—</v>
      </c>
      <c r="O322" s="431">
        <v>0</v>
      </c>
      <c r="P322" s="431" t="str">
        <v>—</v>
      </c>
      <c r="Q322" s="431" t="str">
        <v>—</v>
      </c>
      <c r="R322" s="432" t="str">
        <v>—</v>
      </c>
    </row>
    <row r="323" spans="2:18" x14ac:dyDescent="0.25">
      <c r="B323" s="440" t="str">
        <v>ME-15</v>
      </c>
      <c r="C323" s="438" t="str">
        <v>INACTIVA</v>
      </c>
      <c r="D323" s="442">
        <v>145</v>
      </c>
      <c r="E323" s="429" t="str">
        <v>2131304</v>
      </c>
      <c r="F323" s="443" t="str">
        <v>GASKET KIT</v>
      </c>
      <c r="G323" s="430">
        <v>1</v>
      </c>
      <c r="H323" s="424">
        <v>42353.91</v>
      </c>
      <c r="I323" s="425">
        <v>42353.91</v>
      </c>
      <c r="J323" s="432" t="str">
        <v>5-7</v>
      </c>
      <c r="K323" s="431">
        <v>0</v>
      </c>
      <c r="L323" s="431" t="str">
        <v>—</v>
      </c>
      <c r="M323" s="431" t="str">
        <v>—</v>
      </c>
      <c r="N323" s="432" t="str">
        <v>—</v>
      </c>
      <c r="O323" s="431">
        <v>0</v>
      </c>
      <c r="P323" s="431" t="str">
        <v>—</v>
      </c>
      <c r="Q323" s="431" t="str">
        <v>—</v>
      </c>
      <c r="R323" s="432" t="str">
        <v>—</v>
      </c>
    </row>
    <row r="324" spans="2:18" x14ac:dyDescent="0.25">
      <c r="B324" s="440" t="str">
        <v>ME-15</v>
      </c>
      <c r="C324" s="438" t="str">
        <v>INACTIVA</v>
      </c>
      <c r="D324" s="442">
        <v>145</v>
      </c>
      <c r="E324" s="429" t="str">
        <v>2S2978</v>
      </c>
      <c r="F324" s="443" t="str">
        <v>ANILLO</v>
      </c>
      <c r="G324" s="430">
        <v>1</v>
      </c>
      <c r="H324" s="424">
        <v>464.15</v>
      </c>
      <c r="I324" s="425">
        <v>464.15</v>
      </c>
      <c r="J324" s="432" t="str">
        <v>5-7</v>
      </c>
      <c r="K324" s="431">
        <v>0</v>
      </c>
      <c r="L324" s="431" t="str">
        <v>—</v>
      </c>
      <c r="M324" s="431" t="str">
        <v>—</v>
      </c>
      <c r="N324" s="432" t="str">
        <v>—</v>
      </c>
      <c r="O324" s="431">
        <v>0</v>
      </c>
      <c r="P324" s="431" t="str">
        <v>—</v>
      </c>
      <c r="Q324" s="431" t="str">
        <v>—</v>
      </c>
      <c r="R324" s="432" t="str">
        <v>—</v>
      </c>
    </row>
    <row r="325" spans="2:18" x14ac:dyDescent="0.25">
      <c r="B325" s="440" t="str">
        <v>ME-15</v>
      </c>
      <c r="C325" s="438" t="str">
        <v>INACTIVA</v>
      </c>
      <c r="D325" s="442">
        <v>145</v>
      </c>
      <c r="E325" s="429" t="str">
        <v>3H1816</v>
      </c>
      <c r="F325" s="443" t="str">
        <v>ANILLO</v>
      </c>
      <c r="G325" s="430">
        <v>1</v>
      </c>
      <c r="H325" s="424">
        <v>85.38</v>
      </c>
      <c r="I325" s="425">
        <v>85.38</v>
      </c>
      <c r="J325" s="432" t="str">
        <v>5-7</v>
      </c>
      <c r="K325" s="431">
        <v>0</v>
      </c>
      <c r="L325" s="431" t="str">
        <v>—</v>
      </c>
      <c r="M325" s="431" t="str">
        <v>—</v>
      </c>
      <c r="N325" s="432" t="str">
        <v>—</v>
      </c>
      <c r="O325" s="431">
        <v>0</v>
      </c>
      <c r="P325" s="431" t="str">
        <v>—</v>
      </c>
      <c r="Q325" s="431" t="str">
        <v>—</v>
      </c>
      <c r="R325" s="432" t="str">
        <v>—</v>
      </c>
    </row>
    <row r="326" spans="2:18" x14ac:dyDescent="0.25">
      <c r="B326" s="440" t="str">
        <v>ME-15</v>
      </c>
      <c r="C326" s="438" t="str">
        <v>INACTIVA</v>
      </c>
      <c r="D326" s="442">
        <v>145</v>
      </c>
      <c r="E326" s="429" t="str">
        <v>9M1975</v>
      </c>
      <c r="F326" s="443" t="str">
        <v>ANILLO</v>
      </c>
      <c r="G326" s="430">
        <v>1</v>
      </c>
      <c r="H326" s="424">
        <v>56.74</v>
      </c>
      <c r="I326" s="425">
        <v>56.74</v>
      </c>
      <c r="J326" s="432" t="str">
        <v>5-7</v>
      </c>
      <c r="K326" s="431">
        <v>0</v>
      </c>
      <c r="L326" s="431" t="str">
        <v>—</v>
      </c>
      <c r="M326" s="431" t="str">
        <v>—</v>
      </c>
      <c r="N326" s="432" t="str">
        <v>—</v>
      </c>
      <c r="O326" s="431">
        <v>0</v>
      </c>
      <c r="P326" s="431" t="str">
        <v>—</v>
      </c>
      <c r="Q326" s="431" t="str">
        <v>—</v>
      </c>
      <c r="R326" s="432" t="str">
        <v>—</v>
      </c>
    </row>
    <row r="327" spans="2:18" x14ac:dyDescent="0.25">
      <c r="B327" s="440" t="str">
        <v>ME-15</v>
      </c>
      <c r="C327" s="438" t="str">
        <v>INACTIVA</v>
      </c>
      <c r="D327" s="442">
        <v>145</v>
      </c>
      <c r="E327" s="429" t="str">
        <v>1T0651</v>
      </c>
      <c r="F327" s="443" t="str">
        <v>ANILLO</v>
      </c>
      <c r="G327" s="430">
        <v>1</v>
      </c>
      <c r="H327" s="424">
        <v>280.85000000000002</v>
      </c>
      <c r="I327" s="425">
        <v>280.85000000000002</v>
      </c>
      <c r="J327" s="432" t="str">
        <v>5-7</v>
      </c>
      <c r="K327" s="431">
        <v>0</v>
      </c>
      <c r="L327" s="431" t="str">
        <v>—</v>
      </c>
      <c r="M327" s="431" t="str">
        <v>—</v>
      </c>
      <c r="N327" s="432" t="str">
        <v>—</v>
      </c>
      <c r="O327" s="431">
        <v>0</v>
      </c>
      <c r="P327" s="431" t="str">
        <v>—</v>
      </c>
      <c r="Q327" s="431" t="str">
        <v>—</v>
      </c>
      <c r="R327" s="432" t="str">
        <v>—</v>
      </c>
    </row>
    <row r="328" spans="2:18" x14ac:dyDescent="0.25">
      <c r="B328" s="440" t="str">
        <v>ME-15</v>
      </c>
      <c r="C328" s="438" t="str">
        <v>INACTIVA</v>
      </c>
      <c r="D328" s="442">
        <v>145</v>
      </c>
      <c r="E328" s="429" t="str">
        <v>1T1078</v>
      </c>
      <c r="F328" s="443" t="str">
        <v>RODAMIENTO</v>
      </c>
      <c r="G328" s="430">
        <v>2</v>
      </c>
      <c r="H328" s="424">
        <v>1160.0999999999999</v>
      </c>
      <c r="I328" s="425">
        <v>2320.1999999999998</v>
      </c>
      <c r="J328" s="432" t="str">
        <v>5-7</v>
      </c>
      <c r="K328" s="431">
        <v>0</v>
      </c>
      <c r="L328" s="431" t="str">
        <v>—</v>
      </c>
      <c r="M328" s="431" t="str">
        <v>—</v>
      </c>
      <c r="N328" s="432" t="str">
        <v>—</v>
      </c>
      <c r="O328" s="431">
        <v>0</v>
      </c>
      <c r="P328" s="431" t="str">
        <v>—</v>
      </c>
      <c r="Q328" s="431" t="str">
        <v>—</v>
      </c>
      <c r="R328" s="432" t="str">
        <v>—</v>
      </c>
    </row>
    <row r="329" spans="2:18" x14ac:dyDescent="0.25">
      <c r="B329" s="440" t="str">
        <v>ME-15</v>
      </c>
      <c r="C329" s="438" t="str">
        <v>INACTIVA</v>
      </c>
      <c r="D329" s="442">
        <v>145</v>
      </c>
      <c r="E329" s="429" t="str">
        <v>1T1079</v>
      </c>
      <c r="F329" s="443" t="str">
        <v>MAZA</v>
      </c>
      <c r="G329" s="430">
        <v>1</v>
      </c>
      <c r="H329" s="424">
        <v>16391.21</v>
      </c>
      <c r="I329" s="425">
        <v>16391.21</v>
      </c>
      <c r="J329" s="432" t="str">
        <v>5-7</v>
      </c>
      <c r="K329" s="431">
        <v>0</v>
      </c>
      <c r="L329" s="431" t="str">
        <v>—</v>
      </c>
      <c r="M329" s="431" t="str">
        <v>—</v>
      </c>
      <c r="N329" s="432" t="str">
        <v>—</v>
      </c>
      <c r="O329" s="431">
        <v>0</v>
      </c>
      <c r="P329" s="431" t="str">
        <v>—</v>
      </c>
      <c r="Q329" s="431" t="str">
        <v>—</v>
      </c>
      <c r="R329" s="432" t="str">
        <v>—</v>
      </c>
    </row>
    <row r="330" spans="2:18" x14ac:dyDescent="0.25">
      <c r="B330" s="440" t="str">
        <v>ME-15</v>
      </c>
      <c r="C330" s="438" t="str">
        <v>INACTIVA</v>
      </c>
      <c r="D330" s="442">
        <v>145</v>
      </c>
      <c r="E330" s="429" t="str">
        <v>1T0767</v>
      </c>
      <c r="F330" s="443" t="str">
        <v>COJINETE</v>
      </c>
      <c r="G330" s="430">
        <v>1</v>
      </c>
      <c r="H330" s="424">
        <v>721.19</v>
      </c>
      <c r="I330" s="425">
        <v>721.19</v>
      </c>
      <c r="J330" s="432" t="str">
        <v>5-7</v>
      </c>
      <c r="K330" s="431">
        <v>0</v>
      </c>
      <c r="L330" s="431" t="str">
        <v>—</v>
      </c>
      <c r="M330" s="431" t="str">
        <v>—</v>
      </c>
      <c r="N330" s="432" t="str">
        <v>—</v>
      </c>
      <c r="O330" s="431">
        <v>0</v>
      </c>
      <c r="P330" s="431" t="str">
        <v>—</v>
      </c>
      <c r="Q330" s="431" t="str">
        <v>—</v>
      </c>
      <c r="R330" s="432" t="str">
        <v>—</v>
      </c>
    </row>
    <row r="331" spans="2:18" x14ac:dyDescent="0.25">
      <c r="B331" s="440" t="str">
        <v>ME-15</v>
      </c>
      <c r="C331" s="438" t="str">
        <v>INACTIVA</v>
      </c>
      <c r="D331" s="442">
        <v>145</v>
      </c>
      <c r="E331" s="429" t="str">
        <v>1T0649</v>
      </c>
      <c r="F331" s="443" t="str">
        <v>PERNOS</v>
      </c>
      <c r="G331" s="430">
        <v>1</v>
      </c>
      <c r="H331" s="424">
        <v>202.09</v>
      </c>
      <c r="I331" s="425">
        <v>202.09</v>
      </c>
      <c r="J331" s="432" t="str">
        <v>5-7</v>
      </c>
      <c r="K331" s="431">
        <v>0</v>
      </c>
      <c r="L331" s="431" t="str">
        <v>—</v>
      </c>
      <c r="M331" s="431" t="str">
        <v>—</v>
      </c>
      <c r="N331" s="432" t="str">
        <v>—</v>
      </c>
      <c r="O331" s="431">
        <v>0</v>
      </c>
      <c r="P331" s="431" t="str">
        <v>—</v>
      </c>
      <c r="Q331" s="431" t="str">
        <v>—</v>
      </c>
      <c r="R331" s="432" t="str">
        <v>—</v>
      </c>
    </row>
    <row r="332" spans="2:18" x14ac:dyDescent="0.25">
      <c r="B332" s="440" t="str">
        <v>ME-15</v>
      </c>
      <c r="C332" s="438" t="str">
        <v>INACTIVA</v>
      </c>
      <c r="D332" s="442">
        <v>145</v>
      </c>
      <c r="E332" s="429" t="str">
        <v>1T0648</v>
      </c>
      <c r="F332" s="443" t="str">
        <v>ANILLO</v>
      </c>
      <c r="G332" s="430">
        <v>1</v>
      </c>
      <c r="H332" s="424">
        <v>398.45</v>
      </c>
      <c r="I332" s="425">
        <v>398.45</v>
      </c>
      <c r="J332" s="432" t="str">
        <v>5-7</v>
      </c>
      <c r="K332" s="431">
        <v>0</v>
      </c>
      <c r="L332" s="431" t="str">
        <v>—</v>
      </c>
      <c r="M332" s="431" t="str">
        <v>—</v>
      </c>
      <c r="N332" s="432" t="str">
        <v>—</v>
      </c>
      <c r="O332" s="431">
        <v>0</v>
      </c>
      <c r="P332" s="431" t="str">
        <v>—</v>
      </c>
      <c r="Q332" s="431" t="str">
        <v>—</v>
      </c>
      <c r="R332" s="432" t="str">
        <v>—</v>
      </c>
    </row>
    <row r="333" spans="2:18" x14ac:dyDescent="0.25">
      <c r="B333" s="440" t="str">
        <v>ME-15</v>
      </c>
      <c r="C333" s="438" t="str">
        <v>INACTIVA</v>
      </c>
      <c r="D333" s="442">
        <v>145</v>
      </c>
      <c r="E333" s="429" t="str">
        <v>1T1347</v>
      </c>
      <c r="F333" s="443" t="str">
        <v>COJINETE</v>
      </c>
      <c r="G333" s="430">
        <v>1</v>
      </c>
      <c r="H333" s="424">
        <v>1605.63</v>
      </c>
      <c r="I333" s="425">
        <v>1605.63</v>
      </c>
      <c r="J333" s="432" t="str">
        <v>5-7</v>
      </c>
      <c r="K333" s="431">
        <v>0</v>
      </c>
      <c r="L333" s="431" t="str">
        <v>—</v>
      </c>
      <c r="M333" s="431" t="str">
        <v>—</v>
      </c>
      <c r="N333" s="432" t="str">
        <v>—</v>
      </c>
      <c r="O333" s="431">
        <v>0</v>
      </c>
      <c r="P333" s="431" t="str">
        <v>—</v>
      </c>
      <c r="Q333" s="431" t="str">
        <v>—</v>
      </c>
      <c r="R333" s="432" t="str">
        <v>—</v>
      </c>
    </row>
    <row r="334" spans="2:18" x14ac:dyDescent="0.25">
      <c r="B334" s="440" t="str">
        <v>ME-15</v>
      </c>
      <c r="C334" s="438" t="str">
        <v>INACTIVA</v>
      </c>
      <c r="D334" s="442">
        <v>145</v>
      </c>
      <c r="E334" s="429" t="str">
        <v>1T0657</v>
      </c>
      <c r="F334" s="443" t="str">
        <v>PLACA</v>
      </c>
      <c r="G334" s="430">
        <v>1</v>
      </c>
      <c r="H334" s="424">
        <v>1397.99</v>
      </c>
      <c r="I334" s="425">
        <v>1397.99</v>
      </c>
      <c r="J334" s="432" t="str">
        <v>5-7</v>
      </c>
      <c r="K334" s="431">
        <v>0</v>
      </c>
      <c r="L334" s="431" t="str">
        <v>—</v>
      </c>
      <c r="M334" s="431" t="str">
        <v>—</v>
      </c>
      <c r="N334" s="432" t="str">
        <v>—</v>
      </c>
      <c r="O334" s="431">
        <v>0</v>
      </c>
      <c r="P334" s="431" t="str">
        <v>—</v>
      </c>
      <c r="Q334" s="431" t="str">
        <v>—</v>
      </c>
      <c r="R334" s="432" t="str">
        <v>—</v>
      </c>
    </row>
    <row r="335" spans="2:18" x14ac:dyDescent="0.25">
      <c r="B335" s="440" t="str">
        <v>ME-15</v>
      </c>
      <c r="C335" s="438" t="str">
        <v>INACTIVA</v>
      </c>
      <c r="D335" s="442">
        <v>145</v>
      </c>
      <c r="E335" s="429" t="str">
        <v>1T0901</v>
      </c>
      <c r="F335" s="443" t="str">
        <v>IMPULSOR</v>
      </c>
      <c r="G335" s="430">
        <v>1</v>
      </c>
      <c r="H335" s="424">
        <v>45101.2</v>
      </c>
      <c r="I335" s="425">
        <v>45101.2</v>
      </c>
      <c r="J335" s="432" t="str">
        <v>5-7</v>
      </c>
      <c r="K335" s="431">
        <v>0</v>
      </c>
      <c r="L335" s="431" t="str">
        <v>—</v>
      </c>
      <c r="M335" s="431" t="str">
        <v>—</v>
      </c>
      <c r="N335" s="432" t="str">
        <v>—</v>
      </c>
      <c r="O335" s="431">
        <v>0</v>
      </c>
      <c r="P335" s="431" t="str">
        <v>—</v>
      </c>
      <c r="Q335" s="431" t="str">
        <v>—</v>
      </c>
      <c r="R335" s="432" t="str">
        <v>—</v>
      </c>
    </row>
    <row r="336" spans="2:18" x14ac:dyDescent="0.25">
      <c r="B336" s="440" t="str">
        <v>ME-15</v>
      </c>
      <c r="C336" s="438" t="str">
        <v>INACTIVA</v>
      </c>
      <c r="D336" s="442">
        <v>145</v>
      </c>
      <c r="E336" s="429" t="str">
        <v>1T0680</v>
      </c>
      <c r="F336" s="443" t="str">
        <v>RESORTE</v>
      </c>
      <c r="G336" s="430">
        <v>11</v>
      </c>
      <c r="H336" s="424">
        <v>171.48</v>
      </c>
      <c r="I336" s="425">
        <v>1886.28</v>
      </c>
      <c r="J336" s="432" t="str">
        <v>5-7</v>
      </c>
      <c r="K336" s="431">
        <v>0</v>
      </c>
      <c r="L336" s="431" t="str">
        <v>—</v>
      </c>
      <c r="M336" s="431" t="str">
        <v>—</v>
      </c>
      <c r="N336" s="432" t="str">
        <v>—</v>
      </c>
      <c r="O336" s="431">
        <v>0</v>
      </c>
      <c r="P336" s="431" t="str">
        <v>—</v>
      </c>
      <c r="Q336" s="431" t="str">
        <v>—</v>
      </c>
      <c r="R336" s="432" t="str">
        <v>—</v>
      </c>
    </row>
    <row r="337" spans="2:18" x14ac:dyDescent="0.25">
      <c r="B337" s="440" t="str">
        <v>ME-15</v>
      </c>
      <c r="C337" s="438" t="str">
        <v>INACTIVA</v>
      </c>
      <c r="D337" s="442">
        <v>145</v>
      </c>
      <c r="E337" s="429" t="str">
        <v>1T0679</v>
      </c>
      <c r="F337" s="443" t="str">
        <v>PASADORES</v>
      </c>
      <c r="G337" s="430">
        <v>11</v>
      </c>
      <c r="H337" s="424">
        <v>182.4</v>
      </c>
      <c r="I337" s="425">
        <v>2006.4</v>
      </c>
      <c r="J337" s="432" t="str">
        <v>5-7</v>
      </c>
      <c r="K337" s="431">
        <v>0</v>
      </c>
      <c r="L337" s="431" t="str">
        <v>—</v>
      </c>
      <c r="M337" s="431" t="str">
        <v>—</v>
      </c>
      <c r="N337" s="432" t="str">
        <v>—</v>
      </c>
      <c r="O337" s="431">
        <v>0</v>
      </c>
      <c r="P337" s="431" t="str">
        <v>—</v>
      </c>
      <c r="Q337" s="431" t="str">
        <v>—</v>
      </c>
      <c r="R337" s="432" t="str">
        <v>—</v>
      </c>
    </row>
    <row r="338" spans="2:18" x14ac:dyDescent="0.25">
      <c r="B338" s="440" t="str">
        <v>ME-15</v>
      </c>
      <c r="C338" s="438" t="str">
        <v>INACTIVA</v>
      </c>
      <c r="D338" s="442">
        <v>145</v>
      </c>
      <c r="E338" s="429" t="str">
        <v>1T0662</v>
      </c>
      <c r="F338" s="443" t="str">
        <v>TURBINA</v>
      </c>
      <c r="G338" s="430">
        <v>1</v>
      </c>
      <c r="H338" s="424">
        <v>34357.440000000002</v>
      </c>
      <c r="I338" s="425">
        <v>34357.440000000002</v>
      </c>
      <c r="J338" s="432" t="str">
        <v>5-7</v>
      </c>
      <c r="K338" s="431">
        <v>0</v>
      </c>
      <c r="L338" s="431" t="str">
        <v>—</v>
      </c>
      <c r="M338" s="431" t="str">
        <v>—</v>
      </c>
      <c r="N338" s="432" t="str">
        <v>—</v>
      </c>
      <c r="O338" s="431">
        <v>0</v>
      </c>
      <c r="P338" s="431" t="str">
        <v>—</v>
      </c>
      <c r="Q338" s="431" t="str">
        <v>—</v>
      </c>
      <c r="R338" s="432" t="str">
        <v>—</v>
      </c>
    </row>
    <row r="339" spans="2:18" x14ac:dyDescent="0.25">
      <c r="B339" s="440" t="str">
        <v>ME-15</v>
      </c>
      <c r="C339" s="438" t="str">
        <v>INACTIVA</v>
      </c>
      <c r="D339" s="442">
        <v>145</v>
      </c>
      <c r="E339" s="429" t="str">
        <v>1T0665</v>
      </c>
      <c r="F339" s="443" t="str">
        <v>ANILLO</v>
      </c>
      <c r="G339" s="430">
        <v>1</v>
      </c>
      <c r="H339" s="424">
        <v>11675.1</v>
      </c>
      <c r="I339" s="425">
        <v>11675.1</v>
      </c>
      <c r="J339" s="432" t="str">
        <v>5-7</v>
      </c>
      <c r="K339" s="431">
        <v>0</v>
      </c>
      <c r="L339" s="431" t="str">
        <v>—</v>
      </c>
      <c r="M339" s="431" t="str">
        <v>—</v>
      </c>
      <c r="N339" s="432" t="str">
        <v>—</v>
      </c>
      <c r="O339" s="431">
        <v>0</v>
      </c>
      <c r="P339" s="431" t="str">
        <v>—</v>
      </c>
      <c r="Q339" s="431" t="str">
        <v>—</v>
      </c>
      <c r="R339" s="432" t="str">
        <v>—</v>
      </c>
    </row>
    <row r="340" spans="2:18" x14ac:dyDescent="0.25">
      <c r="B340" s="440" t="str">
        <v>ME-15</v>
      </c>
      <c r="C340" s="438" t="str">
        <v>INACTIVA</v>
      </c>
      <c r="D340" s="442">
        <v>145</v>
      </c>
      <c r="E340" s="429" t="str">
        <v>1T0762</v>
      </c>
      <c r="F340" s="443" t="str">
        <v>PISTA</v>
      </c>
      <c r="G340" s="430">
        <v>1</v>
      </c>
      <c r="H340" s="424">
        <v>1236.71</v>
      </c>
      <c r="I340" s="425">
        <v>1236.71</v>
      </c>
      <c r="J340" s="432" t="str">
        <v>5-7</v>
      </c>
      <c r="K340" s="431">
        <v>0</v>
      </c>
      <c r="L340" s="431" t="str">
        <v>—</v>
      </c>
      <c r="M340" s="431" t="str">
        <v>—</v>
      </c>
      <c r="N340" s="432" t="str">
        <v>—</v>
      </c>
      <c r="O340" s="431">
        <v>0</v>
      </c>
      <c r="P340" s="431" t="str">
        <v>—</v>
      </c>
      <c r="Q340" s="431" t="str">
        <v>—</v>
      </c>
      <c r="R340" s="432" t="str">
        <v>—</v>
      </c>
    </row>
    <row r="341" spans="2:18" x14ac:dyDescent="0.25">
      <c r="B341" s="440" t="str">
        <v>ME-15</v>
      </c>
      <c r="C341" s="438" t="str">
        <v>INACTIVA</v>
      </c>
      <c r="D341" s="442">
        <v>145</v>
      </c>
      <c r="E341" s="429" t="str">
        <v>1T0647</v>
      </c>
      <c r="F341" s="443" t="str">
        <v>BUJE</v>
      </c>
      <c r="G341" s="430">
        <v>1</v>
      </c>
      <c r="H341" s="424">
        <v>700.43</v>
      </c>
      <c r="I341" s="425">
        <v>700.43</v>
      </c>
      <c r="J341" s="432" t="str">
        <v>5-7</v>
      </c>
      <c r="K341" s="431">
        <v>0</v>
      </c>
      <c r="L341" s="431" t="str">
        <v>—</v>
      </c>
      <c r="M341" s="431" t="str">
        <v>—</v>
      </c>
      <c r="N341" s="432" t="str">
        <v>—</v>
      </c>
      <c r="O341" s="431">
        <v>0</v>
      </c>
      <c r="P341" s="431" t="str">
        <v>—</v>
      </c>
      <c r="Q341" s="431" t="str">
        <v>—</v>
      </c>
      <c r="R341" s="432" t="str">
        <v>—</v>
      </c>
    </row>
    <row r="342" spans="2:18" x14ac:dyDescent="0.25">
      <c r="B342" s="440" t="str">
        <v>ME-15</v>
      </c>
      <c r="C342" s="438" t="str">
        <v>INACTIVA</v>
      </c>
      <c r="D342" s="442">
        <v>145</v>
      </c>
      <c r="E342" s="429" t="str">
        <v>1T0686</v>
      </c>
      <c r="F342" s="443" t="str">
        <v>PISTA</v>
      </c>
      <c r="G342" s="430">
        <v>3</v>
      </c>
      <c r="H342" s="424">
        <v>1295.24</v>
      </c>
      <c r="I342" s="425">
        <v>3885.7200000000003</v>
      </c>
      <c r="J342" s="432" t="str">
        <v>5-7</v>
      </c>
      <c r="K342" s="431">
        <v>0</v>
      </c>
      <c r="L342" s="431" t="str">
        <v>—</v>
      </c>
      <c r="M342" s="431" t="str">
        <v>—</v>
      </c>
      <c r="N342" s="432" t="str">
        <v>—</v>
      </c>
      <c r="O342" s="431">
        <v>0</v>
      </c>
      <c r="P342" s="431" t="str">
        <v>—</v>
      </c>
      <c r="Q342" s="431" t="str">
        <v>—</v>
      </c>
      <c r="R342" s="432" t="str">
        <v>—</v>
      </c>
    </row>
    <row r="343" spans="2:18" x14ac:dyDescent="0.25">
      <c r="B343" s="440" t="str">
        <v>ME-15</v>
      </c>
      <c r="C343" s="438" t="str">
        <v>INACTIVA</v>
      </c>
      <c r="D343" s="442">
        <v>145</v>
      </c>
      <c r="E343" s="429" t="str">
        <v>1T0655</v>
      </c>
      <c r="F343" s="443" t="str">
        <v>RODAMIENTO</v>
      </c>
      <c r="G343" s="430">
        <v>2</v>
      </c>
      <c r="H343" s="424">
        <v>3990.63</v>
      </c>
      <c r="I343" s="425">
        <v>7981.26</v>
      </c>
      <c r="J343" s="432" t="str">
        <v>5-7</v>
      </c>
      <c r="K343" s="431">
        <v>0</v>
      </c>
      <c r="L343" s="431" t="str">
        <v>—</v>
      </c>
      <c r="M343" s="431" t="str">
        <v>—</v>
      </c>
      <c r="N343" s="432" t="str">
        <v>—</v>
      </c>
      <c r="O343" s="431">
        <v>0</v>
      </c>
      <c r="P343" s="431" t="str">
        <v>—</v>
      </c>
      <c r="Q343" s="431" t="str">
        <v>—</v>
      </c>
      <c r="R343" s="432" t="str">
        <v>—</v>
      </c>
    </row>
    <row r="344" spans="2:18" x14ac:dyDescent="0.25">
      <c r="B344" s="440" t="str">
        <v>ME-15</v>
      </c>
      <c r="C344" s="438" t="str">
        <v>INACTIVA</v>
      </c>
      <c r="D344" s="442">
        <v>145</v>
      </c>
      <c r="E344" s="429" t="str">
        <v>1495986</v>
      </c>
      <c r="F344" s="443" t="str">
        <v>STATOR-CONVE</v>
      </c>
      <c r="G344" s="430">
        <v>1</v>
      </c>
      <c r="H344" s="424">
        <v>46311.95</v>
      </c>
      <c r="I344" s="425">
        <v>46311.95</v>
      </c>
      <c r="J344" s="432" t="str">
        <v>5-7</v>
      </c>
      <c r="K344" s="431">
        <v>0</v>
      </c>
      <c r="L344" s="431" t="str">
        <v>—</v>
      </c>
      <c r="M344" s="431" t="str">
        <v>—</v>
      </c>
      <c r="N344" s="432" t="str">
        <v>—</v>
      </c>
      <c r="O344" s="431">
        <v>0</v>
      </c>
      <c r="P344" s="431" t="str">
        <v>—</v>
      </c>
      <c r="Q344" s="431" t="str">
        <v>—</v>
      </c>
      <c r="R344" s="432" t="str">
        <v>—</v>
      </c>
    </row>
    <row r="345" spans="2:18" x14ac:dyDescent="0.25">
      <c r="B345" s="440" t="str">
        <v>ME-15</v>
      </c>
      <c r="C345" s="438" t="str">
        <v>INACTIVA</v>
      </c>
      <c r="D345" s="442">
        <v>145</v>
      </c>
      <c r="E345" s="429" t="str">
        <v>8B7789</v>
      </c>
      <c r="F345" s="443" t="str">
        <v>CANDADO</v>
      </c>
      <c r="G345" s="430">
        <v>1</v>
      </c>
      <c r="H345" s="424">
        <v>368.2</v>
      </c>
      <c r="I345" s="425">
        <v>368.2</v>
      </c>
      <c r="J345" s="432" t="str">
        <v>5-7</v>
      </c>
      <c r="K345" s="431">
        <v>0</v>
      </c>
      <c r="L345" s="431" t="str">
        <v>—</v>
      </c>
      <c r="M345" s="431" t="str">
        <v>—</v>
      </c>
      <c r="N345" s="432" t="str">
        <v>—</v>
      </c>
      <c r="O345" s="431">
        <v>0</v>
      </c>
      <c r="P345" s="431" t="str">
        <v>—</v>
      </c>
      <c r="Q345" s="431" t="str">
        <v>—</v>
      </c>
      <c r="R345" s="432" t="str">
        <v>—</v>
      </c>
    </row>
    <row r="346" spans="2:18" x14ac:dyDescent="0.25">
      <c r="B346" s="440" t="str">
        <v>ME-17</v>
      </c>
      <c r="C346" s="438" t="str">
        <v>INACTIVA</v>
      </c>
      <c r="D346" s="442">
        <v>94</v>
      </c>
      <c r="E346" s="429" t="str">
        <v>7W5435</v>
      </c>
      <c r="F346" s="443" t="str">
        <v>Adaptador de boquilla de combustible para culata de 40 mm</v>
      </c>
      <c r="G346" s="430">
        <v>8</v>
      </c>
      <c r="H346" s="424">
        <v>1614.44</v>
      </c>
      <c r="I346" s="425">
        <v>12915.52</v>
      </c>
      <c r="J346" s="432" t="str">
        <v>—</v>
      </c>
      <c r="K346" s="431">
        <v>81.56</v>
      </c>
      <c r="L346" s="431">
        <v>652.48</v>
      </c>
      <c r="M346" s="431">
        <v>1386.52</v>
      </c>
      <c r="N346" s="432" t="str">
        <v>2-3</v>
      </c>
      <c r="O346" s="431">
        <v>23.24</v>
      </c>
      <c r="P346" s="431">
        <v>185.92</v>
      </c>
      <c r="Q346" s="431">
        <v>395.08</v>
      </c>
      <c r="R346" s="432" t="str">
        <v>—</v>
      </c>
    </row>
    <row r="347" spans="2:18" x14ac:dyDescent="0.25">
      <c r="B347" s="440" t="str">
        <v>ME-17</v>
      </c>
      <c r="C347" s="438" t="str">
        <v>INACTIVA</v>
      </c>
      <c r="D347" s="442">
        <v>94</v>
      </c>
      <c r="E347" s="429" t="str">
        <v>4N8734 / 0R9449</v>
      </c>
      <c r="F347" s="443" t="str">
        <v>Bomba de aceite de motor remanufacturada</v>
      </c>
      <c r="G347" s="430">
        <v>1</v>
      </c>
      <c r="H347" s="424">
        <v>50249.760000000002</v>
      </c>
      <c r="I347" s="425">
        <v>50249.760000000002</v>
      </c>
      <c r="J347" s="432" t="str">
        <v>2-3</v>
      </c>
      <c r="K347" s="431">
        <v>925.55</v>
      </c>
      <c r="L347" s="431">
        <v>925.55</v>
      </c>
      <c r="M347" s="431">
        <v>15734.349999999999</v>
      </c>
      <c r="N347" s="432" t="str">
        <v>2-3</v>
      </c>
      <c r="O347" s="431">
        <v>0</v>
      </c>
      <c r="P347" s="431" t="str">
        <v>—</v>
      </c>
      <c r="Q347" s="431" t="str">
        <v>—</v>
      </c>
      <c r="R347" s="432" t="str">
        <v>—</v>
      </c>
    </row>
    <row r="348" spans="2:18" x14ac:dyDescent="0.25">
      <c r="B348" s="440" t="str">
        <v>ME-17</v>
      </c>
      <c r="C348" s="438" t="str">
        <v>INACTIVA</v>
      </c>
      <c r="D348" s="442">
        <v>94</v>
      </c>
      <c r="E348" s="429" t="str">
        <v>9H0846</v>
      </c>
      <c r="F348" s="443" t="str">
        <v>Sello O-Ring</v>
      </c>
      <c r="G348" s="430">
        <v>1</v>
      </c>
      <c r="H348" s="424">
        <v>391.07</v>
      </c>
      <c r="I348" s="425">
        <v>391.07</v>
      </c>
      <c r="J348" s="432" t="str">
        <v>2-3</v>
      </c>
      <c r="K348" s="431">
        <v>21.79</v>
      </c>
      <c r="L348" s="431">
        <v>21.79</v>
      </c>
      <c r="M348" s="431">
        <v>370.43</v>
      </c>
      <c r="N348" s="432" t="str">
        <v>2-3</v>
      </c>
      <c r="O348" s="431">
        <v>4.24</v>
      </c>
      <c r="P348" s="431">
        <v>4.24</v>
      </c>
      <c r="Q348" s="431">
        <v>72.08</v>
      </c>
      <c r="R348" s="432" t="str">
        <v>—</v>
      </c>
    </row>
    <row r="349" spans="2:18" x14ac:dyDescent="0.25">
      <c r="B349" s="440" t="str">
        <v>ME-17</v>
      </c>
      <c r="C349" s="438" t="str">
        <v>INACTIVA</v>
      </c>
      <c r="D349" s="442">
        <v>98</v>
      </c>
      <c r="E349" s="429" t="str">
        <v>3G5880</v>
      </c>
      <c r="F349" s="443" t="str">
        <v>BOMBA HIDRAULICA</v>
      </c>
      <c r="G349" s="430">
        <v>1</v>
      </c>
      <c r="H349" s="424">
        <v>0</v>
      </c>
      <c r="I349" s="425">
        <v>0</v>
      </c>
      <c r="J349" s="432" t="str">
        <v>2-3</v>
      </c>
      <c r="K349" s="431">
        <v>0</v>
      </c>
      <c r="L349" s="431" t="str">
        <v>—</v>
      </c>
      <c r="M349" s="431" t="str">
        <v>—</v>
      </c>
      <c r="N349" s="432" t="str">
        <v>0</v>
      </c>
      <c r="O349" s="431">
        <v>0</v>
      </c>
      <c r="P349" s="431" t="str">
        <v>—</v>
      </c>
      <c r="Q349" s="431" t="str">
        <v>—</v>
      </c>
      <c r="R349" s="432" t="str">
        <v>—</v>
      </c>
    </row>
    <row r="350" spans="2:18" x14ac:dyDescent="0.25">
      <c r="B350" s="440" t="str">
        <v>ME-17</v>
      </c>
      <c r="C350" s="438" t="str">
        <v>INACTIVA</v>
      </c>
      <c r="D350" s="442">
        <v>98</v>
      </c>
      <c r="E350" s="429" t="str">
        <v>4W7062</v>
      </c>
      <c r="F350" s="443" t="str">
        <v>ADAPTADOR</v>
      </c>
      <c r="G350" s="430">
        <v>1</v>
      </c>
      <c r="H350" s="424">
        <v>2207.2800000000002</v>
      </c>
      <c r="I350" s="425">
        <v>2207.2800000000002</v>
      </c>
      <c r="J350" s="432" t="str">
        <v>2-3</v>
      </c>
      <c r="K350" s="431">
        <v>122.89</v>
      </c>
      <c r="L350" s="431">
        <v>122.89</v>
      </c>
      <c r="M350" s="431">
        <v>2089.13</v>
      </c>
      <c r="N350" s="432" t="str">
        <v>1-2</v>
      </c>
      <c r="O350" s="431">
        <v>0</v>
      </c>
      <c r="P350" s="431" t="str">
        <v>—</v>
      </c>
      <c r="Q350" s="431" t="str">
        <v>—</v>
      </c>
      <c r="R350" s="432" t="str">
        <v>—</v>
      </c>
    </row>
    <row r="351" spans="2:18" x14ac:dyDescent="0.25">
      <c r="B351" s="440" t="str">
        <v>ME-17</v>
      </c>
      <c r="C351" s="438" t="str">
        <v>INACTIVA</v>
      </c>
      <c r="D351" s="442">
        <v>98</v>
      </c>
      <c r="E351" s="429" t="str">
        <v>3G1812</v>
      </c>
      <c r="F351" s="443" t="str">
        <v>ADAPTADOR</v>
      </c>
      <c r="G351" s="430">
        <v>1</v>
      </c>
      <c r="H351" s="424">
        <v>0</v>
      </c>
      <c r="I351" s="425">
        <v>0</v>
      </c>
      <c r="J351" s="432" t="str">
        <v>2-3</v>
      </c>
      <c r="K351" s="431">
        <v>0</v>
      </c>
      <c r="L351" s="431" t="str">
        <v>—</v>
      </c>
      <c r="M351" s="431" t="str">
        <v>—</v>
      </c>
      <c r="N351" s="432" t="str">
        <v>0</v>
      </c>
      <c r="O351" s="431">
        <v>0</v>
      </c>
      <c r="P351" s="431" t="str">
        <v>—</v>
      </c>
      <c r="Q351" s="431" t="str">
        <v>—</v>
      </c>
      <c r="R351" s="432" t="str">
        <v>—</v>
      </c>
    </row>
    <row r="352" spans="2:18" x14ac:dyDescent="0.25">
      <c r="B352" s="440" t="str">
        <v>ME-17</v>
      </c>
      <c r="C352" s="438" t="str">
        <v>INACTIVA</v>
      </c>
      <c r="D352" s="442">
        <v>98</v>
      </c>
      <c r="E352" s="429" t="str">
        <v>8N0879</v>
      </c>
      <c r="F352" s="443" t="str">
        <v>ABRAZADERA</v>
      </c>
      <c r="G352" s="430">
        <v>4</v>
      </c>
      <c r="H352" s="424">
        <v>864.49</v>
      </c>
      <c r="I352" s="425">
        <v>3457.96</v>
      </c>
      <c r="J352" s="432" t="str">
        <v>2-3</v>
      </c>
      <c r="K352" s="431">
        <v>56.24</v>
      </c>
      <c r="L352" s="431">
        <v>224.96</v>
      </c>
      <c r="M352" s="431">
        <v>956.08</v>
      </c>
      <c r="N352" s="432" t="str">
        <v>1-2</v>
      </c>
      <c r="O352" s="431">
        <v>11.75</v>
      </c>
      <c r="P352" s="431">
        <v>47</v>
      </c>
      <c r="Q352" s="431">
        <v>199.75</v>
      </c>
      <c r="R352" s="432" t="str">
        <v>—</v>
      </c>
    </row>
    <row r="353" spans="2:18" x14ac:dyDescent="0.25">
      <c r="B353" s="440" t="str">
        <v>ME-17</v>
      </c>
      <c r="C353" s="438" t="str">
        <v>INACTIVA</v>
      </c>
      <c r="D353" s="442">
        <v>98</v>
      </c>
      <c r="E353" s="429" t="str">
        <v>7C7752</v>
      </c>
      <c r="F353" s="443" t="str">
        <v>TUBERÍA A</v>
      </c>
      <c r="G353" s="430">
        <v>1</v>
      </c>
      <c r="H353" s="424">
        <v>18486.28</v>
      </c>
      <c r="I353" s="425">
        <v>18486.28</v>
      </c>
      <c r="J353" s="432" t="str">
        <v>2-3</v>
      </c>
      <c r="K353" s="431">
        <v>1029.19</v>
      </c>
      <c r="L353" s="431">
        <v>1029.19</v>
      </c>
      <c r="M353" s="431">
        <v>17496.23</v>
      </c>
      <c r="N353" s="432" t="str">
        <v>1-2</v>
      </c>
      <c r="O353" s="431">
        <v>0</v>
      </c>
      <c r="P353" s="431" t="str">
        <v>—</v>
      </c>
      <c r="Q353" s="431" t="str">
        <v>—</v>
      </c>
      <c r="R353" s="432" t="str">
        <v>—</v>
      </c>
    </row>
    <row r="354" spans="2:18" x14ac:dyDescent="0.25">
      <c r="B354" s="440" t="str">
        <v>ME-17</v>
      </c>
      <c r="C354" s="438" t="str">
        <v>INACTIVA</v>
      </c>
      <c r="D354" s="442">
        <v>98</v>
      </c>
      <c r="E354" s="429">
        <v>1299416</v>
      </c>
      <c r="F354" s="443" t="str">
        <v>EMPAQUE</v>
      </c>
      <c r="G354" s="430">
        <v>1</v>
      </c>
      <c r="H354" s="424">
        <v>114.57</v>
      </c>
      <c r="I354" s="425">
        <v>114.57</v>
      </c>
      <c r="J354" s="432" t="str">
        <v>2-3</v>
      </c>
      <c r="K354" s="431">
        <v>7.88</v>
      </c>
      <c r="L354" s="431">
        <v>7.88</v>
      </c>
      <c r="M354" s="431">
        <v>133.96</v>
      </c>
      <c r="N354" s="432" t="str">
        <v>1-2</v>
      </c>
      <c r="O354" s="431">
        <v>3.07</v>
      </c>
      <c r="P354" s="431">
        <v>3.07</v>
      </c>
      <c r="Q354" s="431">
        <v>52.19</v>
      </c>
      <c r="R354" s="432" t="str">
        <v>—</v>
      </c>
    </row>
    <row r="355" spans="2:18" x14ac:dyDescent="0.25">
      <c r="B355" s="440" t="str">
        <v>ME-17</v>
      </c>
      <c r="C355" s="438" t="str">
        <v>INACTIVA</v>
      </c>
      <c r="D355" s="442">
        <v>98</v>
      </c>
      <c r="E355" s="429" t="str">
        <v>4L8337</v>
      </c>
      <c r="F355" s="443" t="str">
        <v>SELLADO DE JUNTA TÓRICA</v>
      </c>
      <c r="G355" s="430">
        <v>4</v>
      </c>
      <c r="H355" s="424">
        <v>248.06</v>
      </c>
      <c r="I355" s="425">
        <v>992.24</v>
      </c>
      <c r="J355" s="432" t="str">
        <v>2-3</v>
      </c>
      <c r="K355" s="431">
        <v>17.329999999999998</v>
      </c>
      <c r="L355" s="431">
        <v>69.319999999999993</v>
      </c>
      <c r="M355" s="431">
        <v>294.60999999999996</v>
      </c>
      <c r="N355" s="432" t="str">
        <v>1-2</v>
      </c>
      <c r="O355" s="431">
        <v>1.52</v>
      </c>
      <c r="P355" s="431">
        <v>6.08</v>
      </c>
      <c r="Q355" s="431">
        <v>25.84</v>
      </c>
      <c r="R355" s="432" t="str">
        <v>—</v>
      </c>
    </row>
    <row r="356" spans="2:18" x14ac:dyDescent="0.25">
      <c r="B356" s="440" t="str">
        <v>ME-17</v>
      </c>
      <c r="C356" s="438" t="str">
        <v>INACTIVA</v>
      </c>
      <c r="D356" s="442">
        <v>98</v>
      </c>
      <c r="E356" s="429" t="str">
        <v>5P2755</v>
      </c>
      <c r="F356" s="443" t="str">
        <v>Perno de cabeza hexagonal de 3/8"-16 x 2 3/4"</v>
      </c>
      <c r="G356" s="430">
        <v>4</v>
      </c>
      <c r="H356" s="424">
        <v>212.44</v>
      </c>
      <c r="I356" s="425">
        <v>849.76</v>
      </c>
      <c r="J356" s="432" t="str">
        <v>2-3</v>
      </c>
      <c r="K356" s="431">
        <v>14.86</v>
      </c>
      <c r="L356" s="431">
        <v>59.44</v>
      </c>
      <c r="M356" s="431">
        <v>252.62</v>
      </c>
      <c r="N356" s="432" t="str">
        <v>1-2</v>
      </c>
      <c r="O356" s="431">
        <v>2.33</v>
      </c>
      <c r="P356" s="431">
        <v>9.32</v>
      </c>
      <c r="Q356" s="431">
        <v>39.61</v>
      </c>
      <c r="R356" s="432" t="str">
        <v>—</v>
      </c>
    </row>
    <row r="357" spans="2:18" x14ac:dyDescent="0.25">
      <c r="B357" s="440" t="str">
        <v>ME-17</v>
      </c>
      <c r="C357" s="438" t="str">
        <v>INACTIVA</v>
      </c>
      <c r="D357" s="442">
        <v>98</v>
      </c>
      <c r="E357" s="429" t="str">
        <v>9H0846</v>
      </c>
      <c r="F357" s="443" t="str">
        <v>SELLO</v>
      </c>
      <c r="G357" s="430">
        <v>1</v>
      </c>
      <c r="H357" s="424">
        <v>311.58</v>
      </c>
      <c r="I357" s="425">
        <v>311.58</v>
      </c>
      <c r="J357" s="432" t="str">
        <v>2-3</v>
      </c>
      <c r="K357" s="431">
        <v>21.79</v>
      </c>
      <c r="L357" s="431">
        <v>21.79</v>
      </c>
      <c r="M357" s="431">
        <v>370.43</v>
      </c>
      <c r="N357" s="432" t="str">
        <v>1-2</v>
      </c>
      <c r="O357" s="431">
        <v>4.24</v>
      </c>
      <c r="P357" s="431">
        <v>4.24</v>
      </c>
      <c r="Q357" s="431">
        <v>72.08</v>
      </c>
      <c r="R357" s="432" t="str">
        <v>—</v>
      </c>
    </row>
    <row r="358" spans="2:18" x14ac:dyDescent="0.25">
      <c r="B358" s="440" t="str">
        <v>ME-17</v>
      </c>
      <c r="C358" s="438" t="str">
        <v>INACTIVA</v>
      </c>
      <c r="D358" s="442">
        <v>98</v>
      </c>
      <c r="E358" s="429" t="str">
        <v>7N8629</v>
      </c>
      <c r="F358" s="443" t="str">
        <v>Acoplamiento de codo de escape de 52 mm de espesor</v>
      </c>
      <c r="G358" s="430">
        <v>1</v>
      </c>
      <c r="H358" s="424">
        <v>3306.51</v>
      </c>
      <c r="I358" s="425">
        <v>3306.51</v>
      </c>
      <c r="J358" s="432" t="str">
        <v>2-3</v>
      </c>
      <c r="K358" s="431">
        <v>191.1</v>
      </c>
      <c r="L358" s="431">
        <v>191.1</v>
      </c>
      <c r="M358" s="431">
        <v>3248.7</v>
      </c>
      <c r="N358" s="432" t="str">
        <v>0</v>
      </c>
      <c r="O358" s="431">
        <v>0</v>
      </c>
      <c r="P358" s="431" t="str">
        <v>—</v>
      </c>
      <c r="Q358" s="431" t="str">
        <v>—</v>
      </c>
      <c r="R358" s="432" t="str">
        <v>—</v>
      </c>
    </row>
    <row r="359" spans="2:18" x14ac:dyDescent="0.25">
      <c r="B359" s="440" t="str">
        <v>ME-17</v>
      </c>
      <c r="C359" s="438" t="str">
        <v>INACTIVA</v>
      </c>
      <c r="D359" s="442">
        <v>98</v>
      </c>
      <c r="E359" s="429" t="str">
        <v>4N1151</v>
      </c>
      <c r="F359" s="443" t="str">
        <v>Junta de cárter de aceite de 0,8 mm de grosor</v>
      </c>
      <c r="G359" s="430">
        <v>1</v>
      </c>
      <c r="H359" s="424">
        <v>449.14</v>
      </c>
      <c r="I359" s="425">
        <v>449.14</v>
      </c>
      <c r="J359" s="432" t="str">
        <v>2-3</v>
      </c>
      <c r="K359" s="431">
        <v>30.89</v>
      </c>
      <c r="L359" s="431">
        <v>30.89</v>
      </c>
      <c r="M359" s="431">
        <v>525.13</v>
      </c>
      <c r="N359" s="432" t="str">
        <v>1-2</v>
      </c>
      <c r="O359" s="431">
        <v>3.75</v>
      </c>
      <c r="P359" s="431">
        <v>3.75</v>
      </c>
      <c r="Q359" s="431">
        <v>63.75</v>
      </c>
      <c r="R359" s="432" t="str">
        <v>—</v>
      </c>
    </row>
    <row r="360" spans="2:18" x14ac:dyDescent="0.25">
      <c r="B360" s="440" t="str">
        <v>ME-17</v>
      </c>
      <c r="C360" s="438" t="str">
        <v>INACTIVA</v>
      </c>
      <c r="D360" s="442">
        <v>98</v>
      </c>
      <c r="E360" s="429" t="str">
        <v>1P0436</v>
      </c>
      <c r="F360" s="443" t="str">
        <v>EMPAQUE</v>
      </c>
      <c r="G360" s="430">
        <v>1</v>
      </c>
      <c r="H360" s="424">
        <v>31.97</v>
      </c>
      <c r="I360" s="425">
        <v>31.97</v>
      </c>
      <c r="J360" s="432" t="str">
        <v>2-3</v>
      </c>
      <c r="K360" s="431">
        <v>2.2000000000000002</v>
      </c>
      <c r="L360" s="431">
        <v>2.2000000000000002</v>
      </c>
      <c r="M360" s="431">
        <v>37.400000000000006</v>
      </c>
      <c r="N360" s="432" t="str">
        <v>1-2</v>
      </c>
      <c r="O360" s="431">
        <v>0.5</v>
      </c>
      <c r="P360" s="431">
        <v>0.5</v>
      </c>
      <c r="Q360" s="431">
        <v>8.5</v>
      </c>
      <c r="R360" s="432" t="str">
        <v>—</v>
      </c>
    </row>
    <row r="361" spans="2:18" x14ac:dyDescent="0.25">
      <c r="B361" s="440" t="str">
        <v>ME-17</v>
      </c>
      <c r="C361" s="438" t="str">
        <v>INACTIVA</v>
      </c>
      <c r="D361" s="442">
        <v>98</v>
      </c>
      <c r="E361" s="429" t="str">
        <v>8N2368</v>
      </c>
      <c r="F361" s="443" t="str">
        <v>ESCUDO</v>
      </c>
      <c r="G361" s="430">
        <v>1</v>
      </c>
      <c r="H361" s="424">
        <v>12134.65</v>
      </c>
      <c r="I361" s="425">
        <v>12134.65</v>
      </c>
      <c r="J361" s="432" t="str">
        <v>2-3</v>
      </c>
      <c r="K361" s="431">
        <v>675.56</v>
      </c>
      <c r="L361" s="431">
        <v>675.56</v>
      </c>
      <c r="M361" s="431">
        <v>11484.519999999999</v>
      </c>
      <c r="N361" s="432" t="str">
        <v>1-2</v>
      </c>
      <c r="O361" s="431">
        <v>249.74</v>
      </c>
      <c r="P361" s="431">
        <v>249.74</v>
      </c>
      <c r="Q361" s="431">
        <v>4245.58</v>
      </c>
      <c r="R361" s="432" t="str">
        <v>—</v>
      </c>
    </row>
    <row r="362" spans="2:18" x14ac:dyDescent="0.25">
      <c r="B362" s="440" t="str">
        <v>ME-17</v>
      </c>
      <c r="C362" s="438" t="str">
        <v>INACTIVA</v>
      </c>
      <c r="D362" s="442">
        <v>98</v>
      </c>
      <c r="E362" s="429" t="str">
        <v>2N2766</v>
      </c>
      <c r="F362" s="443" t="str">
        <v>Tuerca de seguridad cónica de 3/8"-16</v>
      </c>
      <c r="G362" s="430">
        <v>4</v>
      </c>
      <c r="H362" s="424">
        <v>135.88</v>
      </c>
      <c r="I362" s="425">
        <v>543.52</v>
      </c>
      <c r="J362" s="432" t="str">
        <v>2-3</v>
      </c>
      <c r="K362" s="431">
        <v>9.5</v>
      </c>
      <c r="L362" s="431">
        <v>38</v>
      </c>
      <c r="M362" s="431">
        <v>161.5</v>
      </c>
      <c r="N362" s="432" t="str">
        <v>0</v>
      </c>
      <c r="O362" s="431">
        <v>0.82</v>
      </c>
      <c r="P362" s="431">
        <v>3.28</v>
      </c>
      <c r="Q362" s="431">
        <v>13.94</v>
      </c>
      <c r="R362" s="432" t="str">
        <v>—</v>
      </c>
    </row>
    <row r="363" spans="2:18" x14ac:dyDescent="0.25">
      <c r="B363" s="440" t="str">
        <v>ME-17</v>
      </c>
      <c r="C363" s="438" t="str">
        <v>INACTIVA</v>
      </c>
      <c r="D363" s="442">
        <v>98</v>
      </c>
      <c r="E363" s="429" t="str">
        <v>5H7153</v>
      </c>
      <c r="F363" s="443" t="str">
        <v>SELLO</v>
      </c>
      <c r="G363" s="430">
        <v>8</v>
      </c>
      <c r="H363" s="424">
        <v>119.05</v>
      </c>
      <c r="I363" s="425">
        <v>952.4</v>
      </c>
      <c r="J363" s="432" t="str">
        <v>2-3</v>
      </c>
      <c r="K363" s="431">
        <v>8.31</v>
      </c>
      <c r="L363" s="431">
        <v>66.48</v>
      </c>
      <c r="M363" s="431">
        <v>141.27000000000001</v>
      </c>
      <c r="N363" s="432" t="str">
        <v>1-2</v>
      </c>
      <c r="O363" s="431">
        <v>0.53</v>
      </c>
      <c r="P363" s="431">
        <v>4.24</v>
      </c>
      <c r="Q363" s="431">
        <v>9.01</v>
      </c>
      <c r="R363" s="432" t="str">
        <v>—</v>
      </c>
    </row>
    <row r="364" spans="2:18" x14ac:dyDescent="0.25">
      <c r="B364" s="440" t="str">
        <v>ME-17</v>
      </c>
      <c r="C364" s="438" t="str">
        <v>INACTIVA</v>
      </c>
      <c r="D364" s="442">
        <v>98</v>
      </c>
      <c r="E364" s="429" t="str">
        <v>2M5173</v>
      </c>
      <c r="F364" s="443" t="str">
        <v>SELLO</v>
      </c>
      <c r="G364" s="430">
        <v>4</v>
      </c>
      <c r="H364" s="424">
        <v>301.76</v>
      </c>
      <c r="I364" s="425">
        <v>1207.04</v>
      </c>
      <c r="J364" s="432" t="str">
        <v>2-3</v>
      </c>
      <c r="K364" s="431">
        <v>21.09</v>
      </c>
      <c r="L364" s="431">
        <v>84.36</v>
      </c>
      <c r="M364" s="431">
        <v>358.53</v>
      </c>
      <c r="N364" s="432" t="str">
        <v>1-2</v>
      </c>
      <c r="O364" s="431">
        <v>2.08</v>
      </c>
      <c r="P364" s="431">
        <v>8.32</v>
      </c>
      <c r="Q364" s="431">
        <v>35.36</v>
      </c>
      <c r="R364" s="432" t="str">
        <v>—</v>
      </c>
    </row>
    <row r="365" spans="2:18" x14ac:dyDescent="0.25">
      <c r="B365" s="440" t="str">
        <v>ME-17</v>
      </c>
      <c r="C365" s="438" t="str">
        <v>INACTIVA</v>
      </c>
      <c r="D365" s="442">
        <v>98</v>
      </c>
      <c r="E365" s="429" t="str">
        <v>7W5435</v>
      </c>
      <c r="F365" s="443" t="str">
        <v>40mm Cylinder Head Fuel Nozzle Adapter</v>
      </c>
      <c r="G365" s="430">
        <v>8</v>
      </c>
      <c r="H365" s="424">
        <v>1288.67</v>
      </c>
      <c r="I365" s="425">
        <v>10309.36</v>
      </c>
      <c r="J365" s="432" t="str">
        <v>2-3</v>
      </c>
      <c r="K365" s="431">
        <v>81.56</v>
      </c>
      <c r="L365" s="431">
        <v>652.48</v>
      </c>
      <c r="M365" s="431">
        <v>1386.52</v>
      </c>
      <c r="N365" s="432" t="str">
        <v>1-2</v>
      </c>
      <c r="O365" s="431">
        <v>23.24</v>
      </c>
      <c r="P365" s="431">
        <v>185.92</v>
      </c>
      <c r="Q365" s="431">
        <v>395.08</v>
      </c>
      <c r="R365" s="432" t="str">
        <v>—</v>
      </c>
    </row>
    <row r="366" spans="2:18" x14ac:dyDescent="0.25">
      <c r="B366" s="440" t="str">
        <v>ME-17</v>
      </c>
      <c r="C366" s="438" t="str">
        <v>INACTIVA</v>
      </c>
      <c r="D366" s="442">
        <v>98</v>
      </c>
      <c r="E366" s="429" t="str">
        <v>0R9449</v>
      </c>
      <c r="F366" s="443" t="str">
        <v>Reman Engine Oil Pump</v>
      </c>
      <c r="G366" s="430">
        <v>1</v>
      </c>
      <c r="H366" s="424">
        <v>40035.64</v>
      </c>
      <c r="I366" s="425">
        <v>40035.64</v>
      </c>
      <c r="J366" s="432" t="str">
        <v>2-3</v>
      </c>
      <c r="K366" s="431">
        <v>925.55</v>
      </c>
      <c r="L366" s="431">
        <v>925.55</v>
      </c>
      <c r="M366" s="431">
        <v>15734.349999999999</v>
      </c>
      <c r="N366" s="432" t="str">
        <v>1-2</v>
      </c>
      <c r="O366" s="431">
        <v>0</v>
      </c>
      <c r="P366" s="431" t="str">
        <v>—</v>
      </c>
      <c r="Q366" s="431" t="str">
        <v>—</v>
      </c>
      <c r="R366" s="432" t="str">
        <v>—</v>
      </c>
    </row>
    <row r="367" spans="2:18" x14ac:dyDescent="0.25">
      <c r="B367" s="440" t="str">
        <v>ME-17</v>
      </c>
      <c r="C367" s="438" t="str">
        <v>INACTIVA</v>
      </c>
      <c r="D367" s="442">
        <v>98</v>
      </c>
      <c r="E367" s="429" t="str">
        <v>8M5260</v>
      </c>
      <c r="F367" s="443" t="str">
        <v>sellos</v>
      </c>
      <c r="G367" s="430">
        <v>1</v>
      </c>
      <c r="H367" s="424">
        <v>48.8</v>
      </c>
      <c r="I367" s="425">
        <v>48.8</v>
      </c>
      <c r="J367" s="432" t="str">
        <v>2-3</v>
      </c>
      <c r="K367" s="431">
        <v>3.41</v>
      </c>
      <c r="L367" s="431">
        <v>3.41</v>
      </c>
      <c r="M367" s="431">
        <v>57.97</v>
      </c>
      <c r="N367" s="432" t="str">
        <v>1-2</v>
      </c>
      <c r="O367" s="431">
        <v>0.12</v>
      </c>
      <c r="P367" s="431">
        <v>0.12</v>
      </c>
      <c r="Q367" s="431">
        <v>2.04</v>
      </c>
      <c r="R367" s="432" t="str">
        <v>—</v>
      </c>
    </row>
    <row r="368" spans="2:18" x14ac:dyDescent="0.25">
      <c r="B368" s="440" t="str">
        <v>ME-17</v>
      </c>
      <c r="C368" s="438" t="str">
        <v>INACTIVA</v>
      </c>
      <c r="D368" s="442">
        <v>98</v>
      </c>
      <c r="E368" s="429" t="str">
        <v>7W8904</v>
      </c>
      <c r="F368" s="443" t="str">
        <v>Guía de la varilla de nivel de aceite</v>
      </c>
      <c r="G368" s="430">
        <v>1</v>
      </c>
      <c r="H368" s="424">
        <v>7678.44</v>
      </c>
      <c r="I368" s="425">
        <v>7678.44</v>
      </c>
      <c r="J368" s="432" t="str">
        <v>2-3</v>
      </c>
      <c r="K368" s="431">
        <v>432.75</v>
      </c>
      <c r="L368" s="431">
        <v>432.75</v>
      </c>
      <c r="M368" s="431">
        <v>7356.75</v>
      </c>
      <c r="N368" s="432" t="str">
        <v>9-14</v>
      </c>
      <c r="O368" s="431">
        <v>0</v>
      </c>
      <c r="P368" s="431" t="str">
        <v>—</v>
      </c>
      <c r="Q368" s="431" t="str">
        <v>—</v>
      </c>
      <c r="R368" s="432" t="str">
        <v>—</v>
      </c>
    </row>
    <row r="369" spans="2:18" x14ac:dyDescent="0.25">
      <c r="B369" s="440" t="str">
        <v>ME-17</v>
      </c>
      <c r="C369" s="438" t="str">
        <v>INACTIVA</v>
      </c>
      <c r="D369" s="442">
        <v>98</v>
      </c>
      <c r="E369" s="429" t="str">
        <v>7C8388 / 2W0521</v>
      </c>
      <c r="F369" s="443" t="str">
        <v>Indicador de varilla</v>
      </c>
      <c r="G369" s="430">
        <v>1</v>
      </c>
      <c r="H369" s="424">
        <v>2731.44</v>
      </c>
      <c r="I369" s="425">
        <v>2731.44</v>
      </c>
      <c r="J369" s="432" t="str">
        <v>2-3</v>
      </c>
      <c r="K369" s="431">
        <v>152.06</v>
      </c>
      <c r="L369" s="431">
        <v>152.06</v>
      </c>
      <c r="M369" s="431">
        <v>2585.02</v>
      </c>
      <c r="N369" s="432" t="str">
        <v>2-3</v>
      </c>
      <c r="O369" s="431">
        <v>0</v>
      </c>
      <c r="P369" s="431" t="str">
        <v>—</v>
      </c>
      <c r="Q369" s="431" t="str">
        <v>—</v>
      </c>
      <c r="R369" s="432" t="str">
        <v>—</v>
      </c>
    </row>
    <row r="370" spans="2:18" x14ac:dyDescent="0.25">
      <c r="B370" s="440" t="str">
        <v>ME-17</v>
      </c>
      <c r="C370" s="438" t="str">
        <v>INACTIVA</v>
      </c>
      <c r="D370" s="442">
        <v>98</v>
      </c>
      <c r="E370" s="429" t="str">
        <v>20R0965</v>
      </c>
      <c r="F370" s="443" t="str">
        <v> Bomba de transferencia de combustible Cat® Reman 3408/3412</v>
      </c>
      <c r="G370" s="430">
        <v>1</v>
      </c>
      <c r="H370" s="424">
        <v>41538.15</v>
      </c>
      <c r="I370" s="425">
        <v>41538.15</v>
      </c>
      <c r="J370" s="432" t="str">
        <v>2-3</v>
      </c>
      <c r="K370" s="431">
        <v>1699.35</v>
      </c>
      <c r="L370" s="431">
        <v>1699.35</v>
      </c>
      <c r="M370" s="431">
        <v>28888.949999999997</v>
      </c>
      <c r="N370" s="432" t="str">
        <v>CD</v>
      </c>
      <c r="O370" s="431">
        <v>0</v>
      </c>
      <c r="P370" s="431" t="str">
        <v>—</v>
      </c>
      <c r="Q370" s="431" t="str">
        <v>—</v>
      </c>
      <c r="R370" s="432" t="str">
        <v>—</v>
      </c>
    </row>
    <row r="371" spans="2:18" x14ac:dyDescent="0.25">
      <c r="B371" s="440" t="str">
        <v>ME-17</v>
      </c>
      <c r="C371" s="438" t="str">
        <v>INACTIVA</v>
      </c>
      <c r="D371" s="442">
        <v>98</v>
      </c>
      <c r="E371" s="429">
        <v>1832823</v>
      </c>
      <c r="F371" s="443" t="str">
        <v>BOMBA DE CEBADO</v>
      </c>
      <c r="G371" s="430">
        <v>1</v>
      </c>
      <c r="H371" s="424">
        <v>4136.3599999999997</v>
      </c>
      <c r="I371" s="425">
        <v>4136.3599999999997</v>
      </c>
      <c r="J371" s="432" t="str">
        <v>2-3</v>
      </c>
      <c r="K371" s="431">
        <v>239.05</v>
      </c>
      <c r="L371" s="431">
        <v>239.05</v>
      </c>
      <c r="M371" s="431">
        <v>4063.8500000000004</v>
      </c>
      <c r="N371" s="432" t="str">
        <v>1-2</v>
      </c>
      <c r="O371" s="431">
        <v>24.96</v>
      </c>
      <c r="P371" s="431">
        <v>24.96</v>
      </c>
      <c r="Q371" s="431">
        <v>424.32</v>
      </c>
      <c r="R371" s="432" t="str">
        <v>—</v>
      </c>
    </row>
    <row r="372" spans="2:18" x14ac:dyDescent="0.25">
      <c r="B372" s="440" t="str">
        <v>ME-17</v>
      </c>
      <c r="C372" s="438" t="str">
        <v>INACTIVA</v>
      </c>
      <c r="D372" s="442">
        <v>98</v>
      </c>
      <c r="E372" s="429" t="str">
        <v>4W7062</v>
      </c>
      <c r="F372" s="443" t="str">
        <v>ADAPTADOR DE TUBO DE AIRE</v>
      </c>
      <c r="G372" s="430">
        <v>1</v>
      </c>
      <c r="H372" s="424">
        <v>2207.2800000000002</v>
      </c>
      <c r="I372" s="425">
        <v>2207.2800000000002</v>
      </c>
      <c r="J372" s="432" t="str">
        <v>2-3</v>
      </c>
      <c r="K372" s="431">
        <v>122.89</v>
      </c>
      <c r="L372" s="431">
        <v>122.89</v>
      </c>
      <c r="M372" s="431">
        <v>2089.13</v>
      </c>
      <c r="N372" s="432" t="str">
        <v>1-2</v>
      </c>
      <c r="O372" s="431">
        <v>0</v>
      </c>
      <c r="P372" s="431" t="str">
        <v>—</v>
      </c>
      <c r="Q372" s="431" t="str">
        <v>—</v>
      </c>
      <c r="R372" s="432" t="str">
        <v>—</v>
      </c>
    </row>
    <row r="373" spans="2:18" x14ac:dyDescent="0.25">
      <c r="B373" s="440" t="str">
        <v>ME-17</v>
      </c>
      <c r="C373" s="438" t="str">
        <v>INACTIVA</v>
      </c>
      <c r="D373" s="442">
        <v>98</v>
      </c>
      <c r="E373" s="429" t="str">
        <v>8J4110</v>
      </c>
      <c r="F373" s="443" t="str">
        <v>Pinza para el tubo del sillín</v>
      </c>
      <c r="G373" s="430">
        <v>1</v>
      </c>
      <c r="H373" s="424">
        <v>894.22</v>
      </c>
      <c r="I373" s="425">
        <v>894.22</v>
      </c>
      <c r="J373" s="432" t="str">
        <v>2-3</v>
      </c>
      <c r="K373" s="431">
        <v>58.18</v>
      </c>
      <c r="L373" s="431">
        <v>58.18</v>
      </c>
      <c r="M373" s="431">
        <v>989.06</v>
      </c>
      <c r="N373" s="432" t="str">
        <v>1-2</v>
      </c>
      <c r="O373" s="431">
        <v>0</v>
      </c>
      <c r="P373" s="431" t="str">
        <v>—</v>
      </c>
      <c r="Q373" s="431" t="str">
        <v>—</v>
      </c>
      <c r="R373" s="432" t="str">
        <v>—</v>
      </c>
    </row>
    <row r="374" spans="2:18" x14ac:dyDescent="0.25">
      <c r="B374" s="440" t="str">
        <v>ME-17</v>
      </c>
      <c r="C374" s="438" t="str">
        <v>INACTIVA</v>
      </c>
      <c r="D374" s="442">
        <v>98</v>
      </c>
      <c r="E374" s="429" t="str">
        <v>8N1622</v>
      </c>
      <c r="F374" s="443" t="str">
        <v>Escudo del múltiple de escape de 5 mm de espesor</v>
      </c>
      <c r="G374" s="430">
        <v>1</v>
      </c>
      <c r="H374" s="424">
        <v>16399.03</v>
      </c>
      <c r="I374" s="425">
        <v>16399.03</v>
      </c>
      <c r="J374" s="432" t="str">
        <v>2-3</v>
      </c>
      <c r="K374" s="431">
        <v>913</v>
      </c>
      <c r="L374" s="431">
        <v>913</v>
      </c>
      <c r="M374" s="431">
        <v>15521</v>
      </c>
      <c r="N374" s="432" t="str">
        <v>1-2</v>
      </c>
      <c r="O374" s="431">
        <v>121.96</v>
      </c>
      <c r="P374" s="431">
        <v>121.96</v>
      </c>
      <c r="Q374" s="431">
        <v>2073.3199999999997</v>
      </c>
      <c r="R374" s="432" t="str">
        <v>—</v>
      </c>
    </row>
    <row r="375" spans="2:18" x14ac:dyDescent="0.25">
      <c r="B375" s="440" t="str">
        <v>ME-17</v>
      </c>
      <c r="C375" s="438" t="str">
        <v>INACTIVA</v>
      </c>
      <c r="D375" s="442">
        <v>98</v>
      </c>
      <c r="E375" s="429" t="str">
        <v>8N1620</v>
      </c>
      <c r="F375" s="443" t="str">
        <v>Protector de material aislante</v>
      </c>
      <c r="G375" s="430">
        <v>1</v>
      </c>
      <c r="H375" s="424">
        <v>17828.060000000001</v>
      </c>
      <c r="I375" s="425">
        <v>17828.060000000001</v>
      </c>
      <c r="J375" s="432" t="str">
        <v>2-3</v>
      </c>
      <c r="K375" s="431">
        <v>992.52</v>
      </c>
      <c r="L375" s="431">
        <v>992.52</v>
      </c>
      <c r="M375" s="431">
        <v>16872.84</v>
      </c>
      <c r="N375" s="432" t="str">
        <v>1-2</v>
      </c>
      <c r="O375" s="431">
        <v>126.32</v>
      </c>
      <c r="P375" s="431">
        <v>126.32</v>
      </c>
      <c r="Q375" s="431">
        <v>2147.44</v>
      </c>
      <c r="R375" s="432" t="str">
        <v>—</v>
      </c>
    </row>
    <row r="376" spans="2:18" x14ac:dyDescent="0.25">
      <c r="B376" s="440" t="str">
        <v>ME-17</v>
      </c>
      <c r="C376" s="438" t="str">
        <v>INACTIVA</v>
      </c>
      <c r="D376" s="442">
        <v>98</v>
      </c>
      <c r="E376" s="429" t="str">
        <v>1S4295</v>
      </c>
      <c r="F376" s="443" t="str">
        <v>Empaquetadura del turbocompresor Cat® de 1,92 mm de grosor</v>
      </c>
      <c r="G376" s="430">
        <v>1</v>
      </c>
      <c r="H376" s="424">
        <v>170.24</v>
      </c>
      <c r="I376" s="425">
        <v>170.24</v>
      </c>
      <c r="J376" s="432" t="str">
        <v>2-3</v>
      </c>
      <c r="K376" s="431">
        <v>11.73</v>
      </c>
      <c r="L376" s="431">
        <v>11.73</v>
      </c>
      <c r="M376" s="431">
        <v>199.41</v>
      </c>
      <c r="N376" s="432" t="str">
        <v>1-2</v>
      </c>
      <c r="O376" s="431">
        <v>3.98</v>
      </c>
      <c r="P376" s="431">
        <v>3.98</v>
      </c>
      <c r="Q376" s="431">
        <v>67.66</v>
      </c>
      <c r="R376" s="432" t="str">
        <v>—</v>
      </c>
    </row>
    <row r="377" spans="2:18" x14ac:dyDescent="0.25">
      <c r="B377" s="440" t="str">
        <v>ME-17</v>
      </c>
      <c r="C377" s="438" t="str">
        <v>INACTIVA</v>
      </c>
      <c r="D377" s="442">
        <v>98</v>
      </c>
      <c r="E377" s="429" t="str">
        <v>6E5952</v>
      </c>
      <c r="F377" s="443" t="str">
        <v>Kit de sellos de la bomba de engranajes</v>
      </c>
      <c r="G377" s="430">
        <v>1</v>
      </c>
      <c r="H377" s="424">
        <v>2391.12</v>
      </c>
      <c r="I377" s="425">
        <v>2391.12</v>
      </c>
      <c r="J377" s="432" t="str">
        <v>2-3</v>
      </c>
      <c r="K377" s="431">
        <v>136.93</v>
      </c>
      <c r="L377" s="431">
        <v>136.93</v>
      </c>
      <c r="M377" s="431">
        <v>2327.81</v>
      </c>
      <c r="N377" s="432" t="str">
        <v>1-2</v>
      </c>
      <c r="O377" s="431">
        <v>0</v>
      </c>
      <c r="P377" s="431" t="str">
        <v>—</v>
      </c>
      <c r="Q377" s="431" t="str">
        <v>—</v>
      </c>
      <c r="R377" s="432" t="str">
        <v>—</v>
      </c>
    </row>
    <row r="378" spans="2:18" x14ac:dyDescent="0.25">
      <c r="B378" s="440" t="str">
        <v>ME-17</v>
      </c>
      <c r="C378" s="438" t="str">
        <v>INACTIVA</v>
      </c>
      <c r="D378" s="442">
        <v>98</v>
      </c>
      <c r="E378" s="429" t="str">
        <v>4N7253</v>
      </c>
      <c r="F378" s="443" t="str">
        <v>Empaquetadura de cámara de culata de cilindro de 4,8 mm de grosor</v>
      </c>
      <c r="G378" s="430">
        <v>8</v>
      </c>
      <c r="H378" s="424">
        <v>43.61</v>
      </c>
      <c r="I378" s="425">
        <v>348.88</v>
      </c>
      <c r="J378" s="432" t="str">
        <v>2-3</v>
      </c>
      <c r="K378" s="431">
        <v>3</v>
      </c>
      <c r="L378" s="431">
        <v>24</v>
      </c>
      <c r="M378" s="431">
        <v>51</v>
      </c>
      <c r="N378" s="432" t="str">
        <v>1-2</v>
      </c>
      <c r="O378" s="431">
        <v>1.71</v>
      </c>
      <c r="P378" s="431">
        <v>13.68</v>
      </c>
      <c r="Q378" s="431">
        <v>29.07</v>
      </c>
      <c r="R378" s="432" t="str">
        <v>—</v>
      </c>
    </row>
    <row r="379" spans="2:18" x14ac:dyDescent="0.25">
      <c r="B379" s="440" t="str">
        <v>ME-17</v>
      </c>
      <c r="C379" s="438" t="str">
        <v>INACTIVA</v>
      </c>
      <c r="D379" s="442">
        <v>98</v>
      </c>
      <c r="E379" s="429" t="str">
        <v>5P5678</v>
      </c>
      <c r="F379" s="443" t="str">
        <v>Sello de cinta del motor</v>
      </c>
      <c r="G379" s="430">
        <v>2</v>
      </c>
      <c r="H379" s="424">
        <v>355.75</v>
      </c>
      <c r="I379" s="425">
        <v>711.5</v>
      </c>
      <c r="J379" s="432" t="str">
        <v>2-3</v>
      </c>
      <c r="K379" s="431">
        <v>24.11</v>
      </c>
      <c r="L379" s="431">
        <v>48.22</v>
      </c>
      <c r="M379" s="431">
        <v>409.87</v>
      </c>
      <c r="N379" s="432" t="str">
        <v>1-2</v>
      </c>
      <c r="O379" s="431">
        <v>3.47</v>
      </c>
      <c r="P379" s="431">
        <v>6.94</v>
      </c>
      <c r="Q379" s="431">
        <v>58.99</v>
      </c>
      <c r="R379" s="432" t="str">
        <v>—</v>
      </c>
    </row>
    <row r="380" spans="2:18" x14ac:dyDescent="0.25">
      <c r="B380" s="440" t="str">
        <v>ME-17</v>
      </c>
      <c r="C380" s="438" t="str">
        <v>INACTIVA</v>
      </c>
      <c r="D380" s="442">
        <v>98</v>
      </c>
      <c r="E380" s="429" t="str">
        <v>8C5196</v>
      </c>
      <c r="F380" s="443" t="str">
        <v>Junta Tórica de Diámetro Interior de 53,64 mm</v>
      </c>
      <c r="G380" s="430">
        <v>2</v>
      </c>
      <c r="H380" s="424">
        <v>51.46</v>
      </c>
      <c r="I380" s="425">
        <v>102.92</v>
      </c>
      <c r="J380" s="432" t="str">
        <v>2-3</v>
      </c>
      <c r="K380" s="431">
        <v>3.59</v>
      </c>
      <c r="L380" s="431">
        <v>7.18</v>
      </c>
      <c r="M380" s="431">
        <v>61.03</v>
      </c>
      <c r="N380" s="432" t="str">
        <v>1-2</v>
      </c>
      <c r="O380" s="431">
        <v>0.2</v>
      </c>
      <c r="P380" s="431">
        <v>0.4</v>
      </c>
      <c r="Q380" s="431">
        <v>3.4000000000000004</v>
      </c>
      <c r="R380" s="432" t="str">
        <v>—</v>
      </c>
    </row>
    <row r="381" spans="2:18" x14ac:dyDescent="0.25">
      <c r="B381" s="440" t="str">
        <v>ME-19</v>
      </c>
      <c r="C381" s="438" t="str">
        <v>INACTIVA</v>
      </c>
      <c r="D381" s="442">
        <v>143</v>
      </c>
      <c r="E381" s="429" t="str">
        <v>1R0773</v>
      </c>
      <c r="F381" s="443" t="str">
        <v>ELEMENT AS</v>
      </c>
      <c r="G381" s="430">
        <v>1</v>
      </c>
      <c r="H381" s="424">
        <v>533.78</v>
      </c>
      <c r="I381" s="425">
        <v>533.78</v>
      </c>
      <c r="J381" s="432" t="str">
        <v>5-7</v>
      </c>
      <c r="K381" s="431">
        <v>0</v>
      </c>
      <c r="L381" s="431" t="str">
        <v>—</v>
      </c>
      <c r="M381" s="431" t="str">
        <v>—</v>
      </c>
      <c r="N381" s="432" t="str">
        <v>—</v>
      </c>
      <c r="O381" s="431">
        <v>0</v>
      </c>
      <c r="P381" s="431" t="str">
        <v>—</v>
      </c>
      <c r="Q381" s="431" t="str">
        <v>—</v>
      </c>
      <c r="R381" s="432" t="str">
        <v>—</v>
      </c>
    </row>
    <row r="382" spans="2:18" x14ac:dyDescent="0.25">
      <c r="B382" s="440" t="str">
        <v>ME-19</v>
      </c>
      <c r="C382" s="438" t="str">
        <v>INACTIVA</v>
      </c>
      <c r="D382" s="442">
        <v>143</v>
      </c>
      <c r="E382" s="429" t="str">
        <v>5K1770</v>
      </c>
      <c r="F382" s="443" t="str">
        <v>JUNTA</v>
      </c>
      <c r="G382" s="430">
        <v>2</v>
      </c>
      <c r="H382" s="424">
        <v>267.95999999999998</v>
      </c>
      <c r="I382" s="425">
        <v>535.91999999999996</v>
      </c>
      <c r="J382" s="432" t="str">
        <v>5-7</v>
      </c>
      <c r="K382" s="431">
        <v>0</v>
      </c>
      <c r="L382" s="431" t="str">
        <v>—</v>
      </c>
      <c r="M382" s="431" t="str">
        <v>—</v>
      </c>
      <c r="N382" s="432" t="str">
        <v>—</v>
      </c>
      <c r="O382" s="431">
        <v>0</v>
      </c>
      <c r="P382" s="431" t="str">
        <v>—</v>
      </c>
      <c r="Q382" s="431" t="str">
        <v>—</v>
      </c>
      <c r="R382" s="432" t="str">
        <v>—</v>
      </c>
    </row>
    <row r="383" spans="2:18" x14ac:dyDescent="0.25">
      <c r="B383" s="440" t="str">
        <v>ME-19</v>
      </c>
      <c r="C383" s="438" t="str">
        <v>INACTIVA</v>
      </c>
      <c r="D383" s="442">
        <v>143</v>
      </c>
      <c r="E383" s="429" t="str">
        <v>2H3928</v>
      </c>
      <c r="F383" s="443" t="str">
        <v>JUNTAS</v>
      </c>
      <c r="G383" s="430">
        <v>1</v>
      </c>
      <c r="H383" s="424">
        <v>143.56</v>
      </c>
      <c r="I383" s="425">
        <v>143.56</v>
      </c>
      <c r="J383" s="432" t="str">
        <v>5-7</v>
      </c>
      <c r="K383" s="431">
        <v>0</v>
      </c>
      <c r="L383" s="431" t="str">
        <v>—</v>
      </c>
      <c r="M383" s="431" t="str">
        <v>—</v>
      </c>
      <c r="N383" s="432" t="str">
        <v>—</v>
      </c>
      <c r="O383" s="431">
        <v>0</v>
      </c>
      <c r="P383" s="431" t="str">
        <v>—</v>
      </c>
      <c r="Q383" s="431" t="str">
        <v>—</v>
      </c>
      <c r="R383" s="432" t="str">
        <v>—</v>
      </c>
    </row>
    <row r="384" spans="2:18" x14ac:dyDescent="0.25">
      <c r="B384" s="440" t="str">
        <v>ME-19</v>
      </c>
      <c r="C384" s="438" t="str">
        <v>INACTIVA</v>
      </c>
      <c r="D384" s="442">
        <v>143</v>
      </c>
      <c r="E384" s="429" t="str">
        <v>1P4110</v>
      </c>
      <c r="F384" s="443" t="str">
        <v>CILINDRO</v>
      </c>
      <c r="G384" s="430">
        <v>9</v>
      </c>
      <c r="H384" s="424">
        <v>5089.87</v>
      </c>
      <c r="I384" s="425">
        <v>45808.83</v>
      </c>
      <c r="J384" s="432" t="str">
        <v>5-7</v>
      </c>
      <c r="K384" s="431">
        <v>0</v>
      </c>
      <c r="L384" s="431" t="str">
        <v>—</v>
      </c>
      <c r="M384" s="431" t="str">
        <v>—</v>
      </c>
      <c r="N384" s="432" t="str">
        <v>—</v>
      </c>
      <c r="O384" s="431">
        <v>0</v>
      </c>
      <c r="P384" s="431" t="str">
        <v>—</v>
      </c>
      <c r="Q384" s="431" t="str">
        <v>—</v>
      </c>
      <c r="R384" s="432" t="str">
        <v>—</v>
      </c>
    </row>
    <row r="385" spans="2:18" x14ac:dyDescent="0.25">
      <c r="B385" s="440" t="str">
        <v>ME-19</v>
      </c>
      <c r="C385" s="438" t="str">
        <v>INACTIVA</v>
      </c>
      <c r="D385" s="442">
        <v>143</v>
      </c>
      <c r="E385" s="429" t="str">
        <v>9S8789</v>
      </c>
      <c r="F385" s="443" t="str">
        <v>DISCO</v>
      </c>
      <c r="G385" s="430">
        <v>1</v>
      </c>
      <c r="H385" s="424">
        <v>8928.34</v>
      </c>
      <c r="I385" s="425">
        <v>8928.34</v>
      </c>
      <c r="J385" s="432" t="str">
        <v>5-7</v>
      </c>
      <c r="K385" s="431">
        <v>0</v>
      </c>
      <c r="L385" s="431" t="str">
        <v>—</v>
      </c>
      <c r="M385" s="431" t="str">
        <v>—</v>
      </c>
      <c r="N385" s="432" t="str">
        <v>—</v>
      </c>
      <c r="O385" s="431">
        <v>0</v>
      </c>
      <c r="P385" s="431" t="str">
        <v>—</v>
      </c>
      <c r="Q385" s="431" t="str">
        <v>—</v>
      </c>
      <c r="R385" s="432" t="str">
        <v>—</v>
      </c>
    </row>
    <row r="386" spans="2:18" x14ac:dyDescent="0.25">
      <c r="B386" s="440" t="str">
        <v>ME-19</v>
      </c>
      <c r="C386" s="438" t="str">
        <v>INACTIVA</v>
      </c>
      <c r="D386" s="442">
        <v>143</v>
      </c>
      <c r="E386" s="429" t="str">
        <v>9P4251</v>
      </c>
      <c r="F386" s="443" t="str">
        <v>DISCO</v>
      </c>
      <c r="G386" s="430">
        <v>3</v>
      </c>
      <c r="H386" s="424">
        <v>4319.09</v>
      </c>
      <c r="I386" s="425">
        <v>12957.27</v>
      </c>
      <c r="J386" s="432" t="str">
        <v>5-7</v>
      </c>
      <c r="K386" s="431">
        <v>0</v>
      </c>
      <c r="L386" s="431" t="str">
        <v>—</v>
      </c>
      <c r="M386" s="431" t="str">
        <v>—</v>
      </c>
      <c r="N386" s="432" t="str">
        <v>—</v>
      </c>
      <c r="O386" s="431">
        <v>0</v>
      </c>
      <c r="P386" s="431" t="str">
        <v>—</v>
      </c>
      <c r="Q386" s="431" t="str">
        <v>—</v>
      </c>
      <c r="R386" s="432" t="str">
        <v>—</v>
      </c>
    </row>
    <row r="387" spans="2:18" x14ac:dyDescent="0.25">
      <c r="B387" s="440" t="str">
        <v>ME-19</v>
      </c>
      <c r="C387" s="438" t="str">
        <v>INACTIVA</v>
      </c>
      <c r="D387" s="442">
        <v>143</v>
      </c>
      <c r="E387" s="429" t="str">
        <v>9M6193</v>
      </c>
      <c r="F387" s="443" t="str">
        <v>RESORTE</v>
      </c>
      <c r="G387" s="430">
        <v>75</v>
      </c>
      <c r="H387" s="424">
        <v>92.01</v>
      </c>
      <c r="I387" s="425">
        <v>6900.75</v>
      </c>
      <c r="J387" s="432" t="str">
        <v>5-7</v>
      </c>
      <c r="K387" s="431">
        <v>0</v>
      </c>
      <c r="L387" s="431" t="str">
        <v>—</v>
      </c>
      <c r="M387" s="431" t="str">
        <v>—</v>
      </c>
      <c r="N387" s="432" t="str">
        <v>—</v>
      </c>
      <c r="O387" s="431">
        <v>0</v>
      </c>
      <c r="P387" s="431" t="str">
        <v>—</v>
      </c>
      <c r="Q387" s="431" t="str">
        <v>—</v>
      </c>
      <c r="R387" s="432" t="str">
        <v>—</v>
      </c>
    </row>
    <row r="388" spans="2:18" x14ac:dyDescent="0.25">
      <c r="B388" s="440" t="str">
        <v>ME-19</v>
      </c>
      <c r="C388" s="438" t="str">
        <v>INACTIVA</v>
      </c>
      <c r="D388" s="442">
        <v>143</v>
      </c>
      <c r="E388" s="429" t="str">
        <v>RN0R5011</v>
      </c>
      <c r="F388" s="443" t="str">
        <v>PLATE CLUTCH</v>
      </c>
      <c r="G388" s="430">
        <v>4</v>
      </c>
      <c r="H388" s="424">
        <v>7737.82</v>
      </c>
      <c r="I388" s="425">
        <v>30951.279999999999</v>
      </c>
      <c r="J388" s="432" t="str">
        <v>5-7</v>
      </c>
      <c r="K388" s="431">
        <v>0</v>
      </c>
      <c r="L388" s="431" t="str">
        <v>—</v>
      </c>
      <c r="M388" s="431" t="str">
        <v>—</v>
      </c>
      <c r="N388" s="432" t="str">
        <v>—</v>
      </c>
      <c r="O388" s="431">
        <v>0</v>
      </c>
      <c r="P388" s="431" t="str">
        <v>—</v>
      </c>
      <c r="Q388" s="431" t="str">
        <v>—</v>
      </c>
      <c r="R388" s="432" t="str">
        <v>—</v>
      </c>
    </row>
    <row r="389" spans="2:18" x14ac:dyDescent="0.25">
      <c r="B389" s="440" t="str">
        <v>ME-19</v>
      </c>
      <c r="C389" s="438" t="str">
        <v>INACTIVA</v>
      </c>
      <c r="D389" s="442">
        <v>143</v>
      </c>
      <c r="E389" s="429" t="str">
        <v>CARGO REMAN</v>
      </c>
      <c r="F389" s="443" t="str">
        <v>CARGO REMANENTE RN0R5011</v>
      </c>
      <c r="G389" s="430">
        <v>4</v>
      </c>
      <c r="H389" s="424">
        <v>3675.46</v>
      </c>
      <c r="I389" s="425">
        <v>14701.84</v>
      </c>
      <c r="J389" s="432" t="str">
        <v>5-7</v>
      </c>
      <c r="K389" s="431">
        <v>0</v>
      </c>
      <c r="L389" s="431" t="str">
        <v>—</v>
      </c>
      <c r="M389" s="431" t="str">
        <v>—</v>
      </c>
      <c r="N389" s="432" t="str">
        <v>—</v>
      </c>
      <c r="O389" s="431">
        <v>0</v>
      </c>
      <c r="P389" s="431" t="str">
        <v>—</v>
      </c>
      <c r="Q389" s="431" t="str">
        <v>—</v>
      </c>
      <c r="R389" s="432" t="str">
        <v>—</v>
      </c>
    </row>
    <row r="390" spans="2:18" x14ac:dyDescent="0.25">
      <c r="B390" s="440" t="str">
        <v>ME-19</v>
      </c>
      <c r="C390" s="438" t="str">
        <v>INACTIVA</v>
      </c>
      <c r="D390" s="442">
        <v>143</v>
      </c>
      <c r="E390" s="429" t="str">
        <v>N0R5016</v>
      </c>
      <c r="F390" s="443" t="str">
        <v>PLATE CLUTCH</v>
      </c>
      <c r="G390" s="430">
        <v>9</v>
      </c>
      <c r="H390" s="424">
        <v>9028.76</v>
      </c>
      <c r="I390" s="425">
        <v>81258.84</v>
      </c>
      <c r="J390" s="432" t="str">
        <v>5-7</v>
      </c>
      <c r="K390" s="431">
        <v>0</v>
      </c>
      <c r="L390" s="431" t="str">
        <v>—</v>
      </c>
      <c r="M390" s="431" t="str">
        <v>—</v>
      </c>
      <c r="N390" s="432" t="str">
        <v>—</v>
      </c>
      <c r="O390" s="431">
        <v>0</v>
      </c>
      <c r="P390" s="431" t="str">
        <v>—</v>
      </c>
      <c r="Q390" s="431" t="str">
        <v>—</v>
      </c>
      <c r="R390" s="432" t="str">
        <v>—</v>
      </c>
    </row>
    <row r="391" spans="2:18" x14ac:dyDescent="0.25">
      <c r="B391" s="440" t="str">
        <v>ME-19</v>
      </c>
      <c r="C391" s="438" t="str">
        <v>INACTIVA</v>
      </c>
      <c r="D391" s="442">
        <v>143</v>
      </c>
      <c r="E391" s="429" t="str">
        <v>CARGO REMAN</v>
      </c>
      <c r="F391" s="443" t="str">
        <v>CARGO REMANENTE N0R5016</v>
      </c>
      <c r="G391" s="430">
        <v>9</v>
      </c>
      <c r="H391" s="424">
        <v>4288.66</v>
      </c>
      <c r="I391" s="425">
        <v>38597.94</v>
      </c>
      <c r="J391" s="432" t="str">
        <v>5-7</v>
      </c>
      <c r="K391" s="431">
        <v>0</v>
      </c>
      <c r="L391" s="431" t="str">
        <v>—</v>
      </c>
      <c r="M391" s="431" t="str">
        <v>—</v>
      </c>
      <c r="N391" s="432" t="str">
        <v>—</v>
      </c>
      <c r="O391" s="431">
        <v>0</v>
      </c>
      <c r="P391" s="431" t="str">
        <v>—</v>
      </c>
      <c r="Q391" s="431" t="str">
        <v>—</v>
      </c>
      <c r="R391" s="432" t="str">
        <v>—</v>
      </c>
    </row>
    <row r="392" spans="2:18" x14ac:dyDescent="0.25">
      <c r="B392" s="440" t="str">
        <v>ME-19</v>
      </c>
      <c r="C392" s="438" t="str">
        <v>INACTIVA</v>
      </c>
      <c r="D392" s="442">
        <v>143</v>
      </c>
      <c r="E392" s="429" t="str">
        <v>4M9592</v>
      </c>
      <c r="F392" s="443" t="str">
        <v>RESORTE</v>
      </c>
      <c r="G392" s="430">
        <v>20</v>
      </c>
      <c r="H392" s="424">
        <v>184.37</v>
      </c>
      <c r="I392" s="425">
        <v>3687.4</v>
      </c>
      <c r="J392" s="432" t="str">
        <v>5-7</v>
      </c>
      <c r="K392" s="431">
        <v>0</v>
      </c>
      <c r="L392" s="431" t="str">
        <v>—</v>
      </c>
      <c r="M392" s="431" t="str">
        <v>—</v>
      </c>
      <c r="N392" s="432" t="str">
        <v>—</v>
      </c>
      <c r="O392" s="431">
        <v>0</v>
      </c>
      <c r="P392" s="431" t="str">
        <v>—</v>
      </c>
      <c r="Q392" s="431" t="str">
        <v>—</v>
      </c>
      <c r="R392" s="432" t="str">
        <v>—</v>
      </c>
    </row>
    <row r="393" spans="2:18" x14ac:dyDescent="0.25">
      <c r="B393" s="440" t="str">
        <v>ME-19</v>
      </c>
      <c r="C393" s="438" t="str">
        <v>INACTIVA</v>
      </c>
      <c r="D393" s="442">
        <v>143</v>
      </c>
      <c r="E393" s="429" t="str">
        <v>5B1952</v>
      </c>
      <c r="F393" s="443" t="str">
        <v>RESORTE</v>
      </c>
      <c r="G393" s="430">
        <v>5</v>
      </c>
      <c r="H393" s="424">
        <v>270.47000000000003</v>
      </c>
      <c r="I393" s="425">
        <v>1352.3500000000001</v>
      </c>
      <c r="J393" s="432" t="str">
        <v>5-7</v>
      </c>
      <c r="K393" s="431">
        <v>0</v>
      </c>
      <c r="L393" s="431" t="str">
        <v>—</v>
      </c>
      <c r="M393" s="431" t="str">
        <v>—</v>
      </c>
      <c r="N393" s="432" t="str">
        <v>—</v>
      </c>
      <c r="O393" s="431">
        <v>0</v>
      </c>
      <c r="P393" s="431" t="str">
        <v>—</v>
      </c>
      <c r="Q393" s="431" t="str">
        <v>—</v>
      </c>
      <c r="R393" s="432" t="str">
        <v>—</v>
      </c>
    </row>
    <row r="394" spans="2:18" x14ac:dyDescent="0.25">
      <c r="B394" s="440" t="str">
        <v>ME-19</v>
      </c>
      <c r="C394" s="438" t="str">
        <v>INACTIVA</v>
      </c>
      <c r="D394" s="442">
        <v>143</v>
      </c>
      <c r="E394" s="429" t="str">
        <v>4S8724</v>
      </c>
      <c r="F394" s="443" t="str">
        <v>DISCO</v>
      </c>
      <c r="G394" s="430">
        <v>3</v>
      </c>
      <c r="H394" s="424">
        <v>2814.6</v>
      </c>
      <c r="I394" s="425">
        <v>8443.7999999999993</v>
      </c>
      <c r="J394" s="432" t="str">
        <v>5-7</v>
      </c>
      <c r="K394" s="431">
        <v>0</v>
      </c>
      <c r="L394" s="431" t="str">
        <v>—</v>
      </c>
      <c r="M394" s="431" t="str">
        <v>—</v>
      </c>
      <c r="N394" s="432" t="str">
        <v>—</v>
      </c>
      <c r="O394" s="431">
        <v>0</v>
      </c>
      <c r="P394" s="431" t="str">
        <v>—</v>
      </c>
      <c r="Q394" s="431" t="str">
        <v>—</v>
      </c>
      <c r="R394" s="432" t="str">
        <v>—</v>
      </c>
    </row>
    <row r="395" spans="2:18" x14ac:dyDescent="0.25">
      <c r="B395" s="440" t="str">
        <v>ME-19</v>
      </c>
      <c r="C395" s="438" t="str">
        <v>INACTIVA</v>
      </c>
      <c r="D395" s="442">
        <v>143</v>
      </c>
      <c r="E395" s="429" t="str">
        <v>3892007</v>
      </c>
      <c r="F395" s="443" t="str">
        <v>DISC-FRICTIO</v>
      </c>
      <c r="G395" s="430">
        <v>5</v>
      </c>
      <c r="H395" s="424">
        <v>4319.09</v>
      </c>
      <c r="I395" s="425">
        <v>21595.45</v>
      </c>
      <c r="J395" s="432" t="str">
        <v>5-7</v>
      </c>
      <c r="K395" s="431">
        <v>0</v>
      </c>
      <c r="L395" s="431" t="str">
        <v>—</v>
      </c>
      <c r="M395" s="431" t="str">
        <v>—</v>
      </c>
      <c r="N395" s="432" t="str">
        <v>—</v>
      </c>
      <c r="O395" s="431">
        <v>0</v>
      </c>
      <c r="P395" s="431" t="str">
        <v>—</v>
      </c>
      <c r="Q395" s="431" t="str">
        <v>—</v>
      </c>
      <c r="R395" s="432" t="str">
        <v>—</v>
      </c>
    </row>
    <row r="396" spans="2:18" x14ac:dyDescent="0.25">
      <c r="B396" s="440" t="str">
        <v>ME-19</v>
      </c>
      <c r="C396" s="438" t="str">
        <v>INACTIVA</v>
      </c>
      <c r="D396" s="442">
        <v>143</v>
      </c>
      <c r="E396" s="429" t="str">
        <v>8E8300</v>
      </c>
      <c r="F396" s="443" t="str">
        <v>ARANDELA</v>
      </c>
      <c r="G396" s="430">
        <v>8</v>
      </c>
      <c r="H396" s="424">
        <v>175.24</v>
      </c>
      <c r="I396" s="425">
        <v>1401.92</v>
      </c>
      <c r="J396" s="432" t="str">
        <v>5-7</v>
      </c>
      <c r="K396" s="431">
        <v>0</v>
      </c>
      <c r="L396" s="431" t="str">
        <v>—</v>
      </c>
      <c r="M396" s="431" t="str">
        <v>—</v>
      </c>
      <c r="N396" s="432" t="str">
        <v>—</v>
      </c>
      <c r="O396" s="431">
        <v>0</v>
      </c>
      <c r="P396" s="431" t="str">
        <v>—</v>
      </c>
      <c r="Q396" s="431" t="str">
        <v>—</v>
      </c>
      <c r="R396" s="432" t="str">
        <v>—</v>
      </c>
    </row>
    <row r="397" spans="2:18" x14ac:dyDescent="0.25">
      <c r="B397" s="440" t="str">
        <v>ME-19</v>
      </c>
      <c r="C397" s="438" t="str">
        <v>INACTIVA</v>
      </c>
      <c r="D397" s="442">
        <v>143</v>
      </c>
      <c r="E397" s="429" t="str">
        <v>8E8304</v>
      </c>
      <c r="F397" s="443" t="str">
        <v>DISCO</v>
      </c>
      <c r="G397" s="430">
        <v>22</v>
      </c>
      <c r="H397" s="424">
        <v>197.62</v>
      </c>
      <c r="I397" s="425">
        <v>4347.6400000000003</v>
      </c>
      <c r="J397" s="432" t="str">
        <v>5-7</v>
      </c>
      <c r="K397" s="431">
        <v>0</v>
      </c>
      <c r="L397" s="431" t="str">
        <v>—</v>
      </c>
      <c r="M397" s="431" t="str">
        <v>—</v>
      </c>
      <c r="N397" s="432" t="str">
        <v>—</v>
      </c>
      <c r="O397" s="431">
        <v>0</v>
      </c>
      <c r="P397" s="431" t="str">
        <v>—</v>
      </c>
      <c r="Q397" s="431" t="str">
        <v>—</v>
      </c>
      <c r="R397" s="432" t="str">
        <v>—</v>
      </c>
    </row>
    <row r="398" spans="2:18" x14ac:dyDescent="0.25">
      <c r="B398" s="440" t="str">
        <v>ME-19</v>
      </c>
      <c r="C398" s="438" t="str">
        <v>INACTIVA</v>
      </c>
      <c r="D398" s="442">
        <v>143</v>
      </c>
      <c r="E398" s="429" t="str">
        <v>8E8307</v>
      </c>
      <c r="F398" s="443" t="str">
        <v>ARANDELA P</v>
      </c>
      <c r="G398" s="430">
        <v>16</v>
      </c>
      <c r="H398" s="424">
        <v>217.13</v>
      </c>
      <c r="I398" s="425">
        <v>3474.08</v>
      </c>
      <c r="J398" s="432" t="str">
        <v>5-7</v>
      </c>
      <c r="K398" s="431">
        <v>0</v>
      </c>
      <c r="L398" s="431" t="str">
        <v>—</v>
      </c>
      <c r="M398" s="431" t="str">
        <v>—</v>
      </c>
      <c r="N398" s="432" t="str">
        <v>—</v>
      </c>
      <c r="O398" s="431">
        <v>0</v>
      </c>
      <c r="P398" s="431" t="str">
        <v>—</v>
      </c>
      <c r="Q398" s="431" t="str">
        <v>—</v>
      </c>
      <c r="R398" s="432" t="str">
        <v>—</v>
      </c>
    </row>
    <row r="399" spans="2:18" x14ac:dyDescent="0.25">
      <c r="B399" s="440" t="str">
        <v>ME-19</v>
      </c>
      <c r="C399" s="438" t="str">
        <v>INACTIVA</v>
      </c>
      <c r="D399" s="442">
        <v>143</v>
      </c>
      <c r="E399" s="429" t="str">
        <v>9W4662</v>
      </c>
      <c r="F399" s="443" t="str">
        <v>DISCO</v>
      </c>
      <c r="G399" s="430">
        <v>3</v>
      </c>
      <c r="H399" s="424">
        <v>2868.65</v>
      </c>
      <c r="I399" s="425">
        <v>8605.9500000000007</v>
      </c>
      <c r="J399" s="432" t="str">
        <v>5-7</v>
      </c>
      <c r="K399" s="431">
        <v>0</v>
      </c>
      <c r="L399" s="431" t="str">
        <v>—</v>
      </c>
      <c r="M399" s="431" t="str">
        <v>—</v>
      </c>
      <c r="N399" s="432" t="str">
        <v>—</v>
      </c>
      <c r="O399" s="431">
        <v>0</v>
      </c>
      <c r="P399" s="431" t="str">
        <v>—</v>
      </c>
      <c r="Q399" s="431" t="str">
        <v>—</v>
      </c>
      <c r="R399" s="432" t="str">
        <v>—</v>
      </c>
    </row>
    <row r="400" spans="2:18" x14ac:dyDescent="0.25">
      <c r="B400" s="440" t="str">
        <v>ME-19</v>
      </c>
      <c r="C400" s="438" t="str">
        <v>INACTIVA</v>
      </c>
      <c r="D400" s="442">
        <v>143</v>
      </c>
      <c r="E400" s="429" t="str">
        <v>2157639</v>
      </c>
      <c r="F400" s="443" t="str">
        <v>BEARING KIT</v>
      </c>
      <c r="G400" s="430">
        <v>1</v>
      </c>
      <c r="H400" s="424">
        <v>87438.82</v>
      </c>
      <c r="I400" s="425">
        <v>87438.82</v>
      </c>
      <c r="J400" s="432" t="str">
        <v>5-7</v>
      </c>
      <c r="K400" s="431">
        <v>0</v>
      </c>
      <c r="L400" s="431" t="str">
        <v>—</v>
      </c>
      <c r="M400" s="431" t="str">
        <v>—</v>
      </c>
      <c r="N400" s="432" t="str">
        <v>—</v>
      </c>
      <c r="O400" s="431">
        <v>0</v>
      </c>
      <c r="P400" s="431" t="str">
        <v>—</v>
      </c>
      <c r="Q400" s="431" t="str">
        <v>—</v>
      </c>
      <c r="R400" s="432" t="str">
        <v>—</v>
      </c>
    </row>
    <row r="401" spans="2:18" x14ac:dyDescent="0.25">
      <c r="B401" s="440" t="str">
        <v>ME-19</v>
      </c>
      <c r="C401" s="438" t="str">
        <v>INACTIVA</v>
      </c>
      <c r="D401" s="442">
        <v>143</v>
      </c>
      <c r="E401" s="429" t="str">
        <v>6V7477</v>
      </c>
      <c r="F401" s="443" t="str">
        <v>JUNTAS</v>
      </c>
      <c r="G401" s="430">
        <v>1</v>
      </c>
      <c r="H401" s="424">
        <v>2340.7800000000002</v>
      </c>
      <c r="I401" s="425">
        <v>2340.7800000000002</v>
      </c>
      <c r="J401" s="432" t="str">
        <v>5-7</v>
      </c>
      <c r="K401" s="431">
        <v>0</v>
      </c>
      <c r="L401" s="431" t="str">
        <v>—</v>
      </c>
      <c r="M401" s="431" t="str">
        <v>—</v>
      </c>
      <c r="N401" s="432" t="str">
        <v>—</v>
      </c>
      <c r="O401" s="431">
        <v>0</v>
      </c>
      <c r="P401" s="431" t="str">
        <v>—</v>
      </c>
      <c r="Q401" s="431" t="str">
        <v>—</v>
      </c>
      <c r="R401" s="432" t="str">
        <v>—</v>
      </c>
    </row>
    <row r="402" spans="2:18" x14ac:dyDescent="0.25">
      <c r="B402" s="440" t="str">
        <v>ME-19</v>
      </c>
      <c r="C402" s="438" t="str">
        <v>INACTIVA</v>
      </c>
      <c r="D402" s="442">
        <v>143</v>
      </c>
      <c r="E402" s="429" t="str">
        <v>8C5378</v>
      </c>
      <c r="F402" s="443" t="str">
        <v>KIT GASKET</v>
      </c>
      <c r="G402" s="430">
        <v>1</v>
      </c>
      <c r="H402" s="424">
        <v>0</v>
      </c>
      <c r="I402" s="425">
        <v>0</v>
      </c>
      <c r="J402" s="432" t="str">
        <v>5-7</v>
      </c>
      <c r="K402" s="431">
        <v>0</v>
      </c>
      <c r="L402" s="431" t="str">
        <v>—</v>
      </c>
      <c r="M402" s="431" t="str">
        <v>—</v>
      </c>
      <c r="N402" s="432" t="str">
        <v>—</v>
      </c>
      <c r="O402" s="431">
        <v>0</v>
      </c>
      <c r="P402" s="431" t="str">
        <v>—</v>
      </c>
      <c r="Q402" s="431" t="str">
        <v>—</v>
      </c>
      <c r="R402" s="432" t="str">
        <v>—</v>
      </c>
    </row>
    <row r="403" spans="2:18" x14ac:dyDescent="0.25">
      <c r="B403" s="440" t="str">
        <v>ME-19</v>
      </c>
      <c r="C403" s="438" t="str">
        <v>INACTIVA</v>
      </c>
      <c r="D403" s="442">
        <v>143</v>
      </c>
      <c r="E403" s="429" t="str">
        <v>159799</v>
      </c>
      <c r="F403" s="443" t="str">
        <v>SELLO</v>
      </c>
      <c r="G403" s="430">
        <v>2</v>
      </c>
      <c r="H403" s="424">
        <v>125.84</v>
      </c>
      <c r="I403" s="425">
        <v>251.68</v>
      </c>
      <c r="J403" s="432" t="str">
        <v>5-7</v>
      </c>
      <c r="K403" s="431">
        <v>0</v>
      </c>
      <c r="L403" s="431" t="str">
        <v>—</v>
      </c>
      <c r="M403" s="431" t="str">
        <v>—</v>
      </c>
      <c r="N403" s="432" t="str">
        <v>—</v>
      </c>
      <c r="O403" s="431">
        <v>0</v>
      </c>
      <c r="P403" s="431" t="str">
        <v>—</v>
      </c>
      <c r="Q403" s="431" t="str">
        <v>—</v>
      </c>
      <c r="R403" s="432" t="str">
        <v>—</v>
      </c>
    </row>
    <row r="404" spans="2:18" x14ac:dyDescent="0.25">
      <c r="B404" s="440" t="str">
        <v>ME-19</v>
      </c>
      <c r="C404" s="438" t="str">
        <v>INACTIVA</v>
      </c>
      <c r="D404" s="442">
        <v>143</v>
      </c>
      <c r="E404" s="429" t="str">
        <v>2D6507</v>
      </c>
      <c r="F404" s="443" t="str">
        <v>EMPAQUE</v>
      </c>
      <c r="G404" s="430">
        <v>2</v>
      </c>
      <c r="H404" s="424">
        <v>295.17</v>
      </c>
      <c r="I404" s="425">
        <v>590.34</v>
      </c>
      <c r="J404" s="432" t="str">
        <v>5-7</v>
      </c>
      <c r="K404" s="431">
        <v>0</v>
      </c>
      <c r="L404" s="431" t="str">
        <v>—</v>
      </c>
      <c r="M404" s="431" t="str">
        <v>—</v>
      </c>
      <c r="N404" s="432" t="str">
        <v>—</v>
      </c>
      <c r="O404" s="431">
        <v>0</v>
      </c>
      <c r="P404" s="431" t="str">
        <v>—</v>
      </c>
      <c r="Q404" s="431" t="str">
        <v>—</v>
      </c>
      <c r="R404" s="432" t="str">
        <v>—</v>
      </c>
    </row>
    <row r="405" spans="2:18" x14ac:dyDescent="0.25">
      <c r="B405" s="440" t="str">
        <v>ME-19</v>
      </c>
      <c r="C405" s="438" t="str">
        <v>INACTIVA</v>
      </c>
      <c r="D405" s="442">
        <v>143</v>
      </c>
      <c r="E405" s="429" t="str">
        <v>2K2939</v>
      </c>
      <c r="F405" s="443" t="str">
        <v>JUNTA</v>
      </c>
      <c r="G405" s="430">
        <v>1</v>
      </c>
      <c r="H405" s="424">
        <v>173.09</v>
      </c>
      <c r="I405" s="425">
        <v>173.09</v>
      </c>
      <c r="J405" s="432" t="str">
        <v>5-7</v>
      </c>
      <c r="K405" s="431">
        <v>0</v>
      </c>
      <c r="L405" s="431" t="str">
        <v>—</v>
      </c>
      <c r="M405" s="431" t="str">
        <v>—</v>
      </c>
      <c r="N405" s="432" t="str">
        <v>—</v>
      </c>
      <c r="O405" s="431">
        <v>0</v>
      </c>
      <c r="P405" s="431" t="str">
        <v>—</v>
      </c>
      <c r="Q405" s="431" t="str">
        <v>—</v>
      </c>
      <c r="R405" s="432" t="str">
        <v>—</v>
      </c>
    </row>
    <row r="406" spans="2:18" x14ac:dyDescent="0.25">
      <c r="B406" s="440" t="str">
        <v>ME-19</v>
      </c>
      <c r="C406" s="438" t="str">
        <v>INACTIVA</v>
      </c>
      <c r="D406" s="442">
        <v>143</v>
      </c>
      <c r="E406" s="429" t="str">
        <v>3D2824</v>
      </c>
      <c r="F406" s="443" t="str">
        <v>JUNTA</v>
      </c>
      <c r="G406" s="430">
        <v>1</v>
      </c>
      <c r="H406" s="424">
        <v>48.33</v>
      </c>
      <c r="I406" s="425">
        <v>48.33</v>
      </c>
      <c r="J406" s="432" t="str">
        <v>5-7</v>
      </c>
      <c r="K406" s="431">
        <v>0</v>
      </c>
      <c r="L406" s="431" t="str">
        <v>—</v>
      </c>
      <c r="M406" s="431" t="str">
        <v>—</v>
      </c>
      <c r="N406" s="432" t="str">
        <v>—</v>
      </c>
      <c r="O406" s="431">
        <v>0</v>
      </c>
      <c r="P406" s="431" t="str">
        <v>—</v>
      </c>
      <c r="Q406" s="431" t="str">
        <v>—</v>
      </c>
      <c r="R406" s="432" t="str">
        <v>—</v>
      </c>
    </row>
    <row r="407" spans="2:18" x14ac:dyDescent="0.25">
      <c r="B407" s="440" t="str">
        <v>ME-19</v>
      </c>
      <c r="C407" s="438" t="str">
        <v>INACTIVA</v>
      </c>
      <c r="D407" s="442">
        <v>143</v>
      </c>
      <c r="E407" s="429" t="str">
        <v>3J1907</v>
      </c>
      <c r="F407" s="443" t="str">
        <v>SELLOS</v>
      </c>
      <c r="G407" s="430">
        <v>2</v>
      </c>
      <c r="H407" s="424">
        <v>31.5</v>
      </c>
      <c r="I407" s="425">
        <v>63</v>
      </c>
      <c r="J407" s="432" t="str">
        <v>5-7</v>
      </c>
      <c r="K407" s="431">
        <v>0</v>
      </c>
      <c r="L407" s="431" t="str">
        <v>—</v>
      </c>
      <c r="M407" s="431" t="str">
        <v>—</v>
      </c>
      <c r="N407" s="432" t="str">
        <v>—</v>
      </c>
      <c r="O407" s="431">
        <v>0</v>
      </c>
      <c r="P407" s="431" t="str">
        <v>—</v>
      </c>
      <c r="Q407" s="431" t="str">
        <v>—</v>
      </c>
      <c r="R407" s="432" t="str">
        <v>—</v>
      </c>
    </row>
    <row r="408" spans="2:18" x14ac:dyDescent="0.25">
      <c r="B408" s="440" t="str">
        <v>ME-19</v>
      </c>
      <c r="C408" s="438" t="str">
        <v>INACTIVA</v>
      </c>
      <c r="D408" s="442">
        <v>143</v>
      </c>
      <c r="E408" s="429" t="str">
        <v>4F7390</v>
      </c>
      <c r="F408" s="443" t="str">
        <v>JUNTA</v>
      </c>
      <c r="G408" s="430">
        <v>1</v>
      </c>
      <c r="H408" s="424">
        <v>122.61</v>
      </c>
      <c r="I408" s="425">
        <v>122.61</v>
      </c>
      <c r="J408" s="432" t="str">
        <v>5-7</v>
      </c>
      <c r="K408" s="431">
        <v>0</v>
      </c>
      <c r="L408" s="431" t="str">
        <v>—</v>
      </c>
      <c r="M408" s="431" t="str">
        <v>—</v>
      </c>
      <c r="N408" s="432" t="str">
        <v>—</v>
      </c>
      <c r="O408" s="431">
        <v>0</v>
      </c>
      <c r="P408" s="431" t="str">
        <v>—</v>
      </c>
      <c r="Q408" s="431" t="str">
        <v>—</v>
      </c>
      <c r="R408" s="432" t="str">
        <v>—</v>
      </c>
    </row>
    <row r="409" spans="2:18" x14ac:dyDescent="0.25">
      <c r="B409" s="440" t="str">
        <v>ME-19</v>
      </c>
      <c r="C409" s="438" t="str">
        <v>INACTIVA</v>
      </c>
      <c r="D409" s="442">
        <v>143</v>
      </c>
      <c r="E409" s="429" t="str">
        <v>4F9029</v>
      </c>
      <c r="F409" s="443" t="str">
        <v>JUNTA CAUC</v>
      </c>
      <c r="G409" s="430">
        <v>1</v>
      </c>
      <c r="H409" s="424">
        <v>55.85</v>
      </c>
      <c r="I409" s="425">
        <v>55.85</v>
      </c>
      <c r="J409" s="432" t="str">
        <v>5-7</v>
      </c>
      <c r="K409" s="431">
        <v>0</v>
      </c>
      <c r="L409" s="431" t="str">
        <v>—</v>
      </c>
      <c r="M409" s="431" t="str">
        <v>—</v>
      </c>
      <c r="N409" s="432" t="str">
        <v>—</v>
      </c>
      <c r="O409" s="431">
        <v>0</v>
      </c>
      <c r="P409" s="431" t="str">
        <v>—</v>
      </c>
      <c r="Q409" s="431" t="str">
        <v>—</v>
      </c>
      <c r="R409" s="432" t="str">
        <v>—</v>
      </c>
    </row>
    <row r="410" spans="2:18" x14ac:dyDescent="0.25">
      <c r="B410" s="440" t="str">
        <v>ME-19</v>
      </c>
      <c r="C410" s="438" t="str">
        <v>INACTIVA</v>
      </c>
      <c r="D410" s="442">
        <v>143</v>
      </c>
      <c r="E410" s="429" t="str">
        <v>5D7523</v>
      </c>
      <c r="F410" s="443" t="str">
        <v>EMPAQUE</v>
      </c>
      <c r="G410" s="430">
        <v>1</v>
      </c>
      <c r="H410" s="424">
        <v>475.42</v>
      </c>
      <c r="I410" s="425">
        <v>475.42</v>
      </c>
      <c r="J410" s="432" t="str">
        <v>5-7</v>
      </c>
      <c r="K410" s="431">
        <v>0</v>
      </c>
      <c r="L410" s="431" t="str">
        <v>—</v>
      </c>
      <c r="M410" s="431" t="str">
        <v>—</v>
      </c>
      <c r="N410" s="432" t="str">
        <v>—</v>
      </c>
      <c r="O410" s="431">
        <v>0</v>
      </c>
      <c r="P410" s="431" t="str">
        <v>—</v>
      </c>
      <c r="Q410" s="431" t="str">
        <v>—</v>
      </c>
      <c r="R410" s="432" t="str">
        <v>—</v>
      </c>
    </row>
    <row r="411" spans="2:18" x14ac:dyDescent="0.25">
      <c r="B411" s="440" t="str">
        <v>ME-19</v>
      </c>
      <c r="C411" s="438" t="str">
        <v>INACTIVA</v>
      </c>
      <c r="D411" s="442">
        <v>143</v>
      </c>
      <c r="E411" s="429" t="str">
        <v>5H7153</v>
      </c>
      <c r="F411" s="443" t="str">
        <v>JUNTA</v>
      </c>
      <c r="G411" s="430">
        <v>1</v>
      </c>
      <c r="H411" s="424">
        <v>153.4</v>
      </c>
      <c r="I411" s="425">
        <v>153.4</v>
      </c>
      <c r="J411" s="432" t="str">
        <v>5-7</v>
      </c>
      <c r="K411" s="431">
        <v>0</v>
      </c>
      <c r="L411" s="431" t="str">
        <v>—</v>
      </c>
      <c r="M411" s="431" t="str">
        <v>—</v>
      </c>
      <c r="N411" s="432" t="str">
        <v>—</v>
      </c>
      <c r="O411" s="431">
        <v>0</v>
      </c>
      <c r="P411" s="431" t="str">
        <v>—</v>
      </c>
      <c r="Q411" s="431" t="str">
        <v>—</v>
      </c>
      <c r="R411" s="432" t="str">
        <v>—</v>
      </c>
    </row>
    <row r="412" spans="2:18" x14ac:dyDescent="0.25">
      <c r="B412" s="440" t="str">
        <v>ME-19</v>
      </c>
      <c r="C412" s="438" t="str">
        <v>INACTIVA</v>
      </c>
      <c r="D412" s="442">
        <v>143</v>
      </c>
      <c r="E412" s="429" t="str">
        <v>7G1594</v>
      </c>
      <c r="F412" s="443" t="str">
        <v>EMPAQUE</v>
      </c>
      <c r="G412" s="430">
        <v>1</v>
      </c>
      <c r="H412" s="424">
        <v>198.33</v>
      </c>
      <c r="I412" s="425">
        <v>198.33</v>
      </c>
      <c r="J412" s="432" t="str">
        <v>5-7</v>
      </c>
      <c r="K412" s="431">
        <v>0</v>
      </c>
      <c r="L412" s="431" t="str">
        <v>—</v>
      </c>
      <c r="M412" s="431" t="str">
        <v>—</v>
      </c>
      <c r="N412" s="432" t="str">
        <v>—</v>
      </c>
      <c r="O412" s="431">
        <v>0</v>
      </c>
      <c r="P412" s="431" t="str">
        <v>—</v>
      </c>
      <c r="Q412" s="431" t="str">
        <v>—</v>
      </c>
      <c r="R412" s="432" t="str">
        <v>—</v>
      </c>
    </row>
    <row r="413" spans="2:18" x14ac:dyDescent="0.25">
      <c r="B413" s="440" t="str">
        <v>ME-19</v>
      </c>
      <c r="C413" s="438" t="str">
        <v>INACTIVA</v>
      </c>
      <c r="D413" s="442">
        <v>143</v>
      </c>
      <c r="E413" s="429" t="str">
        <v>7G6373</v>
      </c>
      <c r="F413" s="443" t="str">
        <v>EMPAQUE</v>
      </c>
      <c r="G413" s="430">
        <v>1</v>
      </c>
      <c r="H413" s="424">
        <v>608.05999999999995</v>
      </c>
      <c r="I413" s="425">
        <v>608.05999999999995</v>
      </c>
      <c r="J413" s="432" t="str">
        <v>5-7</v>
      </c>
      <c r="K413" s="431">
        <v>0</v>
      </c>
      <c r="L413" s="431" t="str">
        <v>—</v>
      </c>
      <c r="M413" s="431" t="str">
        <v>—</v>
      </c>
      <c r="N413" s="432" t="str">
        <v>—</v>
      </c>
      <c r="O413" s="431">
        <v>0</v>
      </c>
      <c r="P413" s="431" t="str">
        <v>—</v>
      </c>
      <c r="Q413" s="431" t="str">
        <v>—</v>
      </c>
      <c r="R413" s="432" t="str">
        <v>—</v>
      </c>
    </row>
    <row r="414" spans="2:18" x14ac:dyDescent="0.25">
      <c r="B414" s="440" t="str">
        <v>ME-19</v>
      </c>
      <c r="C414" s="438" t="str">
        <v>INACTIVA</v>
      </c>
      <c r="D414" s="442">
        <v>143</v>
      </c>
      <c r="E414" s="429" t="str">
        <v>7M8485</v>
      </c>
      <c r="F414" s="443" t="str">
        <v>SELLO</v>
      </c>
      <c r="G414" s="430">
        <v>1</v>
      </c>
      <c r="H414" s="424">
        <v>52.63</v>
      </c>
      <c r="I414" s="425">
        <v>52.63</v>
      </c>
      <c r="J414" s="432" t="str">
        <v>5-7</v>
      </c>
      <c r="K414" s="431">
        <v>0</v>
      </c>
      <c r="L414" s="431" t="str">
        <v>—</v>
      </c>
      <c r="M414" s="431" t="str">
        <v>—</v>
      </c>
      <c r="N414" s="432" t="str">
        <v>—</v>
      </c>
      <c r="O414" s="431">
        <v>0</v>
      </c>
      <c r="P414" s="431" t="str">
        <v>—</v>
      </c>
      <c r="Q414" s="431" t="str">
        <v>—</v>
      </c>
      <c r="R414" s="432" t="str">
        <v>—</v>
      </c>
    </row>
    <row r="415" spans="2:18" x14ac:dyDescent="0.25">
      <c r="B415" s="440" t="str">
        <v>ME-19</v>
      </c>
      <c r="C415" s="438" t="str">
        <v>INACTIVA</v>
      </c>
      <c r="D415" s="442">
        <v>143</v>
      </c>
      <c r="E415" s="429" t="str">
        <v>8M4390</v>
      </c>
      <c r="F415" s="443" t="str">
        <v>JUNTA</v>
      </c>
      <c r="G415" s="430">
        <v>2</v>
      </c>
      <c r="H415" s="424">
        <v>178.82</v>
      </c>
      <c r="I415" s="425">
        <v>357.64</v>
      </c>
      <c r="J415" s="432" t="str">
        <v>5-7</v>
      </c>
      <c r="K415" s="431">
        <v>0</v>
      </c>
      <c r="L415" s="431" t="str">
        <v>—</v>
      </c>
      <c r="M415" s="431" t="str">
        <v>—</v>
      </c>
      <c r="N415" s="432" t="str">
        <v>—</v>
      </c>
      <c r="O415" s="431">
        <v>0</v>
      </c>
      <c r="P415" s="431" t="str">
        <v>—</v>
      </c>
      <c r="Q415" s="431" t="str">
        <v>—</v>
      </c>
      <c r="R415" s="432" t="str">
        <v>—</v>
      </c>
    </row>
    <row r="416" spans="2:18" x14ac:dyDescent="0.25">
      <c r="B416" s="440" t="str">
        <v>ME-19</v>
      </c>
      <c r="C416" s="438" t="str">
        <v>INACTIVA</v>
      </c>
      <c r="D416" s="442">
        <v>143</v>
      </c>
      <c r="E416" s="429" t="str">
        <v>8M4992</v>
      </c>
      <c r="F416" s="443" t="str">
        <v>SELLO</v>
      </c>
      <c r="G416" s="430">
        <v>2</v>
      </c>
      <c r="H416" s="424">
        <v>137.83000000000001</v>
      </c>
      <c r="I416" s="425">
        <v>275.66000000000003</v>
      </c>
      <c r="J416" s="432" t="str">
        <v>5-7</v>
      </c>
      <c r="K416" s="431">
        <v>0</v>
      </c>
      <c r="L416" s="431" t="str">
        <v>—</v>
      </c>
      <c r="M416" s="431" t="str">
        <v>—</v>
      </c>
      <c r="N416" s="432" t="str">
        <v>—</v>
      </c>
      <c r="O416" s="431">
        <v>0</v>
      </c>
      <c r="P416" s="431" t="str">
        <v>—</v>
      </c>
      <c r="Q416" s="431" t="str">
        <v>—</v>
      </c>
      <c r="R416" s="432" t="str">
        <v>—</v>
      </c>
    </row>
    <row r="417" spans="2:18" x14ac:dyDescent="0.25">
      <c r="B417" s="440" t="str">
        <v>ME-19</v>
      </c>
      <c r="C417" s="438" t="str">
        <v>INACTIVA</v>
      </c>
      <c r="D417" s="442">
        <v>143</v>
      </c>
      <c r="E417" s="429" t="str">
        <v>9H3360</v>
      </c>
      <c r="F417" s="443" t="str">
        <v>SELLO</v>
      </c>
      <c r="G417" s="430">
        <v>1</v>
      </c>
      <c r="H417" s="424">
        <v>427.81</v>
      </c>
      <c r="I417" s="425">
        <v>427.81</v>
      </c>
      <c r="J417" s="432" t="str">
        <v>5-7</v>
      </c>
      <c r="K417" s="431">
        <v>0</v>
      </c>
      <c r="L417" s="431" t="str">
        <v>—</v>
      </c>
      <c r="M417" s="431" t="str">
        <v>—</v>
      </c>
      <c r="N417" s="432" t="str">
        <v>—</v>
      </c>
      <c r="O417" s="431">
        <v>0</v>
      </c>
      <c r="P417" s="431" t="str">
        <v>—</v>
      </c>
      <c r="Q417" s="431" t="str">
        <v>—</v>
      </c>
      <c r="R417" s="432" t="str">
        <v>—</v>
      </c>
    </row>
    <row r="418" spans="2:18" x14ac:dyDescent="0.25">
      <c r="B418" s="440" t="str">
        <v>ME-19</v>
      </c>
      <c r="C418" s="438" t="str">
        <v>INACTIVA</v>
      </c>
      <c r="D418" s="442">
        <v>143</v>
      </c>
      <c r="E418" s="429" t="str">
        <v>9M4849</v>
      </c>
      <c r="F418" s="443" t="str">
        <v>JUNTA</v>
      </c>
      <c r="G418" s="430">
        <v>1</v>
      </c>
      <c r="H418" s="424">
        <v>123.69</v>
      </c>
      <c r="I418" s="425">
        <v>123.69</v>
      </c>
      <c r="J418" s="432" t="str">
        <v>5-7</v>
      </c>
      <c r="K418" s="431">
        <v>0</v>
      </c>
      <c r="L418" s="431" t="str">
        <v>—</v>
      </c>
      <c r="M418" s="431" t="str">
        <v>—</v>
      </c>
      <c r="N418" s="432" t="str">
        <v>—</v>
      </c>
      <c r="O418" s="431">
        <v>0</v>
      </c>
      <c r="P418" s="431" t="str">
        <v>—</v>
      </c>
      <c r="Q418" s="431" t="str">
        <v>—</v>
      </c>
      <c r="R418" s="432" t="str">
        <v>—</v>
      </c>
    </row>
    <row r="419" spans="2:18" x14ac:dyDescent="0.25">
      <c r="B419" s="440" t="str">
        <v>ME-19</v>
      </c>
      <c r="C419" s="438" t="str">
        <v>INACTIVA</v>
      </c>
      <c r="D419" s="442">
        <v>143</v>
      </c>
      <c r="E419" s="429" t="str">
        <v>159799</v>
      </c>
      <c r="F419" s="443" t="str">
        <v>SELLO</v>
      </c>
      <c r="G419" s="430">
        <v>4</v>
      </c>
      <c r="H419" s="424">
        <v>125.84</v>
      </c>
      <c r="I419" s="425">
        <v>503.36</v>
      </c>
      <c r="J419" s="432" t="str">
        <v>5-7</v>
      </c>
      <c r="K419" s="431">
        <v>0</v>
      </c>
      <c r="L419" s="431" t="str">
        <v>—</v>
      </c>
      <c r="M419" s="431" t="str">
        <v>—</v>
      </c>
      <c r="N419" s="432" t="str">
        <v>—</v>
      </c>
      <c r="O419" s="431">
        <v>0</v>
      </c>
      <c r="P419" s="431" t="str">
        <v>—</v>
      </c>
      <c r="Q419" s="431" t="str">
        <v>—</v>
      </c>
      <c r="R419" s="432" t="str">
        <v>—</v>
      </c>
    </row>
    <row r="420" spans="2:18" x14ac:dyDescent="0.25">
      <c r="B420" s="440" t="str">
        <v>ME-19</v>
      </c>
      <c r="C420" s="438" t="str">
        <v>INACTIVA</v>
      </c>
      <c r="D420" s="442">
        <v>143</v>
      </c>
      <c r="E420" s="429" t="str">
        <v>2D6507</v>
      </c>
      <c r="F420" s="443" t="str">
        <v>EMPAQUE</v>
      </c>
      <c r="G420" s="430">
        <v>2</v>
      </c>
      <c r="H420" s="424">
        <v>295.17</v>
      </c>
      <c r="I420" s="425">
        <v>590.34</v>
      </c>
      <c r="J420" s="432" t="str">
        <v>5-7</v>
      </c>
      <c r="K420" s="431">
        <v>0</v>
      </c>
      <c r="L420" s="431" t="str">
        <v>—</v>
      </c>
      <c r="M420" s="431" t="str">
        <v>—</v>
      </c>
      <c r="N420" s="432" t="str">
        <v>—</v>
      </c>
      <c r="O420" s="431">
        <v>0</v>
      </c>
      <c r="P420" s="431" t="str">
        <v>—</v>
      </c>
      <c r="Q420" s="431" t="str">
        <v>—</v>
      </c>
      <c r="R420" s="432" t="str">
        <v>—</v>
      </c>
    </row>
    <row r="421" spans="2:18" x14ac:dyDescent="0.25">
      <c r="B421" s="440" t="str">
        <v>ME-19</v>
      </c>
      <c r="C421" s="438" t="str">
        <v>INACTIVA</v>
      </c>
      <c r="D421" s="442">
        <v>143</v>
      </c>
      <c r="E421" s="429" t="str">
        <v>2K2939</v>
      </c>
      <c r="F421" s="443" t="str">
        <v>JUNTA</v>
      </c>
      <c r="G421" s="430">
        <v>1</v>
      </c>
      <c r="H421" s="424">
        <v>173.09</v>
      </c>
      <c r="I421" s="425">
        <v>173.09</v>
      </c>
      <c r="J421" s="432" t="str">
        <v>5-7</v>
      </c>
      <c r="K421" s="431">
        <v>0</v>
      </c>
      <c r="L421" s="431" t="str">
        <v>—</v>
      </c>
      <c r="M421" s="431" t="str">
        <v>—</v>
      </c>
      <c r="N421" s="432" t="str">
        <v>—</v>
      </c>
      <c r="O421" s="431">
        <v>0</v>
      </c>
      <c r="P421" s="431" t="str">
        <v>—</v>
      </c>
      <c r="Q421" s="431" t="str">
        <v>—</v>
      </c>
      <c r="R421" s="432" t="str">
        <v>—</v>
      </c>
    </row>
    <row r="422" spans="2:18" x14ac:dyDescent="0.25">
      <c r="B422" s="440" t="str">
        <v>ME-19</v>
      </c>
      <c r="C422" s="438" t="str">
        <v>INACTIVA</v>
      </c>
      <c r="D422" s="442">
        <v>143</v>
      </c>
      <c r="E422" s="429" t="str">
        <v>3D2824</v>
      </c>
      <c r="F422" s="443" t="str">
        <v>JUNTA</v>
      </c>
      <c r="G422" s="430">
        <v>2</v>
      </c>
      <c r="H422" s="424">
        <v>48.33</v>
      </c>
      <c r="I422" s="425">
        <v>96.66</v>
      </c>
      <c r="J422" s="432" t="str">
        <v>5-7</v>
      </c>
      <c r="K422" s="431">
        <v>0</v>
      </c>
      <c r="L422" s="431" t="str">
        <v>—</v>
      </c>
      <c r="M422" s="431" t="str">
        <v>—</v>
      </c>
      <c r="N422" s="432" t="str">
        <v>—</v>
      </c>
      <c r="O422" s="431">
        <v>0</v>
      </c>
      <c r="P422" s="431" t="str">
        <v>—</v>
      </c>
      <c r="Q422" s="431" t="str">
        <v>—</v>
      </c>
      <c r="R422" s="432" t="str">
        <v>—</v>
      </c>
    </row>
    <row r="423" spans="2:18" x14ac:dyDescent="0.25">
      <c r="B423" s="440" t="str">
        <v>ME-19</v>
      </c>
      <c r="C423" s="438" t="str">
        <v>INACTIVA</v>
      </c>
      <c r="D423" s="442">
        <v>143</v>
      </c>
      <c r="E423" s="429" t="str">
        <v>3J1907</v>
      </c>
      <c r="F423" s="443" t="str">
        <v>SELLOS</v>
      </c>
      <c r="G423" s="430">
        <v>2</v>
      </c>
      <c r="H423" s="424">
        <v>31.5</v>
      </c>
      <c r="I423" s="425">
        <v>63</v>
      </c>
      <c r="J423" s="432" t="str">
        <v>5-7</v>
      </c>
      <c r="K423" s="431">
        <v>0</v>
      </c>
      <c r="L423" s="431" t="str">
        <v>—</v>
      </c>
      <c r="M423" s="431" t="str">
        <v>—</v>
      </c>
      <c r="N423" s="432" t="str">
        <v>—</v>
      </c>
      <c r="O423" s="431">
        <v>0</v>
      </c>
      <c r="P423" s="431" t="str">
        <v>—</v>
      </c>
      <c r="Q423" s="431" t="str">
        <v>—</v>
      </c>
      <c r="R423" s="432" t="str">
        <v>—</v>
      </c>
    </row>
    <row r="424" spans="2:18" x14ac:dyDescent="0.25">
      <c r="B424" s="440" t="str">
        <v>ME-19</v>
      </c>
      <c r="C424" s="438" t="str">
        <v>INACTIVA</v>
      </c>
      <c r="D424" s="442">
        <v>143</v>
      </c>
      <c r="E424" s="429" t="str">
        <v>4F7390</v>
      </c>
      <c r="F424" s="443" t="str">
        <v>JUNTA</v>
      </c>
      <c r="G424" s="430">
        <v>1</v>
      </c>
      <c r="H424" s="424">
        <v>122.61</v>
      </c>
      <c r="I424" s="425">
        <v>122.61</v>
      </c>
      <c r="J424" s="432" t="str">
        <v>5-7</v>
      </c>
      <c r="K424" s="431">
        <v>0</v>
      </c>
      <c r="L424" s="431" t="str">
        <v>—</v>
      </c>
      <c r="M424" s="431" t="str">
        <v>—</v>
      </c>
      <c r="N424" s="432" t="str">
        <v>—</v>
      </c>
      <c r="O424" s="431">
        <v>0</v>
      </c>
      <c r="P424" s="431" t="str">
        <v>—</v>
      </c>
      <c r="Q424" s="431" t="str">
        <v>—</v>
      </c>
      <c r="R424" s="432" t="str">
        <v>—</v>
      </c>
    </row>
    <row r="425" spans="2:18" x14ac:dyDescent="0.25">
      <c r="B425" s="440" t="str">
        <v>ME-19</v>
      </c>
      <c r="C425" s="438" t="str">
        <v>INACTIVA</v>
      </c>
      <c r="D425" s="442">
        <v>143</v>
      </c>
      <c r="E425" s="429" t="str">
        <v>4F9029</v>
      </c>
      <c r="F425" s="443" t="str">
        <v>JUNTA CAUC</v>
      </c>
      <c r="G425" s="430">
        <v>1</v>
      </c>
      <c r="H425" s="424">
        <v>55.85</v>
      </c>
      <c r="I425" s="425">
        <v>55.85</v>
      </c>
      <c r="J425" s="432" t="str">
        <v>5-7</v>
      </c>
      <c r="K425" s="431">
        <v>0</v>
      </c>
      <c r="L425" s="431" t="str">
        <v>—</v>
      </c>
      <c r="M425" s="431" t="str">
        <v>—</v>
      </c>
      <c r="N425" s="432" t="str">
        <v>—</v>
      </c>
      <c r="O425" s="431">
        <v>0</v>
      </c>
      <c r="P425" s="431" t="str">
        <v>—</v>
      </c>
      <c r="Q425" s="431" t="str">
        <v>—</v>
      </c>
      <c r="R425" s="432" t="str">
        <v>—</v>
      </c>
    </row>
    <row r="426" spans="2:18" x14ac:dyDescent="0.25">
      <c r="B426" s="440" t="str">
        <v>ME-19</v>
      </c>
      <c r="C426" s="438" t="str">
        <v>INACTIVA</v>
      </c>
      <c r="D426" s="442">
        <v>143</v>
      </c>
      <c r="E426" s="429" t="str">
        <v>5D7523</v>
      </c>
      <c r="F426" s="443" t="str">
        <v>EMPAQUE</v>
      </c>
      <c r="G426" s="430">
        <v>1</v>
      </c>
      <c r="H426" s="424">
        <v>475.42</v>
      </c>
      <c r="I426" s="425">
        <v>475.42</v>
      </c>
      <c r="J426" s="432" t="str">
        <v>5-7</v>
      </c>
      <c r="K426" s="431">
        <v>0</v>
      </c>
      <c r="L426" s="431" t="str">
        <v>—</v>
      </c>
      <c r="M426" s="431" t="str">
        <v>—</v>
      </c>
      <c r="N426" s="432" t="str">
        <v>—</v>
      </c>
      <c r="O426" s="431">
        <v>0</v>
      </c>
      <c r="P426" s="431" t="str">
        <v>—</v>
      </c>
      <c r="Q426" s="431" t="str">
        <v>—</v>
      </c>
      <c r="R426" s="432" t="str">
        <v>—</v>
      </c>
    </row>
    <row r="427" spans="2:18" x14ac:dyDescent="0.25">
      <c r="B427" s="440" t="str">
        <v>ME-19</v>
      </c>
      <c r="C427" s="438" t="str">
        <v>INACTIVA</v>
      </c>
      <c r="D427" s="442">
        <v>143</v>
      </c>
      <c r="E427" s="429" t="str">
        <v>5H7153</v>
      </c>
      <c r="F427" s="443" t="str">
        <v>JUNTA</v>
      </c>
      <c r="G427" s="430">
        <v>1</v>
      </c>
      <c r="H427" s="424">
        <v>153.4</v>
      </c>
      <c r="I427" s="425">
        <v>153.4</v>
      </c>
      <c r="J427" s="432" t="str">
        <v>5-7</v>
      </c>
      <c r="K427" s="431">
        <v>0</v>
      </c>
      <c r="L427" s="431" t="str">
        <v>—</v>
      </c>
      <c r="M427" s="431" t="str">
        <v>—</v>
      </c>
      <c r="N427" s="432" t="str">
        <v>—</v>
      </c>
      <c r="O427" s="431">
        <v>0</v>
      </c>
      <c r="P427" s="431" t="str">
        <v>—</v>
      </c>
      <c r="Q427" s="431" t="str">
        <v>—</v>
      </c>
      <c r="R427" s="432" t="str">
        <v>—</v>
      </c>
    </row>
    <row r="428" spans="2:18" x14ac:dyDescent="0.25">
      <c r="B428" s="440" t="str">
        <v>ME-19</v>
      </c>
      <c r="C428" s="438" t="str">
        <v>INACTIVA</v>
      </c>
      <c r="D428" s="442">
        <v>143</v>
      </c>
      <c r="E428" s="429" t="str">
        <v>7G1594</v>
      </c>
      <c r="F428" s="443" t="str">
        <v>EMPAQUE</v>
      </c>
      <c r="G428" s="430">
        <v>1</v>
      </c>
      <c r="H428" s="424">
        <v>198.33</v>
      </c>
      <c r="I428" s="425">
        <v>198.33</v>
      </c>
      <c r="J428" s="432" t="str">
        <v>5-7</v>
      </c>
      <c r="K428" s="431">
        <v>0</v>
      </c>
      <c r="L428" s="431" t="str">
        <v>—</v>
      </c>
      <c r="M428" s="431" t="str">
        <v>—</v>
      </c>
      <c r="N428" s="432" t="str">
        <v>—</v>
      </c>
      <c r="O428" s="431">
        <v>0</v>
      </c>
      <c r="P428" s="431" t="str">
        <v>—</v>
      </c>
      <c r="Q428" s="431" t="str">
        <v>—</v>
      </c>
      <c r="R428" s="432" t="str">
        <v>—</v>
      </c>
    </row>
    <row r="429" spans="2:18" x14ac:dyDescent="0.25">
      <c r="B429" s="440" t="str">
        <v>ME-19</v>
      </c>
      <c r="C429" s="438" t="str">
        <v>INACTIVA</v>
      </c>
      <c r="D429" s="442">
        <v>143</v>
      </c>
      <c r="E429" s="429" t="str">
        <v>7G6373</v>
      </c>
      <c r="F429" s="443" t="str">
        <v>EMPAQUE</v>
      </c>
      <c r="G429" s="430">
        <v>2</v>
      </c>
      <c r="H429" s="424">
        <v>608.05999999999995</v>
      </c>
      <c r="I429" s="425">
        <v>1216.1199999999999</v>
      </c>
      <c r="J429" s="432" t="str">
        <v>5-7</v>
      </c>
      <c r="K429" s="431">
        <v>0</v>
      </c>
      <c r="L429" s="431" t="str">
        <v>—</v>
      </c>
      <c r="M429" s="431" t="str">
        <v>—</v>
      </c>
      <c r="N429" s="432" t="str">
        <v>—</v>
      </c>
      <c r="O429" s="431">
        <v>0</v>
      </c>
      <c r="P429" s="431" t="str">
        <v>—</v>
      </c>
      <c r="Q429" s="431" t="str">
        <v>—</v>
      </c>
      <c r="R429" s="432" t="str">
        <v>—</v>
      </c>
    </row>
    <row r="430" spans="2:18" x14ac:dyDescent="0.25">
      <c r="B430" s="440" t="str">
        <v>ME-19</v>
      </c>
      <c r="C430" s="438" t="str">
        <v>INACTIVA</v>
      </c>
      <c r="D430" s="442">
        <v>143</v>
      </c>
      <c r="E430" s="429" t="str">
        <v>7M8485</v>
      </c>
      <c r="F430" s="443" t="str">
        <v>SELLO</v>
      </c>
      <c r="G430" s="430">
        <v>2</v>
      </c>
      <c r="H430" s="424">
        <v>52.63</v>
      </c>
      <c r="I430" s="425">
        <v>105.26</v>
      </c>
      <c r="J430" s="432" t="str">
        <v>5-7</v>
      </c>
      <c r="K430" s="431">
        <v>0</v>
      </c>
      <c r="L430" s="431" t="str">
        <v>—</v>
      </c>
      <c r="M430" s="431" t="str">
        <v>—</v>
      </c>
      <c r="N430" s="432" t="str">
        <v>—</v>
      </c>
      <c r="O430" s="431">
        <v>0</v>
      </c>
      <c r="P430" s="431" t="str">
        <v>—</v>
      </c>
      <c r="Q430" s="431" t="str">
        <v>—</v>
      </c>
      <c r="R430" s="432" t="str">
        <v>—</v>
      </c>
    </row>
    <row r="431" spans="2:18" x14ac:dyDescent="0.25">
      <c r="B431" s="440" t="str">
        <v>ME-19</v>
      </c>
      <c r="C431" s="438" t="str">
        <v>INACTIVA</v>
      </c>
      <c r="D431" s="442">
        <v>143</v>
      </c>
      <c r="E431" s="429" t="str">
        <v>8M4390</v>
      </c>
      <c r="F431" s="443" t="str">
        <v>JUNTA</v>
      </c>
      <c r="G431" s="430">
        <v>4</v>
      </c>
      <c r="H431" s="424">
        <v>178.82</v>
      </c>
      <c r="I431" s="425">
        <v>715.28</v>
      </c>
      <c r="J431" s="432" t="str">
        <v>5-7</v>
      </c>
      <c r="K431" s="431">
        <v>0</v>
      </c>
      <c r="L431" s="431" t="str">
        <v>—</v>
      </c>
      <c r="M431" s="431" t="str">
        <v>—</v>
      </c>
      <c r="N431" s="432" t="str">
        <v>—</v>
      </c>
      <c r="O431" s="431">
        <v>0</v>
      </c>
      <c r="P431" s="431" t="str">
        <v>—</v>
      </c>
      <c r="Q431" s="431" t="str">
        <v>—</v>
      </c>
      <c r="R431" s="432" t="str">
        <v>—</v>
      </c>
    </row>
    <row r="432" spans="2:18" x14ac:dyDescent="0.25">
      <c r="B432" s="440" t="str">
        <v>ME-19</v>
      </c>
      <c r="C432" s="438" t="str">
        <v>INACTIVA</v>
      </c>
      <c r="D432" s="442">
        <v>143</v>
      </c>
      <c r="E432" s="429" t="str">
        <v>8M4992</v>
      </c>
      <c r="F432" s="443" t="str">
        <v>SELLO</v>
      </c>
      <c r="G432" s="430">
        <v>4</v>
      </c>
      <c r="H432" s="424">
        <v>137.83000000000001</v>
      </c>
      <c r="I432" s="425">
        <v>551.32000000000005</v>
      </c>
      <c r="J432" s="432" t="str">
        <v>5-7</v>
      </c>
      <c r="K432" s="431">
        <v>0</v>
      </c>
      <c r="L432" s="431" t="str">
        <v>—</v>
      </c>
      <c r="M432" s="431" t="str">
        <v>—</v>
      </c>
      <c r="N432" s="432" t="str">
        <v>—</v>
      </c>
      <c r="O432" s="431">
        <v>0</v>
      </c>
      <c r="P432" s="431" t="str">
        <v>—</v>
      </c>
      <c r="Q432" s="431" t="str">
        <v>—</v>
      </c>
      <c r="R432" s="432" t="str">
        <v>—</v>
      </c>
    </row>
    <row r="433" spans="2:18" x14ac:dyDescent="0.25">
      <c r="B433" s="440" t="str">
        <v>ME-19</v>
      </c>
      <c r="C433" s="438" t="str">
        <v>INACTIVA</v>
      </c>
      <c r="D433" s="442">
        <v>143</v>
      </c>
      <c r="E433" s="429" t="str">
        <v>9H3360</v>
      </c>
      <c r="F433" s="443" t="str">
        <v>SELLO</v>
      </c>
      <c r="G433" s="430">
        <v>2</v>
      </c>
      <c r="H433" s="424">
        <v>427.81</v>
      </c>
      <c r="I433" s="425">
        <v>855.62</v>
      </c>
      <c r="J433" s="432" t="str">
        <v>5-7</v>
      </c>
      <c r="K433" s="431">
        <v>0</v>
      </c>
      <c r="L433" s="431" t="str">
        <v>—</v>
      </c>
      <c r="M433" s="431" t="str">
        <v>—</v>
      </c>
      <c r="N433" s="432" t="str">
        <v>—</v>
      </c>
      <c r="O433" s="431">
        <v>0</v>
      </c>
      <c r="P433" s="431" t="str">
        <v>—</v>
      </c>
      <c r="Q433" s="431" t="str">
        <v>—</v>
      </c>
      <c r="R433" s="432" t="str">
        <v>—</v>
      </c>
    </row>
    <row r="434" spans="2:18" x14ac:dyDescent="0.25">
      <c r="B434" s="440" t="str">
        <v>ME-19</v>
      </c>
      <c r="C434" s="438" t="str">
        <v>INACTIVA</v>
      </c>
      <c r="D434" s="442">
        <v>143</v>
      </c>
      <c r="E434" s="429" t="str">
        <v>9M4849</v>
      </c>
      <c r="F434" s="443" t="str">
        <v>JUNTA</v>
      </c>
      <c r="G434" s="430">
        <v>2</v>
      </c>
      <c r="H434" s="424">
        <v>123.69</v>
      </c>
      <c r="I434" s="425">
        <v>247.38</v>
      </c>
      <c r="J434" s="432" t="str">
        <v>5-7</v>
      </c>
      <c r="K434" s="431">
        <v>0</v>
      </c>
      <c r="L434" s="431" t="str">
        <v>—</v>
      </c>
      <c r="M434" s="431" t="str">
        <v>—</v>
      </c>
      <c r="N434" s="432" t="str">
        <v>—</v>
      </c>
      <c r="O434" s="431">
        <v>0</v>
      </c>
      <c r="P434" s="431" t="str">
        <v>—</v>
      </c>
      <c r="Q434" s="431" t="str">
        <v>—</v>
      </c>
      <c r="R434" s="432" t="str">
        <v>—</v>
      </c>
    </row>
    <row r="435" spans="2:18" x14ac:dyDescent="0.25">
      <c r="B435" s="440" t="str">
        <v>ME-19</v>
      </c>
      <c r="C435" s="438" t="str">
        <v>INACTIVA</v>
      </c>
      <c r="D435" s="442">
        <v>143</v>
      </c>
      <c r="E435" s="429" t="str">
        <v>8C5383</v>
      </c>
      <c r="F435" s="443" t="str">
        <v>KIT GASKET</v>
      </c>
      <c r="G435" s="430">
        <v>1</v>
      </c>
      <c r="H435" s="424">
        <v>1428.42</v>
      </c>
      <c r="I435" s="425">
        <v>1428.42</v>
      </c>
      <c r="J435" s="432" t="str">
        <v>5-7</v>
      </c>
      <c r="K435" s="431">
        <v>0</v>
      </c>
      <c r="L435" s="431" t="str">
        <v>—</v>
      </c>
      <c r="M435" s="431" t="str">
        <v>—</v>
      </c>
      <c r="N435" s="432" t="str">
        <v>—</v>
      </c>
      <c r="O435" s="431">
        <v>0</v>
      </c>
      <c r="P435" s="431" t="str">
        <v>—</v>
      </c>
      <c r="Q435" s="431" t="str">
        <v>—</v>
      </c>
      <c r="R435" s="432" t="str">
        <v>—</v>
      </c>
    </row>
    <row r="436" spans="2:18" x14ac:dyDescent="0.25">
      <c r="B436" s="440" t="str">
        <v>ME-19</v>
      </c>
      <c r="C436" s="438" t="str">
        <v>INACTIVA</v>
      </c>
      <c r="D436" s="442">
        <v>143</v>
      </c>
      <c r="E436" s="429" t="str">
        <v>1J9671</v>
      </c>
      <c r="F436" s="443" t="str">
        <v>JUNTA</v>
      </c>
      <c r="G436" s="430">
        <v>2</v>
      </c>
      <c r="H436" s="424">
        <v>29.71</v>
      </c>
      <c r="I436" s="425">
        <v>59.42</v>
      </c>
      <c r="J436" s="432" t="str">
        <v>5-7</v>
      </c>
      <c r="K436" s="431">
        <v>0</v>
      </c>
      <c r="L436" s="431" t="str">
        <v>—</v>
      </c>
      <c r="M436" s="431" t="str">
        <v>—</v>
      </c>
      <c r="N436" s="432" t="str">
        <v>—</v>
      </c>
      <c r="O436" s="431">
        <v>0</v>
      </c>
      <c r="P436" s="431" t="str">
        <v>—</v>
      </c>
      <c r="Q436" s="431" t="str">
        <v>—</v>
      </c>
      <c r="R436" s="432" t="str">
        <v>—</v>
      </c>
    </row>
    <row r="437" spans="2:18" x14ac:dyDescent="0.25">
      <c r="B437" s="440" t="str">
        <v>ME-19</v>
      </c>
      <c r="C437" s="438" t="str">
        <v>INACTIVA</v>
      </c>
      <c r="D437" s="442">
        <v>143</v>
      </c>
      <c r="E437" s="429" t="str">
        <v>1P3704</v>
      </c>
      <c r="F437" s="443" t="str">
        <v>SELLO</v>
      </c>
      <c r="G437" s="430">
        <v>2</v>
      </c>
      <c r="H437" s="424">
        <v>76.430000000000007</v>
      </c>
      <c r="I437" s="425">
        <v>152.86000000000001</v>
      </c>
      <c r="J437" s="432" t="str">
        <v>5-7</v>
      </c>
      <c r="K437" s="431">
        <v>0</v>
      </c>
      <c r="L437" s="431" t="str">
        <v>—</v>
      </c>
      <c r="M437" s="431" t="str">
        <v>—</v>
      </c>
      <c r="N437" s="432" t="str">
        <v>—</v>
      </c>
      <c r="O437" s="431">
        <v>0</v>
      </c>
      <c r="P437" s="431" t="str">
        <v>—</v>
      </c>
      <c r="Q437" s="431" t="str">
        <v>—</v>
      </c>
      <c r="R437" s="432" t="str">
        <v>—</v>
      </c>
    </row>
    <row r="438" spans="2:18" x14ac:dyDescent="0.25">
      <c r="B438" s="440" t="str">
        <v>ME-19</v>
      </c>
      <c r="C438" s="438" t="str">
        <v>INACTIVA</v>
      </c>
      <c r="D438" s="442">
        <v>143</v>
      </c>
      <c r="E438" s="429" t="str">
        <v>1S9799</v>
      </c>
      <c r="F438" s="443" t="str">
        <v>SELLO</v>
      </c>
      <c r="G438" s="430">
        <v>2</v>
      </c>
      <c r="H438" s="424">
        <v>125.84</v>
      </c>
      <c r="I438" s="425">
        <v>251.68</v>
      </c>
      <c r="J438" s="432" t="str">
        <v>5-7</v>
      </c>
      <c r="K438" s="431">
        <v>0</v>
      </c>
      <c r="L438" s="431" t="str">
        <v>—</v>
      </c>
      <c r="M438" s="431" t="str">
        <v>—</v>
      </c>
      <c r="N438" s="432" t="str">
        <v>—</v>
      </c>
      <c r="O438" s="431">
        <v>0</v>
      </c>
      <c r="P438" s="431" t="str">
        <v>—</v>
      </c>
      <c r="Q438" s="431" t="str">
        <v>—</v>
      </c>
      <c r="R438" s="432" t="str">
        <v>—</v>
      </c>
    </row>
    <row r="439" spans="2:18" x14ac:dyDescent="0.25">
      <c r="B439" s="440" t="str">
        <v>ME-19</v>
      </c>
      <c r="C439" s="438" t="str">
        <v>INACTIVA</v>
      </c>
      <c r="D439" s="442">
        <v>143</v>
      </c>
      <c r="E439" s="429" t="str">
        <v>2M9780</v>
      </c>
      <c r="F439" s="443" t="str">
        <v>JUNTA</v>
      </c>
      <c r="G439" s="430">
        <v>2</v>
      </c>
      <c r="H439" s="424">
        <v>38.479999999999997</v>
      </c>
      <c r="I439" s="425">
        <v>76.959999999999994</v>
      </c>
      <c r="J439" s="432" t="str">
        <v>5-7</v>
      </c>
      <c r="K439" s="431">
        <v>0</v>
      </c>
      <c r="L439" s="431" t="str">
        <v>—</v>
      </c>
      <c r="M439" s="431" t="str">
        <v>—</v>
      </c>
      <c r="N439" s="432" t="str">
        <v>—</v>
      </c>
      <c r="O439" s="431">
        <v>0</v>
      </c>
      <c r="P439" s="431" t="str">
        <v>—</v>
      </c>
      <c r="Q439" s="431" t="str">
        <v>—</v>
      </c>
      <c r="R439" s="432" t="str">
        <v>—</v>
      </c>
    </row>
    <row r="440" spans="2:18" x14ac:dyDescent="0.25">
      <c r="B440" s="440" t="str">
        <v>ME-19</v>
      </c>
      <c r="C440" s="438" t="str">
        <v>INACTIVA</v>
      </c>
      <c r="D440" s="442">
        <v>143</v>
      </c>
      <c r="E440" s="429" t="str">
        <v>3308196</v>
      </c>
      <c r="F440" s="443" t="str">
        <v>SEAL-O-RING</v>
      </c>
      <c r="G440" s="430">
        <v>5</v>
      </c>
      <c r="H440" s="424">
        <v>123.69</v>
      </c>
      <c r="I440" s="425">
        <v>618.45000000000005</v>
      </c>
      <c r="J440" s="432" t="str">
        <v>5-7</v>
      </c>
      <c r="K440" s="431">
        <v>0</v>
      </c>
      <c r="L440" s="431" t="str">
        <v>—</v>
      </c>
      <c r="M440" s="431" t="str">
        <v>—</v>
      </c>
      <c r="N440" s="432" t="str">
        <v>—</v>
      </c>
      <c r="O440" s="431">
        <v>0</v>
      </c>
      <c r="P440" s="431" t="str">
        <v>—</v>
      </c>
      <c r="Q440" s="431" t="str">
        <v>—</v>
      </c>
      <c r="R440" s="432" t="str">
        <v>—</v>
      </c>
    </row>
    <row r="441" spans="2:18" x14ac:dyDescent="0.25">
      <c r="B441" s="440" t="str">
        <v>ME-19</v>
      </c>
      <c r="C441" s="438" t="str">
        <v>INACTIVA</v>
      </c>
      <c r="D441" s="442">
        <v>143</v>
      </c>
      <c r="E441" s="429" t="str">
        <v>3464897</v>
      </c>
      <c r="F441" s="443" t="str">
        <v>SEAL-O-RING</v>
      </c>
      <c r="G441" s="430">
        <v>1</v>
      </c>
      <c r="H441" s="424">
        <v>325.95999999999998</v>
      </c>
      <c r="I441" s="425">
        <v>325.95999999999998</v>
      </c>
      <c r="J441" s="432" t="str">
        <v>5-7</v>
      </c>
      <c r="K441" s="431">
        <v>0</v>
      </c>
      <c r="L441" s="431" t="str">
        <v>—</v>
      </c>
      <c r="M441" s="431" t="str">
        <v>—</v>
      </c>
      <c r="N441" s="432" t="str">
        <v>—</v>
      </c>
      <c r="O441" s="431">
        <v>0</v>
      </c>
      <c r="P441" s="431" t="str">
        <v>—</v>
      </c>
      <c r="Q441" s="431" t="str">
        <v>—</v>
      </c>
      <c r="R441" s="432" t="str">
        <v>—</v>
      </c>
    </row>
    <row r="442" spans="2:18" x14ac:dyDescent="0.25">
      <c r="B442" s="440" t="str">
        <v>ME-19</v>
      </c>
      <c r="C442" s="438" t="str">
        <v>INACTIVA</v>
      </c>
      <c r="D442" s="442">
        <v>143</v>
      </c>
      <c r="E442" s="429" t="str">
        <v>3618205</v>
      </c>
      <c r="F442" s="443" t="str">
        <v>SEAL-FUEL SY</v>
      </c>
      <c r="G442" s="430">
        <v>12</v>
      </c>
      <c r="H442" s="424">
        <v>194.04</v>
      </c>
      <c r="I442" s="425">
        <v>2328.48</v>
      </c>
      <c r="J442" s="432" t="str">
        <v>5-7</v>
      </c>
      <c r="K442" s="431">
        <v>0</v>
      </c>
      <c r="L442" s="431" t="str">
        <v>—</v>
      </c>
      <c r="M442" s="431" t="str">
        <v>—</v>
      </c>
      <c r="N442" s="432" t="str">
        <v>—</v>
      </c>
      <c r="O442" s="431">
        <v>0</v>
      </c>
      <c r="P442" s="431" t="str">
        <v>—</v>
      </c>
      <c r="Q442" s="431" t="str">
        <v>—</v>
      </c>
      <c r="R442" s="432" t="str">
        <v>—</v>
      </c>
    </row>
    <row r="443" spans="2:18" x14ac:dyDescent="0.25">
      <c r="B443" s="440" t="str">
        <v>ME-19</v>
      </c>
      <c r="C443" s="438" t="str">
        <v>INACTIVA</v>
      </c>
      <c r="D443" s="442">
        <v>143</v>
      </c>
      <c r="E443" s="429" t="str">
        <v>3J1907</v>
      </c>
      <c r="F443" s="443" t="str">
        <v>SELLOS</v>
      </c>
      <c r="G443" s="430">
        <v>14</v>
      </c>
      <c r="H443" s="424">
        <v>31.5</v>
      </c>
      <c r="I443" s="425">
        <v>441</v>
      </c>
      <c r="J443" s="432" t="str">
        <v>5-7</v>
      </c>
      <c r="K443" s="431">
        <v>0</v>
      </c>
      <c r="L443" s="431" t="str">
        <v>—</v>
      </c>
      <c r="M443" s="431" t="str">
        <v>—</v>
      </c>
      <c r="N443" s="432" t="str">
        <v>—</v>
      </c>
      <c r="O443" s="431">
        <v>0</v>
      </c>
      <c r="P443" s="431" t="str">
        <v>—</v>
      </c>
      <c r="Q443" s="431" t="str">
        <v>—</v>
      </c>
      <c r="R443" s="432" t="str">
        <v>—</v>
      </c>
    </row>
    <row r="444" spans="2:18" x14ac:dyDescent="0.25">
      <c r="B444" s="440" t="str">
        <v>ME-19</v>
      </c>
      <c r="C444" s="438" t="str">
        <v>INACTIVA</v>
      </c>
      <c r="D444" s="442">
        <v>143</v>
      </c>
      <c r="E444" s="429" t="str">
        <v>3K0360</v>
      </c>
      <c r="F444" s="443" t="str">
        <v>JUNTA CAUC</v>
      </c>
      <c r="G444" s="430">
        <v>5</v>
      </c>
      <c r="H444" s="424">
        <v>34.9</v>
      </c>
      <c r="I444" s="425">
        <v>174.5</v>
      </c>
      <c r="J444" s="432" t="str">
        <v>5-7</v>
      </c>
      <c r="K444" s="431">
        <v>0</v>
      </c>
      <c r="L444" s="431" t="str">
        <v>—</v>
      </c>
      <c r="M444" s="431" t="str">
        <v>—</v>
      </c>
      <c r="N444" s="432" t="str">
        <v>—</v>
      </c>
      <c r="O444" s="431">
        <v>0</v>
      </c>
      <c r="P444" s="431" t="str">
        <v>—</v>
      </c>
      <c r="Q444" s="431" t="str">
        <v>—</v>
      </c>
      <c r="R444" s="432" t="str">
        <v>—</v>
      </c>
    </row>
    <row r="445" spans="2:18" x14ac:dyDescent="0.25">
      <c r="B445" s="440" t="str">
        <v>ME-19</v>
      </c>
      <c r="C445" s="438" t="str">
        <v>INACTIVA</v>
      </c>
      <c r="D445" s="442">
        <v>143</v>
      </c>
      <c r="E445" s="429" t="str">
        <v>4511493</v>
      </c>
      <c r="F445" s="443" t="str">
        <v>SEAL-O-RING</v>
      </c>
      <c r="G445" s="430">
        <v>8</v>
      </c>
      <c r="H445" s="424">
        <v>241.29</v>
      </c>
      <c r="I445" s="425">
        <v>1930.32</v>
      </c>
      <c r="J445" s="432" t="str">
        <v>5-7</v>
      </c>
      <c r="K445" s="431">
        <v>0</v>
      </c>
      <c r="L445" s="431" t="str">
        <v>—</v>
      </c>
      <c r="M445" s="431" t="str">
        <v>—</v>
      </c>
      <c r="N445" s="432" t="str">
        <v>—</v>
      </c>
      <c r="O445" s="431">
        <v>0</v>
      </c>
      <c r="P445" s="431" t="str">
        <v>—</v>
      </c>
      <c r="Q445" s="431" t="str">
        <v>—</v>
      </c>
      <c r="R445" s="432" t="str">
        <v>—</v>
      </c>
    </row>
    <row r="446" spans="2:18" x14ac:dyDescent="0.25">
      <c r="B446" s="440" t="str">
        <v>ME-19</v>
      </c>
      <c r="C446" s="438" t="str">
        <v>INACTIVA</v>
      </c>
      <c r="D446" s="442">
        <v>143</v>
      </c>
      <c r="E446" s="429" t="str">
        <v>4J7533</v>
      </c>
      <c r="F446" s="443" t="str">
        <v>JUNTAS</v>
      </c>
      <c r="G446" s="430">
        <v>21</v>
      </c>
      <c r="H446" s="424">
        <v>25.24</v>
      </c>
      <c r="I446" s="425">
        <v>530.04</v>
      </c>
      <c r="J446" s="432" t="str">
        <v>5-7</v>
      </c>
      <c r="K446" s="431">
        <v>0</v>
      </c>
      <c r="L446" s="431" t="str">
        <v>—</v>
      </c>
      <c r="M446" s="431" t="str">
        <v>—</v>
      </c>
      <c r="N446" s="432" t="str">
        <v>—</v>
      </c>
      <c r="O446" s="431">
        <v>0</v>
      </c>
      <c r="P446" s="431" t="str">
        <v>—</v>
      </c>
      <c r="Q446" s="431" t="str">
        <v>—</v>
      </c>
      <c r="R446" s="432" t="str">
        <v>—</v>
      </c>
    </row>
    <row r="447" spans="2:18" x14ac:dyDescent="0.25">
      <c r="B447" s="440" t="str">
        <v>ME-19</v>
      </c>
      <c r="C447" s="438" t="str">
        <v>INACTIVA</v>
      </c>
      <c r="D447" s="442">
        <v>143</v>
      </c>
      <c r="E447" s="429" t="str">
        <v>5H6005</v>
      </c>
      <c r="F447" s="443" t="str">
        <v>SELLO</v>
      </c>
      <c r="G447" s="430">
        <v>2</v>
      </c>
      <c r="H447" s="424">
        <v>31.5</v>
      </c>
      <c r="I447" s="425">
        <v>63</v>
      </c>
      <c r="J447" s="432" t="str">
        <v>5-7</v>
      </c>
      <c r="K447" s="431">
        <v>0</v>
      </c>
      <c r="L447" s="431" t="str">
        <v>—</v>
      </c>
      <c r="M447" s="431" t="str">
        <v>—</v>
      </c>
      <c r="N447" s="432" t="str">
        <v>—</v>
      </c>
      <c r="O447" s="431">
        <v>0</v>
      </c>
      <c r="P447" s="431" t="str">
        <v>—</v>
      </c>
      <c r="Q447" s="431" t="str">
        <v>—</v>
      </c>
      <c r="R447" s="432" t="str">
        <v>—</v>
      </c>
    </row>
    <row r="448" spans="2:18" x14ac:dyDescent="0.25">
      <c r="B448" s="440" t="str">
        <v>ME-19</v>
      </c>
      <c r="C448" s="438" t="str">
        <v>INACTIVA</v>
      </c>
      <c r="D448" s="442">
        <v>143</v>
      </c>
      <c r="E448" s="429" t="str">
        <v>5P6718</v>
      </c>
      <c r="F448" s="443" t="str">
        <v>EMPAQUE HU</v>
      </c>
      <c r="G448" s="430">
        <v>5</v>
      </c>
      <c r="H448" s="424">
        <v>184.55</v>
      </c>
      <c r="I448" s="425">
        <v>922.75</v>
      </c>
      <c r="J448" s="432" t="str">
        <v>5-7</v>
      </c>
      <c r="K448" s="431">
        <v>0</v>
      </c>
      <c r="L448" s="431" t="str">
        <v>—</v>
      </c>
      <c r="M448" s="431" t="str">
        <v>—</v>
      </c>
      <c r="N448" s="432" t="str">
        <v>—</v>
      </c>
      <c r="O448" s="431">
        <v>0</v>
      </c>
      <c r="P448" s="431" t="str">
        <v>—</v>
      </c>
      <c r="Q448" s="431" t="str">
        <v>—</v>
      </c>
      <c r="R448" s="432" t="str">
        <v>—</v>
      </c>
    </row>
    <row r="449" spans="2:18" x14ac:dyDescent="0.25">
      <c r="B449" s="440" t="str">
        <v>ME-19</v>
      </c>
      <c r="C449" s="438" t="str">
        <v>INACTIVA</v>
      </c>
      <c r="D449" s="442">
        <v>143</v>
      </c>
      <c r="E449" s="429" t="str">
        <v>6T5133</v>
      </c>
      <c r="F449" s="443" t="str">
        <v>EMPAQUE</v>
      </c>
      <c r="G449" s="430">
        <v>1</v>
      </c>
      <c r="H449" s="424">
        <v>100.42</v>
      </c>
      <c r="I449" s="425">
        <v>100.42</v>
      </c>
      <c r="J449" s="432" t="str">
        <v>5-7</v>
      </c>
      <c r="K449" s="431">
        <v>0</v>
      </c>
      <c r="L449" s="431" t="str">
        <v>—</v>
      </c>
      <c r="M449" s="431" t="str">
        <v>—</v>
      </c>
      <c r="N449" s="432" t="str">
        <v>—</v>
      </c>
      <c r="O449" s="431">
        <v>0</v>
      </c>
      <c r="P449" s="431" t="str">
        <v>—</v>
      </c>
      <c r="Q449" s="431" t="str">
        <v>—</v>
      </c>
      <c r="R449" s="432" t="str">
        <v>—</v>
      </c>
    </row>
    <row r="450" spans="2:18" x14ac:dyDescent="0.25">
      <c r="B450" s="440" t="str">
        <v>ME-19</v>
      </c>
      <c r="C450" s="438" t="str">
        <v>INACTIVA</v>
      </c>
      <c r="D450" s="442">
        <v>143</v>
      </c>
      <c r="E450" s="429" t="str">
        <v>6V3683</v>
      </c>
      <c r="F450" s="443" t="str">
        <v>JUNTA</v>
      </c>
      <c r="G450" s="430">
        <v>1</v>
      </c>
      <c r="H450" s="424">
        <v>210.33</v>
      </c>
      <c r="I450" s="425">
        <v>210.33</v>
      </c>
      <c r="J450" s="432" t="str">
        <v>5-7</v>
      </c>
      <c r="K450" s="431">
        <v>0</v>
      </c>
      <c r="L450" s="431" t="str">
        <v>—</v>
      </c>
      <c r="M450" s="431" t="str">
        <v>—</v>
      </c>
      <c r="N450" s="432" t="str">
        <v>—</v>
      </c>
      <c r="O450" s="431">
        <v>0</v>
      </c>
      <c r="P450" s="431" t="str">
        <v>—</v>
      </c>
      <c r="Q450" s="431" t="str">
        <v>—</v>
      </c>
      <c r="R450" s="432" t="str">
        <v>—</v>
      </c>
    </row>
    <row r="451" spans="2:18" x14ac:dyDescent="0.25">
      <c r="B451" s="440" t="str">
        <v>ME-19</v>
      </c>
      <c r="C451" s="438" t="str">
        <v>INACTIVA</v>
      </c>
      <c r="D451" s="442">
        <v>143</v>
      </c>
      <c r="E451" s="429" t="str">
        <v>7G6373</v>
      </c>
      <c r="F451" s="443" t="str">
        <v>EMPAQUE</v>
      </c>
      <c r="G451" s="430">
        <v>1</v>
      </c>
      <c r="H451" s="424">
        <v>608.05999999999995</v>
      </c>
      <c r="I451" s="425">
        <v>608.05999999999995</v>
      </c>
      <c r="J451" s="432" t="str">
        <v>5-7</v>
      </c>
      <c r="K451" s="431">
        <v>0</v>
      </c>
      <c r="L451" s="431" t="str">
        <v>—</v>
      </c>
      <c r="M451" s="431" t="str">
        <v>—</v>
      </c>
      <c r="N451" s="432" t="str">
        <v>—</v>
      </c>
      <c r="O451" s="431">
        <v>0</v>
      </c>
      <c r="P451" s="431" t="str">
        <v>—</v>
      </c>
      <c r="Q451" s="431" t="str">
        <v>—</v>
      </c>
      <c r="R451" s="432" t="str">
        <v>—</v>
      </c>
    </row>
    <row r="452" spans="2:18" x14ac:dyDescent="0.25">
      <c r="B452" s="440" t="str">
        <v>ME-19</v>
      </c>
      <c r="C452" s="438" t="str">
        <v>INACTIVA</v>
      </c>
      <c r="D452" s="442">
        <v>143</v>
      </c>
      <c r="E452" s="429" t="str">
        <v>7M8485</v>
      </c>
      <c r="F452" s="443" t="str">
        <v>SELLO</v>
      </c>
      <c r="G452" s="430">
        <v>1</v>
      </c>
      <c r="H452" s="424">
        <v>52.63</v>
      </c>
      <c r="I452" s="425">
        <v>52.63</v>
      </c>
      <c r="J452" s="432" t="str">
        <v>5-7</v>
      </c>
      <c r="K452" s="431">
        <v>0</v>
      </c>
      <c r="L452" s="431" t="str">
        <v>—</v>
      </c>
      <c r="M452" s="431" t="str">
        <v>—</v>
      </c>
      <c r="N452" s="432" t="str">
        <v>—</v>
      </c>
      <c r="O452" s="431">
        <v>0</v>
      </c>
      <c r="P452" s="431" t="str">
        <v>—</v>
      </c>
      <c r="Q452" s="431" t="str">
        <v>—</v>
      </c>
      <c r="R452" s="432" t="str">
        <v>—</v>
      </c>
    </row>
    <row r="453" spans="2:18" x14ac:dyDescent="0.25">
      <c r="B453" s="440" t="str">
        <v>ME-19</v>
      </c>
      <c r="C453" s="438" t="str">
        <v>INACTIVA</v>
      </c>
      <c r="D453" s="442">
        <v>143</v>
      </c>
      <c r="E453" s="429" t="str">
        <v>8M4437</v>
      </c>
      <c r="F453" s="443" t="str">
        <v>JUNTA</v>
      </c>
      <c r="G453" s="430">
        <v>2</v>
      </c>
      <c r="H453" s="424">
        <v>60.14</v>
      </c>
      <c r="I453" s="425">
        <v>120.28</v>
      </c>
      <c r="J453" s="432" t="str">
        <v>5-7</v>
      </c>
      <c r="K453" s="431">
        <v>0</v>
      </c>
      <c r="L453" s="431" t="str">
        <v>—</v>
      </c>
      <c r="M453" s="431" t="str">
        <v>—</v>
      </c>
      <c r="N453" s="432" t="str">
        <v>—</v>
      </c>
      <c r="O453" s="431">
        <v>0</v>
      </c>
      <c r="P453" s="431" t="str">
        <v>—</v>
      </c>
      <c r="Q453" s="431" t="str">
        <v>—</v>
      </c>
      <c r="R453" s="432" t="str">
        <v>—</v>
      </c>
    </row>
    <row r="454" spans="2:18" x14ac:dyDescent="0.25">
      <c r="B454" s="440" t="str">
        <v>ME-19</v>
      </c>
      <c r="C454" s="438" t="str">
        <v>INACTIVA</v>
      </c>
      <c r="D454" s="442">
        <v>143</v>
      </c>
      <c r="E454" s="429" t="str">
        <v>8M4988</v>
      </c>
      <c r="F454" s="443" t="str">
        <v>JUNTA</v>
      </c>
      <c r="G454" s="430">
        <v>1</v>
      </c>
      <c r="H454" s="424">
        <v>97.73</v>
      </c>
      <c r="I454" s="425">
        <v>97.73</v>
      </c>
      <c r="J454" s="432" t="str">
        <v>5-7</v>
      </c>
      <c r="K454" s="431">
        <v>0</v>
      </c>
      <c r="L454" s="431" t="str">
        <v>—</v>
      </c>
      <c r="M454" s="431" t="str">
        <v>—</v>
      </c>
      <c r="N454" s="432" t="str">
        <v>—</v>
      </c>
      <c r="O454" s="431">
        <v>0</v>
      </c>
      <c r="P454" s="431" t="str">
        <v>—</v>
      </c>
      <c r="Q454" s="431" t="str">
        <v>—</v>
      </c>
      <c r="R454" s="432" t="str">
        <v>—</v>
      </c>
    </row>
    <row r="455" spans="2:18" x14ac:dyDescent="0.25">
      <c r="B455" s="440" t="str">
        <v>ME-19</v>
      </c>
      <c r="C455" s="438" t="str">
        <v>INACTIVA</v>
      </c>
      <c r="D455" s="442">
        <v>143</v>
      </c>
      <c r="E455" s="429" t="str">
        <v>8M5127</v>
      </c>
      <c r="F455" s="443" t="str">
        <v>SELLO</v>
      </c>
      <c r="G455" s="430">
        <v>7</v>
      </c>
      <c r="H455" s="424">
        <v>54.77</v>
      </c>
      <c r="I455" s="425">
        <v>383.39000000000004</v>
      </c>
      <c r="J455" s="432" t="str">
        <v>5-7</v>
      </c>
      <c r="K455" s="431">
        <v>0</v>
      </c>
      <c r="L455" s="431" t="str">
        <v>—</v>
      </c>
      <c r="M455" s="431" t="str">
        <v>—</v>
      </c>
      <c r="N455" s="432" t="str">
        <v>—</v>
      </c>
      <c r="O455" s="431">
        <v>0</v>
      </c>
      <c r="P455" s="431" t="str">
        <v>—</v>
      </c>
      <c r="Q455" s="431" t="str">
        <v>—</v>
      </c>
      <c r="R455" s="432" t="str">
        <v>—</v>
      </c>
    </row>
    <row r="456" spans="2:18" x14ac:dyDescent="0.25">
      <c r="B456" s="440" t="str">
        <v>ME-19</v>
      </c>
      <c r="C456" s="438" t="str">
        <v>INACTIVA</v>
      </c>
      <c r="D456" s="442">
        <v>143</v>
      </c>
      <c r="E456" s="429" t="str">
        <v>8M5250</v>
      </c>
      <c r="F456" s="443" t="str">
        <v>SELLO</v>
      </c>
      <c r="G456" s="430">
        <v>8</v>
      </c>
      <c r="H456" s="424">
        <v>43.14</v>
      </c>
      <c r="I456" s="425">
        <v>345.12</v>
      </c>
      <c r="J456" s="432" t="str">
        <v>5-7</v>
      </c>
      <c r="K456" s="431">
        <v>0</v>
      </c>
      <c r="L456" s="431" t="str">
        <v>—</v>
      </c>
      <c r="M456" s="431" t="str">
        <v>—</v>
      </c>
      <c r="N456" s="432" t="str">
        <v>—</v>
      </c>
      <c r="O456" s="431">
        <v>0</v>
      </c>
      <c r="P456" s="431" t="str">
        <v>—</v>
      </c>
      <c r="Q456" s="431" t="str">
        <v>—</v>
      </c>
      <c r="R456" s="432" t="str">
        <v>—</v>
      </c>
    </row>
    <row r="457" spans="2:18" x14ac:dyDescent="0.25">
      <c r="B457" s="440" t="str">
        <v>ME-19</v>
      </c>
      <c r="C457" s="438" t="str">
        <v>INACTIVA</v>
      </c>
      <c r="D457" s="442">
        <v>143</v>
      </c>
      <c r="E457" s="429" t="str">
        <v>8M8283</v>
      </c>
      <c r="F457" s="443" t="str">
        <v>JUNTAS</v>
      </c>
      <c r="G457" s="430">
        <v>6</v>
      </c>
      <c r="H457" s="424">
        <v>76.069999999999993</v>
      </c>
      <c r="I457" s="425">
        <v>456.41999999999996</v>
      </c>
      <c r="J457" s="432" t="str">
        <v>5-7</v>
      </c>
      <c r="K457" s="431">
        <v>0</v>
      </c>
      <c r="L457" s="431" t="str">
        <v>—</v>
      </c>
      <c r="M457" s="431" t="str">
        <v>—</v>
      </c>
      <c r="N457" s="432" t="str">
        <v>—</v>
      </c>
      <c r="O457" s="431">
        <v>0</v>
      </c>
      <c r="P457" s="431" t="str">
        <v>—</v>
      </c>
      <c r="Q457" s="431" t="str">
        <v>—</v>
      </c>
      <c r="R457" s="432" t="str">
        <v>—</v>
      </c>
    </row>
    <row r="458" spans="2:18" x14ac:dyDescent="0.25">
      <c r="B458" s="440" t="str">
        <v>ME-19</v>
      </c>
      <c r="C458" s="438" t="str">
        <v>INACTIVA</v>
      </c>
      <c r="D458" s="442">
        <v>143</v>
      </c>
      <c r="E458" s="429" t="str">
        <v>8M8515</v>
      </c>
      <c r="F458" s="443" t="str">
        <v>JUNTA</v>
      </c>
      <c r="G458" s="430">
        <v>1</v>
      </c>
      <c r="H458" s="424">
        <v>96.3</v>
      </c>
      <c r="I458" s="425">
        <v>96.3</v>
      </c>
      <c r="J458" s="432" t="str">
        <v>5-7</v>
      </c>
      <c r="K458" s="431">
        <v>0</v>
      </c>
      <c r="L458" s="431" t="str">
        <v>—</v>
      </c>
      <c r="M458" s="431" t="str">
        <v>—</v>
      </c>
      <c r="N458" s="432" t="str">
        <v>—</v>
      </c>
      <c r="O458" s="431">
        <v>0</v>
      </c>
      <c r="P458" s="431" t="str">
        <v>—</v>
      </c>
      <c r="Q458" s="431" t="str">
        <v>—</v>
      </c>
      <c r="R458" s="432" t="str">
        <v>—</v>
      </c>
    </row>
    <row r="459" spans="2:18" x14ac:dyDescent="0.25">
      <c r="B459" s="440" t="str">
        <v>ME-19</v>
      </c>
      <c r="C459" s="438" t="str">
        <v>INACTIVA</v>
      </c>
      <c r="D459" s="442">
        <v>143</v>
      </c>
      <c r="E459" s="429" t="str">
        <v>8M8544</v>
      </c>
      <c r="F459" s="443" t="str">
        <v>EMPAQUE</v>
      </c>
      <c r="G459" s="430">
        <v>2</v>
      </c>
      <c r="H459" s="424">
        <v>27.57</v>
      </c>
      <c r="I459" s="425">
        <v>55.14</v>
      </c>
      <c r="J459" s="432" t="str">
        <v>5-7</v>
      </c>
      <c r="K459" s="431">
        <v>0</v>
      </c>
      <c r="L459" s="431" t="str">
        <v>—</v>
      </c>
      <c r="M459" s="431" t="str">
        <v>—</v>
      </c>
      <c r="N459" s="432" t="str">
        <v>—</v>
      </c>
      <c r="O459" s="431">
        <v>0</v>
      </c>
      <c r="P459" s="431" t="str">
        <v>—</v>
      </c>
      <c r="Q459" s="431" t="str">
        <v>—</v>
      </c>
      <c r="R459" s="432" t="str">
        <v>—</v>
      </c>
    </row>
    <row r="460" spans="2:18" x14ac:dyDescent="0.25">
      <c r="B460" s="440" t="str">
        <v>ME-19</v>
      </c>
      <c r="C460" s="438" t="str">
        <v>INACTIVA</v>
      </c>
      <c r="D460" s="442">
        <v>143</v>
      </c>
      <c r="E460" s="429" t="str">
        <v>8S5575</v>
      </c>
      <c r="F460" s="443" t="str">
        <v>RETEN</v>
      </c>
      <c r="G460" s="430">
        <v>1</v>
      </c>
      <c r="H460" s="424">
        <v>152.87</v>
      </c>
      <c r="I460" s="425">
        <v>152.87</v>
      </c>
      <c r="J460" s="432" t="str">
        <v>5-7</v>
      </c>
      <c r="K460" s="431">
        <v>0</v>
      </c>
      <c r="L460" s="431" t="str">
        <v>—</v>
      </c>
      <c r="M460" s="431" t="str">
        <v>—</v>
      </c>
      <c r="N460" s="432" t="str">
        <v>—</v>
      </c>
      <c r="O460" s="431">
        <v>0</v>
      </c>
      <c r="P460" s="431" t="str">
        <v>—</v>
      </c>
      <c r="Q460" s="431" t="str">
        <v>—</v>
      </c>
      <c r="R460" s="432" t="str">
        <v>—</v>
      </c>
    </row>
    <row r="461" spans="2:18" x14ac:dyDescent="0.25">
      <c r="B461" s="440" t="str">
        <v>ME-19</v>
      </c>
      <c r="C461" s="438" t="str">
        <v>INACTIVA</v>
      </c>
      <c r="D461" s="442">
        <v>143</v>
      </c>
      <c r="E461" s="429" t="str">
        <v>0619458</v>
      </c>
      <c r="F461" s="443" t="str">
        <v>SELLO</v>
      </c>
      <c r="G461" s="430">
        <v>6</v>
      </c>
      <c r="H461" s="424">
        <v>238.07</v>
      </c>
      <c r="I461" s="425">
        <v>1428.42</v>
      </c>
      <c r="J461" s="432" t="str">
        <v>5-7</v>
      </c>
      <c r="K461" s="431">
        <v>0</v>
      </c>
      <c r="L461" s="431" t="str">
        <v>—</v>
      </c>
      <c r="M461" s="431" t="str">
        <v>—</v>
      </c>
      <c r="N461" s="432" t="str">
        <v>—</v>
      </c>
      <c r="O461" s="431">
        <v>0</v>
      </c>
      <c r="P461" s="431" t="str">
        <v>—</v>
      </c>
      <c r="Q461" s="431" t="str">
        <v>—</v>
      </c>
      <c r="R461" s="432" t="str">
        <v>—</v>
      </c>
    </row>
    <row r="462" spans="2:18" x14ac:dyDescent="0.25">
      <c r="B462" s="440" t="str">
        <v>ME-19</v>
      </c>
      <c r="C462" s="438" t="str">
        <v>INACTIVA</v>
      </c>
      <c r="D462" s="442">
        <v>143</v>
      </c>
      <c r="E462" s="429" t="str">
        <v>1J9671</v>
      </c>
      <c r="F462" s="443" t="str">
        <v>JUNTA</v>
      </c>
      <c r="G462" s="430">
        <v>2</v>
      </c>
      <c r="H462" s="424">
        <v>29.71</v>
      </c>
      <c r="I462" s="425">
        <v>59.42</v>
      </c>
      <c r="J462" s="432" t="str">
        <v>5-7</v>
      </c>
      <c r="K462" s="431">
        <v>0</v>
      </c>
      <c r="L462" s="431" t="str">
        <v>—</v>
      </c>
      <c r="M462" s="431" t="str">
        <v>—</v>
      </c>
      <c r="N462" s="432" t="str">
        <v>—</v>
      </c>
      <c r="O462" s="431">
        <v>0</v>
      </c>
      <c r="P462" s="431" t="str">
        <v>—</v>
      </c>
      <c r="Q462" s="431" t="str">
        <v>—</v>
      </c>
      <c r="R462" s="432" t="str">
        <v>—</v>
      </c>
    </row>
    <row r="463" spans="2:18" x14ac:dyDescent="0.25">
      <c r="B463" s="440" t="str">
        <v>ME-19</v>
      </c>
      <c r="C463" s="438" t="str">
        <v>INACTIVA</v>
      </c>
      <c r="D463" s="442">
        <v>143</v>
      </c>
      <c r="E463" s="429" t="str">
        <v>1P3704</v>
      </c>
      <c r="F463" s="443" t="str">
        <v>SELLO</v>
      </c>
      <c r="G463" s="430">
        <v>6</v>
      </c>
      <c r="H463" s="424">
        <v>76.430000000000007</v>
      </c>
      <c r="I463" s="425">
        <v>458.58000000000004</v>
      </c>
      <c r="J463" s="432" t="str">
        <v>5-7</v>
      </c>
      <c r="K463" s="431">
        <v>0</v>
      </c>
      <c r="L463" s="431" t="str">
        <v>—</v>
      </c>
      <c r="M463" s="431" t="str">
        <v>—</v>
      </c>
      <c r="N463" s="432" t="str">
        <v>—</v>
      </c>
      <c r="O463" s="431">
        <v>0</v>
      </c>
      <c r="P463" s="431" t="str">
        <v>—</v>
      </c>
      <c r="Q463" s="431" t="str">
        <v>—</v>
      </c>
      <c r="R463" s="432" t="str">
        <v>—</v>
      </c>
    </row>
    <row r="464" spans="2:18" x14ac:dyDescent="0.25">
      <c r="B464" s="440" t="str">
        <v>ME-19</v>
      </c>
      <c r="C464" s="438" t="str">
        <v>INACTIVA</v>
      </c>
      <c r="D464" s="442">
        <v>143</v>
      </c>
      <c r="E464" s="429" t="str">
        <v>2M9780</v>
      </c>
      <c r="F464" s="443" t="str">
        <v>JUNTA</v>
      </c>
      <c r="G464" s="430">
        <v>2</v>
      </c>
      <c r="H464" s="424">
        <v>38.479999999999997</v>
      </c>
      <c r="I464" s="425">
        <v>76.959999999999994</v>
      </c>
      <c r="J464" s="432" t="str">
        <v>5-7</v>
      </c>
      <c r="K464" s="431">
        <v>0</v>
      </c>
      <c r="L464" s="431" t="str">
        <v>—</v>
      </c>
      <c r="M464" s="431" t="str">
        <v>—</v>
      </c>
      <c r="N464" s="432" t="str">
        <v>—</v>
      </c>
      <c r="O464" s="431">
        <v>0</v>
      </c>
      <c r="P464" s="431" t="str">
        <v>—</v>
      </c>
      <c r="Q464" s="431" t="str">
        <v>—</v>
      </c>
      <c r="R464" s="432" t="str">
        <v>—</v>
      </c>
    </row>
    <row r="465" spans="2:18" x14ac:dyDescent="0.25">
      <c r="B465" s="440" t="str">
        <v>ME-19</v>
      </c>
      <c r="C465" s="438" t="str">
        <v>INACTIVA</v>
      </c>
      <c r="D465" s="442">
        <v>143</v>
      </c>
      <c r="E465" s="429" t="str">
        <v>3308196</v>
      </c>
      <c r="F465" s="443" t="str">
        <v>SEAL-O-RING</v>
      </c>
      <c r="G465" s="430">
        <v>5</v>
      </c>
      <c r="H465" s="424">
        <v>123.69</v>
      </c>
      <c r="I465" s="425">
        <v>618.45000000000005</v>
      </c>
      <c r="J465" s="432" t="str">
        <v>5-7</v>
      </c>
      <c r="K465" s="431">
        <v>0</v>
      </c>
      <c r="L465" s="431" t="str">
        <v>—</v>
      </c>
      <c r="M465" s="431" t="str">
        <v>—</v>
      </c>
      <c r="N465" s="432" t="str">
        <v>—</v>
      </c>
      <c r="O465" s="431">
        <v>0</v>
      </c>
      <c r="P465" s="431" t="str">
        <v>—</v>
      </c>
      <c r="Q465" s="431" t="str">
        <v>—</v>
      </c>
      <c r="R465" s="432" t="str">
        <v>—</v>
      </c>
    </row>
    <row r="466" spans="2:18" x14ac:dyDescent="0.25">
      <c r="B466" s="440" t="str">
        <v>ME-19</v>
      </c>
      <c r="C466" s="438" t="str">
        <v>INACTIVA</v>
      </c>
      <c r="D466" s="442">
        <v>143</v>
      </c>
      <c r="E466" s="429" t="str">
        <v>3464897</v>
      </c>
      <c r="F466" s="443" t="str">
        <v>SEAL-O-RING</v>
      </c>
      <c r="G466" s="430">
        <v>1</v>
      </c>
      <c r="H466" s="424">
        <v>325.95999999999998</v>
      </c>
      <c r="I466" s="425">
        <v>325.95999999999998</v>
      </c>
      <c r="J466" s="432" t="str">
        <v>5-7</v>
      </c>
      <c r="K466" s="431">
        <v>0</v>
      </c>
      <c r="L466" s="431" t="str">
        <v>—</v>
      </c>
      <c r="M466" s="431" t="str">
        <v>—</v>
      </c>
      <c r="N466" s="432" t="str">
        <v>—</v>
      </c>
      <c r="O466" s="431">
        <v>0</v>
      </c>
      <c r="P466" s="431" t="str">
        <v>—</v>
      </c>
      <c r="Q466" s="431" t="str">
        <v>—</v>
      </c>
      <c r="R466" s="432" t="str">
        <v>—</v>
      </c>
    </row>
    <row r="467" spans="2:18" x14ac:dyDescent="0.25">
      <c r="B467" s="440" t="str">
        <v>ME-19</v>
      </c>
      <c r="C467" s="438" t="str">
        <v>INACTIVA</v>
      </c>
      <c r="D467" s="442">
        <v>143</v>
      </c>
      <c r="E467" s="429" t="str">
        <v>3618205</v>
      </c>
      <c r="F467" s="443" t="str">
        <v>SEAL-FUEL SY</v>
      </c>
      <c r="G467" s="430">
        <v>12</v>
      </c>
      <c r="H467" s="424">
        <v>194.04</v>
      </c>
      <c r="I467" s="425">
        <v>2328.48</v>
      </c>
      <c r="J467" s="432" t="str">
        <v>5-7</v>
      </c>
      <c r="K467" s="431">
        <v>0</v>
      </c>
      <c r="L467" s="431" t="str">
        <v>—</v>
      </c>
      <c r="M467" s="431" t="str">
        <v>—</v>
      </c>
      <c r="N467" s="432" t="str">
        <v>—</v>
      </c>
      <c r="O467" s="431">
        <v>0</v>
      </c>
      <c r="P467" s="431" t="str">
        <v>—</v>
      </c>
      <c r="Q467" s="431" t="str">
        <v>—</v>
      </c>
      <c r="R467" s="432" t="str">
        <v>—</v>
      </c>
    </row>
    <row r="468" spans="2:18" x14ac:dyDescent="0.25">
      <c r="B468" s="440" t="str">
        <v>ME-19</v>
      </c>
      <c r="C468" s="438" t="str">
        <v>INACTIVA</v>
      </c>
      <c r="D468" s="442">
        <v>143</v>
      </c>
      <c r="E468" s="429" t="str">
        <v>3J1907</v>
      </c>
      <c r="F468" s="443" t="str">
        <v>SELLOS</v>
      </c>
      <c r="G468" s="430">
        <v>15</v>
      </c>
      <c r="H468" s="424">
        <v>31.5</v>
      </c>
      <c r="I468" s="425">
        <v>472.5</v>
      </c>
      <c r="J468" s="432" t="str">
        <v>5-7</v>
      </c>
      <c r="K468" s="431">
        <v>0</v>
      </c>
      <c r="L468" s="431" t="str">
        <v>—</v>
      </c>
      <c r="M468" s="431" t="str">
        <v>—</v>
      </c>
      <c r="N468" s="432" t="str">
        <v>—</v>
      </c>
      <c r="O468" s="431">
        <v>0</v>
      </c>
      <c r="P468" s="431" t="str">
        <v>—</v>
      </c>
      <c r="Q468" s="431" t="str">
        <v>—</v>
      </c>
      <c r="R468" s="432" t="str">
        <v>—</v>
      </c>
    </row>
    <row r="469" spans="2:18" x14ac:dyDescent="0.25">
      <c r="B469" s="440" t="str">
        <v>ME-19</v>
      </c>
      <c r="C469" s="438" t="str">
        <v>INACTIVA</v>
      </c>
      <c r="D469" s="442">
        <v>143</v>
      </c>
      <c r="E469" s="429" t="str">
        <v>3K0360</v>
      </c>
      <c r="F469" s="443" t="str">
        <v>JUNTA CAUC</v>
      </c>
      <c r="G469" s="430">
        <v>5</v>
      </c>
      <c r="H469" s="424">
        <v>34.9</v>
      </c>
      <c r="I469" s="425">
        <v>174.5</v>
      </c>
      <c r="J469" s="432" t="str">
        <v>5-7</v>
      </c>
      <c r="K469" s="431">
        <v>0</v>
      </c>
      <c r="L469" s="431" t="str">
        <v>—</v>
      </c>
      <c r="M469" s="431" t="str">
        <v>—</v>
      </c>
      <c r="N469" s="432" t="str">
        <v>—</v>
      </c>
      <c r="O469" s="431">
        <v>0</v>
      </c>
      <c r="P469" s="431" t="str">
        <v>—</v>
      </c>
      <c r="Q469" s="431" t="str">
        <v>—</v>
      </c>
      <c r="R469" s="432" t="str">
        <v>—</v>
      </c>
    </row>
    <row r="470" spans="2:18" x14ac:dyDescent="0.25">
      <c r="B470" s="440" t="str">
        <v>ME-19</v>
      </c>
      <c r="C470" s="438" t="str">
        <v>INACTIVA</v>
      </c>
      <c r="D470" s="442">
        <v>143</v>
      </c>
      <c r="E470" s="429" t="str">
        <v>4511493</v>
      </c>
      <c r="F470" s="443" t="str">
        <v>SEAL-O-RING</v>
      </c>
      <c r="G470" s="430">
        <v>8</v>
      </c>
      <c r="H470" s="424">
        <v>241.29</v>
      </c>
      <c r="I470" s="425">
        <v>1930.32</v>
      </c>
      <c r="J470" s="432" t="str">
        <v>5-7</v>
      </c>
      <c r="K470" s="431">
        <v>0</v>
      </c>
      <c r="L470" s="431" t="str">
        <v>—</v>
      </c>
      <c r="M470" s="431" t="str">
        <v>—</v>
      </c>
      <c r="N470" s="432" t="str">
        <v>—</v>
      </c>
      <c r="O470" s="431">
        <v>0</v>
      </c>
      <c r="P470" s="431" t="str">
        <v>—</v>
      </c>
      <c r="Q470" s="431" t="str">
        <v>—</v>
      </c>
      <c r="R470" s="432" t="str">
        <v>—</v>
      </c>
    </row>
    <row r="471" spans="2:18" x14ac:dyDescent="0.25">
      <c r="B471" s="440" t="str">
        <v>ME-19</v>
      </c>
      <c r="C471" s="438" t="str">
        <v>INACTIVA</v>
      </c>
      <c r="D471" s="442">
        <v>143</v>
      </c>
      <c r="E471" s="429" t="str">
        <v>4J7533</v>
      </c>
      <c r="F471" s="443" t="str">
        <v>JUNTAS</v>
      </c>
      <c r="G471" s="430">
        <v>21</v>
      </c>
      <c r="H471" s="424">
        <v>25.24</v>
      </c>
      <c r="I471" s="425">
        <v>530.04</v>
      </c>
      <c r="J471" s="432" t="str">
        <v>5-7</v>
      </c>
      <c r="K471" s="431">
        <v>0</v>
      </c>
      <c r="L471" s="431" t="str">
        <v>—</v>
      </c>
      <c r="M471" s="431" t="str">
        <v>—</v>
      </c>
      <c r="N471" s="432" t="str">
        <v>—</v>
      </c>
      <c r="O471" s="431">
        <v>0</v>
      </c>
      <c r="P471" s="431" t="str">
        <v>—</v>
      </c>
      <c r="Q471" s="431" t="str">
        <v>—</v>
      </c>
      <c r="R471" s="432" t="str">
        <v>—</v>
      </c>
    </row>
    <row r="472" spans="2:18" x14ac:dyDescent="0.25">
      <c r="B472" s="440" t="str">
        <v>ME-19</v>
      </c>
      <c r="C472" s="438" t="str">
        <v>INACTIVA</v>
      </c>
      <c r="D472" s="442">
        <v>143</v>
      </c>
      <c r="E472" s="429" t="str">
        <v>5H6005</v>
      </c>
      <c r="F472" s="443" t="str">
        <v>SELLO</v>
      </c>
      <c r="G472" s="430">
        <v>2</v>
      </c>
      <c r="H472" s="424">
        <v>31.5</v>
      </c>
      <c r="I472" s="425">
        <v>63</v>
      </c>
      <c r="J472" s="432" t="str">
        <v>5-7</v>
      </c>
      <c r="K472" s="431">
        <v>0</v>
      </c>
      <c r="L472" s="431" t="str">
        <v>—</v>
      </c>
      <c r="M472" s="431" t="str">
        <v>—</v>
      </c>
      <c r="N472" s="432" t="str">
        <v>—</v>
      </c>
      <c r="O472" s="431">
        <v>0</v>
      </c>
      <c r="P472" s="431" t="str">
        <v>—</v>
      </c>
      <c r="Q472" s="431" t="str">
        <v>—</v>
      </c>
      <c r="R472" s="432" t="str">
        <v>—</v>
      </c>
    </row>
    <row r="473" spans="2:18" x14ac:dyDescent="0.25">
      <c r="B473" s="440" t="str">
        <v>ME-19</v>
      </c>
      <c r="C473" s="438" t="str">
        <v>INACTIVA</v>
      </c>
      <c r="D473" s="442">
        <v>143</v>
      </c>
      <c r="E473" s="429" t="str">
        <v>5P6718</v>
      </c>
      <c r="F473" s="443" t="str">
        <v>EMPAQUE HU</v>
      </c>
      <c r="G473" s="430">
        <v>5</v>
      </c>
      <c r="H473" s="424">
        <v>184.55</v>
      </c>
      <c r="I473" s="425">
        <v>922.75</v>
      </c>
      <c r="J473" s="432" t="str">
        <v>5-7</v>
      </c>
      <c r="K473" s="431">
        <v>0</v>
      </c>
      <c r="L473" s="431" t="str">
        <v>—</v>
      </c>
      <c r="M473" s="431" t="str">
        <v>—</v>
      </c>
      <c r="N473" s="432" t="str">
        <v>—</v>
      </c>
      <c r="O473" s="431">
        <v>0</v>
      </c>
      <c r="P473" s="431" t="str">
        <v>—</v>
      </c>
      <c r="Q473" s="431" t="str">
        <v>—</v>
      </c>
      <c r="R473" s="432" t="str">
        <v>—</v>
      </c>
    </row>
    <row r="474" spans="2:18" x14ac:dyDescent="0.25">
      <c r="B474" s="440" t="str">
        <v>ME-19</v>
      </c>
      <c r="C474" s="438" t="str">
        <v>INACTIVA</v>
      </c>
      <c r="D474" s="442">
        <v>143</v>
      </c>
      <c r="E474" s="429" t="str">
        <v>6T5133</v>
      </c>
      <c r="F474" s="443" t="str">
        <v>EMPAQUE</v>
      </c>
      <c r="G474" s="430">
        <v>1</v>
      </c>
      <c r="H474" s="424">
        <v>100.42</v>
      </c>
      <c r="I474" s="425">
        <v>100.42</v>
      </c>
      <c r="J474" s="432" t="str">
        <v>5-7</v>
      </c>
      <c r="K474" s="431">
        <v>0</v>
      </c>
      <c r="L474" s="431" t="str">
        <v>—</v>
      </c>
      <c r="M474" s="431" t="str">
        <v>—</v>
      </c>
      <c r="N474" s="432" t="str">
        <v>—</v>
      </c>
      <c r="O474" s="431">
        <v>0</v>
      </c>
      <c r="P474" s="431" t="str">
        <v>—</v>
      </c>
      <c r="Q474" s="431" t="str">
        <v>—</v>
      </c>
      <c r="R474" s="432" t="str">
        <v>—</v>
      </c>
    </row>
    <row r="475" spans="2:18" x14ac:dyDescent="0.25">
      <c r="B475" s="440" t="str">
        <v>ME-19</v>
      </c>
      <c r="C475" s="438" t="str">
        <v>INACTIVA</v>
      </c>
      <c r="D475" s="442">
        <v>143</v>
      </c>
      <c r="E475" s="429" t="str">
        <v>6V3683</v>
      </c>
      <c r="F475" s="443" t="str">
        <v>JUNTA</v>
      </c>
      <c r="G475" s="430">
        <v>1</v>
      </c>
      <c r="H475" s="424">
        <v>210.33</v>
      </c>
      <c r="I475" s="425">
        <v>210.33</v>
      </c>
      <c r="J475" s="432" t="str">
        <v>5-7</v>
      </c>
      <c r="K475" s="431">
        <v>0</v>
      </c>
      <c r="L475" s="431" t="str">
        <v>—</v>
      </c>
      <c r="M475" s="431" t="str">
        <v>—</v>
      </c>
      <c r="N475" s="432" t="str">
        <v>—</v>
      </c>
      <c r="O475" s="431">
        <v>0</v>
      </c>
      <c r="P475" s="431" t="str">
        <v>—</v>
      </c>
      <c r="Q475" s="431" t="str">
        <v>—</v>
      </c>
      <c r="R475" s="432" t="str">
        <v>—</v>
      </c>
    </row>
    <row r="476" spans="2:18" x14ac:dyDescent="0.25">
      <c r="B476" s="440" t="str">
        <v>ME-19</v>
      </c>
      <c r="C476" s="438" t="str">
        <v>INACTIVA</v>
      </c>
      <c r="D476" s="442">
        <v>143</v>
      </c>
      <c r="E476" s="429" t="str">
        <v>8M4437</v>
      </c>
      <c r="F476" s="443" t="str">
        <v>JUNTA</v>
      </c>
      <c r="G476" s="430">
        <v>2</v>
      </c>
      <c r="H476" s="424">
        <v>60.14</v>
      </c>
      <c r="I476" s="425">
        <v>120.28</v>
      </c>
      <c r="J476" s="432" t="str">
        <v>5-7</v>
      </c>
      <c r="K476" s="431">
        <v>0</v>
      </c>
      <c r="L476" s="431" t="str">
        <v>—</v>
      </c>
      <c r="M476" s="431" t="str">
        <v>—</v>
      </c>
      <c r="N476" s="432" t="str">
        <v>—</v>
      </c>
      <c r="O476" s="431">
        <v>0</v>
      </c>
      <c r="P476" s="431" t="str">
        <v>—</v>
      </c>
      <c r="Q476" s="431" t="str">
        <v>—</v>
      </c>
      <c r="R476" s="432" t="str">
        <v>—</v>
      </c>
    </row>
    <row r="477" spans="2:18" x14ac:dyDescent="0.25">
      <c r="B477" s="440" t="str">
        <v>ME-19</v>
      </c>
      <c r="C477" s="438" t="str">
        <v>INACTIVA</v>
      </c>
      <c r="D477" s="442">
        <v>143</v>
      </c>
      <c r="E477" s="429" t="str">
        <v>8M4988</v>
      </c>
      <c r="F477" s="443" t="str">
        <v>JUNTA</v>
      </c>
      <c r="G477" s="430">
        <v>3</v>
      </c>
      <c r="H477" s="424">
        <v>97.73</v>
      </c>
      <c r="I477" s="425">
        <v>293.19</v>
      </c>
      <c r="J477" s="432" t="str">
        <v>5-7</v>
      </c>
      <c r="K477" s="431">
        <v>0</v>
      </c>
      <c r="L477" s="431" t="str">
        <v>—</v>
      </c>
      <c r="M477" s="431" t="str">
        <v>—</v>
      </c>
      <c r="N477" s="432" t="str">
        <v>—</v>
      </c>
      <c r="O477" s="431">
        <v>0</v>
      </c>
      <c r="P477" s="431" t="str">
        <v>—</v>
      </c>
      <c r="Q477" s="431" t="str">
        <v>—</v>
      </c>
      <c r="R477" s="432" t="str">
        <v>—</v>
      </c>
    </row>
    <row r="478" spans="2:18" x14ac:dyDescent="0.25">
      <c r="B478" s="440" t="str">
        <v>ME-19</v>
      </c>
      <c r="C478" s="438" t="str">
        <v>INACTIVA</v>
      </c>
      <c r="D478" s="442">
        <v>143</v>
      </c>
      <c r="E478" s="429" t="str">
        <v>8M5127</v>
      </c>
      <c r="F478" s="443" t="str">
        <v>SELLO</v>
      </c>
      <c r="G478" s="430">
        <v>7</v>
      </c>
      <c r="H478" s="424">
        <v>54.77</v>
      </c>
      <c r="I478" s="425">
        <v>383.39000000000004</v>
      </c>
      <c r="J478" s="432" t="str">
        <v>5-7</v>
      </c>
      <c r="K478" s="431">
        <v>0</v>
      </c>
      <c r="L478" s="431" t="str">
        <v>—</v>
      </c>
      <c r="M478" s="431" t="str">
        <v>—</v>
      </c>
      <c r="N478" s="432" t="str">
        <v>—</v>
      </c>
      <c r="O478" s="431">
        <v>0</v>
      </c>
      <c r="P478" s="431" t="str">
        <v>—</v>
      </c>
      <c r="Q478" s="431" t="str">
        <v>—</v>
      </c>
      <c r="R478" s="432" t="str">
        <v>—</v>
      </c>
    </row>
    <row r="479" spans="2:18" x14ac:dyDescent="0.25">
      <c r="B479" s="440" t="str">
        <v>ME-19</v>
      </c>
      <c r="C479" s="438" t="str">
        <v>INACTIVA</v>
      </c>
      <c r="D479" s="442">
        <v>143</v>
      </c>
      <c r="E479" s="429" t="str">
        <v>8M5250</v>
      </c>
      <c r="F479" s="443" t="str">
        <v>SELLO</v>
      </c>
      <c r="G479" s="430">
        <v>8</v>
      </c>
      <c r="H479" s="424">
        <v>43.14</v>
      </c>
      <c r="I479" s="425">
        <v>345.12</v>
      </c>
      <c r="J479" s="432" t="str">
        <v>5-7</v>
      </c>
      <c r="K479" s="431">
        <v>0</v>
      </c>
      <c r="L479" s="431" t="str">
        <v>—</v>
      </c>
      <c r="M479" s="431" t="str">
        <v>—</v>
      </c>
      <c r="N479" s="432" t="str">
        <v>—</v>
      </c>
      <c r="O479" s="431">
        <v>0</v>
      </c>
      <c r="P479" s="431" t="str">
        <v>—</v>
      </c>
      <c r="Q479" s="431" t="str">
        <v>—</v>
      </c>
      <c r="R479" s="432" t="str">
        <v>—</v>
      </c>
    </row>
    <row r="480" spans="2:18" x14ac:dyDescent="0.25">
      <c r="B480" s="440" t="str">
        <v>ME-19</v>
      </c>
      <c r="C480" s="438" t="str">
        <v>INACTIVA</v>
      </c>
      <c r="D480" s="442">
        <v>143</v>
      </c>
      <c r="E480" s="429" t="str">
        <v>8M8283</v>
      </c>
      <c r="F480" s="443" t="str">
        <v>JUNTAS</v>
      </c>
      <c r="G480" s="430">
        <v>6</v>
      </c>
      <c r="H480" s="424">
        <v>76.069999999999993</v>
      </c>
      <c r="I480" s="425">
        <v>456.41999999999996</v>
      </c>
      <c r="J480" s="432" t="str">
        <v>5-7</v>
      </c>
      <c r="K480" s="431">
        <v>0</v>
      </c>
      <c r="L480" s="431" t="str">
        <v>—</v>
      </c>
      <c r="M480" s="431" t="str">
        <v>—</v>
      </c>
      <c r="N480" s="432" t="str">
        <v>—</v>
      </c>
      <c r="O480" s="431">
        <v>0</v>
      </c>
      <c r="P480" s="431" t="str">
        <v>—</v>
      </c>
      <c r="Q480" s="431" t="str">
        <v>—</v>
      </c>
      <c r="R480" s="432" t="str">
        <v>—</v>
      </c>
    </row>
    <row r="481" spans="2:18" x14ac:dyDescent="0.25">
      <c r="B481" s="440" t="str">
        <v>ME-19</v>
      </c>
      <c r="C481" s="438" t="str">
        <v>INACTIVA</v>
      </c>
      <c r="D481" s="442">
        <v>143</v>
      </c>
      <c r="E481" s="429" t="str">
        <v>8M8515</v>
      </c>
      <c r="F481" s="443" t="str">
        <v>JUNTA</v>
      </c>
      <c r="G481" s="430">
        <v>1</v>
      </c>
      <c r="H481" s="424">
        <v>96.3</v>
      </c>
      <c r="I481" s="425">
        <v>96.3</v>
      </c>
      <c r="J481" s="432" t="str">
        <v>5-7</v>
      </c>
      <c r="K481" s="431">
        <v>0</v>
      </c>
      <c r="L481" s="431" t="str">
        <v>—</v>
      </c>
      <c r="M481" s="431" t="str">
        <v>—</v>
      </c>
      <c r="N481" s="432" t="str">
        <v>—</v>
      </c>
      <c r="O481" s="431">
        <v>0</v>
      </c>
      <c r="P481" s="431" t="str">
        <v>—</v>
      </c>
      <c r="Q481" s="431" t="str">
        <v>—</v>
      </c>
      <c r="R481" s="432" t="str">
        <v>—</v>
      </c>
    </row>
    <row r="482" spans="2:18" x14ac:dyDescent="0.25">
      <c r="B482" s="440" t="str">
        <v>ME-19</v>
      </c>
      <c r="C482" s="438" t="str">
        <v>INACTIVA</v>
      </c>
      <c r="D482" s="442">
        <v>143</v>
      </c>
      <c r="E482" s="429" t="str">
        <v>8M8544</v>
      </c>
      <c r="F482" s="443" t="str">
        <v>EMPAQUE</v>
      </c>
      <c r="G482" s="430">
        <v>2</v>
      </c>
      <c r="H482" s="424">
        <v>27.57</v>
      </c>
      <c r="I482" s="425">
        <v>55.14</v>
      </c>
      <c r="J482" s="432" t="str">
        <v>5-7</v>
      </c>
      <c r="K482" s="431">
        <v>0</v>
      </c>
      <c r="L482" s="431" t="str">
        <v>—</v>
      </c>
      <c r="M482" s="431" t="str">
        <v>—</v>
      </c>
      <c r="N482" s="432" t="str">
        <v>—</v>
      </c>
      <c r="O482" s="431">
        <v>0</v>
      </c>
      <c r="P482" s="431" t="str">
        <v>—</v>
      </c>
      <c r="Q482" s="431" t="str">
        <v>—</v>
      </c>
      <c r="R482" s="432" t="str">
        <v>—</v>
      </c>
    </row>
    <row r="483" spans="2:18" x14ac:dyDescent="0.25">
      <c r="B483" s="440" t="str">
        <v>ME-19</v>
      </c>
      <c r="C483" s="438" t="str">
        <v>INACTIVA</v>
      </c>
      <c r="D483" s="442">
        <v>143</v>
      </c>
      <c r="E483" s="429" t="str">
        <v>8S5575</v>
      </c>
      <c r="F483" s="443" t="str">
        <v>RETEN</v>
      </c>
      <c r="G483" s="430">
        <v>1</v>
      </c>
      <c r="H483" s="424">
        <v>152.87</v>
      </c>
      <c r="I483" s="425">
        <v>152.87</v>
      </c>
      <c r="J483" s="432" t="str">
        <v>5-7</v>
      </c>
      <c r="K483" s="431">
        <v>0</v>
      </c>
      <c r="L483" s="431" t="str">
        <v>—</v>
      </c>
      <c r="M483" s="431" t="str">
        <v>—</v>
      </c>
      <c r="N483" s="432" t="str">
        <v>—</v>
      </c>
      <c r="O483" s="431">
        <v>0</v>
      </c>
      <c r="P483" s="431" t="str">
        <v>—</v>
      </c>
      <c r="Q483" s="431" t="str">
        <v>—</v>
      </c>
      <c r="R483" s="432" t="str">
        <v>—</v>
      </c>
    </row>
    <row r="484" spans="2:18" x14ac:dyDescent="0.25">
      <c r="B484" s="440" t="str">
        <v>ME-19</v>
      </c>
      <c r="C484" s="438" t="str">
        <v>INACTIVA</v>
      </c>
      <c r="D484" s="442">
        <v>143</v>
      </c>
      <c r="E484" s="429" t="str">
        <v>2M1309</v>
      </c>
      <c r="F484" s="443" t="str">
        <v>JUNTA</v>
      </c>
      <c r="G484" s="430">
        <v>1</v>
      </c>
      <c r="H484" s="424">
        <v>279.24</v>
      </c>
      <c r="I484" s="425">
        <v>279.24</v>
      </c>
      <c r="J484" s="432" t="str">
        <v>5-7</v>
      </c>
      <c r="K484" s="431">
        <v>0</v>
      </c>
      <c r="L484" s="431" t="str">
        <v>—</v>
      </c>
      <c r="M484" s="431" t="str">
        <v>—</v>
      </c>
      <c r="N484" s="432" t="str">
        <v>—</v>
      </c>
      <c r="O484" s="431">
        <v>0</v>
      </c>
      <c r="P484" s="431" t="str">
        <v>—</v>
      </c>
      <c r="Q484" s="431" t="str">
        <v>—</v>
      </c>
      <c r="R484" s="432" t="str">
        <v>—</v>
      </c>
    </row>
    <row r="485" spans="2:18" x14ac:dyDescent="0.25">
      <c r="B485" s="440" t="str">
        <v>ME-19</v>
      </c>
      <c r="C485" s="438" t="str">
        <v>INACTIVA</v>
      </c>
      <c r="D485" s="442">
        <v>143</v>
      </c>
      <c r="E485" s="429" t="str">
        <v>3F5792</v>
      </c>
      <c r="F485" s="443" t="str">
        <v>JUNTAS</v>
      </c>
      <c r="G485" s="430">
        <v>3</v>
      </c>
      <c r="H485" s="424">
        <v>151.97</v>
      </c>
      <c r="I485" s="425">
        <v>455.90999999999997</v>
      </c>
      <c r="J485" s="432" t="str">
        <v>5-7</v>
      </c>
      <c r="K485" s="431">
        <v>0</v>
      </c>
      <c r="L485" s="431" t="str">
        <v>—</v>
      </c>
      <c r="M485" s="431" t="str">
        <v>—</v>
      </c>
      <c r="N485" s="432" t="str">
        <v>—</v>
      </c>
      <c r="O485" s="431">
        <v>0</v>
      </c>
      <c r="P485" s="431" t="str">
        <v>—</v>
      </c>
      <c r="Q485" s="431" t="str">
        <v>—</v>
      </c>
      <c r="R485" s="432" t="str">
        <v>—</v>
      </c>
    </row>
    <row r="486" spans="2:18" x14ac:dyDescent="0.25">
      <c r="B486" s="440" t="str">
        <v>ME-19</v>
      </c>
      <c r="C486" s="438" t="str">
        <v>INACTIVA</v>
      </c>
      <c r="D486" s="442">
        <v>143</v>
      </c>
      <c r="E486" s="429" t="str">
        <v>3J0634</v>
      </c>
      <c r="F486" s="443" t="str">
        <v>JUNTA</v>
      </c>
      <c r="G486" s="430">
        <v>1</v>
      </c>
      <c r="H486" s="424">
        <v>177.39</v>
      </c>
      <c r="I486" s="425">
        <v>177.39</v>
      </c>
      <c r="J486" s="432" t="str">
        <v>5-7</v>
      </c>
      <c r="K486" s="431">
        <v>0</v>
      </c>
      <c r="L486" s="431" t="str">
        <v>—</v>
      </c>
      <c r="M486" s="431" t="str">
        <v>—</v>
      </c>
      <c r="N486" s="432" t="str">
        <v>—</v>
      </c>
      <c r="O486" s="431">
        <v>0</v>
      </c>
      <c r="P486" s="431" t="str">
        <v>—</v>
      </c>
      <c r="Q486" s="431" t="str">
        <v>—</v>
      </c>
      <c r="R486" s="432" t="str">
        <v>—</v>
      </c>
    </row>
    <row r="487" spans="2:18" x14ac:dyDescent="0.25">
      <c r="B487" s="440" t="str">
        <v>ME-19</v>
      </c>
      <c r="C487" s="438" t="str">
        <v>INACTIVA</v>
      </c>
      <c r="D487" s="442">
        <v>143</v>
      </c>
      <c r="E487" s="429" t="str">
        <v>4K1388</v>
      </c>
      <c r="F487" s="443" t="str">
        <v>JUNTA</v>
      </c>
      <c r="G487" s="430">
        <v>1</v>
      </c>
      <c r="H487" s="424">
        <v>51.91</v>
      </c>
      <c r="I487" s="425">
        <v>51.91</v>
      </c>
      <c r="J487" s="432" t="str">
        <v>5-7</v>
      </c>
      <c r="K487" s="431">
        <v>0</v>
      </c>
      <c r="L487" s="431" t="str">
        <v>—</v>
      </c>
      <c r="M487" s="431" t="str">
        <v>—</v>
      </c>
      <c r="N487" s="432" t="str">
        <v>—</v>
      </c>
      <c r="O487" s="431">
        <v>0</v>
      </c>
      <c r="P487" s="431" t="str">
        <v>—</v>
      </c>
      <c r="Q487" s="431" t="str">
        <v>—</v>
      </c>
      <c r="R487" s="432" t="str">
        <v>—</v>
      </c>
    </row>
    <row r="488" spans="2:18" x14ac:dyDescent="0.25">
      <c r="B488" s="440" t="str">
        <v>ME-19</v>
      </c>
      <c r="C488" s="438" t="str">
        <v>INACTIVA</v>
      </c>
      <c r="D488" s="442">
        <v>143</v>
      </c>
      <c r="E488" s="429" t="str">
        <v>6D1004</v>
      </c>
      <c r="F488" s="443" t="str">
        <v>JUNTAS</v>
      </c>
      <c r="G488" s="430">
        <v>1</v>
      </c>
      <c r="H488" s="424">
        <v>56.03</v>
      </c>
      <c r="I488" s="425">
        <v>56.03</v>
      </c>
      <c r="J488" s="432" t="str">
        <v>5-7</v>
      </c>
      <c r="K488" s="431">
        <v>0</v>
      </c>
      <c r="L488" s="431" t="str">
        <v>—</v>
      </c>
      <c r="M488" s="431" t="str">
        <v>—</v>
      </c>
      <c r="N488" s="432" t="str">
        <v>—</v>
      </c>
      <c r="O488" s="431">
        <v>0</v>
      </c>
      <c r="P488" s="431" t="str">
        <v>—</v>
      </c>
      <c r="Q488" s="431" t="str">
        <v>—</v>
      </c>
      <c r="R488" s="432" t="str">
        <v>—</v>
      </c>
    </row>
    <row r="489" spans="2:18" x14ac:dyDescent="0.25">
      <c r="B489" s="440" t="str">
        <v>ME-19</v>
      </c>
      <c r="C489" s="438" t="str">
        <v>INACTIVA</v>
      </c>
      <c r="D489" s="442">
        <v>143</v>
      </c>
      <c r="E489" s="429" t="str">
        <v>6F0711</v>
      </c>
      <c r="F489" s="443" t="str">
        <v>JUNTA</v>
      </c>
      <c r="G489" s="430">
        <v>4</v>
      </c>
      <c r="H489" s="424">
        <v>70.709999999999994</v>
      </c>
      <c r="I489" s="425">
        <v>282.83999999999997</v>
      </c>
      <c r="J489" s="432" t="str">
        <v>5-7</v>
      </c>
      <c r="K489" s="431">
        <v>0</v>
      </c>
      <c r="L489" s="431" t="str">
        <v>—</v>
      </c>
      <c r="M489" s="431" t="str">
        <v>—</v>
      </c>
      <c r="N489" s="432" t="str">
        <v>—</v>
      </c>
      <c r="O489" s="431">
        <v>0</v>
      </c>
      <c r="P489" s="431" t="str">
        <v>—</v>
      </c>
      <c r="Q489" s="431" t="str">
        <v>—</v>
      </c>
      <c r="R489" s="432" t="str">
        <v>—</v>
      </c>
    </row>
    <row r="490" spans="2:18" x14ac:dyDescent="0.25">
      <c r="B490" s="440" t="str">
        <v>ME-19</v>
      </c>
      <c r="C490" s="438" t="str">
        <v>INACTIVA</v>
      </c>
      <c r="D490" s="442">
        <v>143</v>
      </c>
      <c r="E490" s="429" t="str">
        <v>6T5612</v>
      </c>
      <c r="F490" s="443" t="str">
        <v>EMPAQUE</v>
      </c>
      <c r="G490" s="430">
        <v>5</v>
      </c>
      <c r="H490" s="424">
        <v>108.47</v>
      </c>
      <c r="I490" s="425">
        <v>542.35</v>
      </c>
      <c r="J490" s="432" t="str">
        <v>5-7</v>
      </c>
      <c r="K490" s="431">
        <v>0</v>
      </c>
      <c r="L490" s="431" t="str">
        <v>—</v>
      </c>
      <c r="M490" s="431" t="str">
        <v>—</v>
      </c>
      <c r="N490" s="432" t="str">
        <v>—</v>
      </c>
      <c r="O490" s="431">
        <v>0</v>
      </c>
      <c r="P490" s="431" t="str">
        <v>—</v>
      </c>
      <c r="Q490" s="431" t="str">
        <v>—</v>
      </c>
      <c r="R490" s="432" t="str">
        <v>—</v>
      </c>
    </row>
    <row r="491" spans="2:18" x14ac:dyDescent="0.25">
      <c r="B491" s="440" t="str">
        <v>ME-19</v>
      </c>
      <c r="C491" s="438" t="str">
        <v>INACTIVA</v>
      </c>
      <c r="D491" s="442">
        <v>143</v>
      </c>
      <c r="E491" s="429" t="str">
        <v>6T5613</v>
      </c>
      <c r="F491" s="443" t="str">
        <v>SELLO</v>
      </c>
      <c r="G491" s="430">
        <v>1</v>
      </c>
      <c r="H491" s="424">
        <v>1229.55</v>
      </c>
      <c r="I491" s="425">
        <v>1229.55</v>
      </c>
      <c r="J491" s="432" t="str">
        <v>5-7</v>
      </c>
      <c r="K491" s="431">
        <v>0</v>
      </c>
      <c r="L491" s="431" t="str">
        <v>—</v>
      </c>
      <c r="M491" s="431" t="str">
        <v>—</v>
      </c>
      <c r="N491" s="432" t="str">
        <v>—</v>
      </c>
      <c r="O491" s="431">
        <v>0</v>
      </c>
      <c r="P491" s="431" t="str">
        <v>—</v>
      </c>
      <c r="Q491" s="431" t="str">
        <v>—</v>
      </c>
      <c r="R491" s="432" t="str">
        <v>—</v>
      </c>
    </row>
    <row r="492" spans="2:18" x14ac:dyDescent="0.25">
      <c r="B492" s="440" t="str">
        <v>ME-19</v>
      </c>
      <c r="C492" s="438" t="str">
        <v>INACTIVA</v>
      </c>
      <c r="D492" s="442">
        <v>143</v>
      </c>
      <c r="E492" s="429" t="str">
        <v>8T1643</v>
      </c>
      <c r="F492" s="443" t="str">
        <v>SELLOS</v>
      </c>
      <c r="G492" s="430">
        <v>1</v>
      </c>
      <c r="H492" s="424">
        <v>8452.2000000000007</v>
      </c>
      <c r="I492" s="425">
        <v>8452.2000000000007</v>
      </c>
      <c r="J492" s="432" t="str">
        <v>5-7</v>
      </c>
      <c r="K492" s="431">
        <v>0</v>
      </c>
      <c r="L492" s="431" t="str">
        <v>—</v>
      </c>
      <c r="M492" s="431" t="str">
        <v>—</v>
      </c>
      <c r="N492" s="432" t="str">
        <v>—</v>
      </c>
      <c r="O492" s="431">
        <v>0</v>
      </c>
      <c r="P492" s="431" t="str">
        <v>—</v>
      </c>
      <c r="Q492" s="431" t="str">
        <v>—</v>
      </c>
      <c r="R492" s="432" t="str">
        <v>—</v>
      </c>
    </row>
    <row r="493" spans="2:18" x14ac:dyDescent="0.25">
      <c r="B493" s="440" t="str">
        <v>ME-19</v>
      </c>
      <c r="C493" s="438" t="str">
        <v>INACTIVA</v>
      </c>
      <c r="D493" s="442">
        <v>143</v>
      </c>
      <c r="E493" s="429" t="str">
        <v>8T4876</v>
      </c>
      <c r="F493" s="443" t="str">
        <v>ESPACIADOR</v>
      </c>
      <c r="G493" s="430">
        <v>1</v>
      </c>
      <c r="H493" s="424">
        <v>1310.46</v>
      </c>
      <c r="I493" s="425">
        <v>1310.46</v>
      </c>
      <c r="J493" s="432" t="str">
        <v>5-7</v>
      </c>
      <c r="K493" s="431">
        <v>0</v>
      </c>
      <c r="L493" s="431" t="str">
        <v>—</v>
      </c>
      <c r="M493" s="431" t="str">
        <v>—</v>
      </c>
      <c r="N493" s="432" t="str">
        <v>—</v>
      </c>
      <c r="O493" s="431">
        <v>0</v>
      </c>
      <c r="P493" s="431" t="str">
        <v>—</v>
      </c>
      <c r="Q493" s="431" t="str">
        <v>—</v>
      </c>
      <c r="R493" s="432" t="str">
        <v>—</v>
      </c>
    </row>
    <row r="494" spans="2:18" x14ac:dyDescent="0.25">
      <c r="B494" s="440" t="str">
        <v>ME-19</v>
      </c>
      <c r="C494" s="438" t="str">
        <v>INACTIVA</v>
      </c>
      <c r="D494" s="442">
        <v>143</v>
      </c>
      <c r="E494" s="429" t="str">
        <v>8T4877</v>
      </c>
      <c r="F494" s="443" t="str">
        <v>JUNTAS</v>
      </c>
      <c r="G494" s="430">
        <v>1</v>
      </c>
      <c r="H494" s="424">
        <v>857.23</v>
      </c>
      <c r="I494" s="425">
        <v>857.23</v>
      </c>
      <c r="J494" s="432" t="str">
        <v>5-7</v>
      </c>
      <c r="K494" s="431">
        <v>0</v>
      </c>
      <c r="L494" s="431" t="str">
        <v>—</v>
      </c>
      <c r="M494" s="431" t="str">
        <v>—</v>
      </c>
      <c r="N494" s="432" t="str">
        <v>—</v>
      </c>
      <c r="O494" s="431">
        <v>0</v>
      </c>
      <c r="P494" s="431" t="str">
        <v>—</v>
      </c>
      <c r="Q494" s="431" t="str">
        <v>—</v>
      </c>
      <c r="R494" s="432" t="str">
        <v>—</v>
      </c>
    </row>
    <row r="495" spans="2:18" x14ac:dyDescent="0.25">
      <c r="B495" s="440" t="str">
        <v>ME-19</v>
      </c>
      <c r="C495" s="438" t="str">
        <v>INACTIVA</v>
      </c>
      <c r="D495" s="442">
        <v>143</v>
      </c>
      <c r="E495" s="429" t="str">
        <v>1S6481</v>
      </c>
      <c r="F495" s="443" t="str">
        <v>JUNTAS</v>
      </c>
      <c r="G495" s="430">
        <v>1</v>
      </c>
      <c r="H495" s="424">
        <v>1394.95</v>
      </c>
      <c r="I495" s="425">
        <v>1394.95</v>
      </c>
      <c r="J495" s="432" t="str">
        <v>5-7</v>
      </c>
      <c r="K495" s="431">
        <v>0</v>
      </c>
      <c r="L495" s="431" t="str">
        <v>—</v>
      </c>
      <c r="M495" s="431" t="str">
        <v>—</v>
      </c>
      <c r="N495" s="432" t="str">
        <v>—</v>
      </c>
      <c r="O495" s="431">
        <v>0</v>
      </c>
      <c r="P495" s="431" t="str">
        <v>—</v>
      </c>
      <c r="Q495" s="431" t="str">
        <v>—</v>
      </c>
      <c r="R495" s="432" t="str">
        <v>—</v>
      </c>
    </row>
    <row r="496" spans="2:18" x14ac:dyDescent="0.25">
      <c r="B496" s="440" t="str">
        <v>ME-19</v>
      </c>
      <c r="C496" s="438" t="str">
        <v>INACTIVA</v>
      </c>
      <c r="D496" s="442">
        <v>143</v>
      </c>
      <c r="E496" s="429" t="str">
        <v>1T1356</v>
      </c>
      <c r="F496" s="443" t="str">
        <v>JUNTAS</v>
      </c>
      <c r="G496" s="430">
        <v>1</v>
      </c>
      <c r="H496" s="424">
        <v>2172.34</v>
      </c>
      <c r="I496" s="425">
        <v>2172.34</v>
      </c>
      <c r="J496" s="432" t="str">
        <v>5-7</v>
      </c>
      <c r="K496" s="431">
        <v>0</v>
      </c>
      <c r="L496" s="431" t="str">
        <v>—</v>
      </c>
      <c r="M496" s="431" t="str">
        <v>—</v>
      </c>
      <c r="N496" s="432" t="str">
        <v>—</v>
      </c>
      <c r="O496" s="431">
        <v>0</v>
      </c>
      <c r="P496" s="431" t="str">
        <v>—</v>
      </c>
      <c r="Q496" s="431" t="str">
        <v>—</v>
      </c>
      <c r="R496" s="432" t="str">
        <v>—</v>
      </c>
    </row>
    <row r="497" spans="2:18" x14ac:dyDescent="0.25">
      <c r="B497" s="440" t="str">
        <v>ME-19</v>
      </c>
      <c r="C497" s="438" t="str">
        <v>INACTIVA</v>
      </c>
      <c r="D497" s="442">
        <v>143</v>
      </c>
      <c r="E497" s="429" t="str">
        <v>1T1597</v>
      </c>
      <c r="F497" s="443" t="str">
        <v>EMPAQUE</v>
      </c>
      <c r="G497" s="430">
        <v>2</v>
      </c>
      <c r="H497" s="424">
        <v>2152.12</v>
      </c>
      <c r="I497" s="425">
        <v>4304.24</v>
      </c>
      <c r="J497" s="432" t="str">
        <v>5-7</v>
      </c>
      <c r="K497" s="431">
        <v>0</v>
      </c>
      <c r="L497" s="431" t="str">
        <v>—</v>
      </c>
      <c r="M497" s="431" t="str">
        <v>—</v>
      </c>
      <c r="N497" s="432" t="str">
        <v>—</v>
      </c>
      <c r="O497" s="431">
        <v>0</v>
      </c>
      <c r="P497" s="431" t="str">
        <v>—</v>
      </c>
      <c r="Q497" s="431" t="str">
        <v>—</v>
      </c>
      <c r="R497" s="432" t="str">
        <v>—</v>
      </c>
    </row>
    <row r="498" spans="2:18" x14ac:dyDescent="0.25">
      <c r="B498" s="440" t="str">
        <v>ME-19</v>
      </c>
      <c r="C498" s="438" t="str">
        <v>INACTIVA</v>
      </c>
      <c r="D498" s="442">
        <v>143</v>
      </c>
      <c r="E498" s="429" t="str">
        <v>1T1599</v>
      </c>
      <c r="F498" s="443" t="str">
        <v>JUNTA</v>
      </c>
      <c r="G498" s="430">
        <v>1</v>
      </c>
      <c r="H498" s="424">
        <v>931.87</v>
      </c>
      <c r="I498" s="425">
        <v>931.87</v>
      </c>
      <c r="J498" s="432" t="str">
        <v>5-7</v>
      </c>
      <c r="K498" s="431">
        <v>0</v>
      </c>
      <c r="L498" s="431" t="str">
        <v>—</v>
      </c>
      <c r="M498" s="431" t="str">
        <v>—</v>
      </c>
      <c r="N498" s="432" t="str">
        <v>—</v>
      </c>
      <c r="O498" s="431">
        <v>0</v>
      </c>
      <c r="P498" s="431" t="str">
        <v>—</v>
      </c>
      <c r="Q498" s="431" t="str">
        <v>—</v>
      </c>
      <c r="R498" s="432" t="str">
        <v>—</v>
      </c>
    </row>
    <row r="499" spans="2:18" x14ac:dyDescent="0.25">
      <c r="B499" s="440" t="str">
        <v>ME-19</v>
      </c>
      <c r="C499" s="438" t="str">
        <v>INACTIVA</v>
      </c>
      <c r="D499" s="442">
        <v>143</v>
      </c>
      <c r="E499" s="429" t="str">
        <v>3S1279</v>
      </c>
      <c r="F499" s="443" t="str">
        <v>SELLO</v>
      </c>
      <c r="G499" s="430">
        <v>1</v>
      </c>
      <c r="H499" s="424">
        <v>857.23</v>
      </c>
      <c r="I499" s="425">
        <v>857.23</v>
      </c>
      <c r="J499" s="432" t="str">
        <v>5-7</v>
      </c>
      <c r="K499" s="431">
        <v>0</v>
      </c>
      <c r="L499" s="431" t="str">
        <v>—</v>
      </c>
      <c r="M499" s="431" t="str">
        <v>—</v>
      </c>
      <c r="N499" s="432" t="str">
        <v>—</v>
      </c>
      <c r="O499" s="431">
        <v>0</v>
      </c>
      <c r="P499" s="431" t="str">
        <v>—</v>
      </c>
      <c r="Q499" s="431" t="str">
        <v>—</v>
      </c>
      <c r="R499" s="432" t="str">
        <v>—</v>
      </c>
    </row>
    <row r="500" spans="2:18" x14ac:dyDescent="0.25">
      <c r="B500" s="440" t="str">
        <v>ME-19</v>
      </c>
      <c r="C500" s="438" t="str">
        <v>INACTIVA</v>
      </c>
      <c r="D500" s="442">
        <v>143</v>
      </c>
      <c r="E500" s="429" t="str">
        <v>8T4878</v>
      </c>
      <c r="F500" s="443" t="str">
        <v>SELLO</v>
      </c>
      <c r="G500" s="430">
        <v>1</v>
      </c>
      <c r="H500" s="424">
        <v>1394.95</v>
      </c>
      <c r="I500" s="425">
        <v>1394.95</v>
      </c>
      <c r="J500" s="432" t="str">
        <v>5-7</v>
      </c>
      <c r="K500" s="431">
        <v>0</v>
      </c>
      <c r="L500" s="431" t="str">
        <v>—</v>
      </c>
      <c r="M500" s="431" t="str">
        <v>—</v>
      </c>
      <c r="N500" s="432" t="str">
        <v>—</v>
      </c>
      <c r="O500" s="431">
        <v>0</v>
      </c>
      <c r="P500" s="431" t="str">
        <v>—</v>
      </c>
      <c r="Q500" s="431" t="str">
        <v>—</v>
      </c>
      <c r="R500" s="432" t="str">
        <v>—</v>
      </c>
    </row>
    <row r="501" spans="2:18" x14ac:dyDescent="0.25">
      <c r="B501" s="440" t="str">
        <v>ME-19</v>
      </c>
      <c r="C501" s="438" t="str">
        <v>INACTIVA</v>
      </c>
      <c r="D501" s="442">
        <v>143</v>
      </c>
      <c r="E501" s="429" t="str">
        <v>1P3704</v>
      </c>
      <c r="F501" s="443" t="str">
        <v>EMPAQUES</v>
      </c>
      <c r="G501" s="430">
        <v>1</v>
      </c>
      <c r="H501" s="424">
        <v>2172.34</v>
      </c>
      <c r="I501" s="425">
        <v>2172.34</v>
      </c>
      <c r="J501" s="432" t="str">
        <v>5-7</v>
      </c>
      <c r="K501" s="431">
        <v>0</v>
      </c>
      <c r="L501" s="431" t="str">
        <v>—</v>
      </c>
      <c r="M501" s="431" t="str">
        <v>—</v>
      </c>
      <c r="N501" s="432" t="str">
        <v>—</v>
      </c>
      <c r="O501" s="431">
        <v>0</v>
      </c>
      <c r="P501" s="431" t="str">
        <v>—</v>
      </c>
      <c r="Q501" s="431" t="str">
        <v>—</v>
      </c>
      <c r="R501" s="432" t="str">
        <v>—</v>
      </c>
    </row>
    <row r="502" spans="2:18" x14ac:dyDescent="0.25">
      <c r="B502" s="440" t="str">
        <v>ME-19</v>
      </c>
      <c r="C502" s="438" t="str">
        <v>INACTIVA</v>
      </c>
      <c r="D502" s="442">
        <v>143</v>
      </c>
      <c r="E502" s="429" t="str">
        <v>3D2824</v>
      </c>
      <c r="F502" s="443" t="str">
        <v>EMPAQUE</v>
      </c>
      <c r="G502" s="430">
        <v>1</v>
      </c>
      <c r="H502" s="424">
        <v>2152.12</v>
      </c>
      <c r="I502" s="425">
        <v>2152.12</v>
      </c>
      <c r="J502" s="432" t="str">
        <v>5-7</v>
      </c>
      <c r="K502" s="431">
        <v>0</v>
      </c>
      <c r="L502" s="431" t="str">
        <v>—</v>
      </c>
      <c r="M502" s="431" t="str">
        <v>—</v>
      </c>
      <c r="N502" s="432" t="str">
        <v>—</v>
      </c>
      <c r="O502" s="431">
        <v>0</v>
      </c>
      <c r="P502" s="431" t="str">
        <v>—</v>
      </c>
      <c r="Q502" s="431" t="str">
        <v>—</v>
      </c>
      <c r="R502" s="432" t="str">
        <v>—</v>
      </c>
    </row>
    <row r="503" spans="2:18" x14ac:dyDescent="0.25">
      <c r="B503" s="440" t="str">
        <v>ME-19</v>
      </c>
      <c r="C503" s="438" t="str">
        <v>INACTIVA</v>
      </c>
      <c r="D503" s="442">
        <v>143</v>
      </c>
      <c r="E503" s="429" t="str">
        <v>3J1907</v>
      </c>
      <c r="F503" s="443" t="str">
        <v>JUNTA</v>
      </c>
      <c r="G503" s="430">
        <v>1</v>
      </c>
      <c r="H503" s="424">
        <v>931.87</v>
      </c>
      <c r="I503" s="425">
        <v>931.87</v>
      </c>
      <c r="J503" s="432" t="str">
        <v>5-7</v>
      </c>
      <c r="K503" s="431">
        <v>0</v>
      </c>
      <c r="L503" s="431" t="str">
        <v>—</v>
      </c>
      <c r="M503" s="431" t="str">
        <v>—</v>
      </c>
      <c r="N503" s="432" t="str">
        <v>—</v>
      </c>
      <c r="O503" s="431">
        <v>0</v>
      </c>
      <c r="P503" s="431" t="str">
        <v>—</v>
      </c>
      <c r="Q503" s="431" t="str">
        <v>—</v>
      </c>
      <c r="R503" s="432" t="str">
        <v>—</v>
      </c>
    </row>
    <row r="504" spans="2:18" x14ac:dyDescent="0.25">
      <c r="B504" s="440" t="str">
        <v>ME-19</v>
      </c>
      <c r="C504" s="438" t="str">
        <v>INACTIVA</v>
      </c>
      <c r="D504" s="442">
        <v>143</v>
      </c>
      <c r="E504" s="429" t="str">
        <v>3J7354</v>
      </c>
      <c r="F504" s="443" t="str">
        <v>SELLO</v>
      </c>
      <c r="G504" s="430">
        <v>3</v>
      </c>
      <c r="H504" s="424">
        <v>76.430000000000007</v>
      </c>
      <c r="I504" s="425">
        <v>229.29000000000002</v>
      </c>
      <c r="J504" s="432" t="str">
        <v>5-7</v>
      </c>
      <c r="K504" s="431">
        <v>0</v>
      </c>
      <c r="L504" s="431" t="str">
        <v>—</v>
      </c>
      <c r="M504" s="431" t="str">
        <v>—</v>
      </c>
      <c r="N504" s="432" t="str">
        <v>—</v>
      </c>
      <c r="O504" s="431">
        <v>0</v>
      </c>
      <c r="P504" s="431" t="str">
        <v>—</v>
      </c>
      <c r="Q504" s="431" t="str">
        <v>—</v>
      </c>
      <c r="R504" s="432" t="str">
        <v>—</v>
      </c>
    </row>
    <row r="505" spans="2:18" x14ac:dyDescent="0.25">
      <c r="B505" s="440" t="str">
        <v>ME-19</v>
      </c>
      <c r="C505" s="438" t="str">
        <v>INACTIVA</v>
      </c>
      <c r="D505" s="442">
        <v>143</v>
      </c>
      <c r="E505" s="429" t="str">
        <v>5B5947</v>
      </c>
      <c r="F505" s="443" t="str">
        <v>EMPAQUES</v>
      </c>
      <c r="G505" s="430">
        <v>4</v>
      </c>
      <c r="H505" s="424">
        <v>48.33</v>
      </c>
      <c r="I505" s="425">
        <v>193.32</v>
      </c>
      <c r="J505" s="432" t="str">
        <v>5-7</v>
      </c>
      <c r="K505" s="431">
        <v>0</v>
      </c>
      <c r="L505" s="431" t="str">
        <v>—</v>
      </c>
      <c r="M505" s="431" t="str">
        <v>—</v>
      </c>
      <c r="N505" s="432" t="str">
        <v>—</v>
      </c>
      <c r="O505" s="431">
        <v>0</v>
      </c>
      <c r="P505" s="431" t="str">
        <v>—</v>
      </c>
      <c r="Q505" s="431" t="str">
        <v>—</v>
      </c>
      <c r="R505" s="432" t="str">
        <v>—</v>
      </c>
    </row>
    <row r="506" spans="2:18" x14ac:dyDescent="0.25">
      <c r="B506" s="440" t="str">
        <v>ME-19</v>
      </c>
      <c r="C506" s="438" t="str">
        <v>INACTIVA</v>
      </c>
      <c r="D506" s="442">
        <v>143</v>
      </c>
      <c r="E506" s="429" t="str">
        <v>8M4431</v>
      </c>
      <c r="F506" s="443" t="str">
        <v>JUNTAS</v>
      </c>
      <c r="G506" s="430">
        <v>1</v>
      </c>
      <c r="H506" s="424">
        <v>31.5</v>
      </c>
      <c r="I506" s="425">
        <v>31.5</v>
      </c>
      <c r="J506" s="432" t="str">
        <v>5-7</v>
      </c>
      <c r="K506" s="431">
        <v>0</v>
      </c>
      <c r="L506" s="431" t="str">
        <v>—</v>
      </c>
      <c r="M506" s="431" t="str">
        <v>—</v>
      </c>
      <c r="N506" s="432" t="str">
        <v>—</v>
      </c>
      <c r="O506" s="431">
        <v>0</v>
      </c>
      <c r="P506" s="431" t="str">
        <v>—</v>
      </c>
      <c r="Q506" s="431" t="str">
        <v>—</v>
      </c>
      <c r="R506" s="432" t="str">
        <v>—</v>
      </c>
    </row>
    <row r="507" spans="2:18" x14ac:dyDescent="0.25">
      <c r="B507" s="440" t="str">
        <v>ME-19</v>
      </c>
      <c r="C507" s="438" t="str">
        <v>INACTIVA</v>
      </c>
      <c r="D507" s="442">
        <v>143</v>
      </c>
      <c r="E507" s="429" t="str">
        <v>3J7354</v>
      </c>
      <c r="F507" s="443" t="str">
        <v>JUNTA CAUC</v>
      </c>
      <c r="G507" s="430">
        <v>1</v>
      </c>
      <c r="H507" s="424">
        <v>28.28</v>
      </c>
      <c r="I507" s="425">
        <v>28.28</v>
      </c>
      <c r="J507" s="432" t="str">
        <v>5-7</v>
      </c>
      <c r="K507" s="431">
        <v>0</v>
      </c>
      <c r="L507" s="431" t="str">
        <v>—</v>
      </c>
      <c r="M507" s="431" t="str">
        <v>—</v>
      </c>
      <c r="N507" s="432" t="str">
        <v>—</v>
      </c>
      <c r="O507" s="431">
        <v>0</v>
      </c>
      <c r="P507" s="431" t="str">
        <v>—</v>
      </c>
      <c r="Q507" s="431" t="str">
        <v>—</v>
      </c>
      <c r="R507" s="432" t="str">
        <v>—</v>
      </c>
    </row>
    <row r="508" spans="2:18" x14ac:dyDescent="0.25">
      <c r="B508" s="440" t="str">
        <v>ME-19</v>
      </c>
      <c r="C508" s="438" t="str">
        <v>INACTIVA</v>
      </c>
      <c r="D508" s="442">
        <v>143</v>
      </c>
      <c r="E508" s="429" t="str">
        <v>5B5947</v>
      </c>
      <c r="F508" s="443" t="str">
        <v>GASKET</v>
      </c>
      <c r="G508" s="430">
        <v>1</v>
      </c>
      <c r="H508" s="424">
        <v>85.38</v>
      </c>
      <c r="I508" s="425">
        <v>85.38</v>
      </c>
      <c r="J508" s="432" t="str">
        <v>5-7</v>
      </c>
      <c r="K508" s="431">
        <v>0</v>
      </c>
      <c r="L508" s="431" t="str">
        <v>—</v>
      </c>
      <c r="M508" s="431" t="str">
        <v>—</v>
      </c>
      <c r="N508" s="432" t="str">
        <v>—</v>
      </c>
      <c r="O508" s="431">
        <v>0</v>
      </c>
      <c r="P508" s="431" t="str">
        <v>—</v>
      </c>
      <c r="Q508" s="431" t="str">
        <v>—</v>
      </c>
      <c r="R508" s="432" t="str">
        <v>—</v>
      </c>
    </row>
    <row r="509" spans="2:18" x14ac:dyDescent="0.25">
      <c r="B509" s="440" t="str">
        <v>ME-19</v>
      </c>
      <c r="C509" s="438" t="str">
        <v>INACTIVA</v>
      </c>
      <c r="D509" s="442">
        <v>143</v>
      </c>
      <c r="E509" s="429" t="str">
        <v>8M4431</v>
      </c>
      <c r="F509" s="443" t="str">
        <v>ANILLO</v>
      </c>
      <c r="G509" s="430">
        <v>1</v>
      </c>
      <c r="H509" s="424">
        <v>84.49</v>
      </c>
      <c r="I509" s="425">
        <v>84.49</v>
      </c>
      <c r="J509" s="432" t="str">
        <v>5-7</v>
      </c>
      <c r="K509" s="431">
        <v>0</v>
      </c>
      <c r="L509" s="431" t="str">
        <v>—</v>
      </c>
      <c r="M509" s="431" t="str">
        <v>—</v>
      </c>
      <c r="N509" s="432" t="str">
        <v>—</v>
      </c>
      <c r="O509" s="431">
        <v>0</v>
      </c>
      <c r="P509" s="431" t="str">
        <v>—</v>
      </c>
      <c r="Q509" s="431" t="str">
        <v>—</v>
      </c>
      <c r="R509" s="432" t="str">
        <v>—</v>
      </c>
    </row>
    <row r="510" spans="2:18" x14ac:dyDescent="0.25">
      <c r="B510" s="440" t="str">
        <v>ME-19</v>
      </c>
      <c r="C510" s="438" t="str">
        <v>INACTIVA</v>
      </c>
      <c r="D510" s="442">
        <v>143</v>
      </c>
      <c r="E510" s="429" t="str">
        <v>8M4986</v>
      </c>
      <c r="F510" s="443" t="str">
        <v>JUNTA</v>
      </c>
      <c r="G510" s="430">
        <v>4</v>
      </c>
      <c r="H510" s="424">
        <v>130.49</v>
      </c>
      <c r="I510" s="425">
        <v>521.96</v>
      </c>
      <c r="J510" s="432" t="str">
        <v>5-7</v>
      </c>
      <c r="K510" s="431">
        <v>0</v>
      </c>
      <c r="L510" s="431" t="str">
        <v>—</v>
      </c>
      <c r="M510" s="431" t="str">
        <v>—</v>
      </c>
      <c r="N510" s="432" t="str">
        <v>—</v>
      </c>
      <c r="O510" s="431">
        <v>0</v>
      </c>
      <c r="P510" s="431" t="str">
        <v>—</v>
      </c>
      <c r="Q510" s="431" t="str">
        <v>—</v>
      </c>
      <c r="R510" s="432" t="str">
        <v>—</v>
      </c>
    </row>
    <row r="511" spans="2:18" x14ac:dyDescent="0.25">
      <c r="B511" s="440" t="str">
        <v>ME-19</v>
      </c>
      <c r="C511" s="438" t="str">
        <v>INACTIVA</v>
      </c>
      <c r="D511" s="442">
        <v>143</v>
      </c>
      <c r="E511" s="429" t="str">
        <v>8M4987</v>
      </c>
      <c r="F511" s="443" t="str">
        <v>JUNTA</v>
      </c>
      <c r="G511" s="430">
        <v>4</v>
      </c>
      <c r="H511" s="424">
        <v>116.89</v>
      </c>
      <c r="I511" s="425">
        <v>467.56</v>
      </c>
      <c r="J511" s="432" t="str">
        <v>5-7</v>
      </c>
      <c r="K511" s="431">
        <v>0</v>
      </c>
      <c r="L511" s="431" t="str">
        <v>—</v>
      </c>
      <c r="M511" s="431" t="str">
        <v>—</v>
      </c>
      <c r="N511" s="432" t="str">
        <v>—</v>
      </c>
      <c r="O511" s="431">
        <v>0</v>
      </c>
      <c r="P511" s="431" t="str">
        <v>—</v>
      </c>
      <c r="Q511" s="431" t="str">
        <v>—</v>
      </c>
      <c r="R511" s="432" t="str">
        <v>—</v>
      </c>
    </row>
    <row r="512" spans="2:18" x14ac:dyDescent="0.25">
      <c r="B512" s="440" t="str">
        <v>ME-19</v>
      </c>
      <c r="C512" s="438" t="str">
        <v>INACTIVA</v>
      </c>
      <c r="D512" s="442">
        <v>143</v>
      </c>
      <c r="E512" s="429" t="str">
        <v>8M4988</v>
      </c>
      <c r="F512" s="443" t="str">
        <v>JUNTA</v>
      </c>
      <c r="G512" s="430">
        <v>2</v>
      </c>
      <c r="H512" s="424">
        <v>97.73</v>
      </c>
      <c r="I512" s="425">
        <v>195.46</v>
      </c>
      <c r="J512" s="432" t="str">
        <v>5-7</v>
      </c>
      <c r="K512" s="431">
        <v>0</v>
      </c>
      <c r="L512" s="431" t="str">
        <v>—</v>
      </c>
      <c r="M512" s="431" t="str">
        <v>—</v>
      </c>
      <c r="N512" s="432" t="str">
        <v>—</v>
      </c>
      <c r="O512" s="431">
        <v>0</v>
      </c>
      <c r="P512" s="431" t="str">
        <v>—</v>
      </c>
      <c r="Q512" s="431" t="str">
        <v>—</v>
      </c>
      <c r="R512" s="432" t="str">
        <v>—</v>
      </c>
    </row>
    <row r="513" spans="2:18" x14ac:dyDescent="0.25">
      <c r="B513" s="440" t="str">
        <v>ME-19</v>
      </c>
      <c r="C513" s="438" t="str">
        <v>INACTIVA</v>
      </c>
      <c r="D513" s="442">
        <v>143</v>
      </c>
      <c r="E513" s="429" t="str">
        <v>8M5010</v>
      </c>
      <c r="F513" s="443" t="str">
        <v>SELLO</v>
      </c>
      <c r="G513" s="430">
        <v>1</v>
      </c>
      <c r="H513" s="424">
        <v>171.3</v>
      </c>
      <c r="I513" s="425">
        <v>171.3</v>
      </c>
      <c r="J513" s="432" t="str">
        <v>5-7</v>
      </c>
      <c r="K513" s="431">
        <v>0</v>
      </c>
      <c r="L513" s="431" t="str">
        <v>—</v>
      </c>
      <c r="M513" s="431" t="str">
        <v>—</v>
      </c>
      <c r="N513" s="432" t="str">
        <v>—</v>
      </c>
      <c r="O513" s="431">
        <v>0</v>
      </c>
      <c r="P513" s="431" t="str">
        <v>—</v>
      </c>
      <c r="Q513" s="431" t="str">
        <v>—</v>
      </c>
      <c r="R513" s="432" t="str">
        <v>—</v>
      </c>
    </row>
    <row r="514" spans="2:18" x14ac:dyDescent="0.25">
      <c r="B514" s="440" t="str">
        <v>ME-19</v>
      </c>
      <c r="C514" s="438" t="str">
        <v>INACTIVA</v>
      </c>
      <c r="D514" s="442">
        <v>143</v>
      </c>
      <c r="E514" s="429" t="str">
        <v>8M5254</v>
      </c>
      <c r="F514" s="443" t="str">
        <v>SELLO</v>
      </c>
      <c r="G514" s="430">
        <v>1</v>
      </c>
      <c r="H514" s="424">
        <v>113.13</v>
      </c>
      <c r="I514" s="425">
        <v>113.13</v>
      </c>
      <c r="J514" s="432" t="str">
        <v>5-7</v>
      </c>
      <c r="K514" s="431">
        <v>0</v>
      </c>
      <c r="L514" s="431" t="str">
        <v>—</v>
      </c>
      <c r="M514" s="431" t="str">
        <v>—</v>
      </c>
      <c r="N514" s="432" t="str">
        <v>—</v>
      </c>
      <c r="O514" s="431">
        <v>0</v>
      </c>
      <c r="P514" s="431" t="str">
        <v>—</v>
      </c>
      <c r="Q514" s="431" t="str">
        <v>—</v>
      </c>
      <c r="R514" s="432" t="str">
        <v>—</v>
      </c>
    </row>
    <row r="515" spans="2:18" x14ac:dyDescent="0.25">
      <c r="B515" s="440" t="str">
        <v>ME-19</v>
      </c>
      <c r="C515" s="438" t="str">
        <v>INACTIVA</v>
      </c>
      <c r="D515" s="442">
        <v>143</v>
      </c>
      <c r="E515" s="429" t="str">
        <v>8M5661</v>
      </c>
      <c r="F515" s="443" t="str">
        <v>JUNTA</v>
      </c>
      <c r="G515" s="430">
        <v>6</v>
      </c>
      <c r="H515" s="424">
        <v>153.76</v>
      </c>
      <c r="I515" s="425">
        <v>922.56</v>
      </c>
      <c r="J515" s="432" t="str">
        <v>5-7</v>
      </c>
      <c r="K515" s="431">
        <v>0</v>
      </c>
      <c r="L515" s="431" t="str">
        <v>—</v>
      </c>
      <c r="M515" s="431" t="str">
        <v>—</v>
      </c>
      <c r="N515" s="432" t="str">
        <v>—</v>
      </c>
      <c r="O515" s="431">
        <v>0</v>
      </c>
      <c r="P515" s="431" t="str">
        <v>—</v>
      </c>
      <c r="Q515" s="431" t="str">
        <v>—</v>
      </c>
      <c r="R515" s="432" t="str">
        <v>—</v>
      </c>
    </row>
    <row r="516" spans="2:18" x14ac:dyDescent="0.25">
      <c r="B516" s="440" t="str">
        <v>ME-19</v>
      </c>
      <c r="C516" s="438" t="str">
        <v>INACTIVA</v>
      </c>
      <c r="D516" s="442">
        <v>143</v>
      </c>
      <c r="E516" s="429" t="str">
        <v>8M8281</v>
      </c>
      <c r="F516" s="443" t="str">
        <v>EMPAQUE HU</v>
      </c>
      <c r="G516" s="430">
        <v>1</v>
      </c>
      <c r="H516" s="424">
        <v>50.48</v>
      </c>
      <c r="I516" s="425">
        <v>50.48</v>
      </c>
      <c r="J516" s="432" t="str">
        <v>5-7</v>
      </c>
      <c r="K516" s="431">
        <v>0</v>
      </c>
      <c r="L516" s="431" t="str">
        <v>—</v>
      </c>
      <c r="M516" s="431" t="str">
        <v>—</v>
      </c>
      <c r="N516" s="432" t="str">
        <v>—</v>
      </c>
      <c r="O516" s="431">
        <v>0</v>
      </c>
      <c r="P516" s="431" t="str">
        <v>—</v>
      </c>
      <c r="Q516" s="431" t="str">
        <v>—</v>
      </c>
      <c r="R516" s="432" t="str">
        <v>—</v>
      </c>
    </row>
    <row r="517" spans="2:18" x14ac:dyDescent="0.25">
      <c r="B517" s="440" t="str">
        <v>ME-19</v>
      </c>
      <c r="C517" s="438" t="str">
        <v>INACTIVA</v>
      </c>
      <c r="D517" s="442">
        <v>143</v>
      </c>
      <c r="E517" s="429" t="str">
        <v>9M7539</v>
      </c>
      <c r="F517" s="443" t="str">
        <v>JUNTA</v>
      </c>
      <c r="G517" s="430">
        <v>1</v>
      </c>
      <c r="H517" s="424">
        <v>209.61</v>
      </c>
      <c r="I517" s="425">
        <v>209.61</v>
      </c>
      <c r="J517" s="432" t="str">
        <v>5-7</v>
      </c>
      <c r="K517" s="431">
        <v>0</v>
      </c>
      <c r="L517" s="431" t="str">
        <v>—</v>
      </c>
      <c r="M517" s="431" t="str">
        <v>—</v>
      </c>
      <c r="N517" s="432" t="str">
        <v>—</v>
      </c>
      <c r="O517" s="431">
        <v>0</v>
      </c>
      <c r="P517" s="431" t="str">
        <v>—</v>
      </c>
      <c r="Q517" s="431" t="str">
        <v>—</v>
      </c>
      <c r="R517" s="432" t="str">
        <v>—</v>
      </c>
    </row>
    <row r="518" spans="2:18" x14ac:dyDescent="0.25">
      <c r="B518" s="440" t="str">
        <v>ME-19</v>
      </c>
      <c r="C518" s="438" t="str">
        <v>INACTIVA</v>
      </c>
      <c r="D518" s="442">
        <v>143</v>
      </c>
      <c r="E518" s="429" t="str">
        <v>3J7354</v>
      </c>
      <c r="F518" s="443" t="str">
        <v>JUNTA CAUC</v>
      </c>
      <c r="G518" s="430">
        <v>1</v>
      </c>
      <c r="H518" s="424">
        <v>28.28</v>
      </c>
      <c r="I518" s="425">
        <v>28.28</v>
      </c>
      <c r="J518" s="432" t="str">
        <v>5-7</v>
      </c>
      <c r="K518" s="431">
        <v>0</v>
      </c>
      <c r="L518" s="431" t="str">
        <v>—</v>
      </c>
      <c r="M518" s="431" t="str">
        <v>—</v>
      </c>
      <c r="N518" s="432" t="str">
        <v>—</v>
      </c>
      <c r="O518" s="431">
        <v>0</v>
      </c>
      <c r="P518" s="431" t="str">
        <v>—</v>
      </c>
      <c r="Q518" s="431" t="str">
        <v>—</v>
      </c>
      <c r="R518" s="432" t="str">
        <v>—</v>
      </c>
    </row>
    <row r="519" spans="2:18" x14ac:dyDescent="0.25">
      <c r="B519" s="440" t="str">
        <v>ME-19</v>
      </c>
      <c r="C519" s="438" t="str">
        <v>INACTIVA</v>
      </c>
      <c r="D519" s="442">
        <v>143</v>
      </c>
      <c r="E519" s="429" t="str">
        <v>5B5947</v>
      </c>
      <c r="F519" s="443" t="str">
        <v>GASKET</v>
      </c>
      <c r="G519" s="430">
        <v>1</v>
      </c>
      <c r="H519" s="424">
        <v>85.38</v>
      </c>
      <c r="I519" s="425">
        <v>85.38</v>
      </c>
      <c r="J519" s="432" t="str">
        <v>5-7</v>
      </c>
      <c r="K519" s="431">
        <v>0</v>
      </c>
      <c r="L519" s="431" t="str">
        <v>—</v>
      </c>
      <c r="M519" s="431" t="str">
        <v>—</v>
      </c>
      <c r="N519" s="432" t="str">
        <v>—</v>
      </c>
      <c r="O519" s="431">
        <v>0</v>
      </c>
      <c r="P519" s="431" t="str">
        <v>—</v>
      </c>
      <c r="Q519" s="431" t="str">
        <v>—</v>
      </c>
      <c r="R519" s="432" t="str">
        <v>—</v>
      </c>
    </row>
    <row r="520" spans="2:18" x14ac:dyDescent="0.25">
      <c r="B520" s="440" t="str">
        <v>ME-19</v>
      </c>
      <c r="C520" s="438" t="str">
        <v>INACTIVA</v>
      </c>
      <c r="D520" s="442">
        <v>143</v>
      </c>
      <c r="E520" s="429" t="str">
        <v>8M4431</v>
      </c>
      <c r="F520" s="443" t="str">
        <v>ANILLO</v>
      </c>
      <c r="G520" s="430">
        <v>1</v>
      </c>
      <c r="H520" s="424">
        <v>84.49</v>
      </c>
      <c r="I520" s="425">
        <v>84.49</v>
      </c>
      <c r="J520" s="432" t="str">
        <v>5-7</v>
      </c>
      <c r="K520" s="431">
        <v>0</v>
      </c>
      <c r="L520" s="431" t="str">
        <v>—</v>
      </c>
      <c r="M520" s="431" t="str">
        <v>—</v>
      </c>
      <c r="N520" s="432" t="str">
        <v>—</v>
      </c>
      <c r="O520" s="431">
        <v>0</v>
      </c>
      <c r="P520" s="431" t="str">
        <v>—</v>
      </c>
      <c r="Q520" s="431" t="str">
        <v>—</v>
      </c>
      <c r="R520" s="432" t="str">
        <v>—</v>
      </c>
    </row>
    <row r="521" spans="2:18" x14ac:dyDescent="0.25">
      <c r="B521" s="440" t="str">
        <v>ME-19</v>
      </c>
      <c r="C521" s="438" t="str">
        <v>INACTIVA</v>
      </c>
      <c r="D521" s="442">
        <v>143</v>
      </c>
      <c r="E521" s="429" t="str">
        <v>8M4986</v>
      </c>
      <c r="F521" s="443" t="str">
        <v>JUNTA</v>
      </c>
      <c r="G521" s="430">
        <v>4</v>
      </c>
      <c r="H521" s="424">
        <v>130.49</v>
      </c>
      <c r="I521" s="425">
        <v>521.96</v>
      </c>
      <c r="J521" s="432" t="str">
        <v>5-7</v>
      </c>
      <c r="K521" s="431">
        <v>0</v>
      </c>
      <c r="L521" s="431" t="str">
        <v>—</v>
      </c>
      <c r="M521" s="431" t="str">
        <v>—</v>
      </c>
      <c r="N521" s="432" t="str">
        <v>—</v>
      </c>
      <c r="O521" s="431">
        <v>0</v>
      </c>
      <c r="P521" s="431" t="str">
        <v>—</v>
      </c>
      <c r="Q521" s="431" t="str">
        <v>—</v>
      </c>
      <c r="R521" s="432" t="str">
        <v>—</v>
      </c>
    </row>
    <row r="522" spans="2:18" x14ac:dyDescent="0.25">
      <c r="B522" s="440" t="str">
        <v>ME-19</v>
      </c>
      <c r="C522" s="438" t="str">
        <v>INACTIVA</v>
      </c>
      <c r="D522" s="442">
        <v>143</v>
      </c>
      <c r="E522" s="429" t="str">
        <v>8M4987</v>
      </c>
      <c r="F522" s="443" t="str">
        <v>JUNTA</v>
      </c>
      <c r="G522" s="430">
        <v>4</v>
      </c>
      <c r="H522" s="424">
        <v>116.89</v>
      </c>
      <c r="I522" s="425">
        <v>467.56</v>
      </c>
      <c r="J522" s="432" t="str">
        <v>5-7</v>
      </c>
      <c r="K522" s="431">
        <v>0</v>
      </c>
      <c r="L522" s="431" t="str">
        <v>—</v>
      </c>
      <c r="M522" s="431" t="str">
        <v>—</v>
      </c>
      <c r="N522" s="432" t="str">
        <v>—</v>
      </c>
      <c r="O522" s="431">
        <v>0</v>
      </c>
      <c r="P522" s="431" t="str">
        <v>—</v>
      </c>
      <c r="Q522" s="431" t="str">
        <v>—</v>
      </c>
      <c r="R522" s="432" t="str">
        <v>—</v>
      </c>
    </row>
    <row r="523" spans="2:18" x14ac:dyDescent="0.25">
      <c r="B523" s="440" t="str">
        <v>ME-19</v>
      </c>
      <c r="C523" s="438" t="str">
        <v>INACTIVA</v>
      </c>
      <c r="D523" s="442">
        <v>143</v>
      </c>
      <c r="E523" s="429" t="str">
        <v>8M5010</v>
      </c>
      <c r="F523" s="443" t="str">
        <v>SELLO</v>
      </c>
      <c r="G523" s="430">
        <v>1</v>
      </c>
      <c r="H523" s="424">
        <v>171.3</v>
      </c>
      <c r="I523" s="425">
        <v>171.3</v>
      </c>
      <c r="J523" s="432" t="str">
        <v>5-7</v>
      </c>
      <c r="K523" s="431">
        <v>0</v>
      </c>
      <c r="L523" s="431" t="str">
        <v>—</v>
      </c>
      <c r="M523" s="431" t="str">
        <v>—</v>
      </c>
      <c r="N523" s="432" t="str">
        <v>—</v>
      </c>
      <c r="O523" s="431">
        <v>0</v>
      </c>
      <c r="P523" s="431" t="str">
        <v>—</v>
      </c>
      <c r="Q523" s="431" t="str">
        <v>—</v>
      </c>
      <c r="R523" s="432" t="str">
        <v>—</v>
      </c>
    </row>
    <row r="524" spans="2:18" x14ac:dyDescent="0.25">
      <c r="B524" s="440" t="str">
        <v>ME-19</v>
      </c>
      <c r="C524" s="438" t="str">
        <v>INACTIVA</v>
      </c>
      <c r="D524" s="442">
        <v>143</v>
      </c>
      <c r="E524" s="429" t="str">
        <v>8M5254</v>
      </c>
      <c r="F524" s="443" t="str">
        <v>SELLO</v>
      </c>
      <c r="G524" s="430">
        <v>1</v>
      </c>
      <c r="H524" s="424">
        <v>113.13</v>
      </c>
      <c r="I524" s="425">
        <v>113.13</v>
      </c>
      <c r="J524" s="432" t="str">
        <v>5-7</v>
      </c>
      <c r="K524" s="431">
        <v>0</v>
      </c>
      <c r="L524" s="431" t="str">
        <v>—</v>
      </c>
      <c r="M524" s="431" t="str">
        <v>—</v>
      </c>
      <c r="N524" s="432" t="str">
        <v>—</v>
      </c>
      <c r="O524" s="431">
        <v>0</v>
      </c>
      <c r="P524" s="431" t="str">
        <v>—</v>
      </c>
      <c r="Q524" s="431" t="str">
        <v>—</v>
      </c>
      <c r="R524" s="432" t="str">
        <v>—</v>
      </c>
    </row>
    <row r="525" spans="2:18" x14ac:dyDescent="0.25">
      <c r="B525" s="440" t="str">
        <v>ME-19</v>
      </c>
      <c r="C525" s="438" t="str">
        <v>INACTIVA</v>
      </c>
      <c r="D525" s="442">
        <v>143</v>
      </c>
      <c r="E525" s="429" t="str">
        <v>8M5661</v>
      </c>
      <c r="F525" s="443" t="str">
        <v>JUNTA</v>
      </c>
      <c r="G525" s="430">
        <v>6</v>
      </c>
      <c r="H525" s="424">
        <v>153.76</v>
      </c>
      <c r="I525" s="425">
        <v>922.56</v>
      </c>
      <c r="J525" s="432" t="str">
        <v>5-7</v>
      </c>
      <c r="K525" s="431">
        <v>0</v>
      </c>
      <c r="L525" s="431" t="str">
        <v>—</v>
      </c>
      <c r="M525" s="431" t="str">
        <v>—</v>
      </c>
      <c r="N525" s="432" t="str">
        <v>—</v>
      </c>
      <c r="O525" s="431">
        <v>0</v>
      </c>
      <c r="P525" s="431" t="str">
        <v>—</v>
      </c>
      <c r="Q525" s="431" t="str">
        <v>—</v>
      </c>
      <c r="R525" s="432" t="str">
        <v>—</v>
      </c>
    </row>
    <row r="526" spans="2:18" x14ac:dyDescent="0.25">
      <c r="B526" s="440" t="str">
        <v>ME-19</v>
      </c>
      <c r="C526" s="438" t="str">
        <v>INACTIVA</v>
      </c>
      <c r="D526" s="442">
        <v>143</v>
      </c>
      <c r="E526" s="429" t="str">
        <v>8M8281</v>
      </c>
      <c r="F526" s="443" t="str">
        <v>EMPAQUE HU</v>
      </c>
      <c r="G526" s="430">
        <v>1</v>
      </c>
      <c r="H526" s="424">
        <v>50.48</v>
      </c>
      <c r="I526" s="425">
        <v>50.48</v>
      </c>
      <c r="J526" s="432" t="str">
        <v>5-7</v>
      </c>
      <c r="K526" s="431">
        <v>0</v>
      </c>
      <c r="L526" s="431" t="str">
        <v>—</v>
      </c>
      <c r="M526" s="431" t="str">
        <v>—</v>
      </c>
      <c r="N526" s="432" t="str">
        <v>—</v>
      </c>
      <c r="O526" s="431">
        <v>0</v>
      </c>
      <c r="P526" s="431" t="str">
        <v>—</v>
      </c>
      <c r="Q526" s="431" t="str">
        <v>—</v>
      </c>
      <c r="R526" s="432" t="str">
        <v>—</v>
      </c>
    </row>
    <row r="527" spans="2:18" x14ac:dyDescent="0.25">
      <c r="B527" s="440" t="str">
        <v>ME-19</v>
      </c>
      <c r="C527" s="438" t="str">
        <v>INACTIVA</v>
      </c>
      <c r="D527" s="442">
        <v>143</v>
      </c>
      <c r="E527" s="429" t="str">
        <v>9M7539</v>
      </c>
      <c r="F527" s="443" t="str">
        <v>JUNTA</v>
      </c>
      <c r="G527" s="430">
        <v>1</v>
      </c>
      <c r="H527" s="424">
        <v>209.61</v>
      </c>
      <c r="I527" s="425">
        <v>209.61</v>
      </c>
      <c r="J527" s="432" t="str">
        <v>5-7</v>
      </c>
      <c r="K527" s="431">
        <v>0</v>
      </c>
      <c r="L527" s="431" t="str">
        <v>—</v>
      </c>
      <c r="M527" s="431" t="str">
        <v>—</v>
      </c>
      <c r="N527" s="432" t="str">
        <v>—</v>
      </c>
      <c r="O527" s="431">
        <v>0</v>
      </c>
      <c r="P527" s="431" t="str">
        <v>—</v>
      </c>
      <c r="Q527" s="431" t="str">
        <v>—</v>
      </c>
      <c r="R527" s="432" t="str">
        <v>—</v>
      </c>
    </row>
    <row r="528" spans="2:18" x14ac:dyDescent="0.25">
      <c r="B528" s="440" t="str">
        <v>ME-19</v>
      </c>
      <c r="C528" s="438" t="str">
        <v>INACTIVA</v>
      </c>
      <c r="D528" s="442">
        <v>143</v>
      </c>
      <c r="E528" s="429" t="str">
        <v>2131304</v>
      </c>
      <c r="F528" s="443" t="str">
        <v>GASKET KIT</v>
      </c>
      <c r="G528" s="430">
        <v>1</v>
      </c>
      <c r="H528" s="424">
        <v>42353.91</v>
      </c>
      <c r="I528" s="425">
        <v>42353.91</v>
      </c>
      <c r="J528" s="432" t="str">
        <v>5-7</v>
      </c>
      <c r="K528" s="431">
        <v>0</v>
      </c>
      <c r="L528" s="431" t="str">
        <v>—</v>
      </c>
      <c r="M528" s="431" t="str">
        <v>—</v>
      </c>
      <c r="N528" s="432" t="str">
        <v>—</v>
      </c>
      <c r="O528" s="431">
        <v>0</v>
      </c>
      <c r="P528" s="431" t="str">
        <v>—</v>
      </c>
      <c r="Q528" s="431" t="str">
        <v>—</v>
      </c>
      <c r="R528" s="432" t="str">
        <v>—</v>
      </c>
    </row>
    <row r="529" spans="2:18" x14ac:dyDescent="0.25">
      <c r="B529" s="440" t="str">
        <v>ME-19</v>
      </c>
      <c r="C529" s="438" t="str">
        <v>INACTIVA</v>
      </c>
      <c r="D529" s="442">
        <v>143</v>
      </c>
      <c r="E529" s="429" t="str">
        <v>2S2978</v>
      </c>
      <c r="F529" s="443" t="str">
        <v>ANILLO</v>
      </c>
      <c r="G529" s="430">
        <v>1</v>
      </c>
      <c r="H529" s="424">
        <v>464.15</v>
      </c>
      <c r="I529" s="425">
        <v>464.15</v>
      </c>
      <c r="J529" s="432" t="str">
        <v>5-7</v>
      </c>
      <c r="K529" s="431">
        <v>0</v>
      </c>
      <c r="L529" s="431" t="str">
        <v>—</v>
      </c>
      <c r="M529" s="431" t="str">
        <v>—</v>
      </c>
      <c r="N529" s="432" t="str">
        <v>—</v>
      </c>
      <c r="O529" s="431">
        <v>0</v>
      </c>
      <c r="P529" s="431" t="str">
        <v>—</v>
      </c>
      <c r="Q529" s="431" t="str">
        <v>—</v>
      </c>
      <c r="R529" s="432" t="str">
        <v>—</v>
      </c>
    </row>
    <row r="530" spans="2:18" x14ac:dyDescent="0.25">
      <c r="B530" s="440" t="str">
        <v>ME-19</v>
      </c>
      <c r="C530" s="438" t="str">
        <v>INACTIVA</v>
      </c>
      <c r="D530" s="442">
        <v>143</v>
      </c>
      <c r="E530" s="429" t="str">
        <v>3H1816</v>
      </c>
      <c r="F530" s="443" t="str">
        <v>ANILLO</v>
      </c>
      <c r="G530" s="430">
        <v>1</v>
      </c>
      <c r="H530" s="424">
        <v>85.38</v>
      </c>
      <c r="I530" s="425">
        <v>85.38</v>
      </c>
      <c r="J530" s="432" t="str">
        <v>5-7</v>
      </c>
      <c r="K530" s="431">
        <v>0</v>
      </c>
      <c r="L530" s="431" t="str">
        <v>—</v>
      </c>
      <c r="M530" s="431" t="str">
        <v>—</v>
      </c>
      <c r="N530" s="432" t="str">
        <v>—</v>
      </c>
      <c r="O530" s="431">
        <v>0</v>
      </c>
      <c r="P530" s="431" t="str">
        <v>—</v>
      </c>
      <c r="Q530" s="431" t="str">
        <v>—</v>
      </c>
      <c r="R530" s="432" t="str">
        <v>—</v>
      </c>
    </row>
    <row r="531" spans="2:18" x14ac:dyDescent="0.25">
      <c r="B531" s="440" t="str">
        <v>ME-19</v>
      </c>
      <c r="C531" s="438" t="str">
        <v>INACTIVA</v>
      </c>
      <c r="D531" s="442">
        <v>143</v>
      </c>
      <c r="E531" s="429" t="str">
        <v>9M1975</v>
      </c>
      <c r="F531" s="443" t="str">
        <v>ANILLO</v>
      </c>
      <c r="G531" s="430">
        <v>1</v>
      </c>
      <c r="H531" s="424">
        <v>56.74</v>
      </c>
      <c r="I531" s="425">
        <v>56.74</v>
      </c>
      <c r="J531" s="432" t="str">
        <v>5-7</v>
      </c>
      <c r="K531" s="431">
        <v>0</v>
      </c>
      <c r="L531" s="431" t="str">
        <v>—</v>
      </c>
      <c r="M531" s="431" t="str">
        <v>—</v>
      </c>
      <c r="N531" s="432" t="str">
        <v>—</v>
      </c>
      <c r="O531" s="431">
        <v>0</v>
      </c>
      <c r="P531" s="431" t="str">
        <v>—</v>
      </c>
      <c r="Q531" s="431" t="str">
        <v>—</v>
      </c>
      <c r="R531" s="432" t="str">
        <v>—</v>
      </c>
    </row>
    <row r="532" spans="2:18" x14ac:dyDescent="0.25">
      <c r="B532" s="440" t="str">
        <v>ME-19</v>
      </c>
      <c r="C532" s="438" t="str">
        <v>INACTIVA</v>
      </c>
      <c r="D532" s="442">
        <v>143</v>
      </c>
      <c r="E532" s="429" t="str">
        <v>1T0651</v>
      </c>
      <c r="F532" s="443" t="str">
        <v>ANILLO</v>
      </c>
      <c r="G532" s="430">
        <v>1</v>
      </c>
      <c r="H532" s="424">
        <v>280.85000000000002</v>
      </c>
      <c r="I532" s="425">
        <v>280.85000000000002</v>
      </c>
      <c r="J532" s="432" t="str">
        <v>5-7</v>
      </c>
      <c r="K532" s="431">
        <v>0</v>
      </c>
      <c r="L532" s="431" t="str">
        <v>—</v>
      </c>
      <c r="M532" s="431" t="str">
        <v>—</v>
      </c>
      <c r="N532" s="432" t="str">
        <v>—</v>
      </c>
      <c r="O532" s="431">
        <v>0</v>
      </c>
      <c r="P532" s="431" t="str">
        <v>—</v>
      </c>
      <c r="Q532" s="431" t="str">
        <v>—</v>
      </c>
      <c r="R532" s="432" t="str">
        <v>—</v>
      </c>
    </row>
    <row r="533" spans="2:18" x14ac:dyDescent="0.25">
      <c r="B533" s="440" t="str">
        <v>ME-19</v>
      </c>
      <c r="C533" s="438" t="str">
        <v>INACTIVA</v>
      </c>
      <c r="D533" s="442">
        <v>143</v>
      </c>
      <c r="E533" s="429" t="str">
        <v>1T1078</v>
      </c>
      <c r="F533" s="443" t="str">
        <v>RODAMIENTO</v>
      </c>
      <c r="G533" s="430">
        <v>2</v>
      </c>
      <c r="H533" s="424">
        <v>1160.0999999999999</v>
      </c>
      <c r="I533" s="425">
        <v>2320.1999999999998</v>
      </c>
      <c r="J533" s="432" t="str">
        <v>5-7</v>
      </c>
      <c r="K533" s="431">
        <v>0</v>
      </c>
      <c r="L533" s="431" t="str">
        <v>—</v>
      </c>
      <c r="M533" s="431" t="str">
        <v>—</v>
      </c>
      <c r="N533" s="432" t="str">
        <v>—</v>
      </c>
      <c r="O533" s="431">
        <v>0</v>
      </c>
      <c r="P533" s="431" t="str">
        <v>—</v>
      </c>
      <c r="Q533" s="431" t="str">
        <v>—</v>
      </c>
      <c r="R533" s="432" t="str">
        <v>—</v>
      </c>
    </row>
    <row r="534" spans="2:18" x14ac:dyDescent="0.25">
      <c r="B534" s="440" t="str">
        <v>ME-19</v>
      </c>
      <c r="C534" s="438" t="str">
        <v>INACTIVA</v>
      </c>
      <c r="D534" s="442">
        <v>143</v>
      </c>
      <c r="E534" s="429" t="str">
        <v>1T1079</v>
      </c>
      <c r="F534" s="443" t="str">
        <v>MAZA</v>
      </c>
      <c r="G534" s="430">
        <v>1</v>
      </c>
      <c r="H534" s="424">
        <v>16391.21</v>
      </c>
      <c r="I534" s="425">
        <v>16391.21</v>
      </c>
      <c r="J534" s="432" t="str">
        <v>5-7</v>
      </c>
      <c r="K534" s="431">
        <v>0</v>
      </c>
      <c r="L534" s="431" t="str">
        <v>—</v>
      </c>
      <c r="M534" s="431" t="str">
        <v>—</v>
      </c>
      <c r="N534" s="432" t="str">
        <v>—</v>
      </c>
      <c r="O534" s="431">
        <v>0</v>
      </c>
      <c r="P534" s="431" t="str">
        <v>—</v>
      </c>
      <c r="Q534" s="431" t="str">
        <v>—</v>
      </c>
      <c r="R534" s="432" t="str">
        <v>—</v>
      </c>
    </row>
    <row r="535" spans="2:18" x14ac:dyDescent="0.25">
      <c r="B535" s="440" t="str">
        <v>ME-19</v>
      </c>
      <c r="C535" s="438" t="str">
        <v>INACTIVA</v>
      </c>
      <c r="D535" s="442">
        <v>143</v>
      </c>
      <c r="E535" s="429" t="str">
        <v>1T0767</v>
      </c>
      <c r="F535" s="443" t="str">
        <v>COJINETE</v>
      </c>
      <c r="G535" s="430">
        <v>1</v>
      </c>
      <c r="H535" s="424">
        <v>721.19</v>
      </c>
      <c r="I535" s="425">
        <v>721.19</v>
      </c>
      <c r="J535" s="432" t="str">
        <v>5-7</v>
      </c>
      <c r="K535" s="431">
        <v>0</v>
      </c>
      <c r="L535" s="431" t="str">
        <v>—</v>
      </c>
      <c r="M535" s="431" t="str">
        <v>—</v>
      </c>
      <c r="N535" s="432" t="str">
        <v>—</v>
      </c>
      <c r="O535" s="431">
        <v>0</v>
      </c>
      <c r="P535" s="431" t="str">
        <v>—</v>
      </c>
      <c r="Q535" s="431" t="str">
        <v>—</v>
      </c>
      <c r="R535" s="432" t="str">
        <v>—</v>
      </c>
    </row>
    <row r="536" spans="2:18" x14ac:dyDescent="0.25">
      <c r="B536" s="440" t="str">
        <v>ME-19</v>
      </c>
      <c r="C536" s="438" t="str">
        <v>INACTIVA</v>
      </c>
      <c r="D536" s="442">
        <v>143</v>
      </c>
      <c r="E536" s="429" t="str">
        <v>1T0649</v>
      </c>
      <c r="F536" s="443" t="str">
        <v>PERNOS</v>
      </c>
      <c r="G536" s="430">
        <v>1</v>
      </c>
      <c r="H536" s="424">
        <v>202.09</v>
      </c>
      <c r="I536" s="425">
        <v>202.09</v>
      </c>
      <c r="J536" s="432" t="str">
        <v>5-7</v>
      </c>
      <c r="K536" s="431">
        <v>0</v>
      </c>
      <c r="L536" s="431" t="str">
        <v>—</v>
      </c>
      <c r="M536" s="431" t="str">
        <v>—</v>
      </c>
      <c r="N536" s="432" t="str">
        <v>—</v>
      </c>
      <c r="O536" s="431">
        <v>0</v>
      </c>
      <c r="P536" s="431" t="str">
        <v>—</v>
      </c>
      <c r="Q536" s="431" t="str">
        <v>—</v>
      </c>
      <c r="R536" s="432" t="str">
        <v>—</v>
      </c>
    </row>
    <row r="537" spans="2:18" x14ac:dyDescent="0.25">
      <c r="B537" s="440" t="str">
        <v>ME-19</v>
      </c>
      <c r="C537" s="438" t="str">
        <v>INACTIVA</v>
      </c>
      <c r="D537" s="442">
        <v>143</v>
      </c>
      <c r="E537" s="429" t="str">
        <v>1T0648</v>
      </c>
      <c r="F537" s="443" t="str">
        <v>ANILLO</v>
      </c>
      <c r="G537" s="430">
        <v>1</v>
      </c>
      <c r="H537" s="424">
        <v>398.45</v>
      </c>
      <c r="I537" s="425">
        <v>398.45</v>
      </c>
      <c r="J537" s="432" t="str">
        <v>5-7</v>
      </c>
      <c r="K537" s="431">
        <v>0</v>
      </c>
      <c r="L537" s="431" t="str">
        <v>—</v>
      </c>
      <c r="M537" s="431" t="str">
        <v>—</v>
      </c>
      <c r="N537" s="432" t="str">
        <v>—</v>
      </c>
      <c r="O537" s="431">
        <v>0</v>
      </c>
      <c r="P537" s="431" t="str">
        <v>—</v>
      </c>
      <c r="Q537" s="431" t="str">
        <v>—</v>
      </c>
      <c r="R537" s="432" t="str">
        <v>—</v>
      </c>
    </row>
    <row r="538" spans="2:18" x14ac:dyDescent="0.25">
      <c r="B538" s="440" t="str">
        <v>ME-19</v>
      </c>
      <c r="C538" s="438" t="str">
        <v>INACTIVA</v>
      </c>
      <c r="D538" s="442">
        <v>143</v>
      </c>
      <c r="E538" s="429" t="str">
        <v>1T1347</v>
      </c>
      <c r="F538" s="443" t="str">
        <v>COJINETE</v>
      </c>
      <c r="G538" s="430">
        <v>1</v>
      </c>
      <c r="H538" s="424">
        <v>1605.63</v>
      </c>
      <c r="I538" s="425">
        <v>1605.63</v>
      </c>
      <c r="J538" s="432" t="str">
        <v>5-7</v>
      </c>
      <c r="K538" s="431">
        <v>0</v>
      </c>
      <c r="L538" s="431" t="str">
        <v>—</v>
      </c>
      <c r="M538" s="431" t="str">
        <v>—</v>
      </c>
      <c r="N538" s="432" t="str">
        <v>—</v>
      </c>
      <c r="O538" s="431">
        <v>0</v>
      </c>
      <c r="P538" s="431" t="str">
        <v>—</v>
      </c>
      <c r="Q538" s="431" t="str">
        <v>—</v>
      </c>
      <c r="R538" s="432" t="str">
        <v>—</v>
      </c>
    </row>
    <row r="539" spans="2:18" x14ac:dyDescent="0.25">
      <c r="B539" s="440" t="str">
        <v>ME-19</v>
      </c>
      <c r="C539" s="438" t="str">
        <v>INACTIVA</v>
      </c>
      <c r="D539" s="442">
        <v>143</v>
      </c>
      <c r="E539" s="429" t="str">
        <v>1T0657</v>
      </c>
      <c r="F539" s="443" t="str">
        <v>PLACA</v>
      </c>
      <c r="G539" s="430">
        <v>1</v>
      </c>
      <c r="H539" s="424">
        <v>1397.99</v>
      </c>
      <c r="I539" s="425">
        <v>1397.99</v>
      </c>
      <c r="J539" s="432" t="str">
        <v>5-7</v>
      </c>
      <c r="K539" s="431">
        <v>0</v>
      </c>
      <c r="L539" s="431" t="str">
        <v>—</v>
      </c>
      <c r="M539" s="431" t="str">
        <v>—</v>
      </c>
      <c r="N539" s="432" t="str">
        <v>—</v>
      </c>
      <c r="O539" s="431">
        <v>0</v>
      </c>
      <c r="P539" s="431" t="str">
        <v>—</v>
      </c>
      <c r="Q539" s="431" t="str">
        <v>—</v>
      </c>
      <c r="R539" s="432" t="str">
        <v>—</v>
      </c>
    </row>
    <row r="540" spans="2:18" x14ac:dyDescent="0.25">
      <c r="B540" s="440" t="str">
        <v>ME-19</v>
      </c>
      <c r="C540" s="438" t="str">
        <v>INACTIVA</v>
      </c>
      <c r="D540" s="442">
        <v>143</v>
      </c>
      <c r="E540" s="429" t="str">
        <v>1T0901</v>
      </c>
      <c r="F540" s="443" t="str">
        <v>IMPULSOR</v>
      </c>
      <c r="G540" s="430">
        <v>1</v>
      </c>
      <c r="H540" s="424">
        <v>45101.2</v>
      </c>
      <c r="I540" s="425">
        <v>45101.2</v>
      </c>
      <c r="J540" s="432" t="str">
        <v>5-7</v>
      </c>
      <c r="K540" s="431">
        <v>0</v>
      </c>
      <c r="L540" s="431" t="str">
        <v>—</v>
      </c>
      <c r="M540" s="431" t="str">
        <v>—</v>
      </c>
      <c r="N540" s="432" t="str">
        <v>—</v>
      </c>
      <c r="O540" s="431">
        <v>0</v>
      </c>
      <c r="P540" s="431" t="str">
        <v>—</v>
      </c>
      <c r="Q540" s="431" t="str">
        <v>—</v>
      </c>
      <c r="R540" s="432" t="str">
        <v>—</v>
      </c>
    </row>
    <row r="541" spans="2:18" x14ac:dyDescent="0.25">
      <c r="B541" s="440" t="str">
        <v>ME-19</v>
      </c>
      <c r="C541" s="438" t="str">
        <v>INACTIVA</v>
      </c>
      <c r="D541" s="442">
        <v>143</v>
      </c>
      <c r="E541" s="429" t="str">
        <v>1T0680</v>
      </c>
      <c r="F541" s="443" t="str">
        <v>RESORTE</v>
      </c>
      <c r="G541" s="430">
        <v>11</v>
      </c>
      <c r="H541" s="424">
        <v>171.48</v>
      </c>
      <c r="I541" s="425">
        <v>1886.28</v>
      </c>
      <c r="J541" s="432" t="str">
        <v>5-7</v>
      </c>
      <c r="K541" s="431">
        <v>0</v>
      </c>
      <c r="L541" s="431" t="str">
        <v>—</v>
      </c>
      <c r="M541" s="431" t="str">
        <v>—</v>
      </c>
      <c r="N541" s="432" t="str">
        <v>—</v>
      </c>
      <c r="O541" s="431">
        <v>0</v>
      </c>
      <c r="P541" s="431" t="str">
        <v>—</v>
      </c>
      <c r="Q541" s="431" t="str">
        <v>—</v>
      </c>
      <c r="R541" s="432" t="str">
        <v>—</v>
      </c>
    </row>
    <row r="542" spans="2:18" x14ac:dyDescent="0.25">
      <c r="B542" s="440" t="str">
        <v>ME-19</v>
      </c>
      <c r="C542" s="438" t="str">
        <v>INACTIVA</v>
      </c>
      <c r="D542" s="442">
        <v>143</v>
      </c>
      <c r="E542" s="429" t="str">
        <v>1T0679</v>
      </c>
      <c r="F542" s="443" t="str">
        <v>PASADORES</v>
      </c>
      <c r="G542" s="430">
        <v>11</v>
      </c>
      <c r="H542" s="424">
        <v>182.4</v>
      </c>
      <c r="I542" s="425">
        <v>2006.4</v>
      </c>
      <c r="J542" s="432" t="str">
        <v>5-7</v>
      </c>
      <c r="K542" s="431">
        <v>0</v>
      </c>
      <c r="L542" s="431" t="str">
        <v>—</v>
      </c>
      <c r="M542" s="431" t="str">
        <v>—</v>
      </c>
      <c r="N542" s="432" t="str">
        <v>—</v>
      </c>
      <c r="O542" s="431">
        <v>0</v>
      </c>
      <c r="P542" s="431" t="str">
        <v>—</v>
      </c>
      <c r="Q542" s="431" t="str">
        <v>—</v>
      </c>
      <c r="R542" s="432" t="str">
        <v>—</v>
      </c>
    </row>
    <row r="543" spans="2:18" x14ac:dyDescent="0.25">
      <c r="B543" s="440" t="str">
        <v>ME-19</v>
      </c>
      <c r="C543" s="438" t="str">
        <v>INACTIVA</v>
      </c>
      <c r="D543" s="442">
        <v>143</v>
      </c>
      <c r="E543" s="429" t="str">
        <v>1T0662</v>
      </c>
      <c r="F543" s="443" t="str">
        <v>TURBINA</v>
      </c>
      <c r="G543" s="430">
        <v>1</v>
      </c>
      <c r="H543" s="424">
        <v>34357.440000000002</v>
      </c>
      <c r="I543" s="425">
        <v>34357.440000000002</v>
      </c>
      <c r="J543" s="432" t="str">
        <v>5-7</v>
      </c>
      <c r="K543" s="431">
        <v>0</v>
      </c>
      <c r="L543" s="431" t="str">
        <v>—</v>
      </c>
      <c r="M543" s="431" t="str">
        <v>—</v>
      </c>
      <c r="N543" s="432" t="str">
        <v>—</v>
      </c>
      <c r="O543" s="431">
        <v>0</v>
      </c>
      <c r="P543" s="431" t="str">
        <v>—</v>
      </c>
      <c r="Q543" s="431" t="str">
        <v>—</v>
      </c>
      <c r="R543" s="432" t="str">
        <v>—</v>
      </c>
    </row>
    <row r="544" spans="2:18" x14ac:dyDescent="0.25">
      <c r="B544" s="440" t="str">
        <v>ME-19</v>
      </c>
      <c r="C544" s="438" t="str">
        <v>INACTIVA</v>
      </c>
      <c r="D544" s="442">
        <v>143</v>
      </c>
      <c r="E544" s="429" t="str">
        <v>1T0665</v>
      </c>
      <c r="F544" s="443" t="str">
        <v>ANILLO</v>
      </c>
      <c r="G544" s="430">
        <v>1</v>
      </c>
      <c r="H544" s="424">
        <v>11675.1</v>
      </c>
      <c r="I544" s="425">
        <v>11675.1</v>
      </c>
      <c r="J544" s="432" t="str">
        <v>5-7</v>
      </c>
      <c r="K544" s="431">
        <v>0</v>
      </c>
      <c r="L544" s="431" t="str">
        <v>—</v>
      </c>
      <c r="M544" s="431" t="str">
        <v>—</v>
      </c>
      <c r="N544" s="432" t="str">
        <v>—</v>
      </c>
      <c r="O544" s="431">
        <v>0</v>
      </c>
      <c r="P544" s="431" t="str">
        <v>—</v>
      </c>
      <c r="Q544" s="431" t="str">
        <v>—</v>
      </c>
      <c r="R544" s="432" t="str">
        <v>—</v>
      </c>
    </row>
    <row r="545" spans="2:18" x14ac:dyDescent="0.25">
      <c r="B545" s="440" t="str">
        <v>ME-19</v>
      </c>
      <c r="C545" s="438" t="str">
        <v>INACTIVA</v>
      </c>
      <c r="D545" s="442">
        <v>143</v>
      </c>
      <c r="E545" s="429" t="str">
        <v>1T0762</v>
      </c>
      <c r="F545" s="443" t="str">
        <v>PISTA</v>
      </c>
      <c r="G545" s="430">
        <v>1</v>
      </c>
      <c r="H545" s="424">
        <v>1236.71</v>
      </c>
      <c r="I545" s="425">
        <v>1236.71</v>
      </c>
      <c r="J545" s="432" t="str">
        <v>5-7</v>
      </c>
      <c r="K545" s="431">
        <v>0</v>
      </c>
      <c r="L545" s="431" t="str">
        <v>—</v>
      </c>
      <c r="M545" s="431" t="str">
        <v>—</v>
      </c>
      <c r="N545" s="432" t="str">
        <v>—</v>
      </c>
      <c r="O545" s="431">
        <v>0</v>
      </c>
      <c r="P545" s="431" t="str">
        <v>—</v>
      </c>
      <c r="Q545" s="431" t="str">
        <v>—</v>
      </c>
      <c r="R545" s="432" t="str">
        <v>—</v>
      </c>
    </row>
    <row r="546" spans="2:18" x14ac:dyDescent="0.25">
      <c r="B546" s="440" t="str">
        <v>ME-19</v>
      </c>
      <c r="C546" s="438" t="str">
        <v>INACTIVA</v>
      </c>
      <c r="D546" s="442">
        <v>143</v>
      </c>
      <c r="E546" s="429" t="str">
        <v>1T0647</v>
      </c>
      <c r="F546" s="443" t="str">
        <v>BUJE</v>
      </c>
      <c r="G546" s="430">
        <v>1</v>
      </c>
      <c r="H546" s="424">
        <v>700.43</v>
      </c>
      <c r="I546" s="425">
        <v>700.43</v>
      </c>
      <c r="J546" s="432" t="str">
        <v>5-7</v>
      </c>
      <c r="K546" s="431">
        <v>0</v>
      </c>
      <c r="L546" s="431" t="str">
        <v>—</v>
      </c>
      <c r="M546" s="431" t="str">
        <v>—</v>
      </c>
      <c r="N546" s="432" t="str">
        <v>—</v>
      </c>
      <c r="O546" s="431">
        <v>0</v>
      </c>
      <c r="P546" s="431" t="str">
        <v>—</v>
      </c>
      <c r="Q546" s="431" t="str">
        <v>—</v>
      </c>
      <c r="R546" s="432" t="str">
        <v>—</v>
      </c>
    </row>
    <row r="547" spans="2:18" x14ac:dyDescent="0.25">
      <c r="B547" s="440" t="str">
        <v>ME-19</v>
      </c>
      <c r="C547" s="438" t="str">
        <v>INACTIVA</v>
      </c>
      <c r="D547" s="442">
        <v>143</v>
      </c>
      <c r="E547" s="429" t="str">
        <v>1T0686</v>
      </c>
      <c r="F547" s="443" t="str">
        <v>PISTA</v>
      </c>
      <c r="G547" s="430">
        <v>3</v>
      </c>
      <c r="H547" s="424">
        <v>1295.24</v>
      </c>
      <c r="I547" s="425">
        <v>3885.7200000000003</v>
      </c>
      <c r="J547" s="432" t="str">
        <v>5-7</v>
      </c>
      <c r="K547" s="431">
        <v>0</v>
      </c>
      <c r="L547" s="431" t="str">
        <v>—</v>
      </c>
      <c r="M547" s="431" t="str">
        <v>—</v>
      </c>
      <c r="N547" s="432" t="str">
        <v>—</v>
      </c>
      <c r="O547" s="431">
        <v>0</v>
      </c>
      <c r="P547" s="431" t="str">
        <v>—</v>
      </c>
      <c r="Q547" s="431" t="str">
        <v>—</v>
      </c>
      <c r="R547" s="432" t="str">
        <v>—</v>
      </c>
    </row>
    <row r="548" spans="2:18" x14ac:dyDescent="0.25">
      <c r="B548" s="440" t="str">
        <v>ME-19</v>
      </c>
      <c r="C548" s="438" t="str">
        <v>INACTIVA</v>
      </c>
      <c r="D548" s="442">
        <v>143</v>
      </c>
      <c r="E548" s="429" t="str">
        <v>1T0655</v>
      </c>
      <c r="F548" s="443" t="str">
        <v>RODAMIENTO</v>
      </c>
      <c r="G548" s="430">
        <v>2</v>
      </c>
      <c r="H548" s="424">
        <v>3990.63</v>
      </c>
      <c r="I548" s="425">
        <v>7981.26</v>
      </c>
      <c r="J548" s="432" t="str">
        <v>5-7</v>
      </c>
      <c r="K548" s="431">
        <v>0</v>
      </c>
      <c r="L548" s="431" t="str">
        <v>—</v>
      </c>
      <c r="M548" s="431" t="str">
        <v>—</v>
      </c>
      <c r="N548" s="432" t="str">
        <v>—</v>
      </c>
      <c r="O548" s="431">
        <v>0</v>
      </c>
      <c r="P548" s="431" t="str">
        <v>—</v>
      </c>
      <c r="Q548" s="431" t="str">
        <v>—</v>
      </c>
      <c r="R548" s="432" t="str">
        <v>—</v>
      </c>
    </row>
    <row r="549" spans="2:18" x14ac:dyDescent="0.25">
      <c r="B549" s="440" t="str">
        <v>ME-19</v>
      </c>
      <c r="C549" s="438" t="str">
        <v>INACTIVA</v>
      </c>
      <c r="D549" s="442">
        <v>143</v>
      </c>
      <c r="E549" s="429" t="str">
        <v>1495986</v>
      </c>
      <c r="F549" s="443" t="str">
        <v>STATOR-CONVE</v>
      </c>
      <c r="G549" s="430">
        <v>1</v>
      </c>
      <c r="H549" s="424">
        <v>46311.95</v>
      </c>
      <c r="I549" s="425">
        <v>46311.95</v>
      </c>
      <c r="J549" s="432" t="str">
        <v>5-7</v>
      </c>
      <c r="K549" s="431">
        <v>0</v>
      </c>
      <c r="L549" s="431" t="str">
        <v>—</v>
      </c>
      <c r="M549" s="431" t="str">
        <v>—</v>
      </c>
      <c r="N549" s="432" t="str">
        <v>—</v>
      </c>
      <c r="O549" s="431">
        <v>0</v>
      </c>
      <c r="P549" s="431" t="str">
        <v>—</v>
      </c>
      <c r="Q549" s="431" t="str">
        <v>—</v>
      </c>
      <c r="R549" s="432" t="str">
        <v>—</v>
      </c>
    </row>
    <row r="550" spans="2:18" x14ac:dyDescent="0.25">
      <c r="B550" s="440" t="str">
        <v>ME-19</v>
      </c>
      <c r="C550" s="438" t="str">
        <v>INACTIVA</v>
      </c>
      <c r="D550" s="442">
        <v>143</v>
      </c>
      <c r="E550" s="429" t="str">
        <v>8B7789</v>
      </c>
      <c r="F550" s="443" t="str">
        <v>CANDADO</v>
      </c>
      <c r="G550" s="430">
        <v>1</v>
      </c>
      <c r="H550" s="424">
        <v>368.2</v>
      </c>
      <c r="I550" s="425">
        <v>368.2</v>
      </c>
      <c r="J550" s="432" t="str">
        <v>5-7</v>
      </c>
      <c r="K550" s="431">
        <v>0</v>
      </c>
      <c r="L550" s="431" t="str">
        <v>—</v>
      </c>
      <c r="M550" s="431" t="str">
        <v>—</v>
      </c>
      <c r="N550" s="432" t="str">
        <v>—</v>
      </c>
      <c r="O550" s="431">
        <v>0</v>
      </c>
      <c r="P550" s="431" t="str">
        <v>—</v>
      </c>
      <c r="Q550" s="431" t="str">
        <v>—</v>
      </c>
      <c r="R550" s="432" t="str">
        <v>—</v>
      </c>
    </row>
    <row r="551" spans="2:18" x14ac:dyDescent="0.25">
      <c r="B551" s="440" t="str">
        <v>MM-03</v>
      </c>
      <c r="C551" s="438" t="str">
        <v>INACTIVA</v>
      </c>
      <c r="D551" s="442">
        <v>81</v>
      </c>
      <c r="E551" s="429" t="str">
        <v>8W8346</v>
      </c>
      <c r="F551" s="443" t="str">
        <v xml:space="preserve">Piñón de transmisión final de 76 x 23 dientes
</v>
      </c>
      <c r="G551" s="430">
        <v>2</v>
      </c>
      <c r="H551" s="424">
        <v>51246.65</v>
      </c>
      <c r="I551" s="425">
        <v>102493.3</v>
      </c>
      <c r="J551" s="432" t="str">
        <v>—</v>
      </c>
      <c r="K551" s="431">
        <v>2780.51</v>
      </c>
      <c r="L551" s="431">
        <v>5561.02</v>
      </c>
      <c r="M551" s="431">
        <v>47268.670000000006</v>
      </c>
      <c r="N551" s="432" t="str">
        <v>10-12</v>
      </c>
      <c r="O551" s="431">
        <v>1459.77</v>
      </c>
      <c r="P551" s="431">
        <v>2919.54</v>
      </c>
      <c r="Q551" s="431">
        <v>24816.09</v>
      </c>
      <c r="R551" s="432" t="str">
        <v>—</v>
      </c>
    </row>
    <row r="552" spans="2:18" x14ac:dyDescent="0.25">
      <c r="B552" s="440" t="str">
        <v>MM-03</v>
      </c>
      <c r="C552" s="438" t="str">
        <v>INACTIVA</v>
      </c>
      <c r="D552" s="442">
        <v>81</v>
      </c>
      <c r="E552" s="429" t="str">
        <v>8D2311</v>
      </c>
      <c r="F552" s="443" t="str">
        <v>Sello de labio con diámetro exterior de 152,58 mm</v>
      </c>
      <c r="G552" s="430">
        <v>2</v>
      </c>
      <c r="H552" s="424">
        <v>885.15</v>
      </c>
      <c r="I552" s="425">
        <v>1770.3</v>
      </c>
      <c r="J552" s="432" t="str">
        <v>—</v>
      </c>
      <c r="K552" s="431">
        <v>58.75</v>
      </c>
      <c r="L552" s="431">
        <v>117.5</v>
      </c>
      <c r="M552" s="431">
        <v>998.75</v>
      </c>
      <c r="N552" s="432" t="str">
        <v>3-4</v>
      </c>
      <c r="O552" s="431">
        <v>31.94</v>
      </c>
      <c r="P552" s="431">
        <v>63.88</v>
      </c>
      <c r="Q552" s="431">
        <v>542.98</v>
      </c>
      <c r="R552" s="432" t="str">
        <v>—</v>
      </c>
    </row>
    <row r="553" spans="2:18" x14ac:dyDescent="0.25">
      <c r="B553" s="440" t="str">
        <v>MM-03</v>
      </c>
      <c r="C553" s="438" t="str">
        <v>INACTIVA</v>
      </c>
      <c r="D553" s="442">
        <v>81</v>
      </c>
      <c r="E553" s="429" t="str">
        <v>8D4771</v>
      </c>
      <c r="F553" s="443" t="str">
        <v>Junta tórica de goma</v>
      </c>
      <c r="G553" s="430">
        <v>2</v>
      </c>
      <c r="H553" s="424">
        <v>302.23</v>
      </c>
      <c r="I553" s="425">
        <v>604.46</v>
      </c>
      <c r="J553" s="432" t="str">
        <v>—</v>
      </c>
      <c r="K553" s="431">
        <v>21.44</v>
      </c>
      <c r="L553" s="431">
        <v>42.88</v>
      </c>
      <c r="M553" s="431">
        <v>364.48</v>
      </c>
      <c r="N553" s="432" t="str">
        <v>3-4</v>
      </c>
      <c r="O553" s="431">
        <v>3.42</v>
      </c>
      <c r="P553" s="431">
        <v>6.84</v>
      </c>
      <c r="Q553" s="431">
        <v>58.14</v>
      </c>
      <c r="R553" s="432" t="str">
        <v>—</v>
      </c>
    </row>
    <row r="554" spans="2:18" x14ac:dyDescent="0.25">
      <c r="B554" s="440" t="str">
        <v>MM-03</v>
      </c>
      <c r="C554" s="438" t="str">
        <v>INACTIVA</v>
      </c>
      <c r="D554" s="442">
        <v>81</v>
      </c>
      <c r="E554" s="429">
        <v>2192436</v>
      </c>
      <c r="F554" s="443" t="str">
        <v>Anillo de desgaste de pistón de 393,95 mm de diámetro exterior</v>
      </c>
      <c r="G554" s="430">
        <v>4</v>
      </c>
      <c r="H554" s="424">
        <v>3962</v>
      </c>
      <c r="I554" s="425">
        <v>15848</v>
      </c>
      <c r="J554" s="432" t="str">
        <v>—</v>
      </c>
      <c r="K554" s="431">
        <v>230.11</v>
      </c>
      <c r="L554" s="431">
        <v>920.44</v>
      </c>
      <c r="M554" s="431">
        <v>3911.8700000000003</v>
      </c>
      <c r="N554" s="432" t="str">
        <v>3-4</v>
      </c>
      <c r="O554" s="431">
        <v>61.57</v>
      </c>
      <c r="P554" s="431">
        <v>246.28</v>
      </c>
      <c r="Q554" s="431">
        <v>1046.69</v>
      </c>
      <c r="R554" s="432" t="str">
        <v>—</v>
      </c>
    </row>
    <row r="555" spans="2:18" x14ac:dyDescent="0.25">
      <c r="B555" s="440" t="str">
        <v>MM-03</v>
      </c>
      <c r="C555" s="438" t="str">
        <v>INACTIVA</v>
      </c>
      <c r="D555" s="442">
        <v>81</v>
      </c>
      <c r="E555" s="429" t="str">
        <v>6G3208</v>
      </c>
      <c r="F555" s="443" t="str">
        <v xml:space="preserve">Arandela de empuje con diámetro interior de 395,12 mm
</v>
      </c>
      <c r="G555" s="430">
        <v>4</v>
      </c>
      <c r="H555" s="424">
        <v>6157.03</v>
      </c>
      <c r="I555" s="425">
        <v>24628.12</v>
      </c>
      <c r="J555" s="432" t="str">
        <v>—</v>
      </c>
      <c r="K555" s="431">
        <v>366.52</v>
      </c>
      <c r="L555" s="431">
        <v>1466.08</v>
      </c>
      <c r="M555" s="431">
        <v>6230.84</v>
      </c>
      <c r="N555" s="432" t="str">
        <v>3-4</v>
      </c>
      <c r="O555" s="431">
        <v>25.65</v>
      </c>
      <c r="P555" s="431">
        <v>102.6</v>
      </c>
      <c r="Q555" s="431">
        <v>436.04999999999995</v>
      </c>
      <c r="R555" s="432" t="str">
        <v>—</v>
      </c>
    </row>
    <row r="556" spans="2:18" x14ac:dyDescent="0.25">
      <c r="B556" s="440" t="str">
        <v>MM-03</v>
      </c>
      <c r="C556" s="438" t="str">
        <v>INACTIVA</v>
      </c>
      <c r="D556" s="442">
        <v>81</v>
      </c>
      <c r="E556" s="429" t="str">
        <v>9K1171</v>
      </c>
      <c r="F556" s="443" t="str">
        <v xml:space="preserve">Cojinete de copa con diámetro exterior de 182,56 mm
</v>
      </c>
      <c r="G556" s="430">
        <v>4</v>
      </c>
      <c r="H556" s="424">
        <v>1494.15</v>
      </c>
      <c r="I556" s="425">
        <v>5976.6</v>
      </c>
      <c r="J556" s="432" t="str">
        <v>—</v>
      </c>
      <c r="K556" s="431">
        <v>89.17</v>
      </c>
      <c r="L556" s="431">
        <v>356.68</v>
      </c>
      <c r="M556" s="431">
        <v>1515.89</v>
      </c>
      <c r="N556" s="432" t="str">
        <v>3-4</v>
      </c>
      <c r="O556" s="431">
        <v>40.21</v>
      </c>
      <c r="P556" s="431">
        <v>160.84</v>
      </c>
      <c r="Q556" s="431">
        <v>683.57</v>
      </c>
      <c r="R556" s="432" t="str">
        <v>—</v>
      </c>
    </row>
    <row r="557" spans="2:18" x14ac:dyDescent="0.25">
      <c r="B557" s="440" t="str">
        <v>MM-03</v>
      </c>
      <c r="C557" s="438" t="str">
        <v>INACTIVA</v>
      </c>
      <c r="D557" s="442">
        <v>81</v>
      </c>
      <c r="E557" s="429" t="str">
        <v>8D2256</v>
      </c>
      <c r="F557" s="443" t="str">
        <v>Rodamiento de rodillos cónicos</v>
      </c>
      <c r="G557" s="430">
        <v>2</v>
      </c>
      <c r="H557" s="424">
        <v>3340.75</v>
      </c>
      <c r="I557" s="425">
        <v>6681.5</v>
      </c>
      <c r="J557" s="432" t="str">
        <v>—</v>
      </c>
      <c r="K557" s="431">
        <v>190.31</v>
      </c>
      <c r="L557" s="431">
        <v>380.62</v>
      </c>
      <c r="M557" s="431">
        <v>3235.27</v>
      </c>
      <c r="N557" s="432" t="str">
        <v>3-4</v>
      </c>
      <c r="O557" s="431">
        <v>65.459999999999994</v>
      </c>
      <c r="P557" s="431">
        <v>130.91999999999999</v>
      </c>
      <c r="Q557" s="431">
        <v>1112.82</v>
      </c>
      <c r="R557" s="432" t="str">
        <v>—</v>
      </c>
    </row>
    <row r="558" spans="2:18" x14ac:dyDescent="0.25">
      <c r="B558" s="440" t="str">
        <v>MM-03</v>
      </c>
      <c r="C558" s="438" t="str">
        <v>INACTIVA</v>
      </c>
      <c r="D558" s="442">
        <v>81</v>
      </c>
      <c r="E558" s="429" t="str">
        <v>9K1172</v>
      </c>
      <c r="F558" s="443" t="str">
        <v>123.83mm Tapered Roller Cone Bearing</v>
      </c>
      <c r="G558" s="430">
        <v>2</v>
      </c>
      <c r="H558" s="424">
        <v>3464.13</v>
      </c>
      <c r="I558" s="425">
        <v>6928.26</v>
      </c>
      <c r="J558" s="432" t="str">
        <v>—</v>
      </c>
      <c r="K558" s="431">
        <v>197.36</v>
      </c>
      <c r="L558" s="431">
        <v>394.72</v>
      </c>
      <c r="M558" s="431">
        <v>3355.1200000000003</v>
      </c>
      <c r="N558" s="432" t="str">
        <v>3-4</v>
      </c>
      <c r="O558" s="431">
        <v>122.82</v>
      </c>
      <c r="P558" s="431">
        <v>245.64</v>
      </c>
      <c r="Q558" s="431">
        <v>2087.94</v>
      </c>
      <c r="R558" s="432" t="str">
        <v>—</v>
      </c>
    </row>
    <row r="559" spans="2:18" x14ac:dyDescent="0.25">
      <c r="B559" s="440" t="str">
        <v>MM-03</v>
      </c>
      <c r="C559" s="438" t="str">
        <v>INACTIVA</v>
      </c>
      <c r="D559" s="442">
        <v>81</v>
      </c>
      <c r="E559" s="429">
        <v>1653931</v>
      </c>
      <c r="F559" s="443" t="str">
        <v>TORNILLO HEX</v>
      </c>
      <c r="G559" s="430">
        <v>10</v>
      </c>
      <c r="H559" s="424">
        <v>17.5</v>
      </c>
      <c r="I559" s="425">
        <v>175</v>
      </c>
      <c r="J559" s="432" t="str">
        <v>—</v>
      </c>
      <c r="K559" s="431">
        <v>1.24</v>
      </c>
      <c r="L559" s="431">
        <v>12.4</v>
      </c>
      <c r="M559" s="431">
        <v>21.08</v>
      </c>
      <c r="N559" s="432" t="str">
        <v>3-4</v>
      </c>
      <c r="O559" s="431">
        <v>0.36</v>
      </c>
      <c r="P559" s="431">
        <v>3.5999999999999996</v>
      </c>
      <c r="Q559" s="431">
        <v>6.12</v>
      </c>
      <c r="R559" s="432" t="str">
        <v>—</v>
      </c>
    </row>
    <row r="560" spans="2:18" x14ac:dyDescent="0.25">
      <c r="B560" s="440" t="str">
        <v>MM-03</v>
      </c>
      <c r="C560" s="438" t="str">
        <v>INACTIVA</v>
      </c>
      <c r="D560" s="442">
        <v>81</v>
      </c>
      <c r="E560" s="429" t="str">
        <v>1H5728</v>
      </c>
      <c r="F560" s="443" t="str">
        <v>SELLADO DE JUNTA TÓRICA</v>
      </c>
      <c r="G560" s="430">
        <v>2</v>
      </c>
      <c r="H560" s="424">
        <v>76.13</v>
      </c>
      <c r="I560" s="425">
        <v>152.26</v>
      </c>
      <c r="J560" s="432" t="str">
        <v>—</v>
      </c>
      <c r="K560" s="431">
        <v>5.41</v>
      </c>
      <c r="L560" s="431">
        <v>10.82</v>
      </c>
      <c r="M560" s="431">
        <v>91.97</v>
      </c>
      <c r="N560" s="432" t="str">
        <v>3-4</v>
      </c>
      <c r="O560" s="431">
        <v>0.17</v>
      </c>
      <c r="P560" s="431">
        <v>0.34</v>
      </c>
      <c r="Q560" s="431">
        <v>2.89</v>
      </c>
      <c r="R560" s="432" t="str">
        <v>—</v>
      </c>
    </row>
    <row r="561" spans="2:18" x14ac:dyDescent="0.25">
      <c r="B561" s="440" t="str">
        <v>MM-03</v>
      </c>
      <c r="C561" s="438" t="str">
        <v>INACTIVA</v>
      </c>
      <c r="D561" s="442">
        <v>81</v>
      </c>
      <c r="E561" s="429" t="str">
        <v>8D2161</v>
      </c>
      <c r="F561" s="443" t="str">
        <v>COJINETE</v>
      </c>
      <c r="G561" s="430">
        <v>1</v>
      </c>
      <c r="H561" s="424">
        <v>2982</v>
      </c>
      <c r="I561" s="425">
        <v>2982</v>
      </c>
      <c r="J561" s="432" t="str">
        <v>—</v>
      </c>
      <c r="K561" s="431">
        <v>177.52</v>
      </c>
      <c r="L561" s="431">
        <v>177.52</v>
      </c>
      <c r="M561" s="431">
        <v>3017.84</v>
      </c>
      <c r="N561" s="432" t="str">
        <v>3-4</v>
      </c>
      <c r="O561" s="431">
        <v>26.62</v>
      </c>
      <c r="P561" s="431">
        <v>26.62</v>
      </c>
      <c r="Q561" s="431">
        <v>452.54</v>
      </c>
      <c r="R561" s="432" t="str">
        <v>—</v>
      </c>
    </row>
    <row r="562" spans="2:18" x14ac:dyDescent="0.25">
      <c r="B562" s="440" t="str">
        <v>MM-03</v>
      </c>
      <c r="C562" s="438" t="str">
        <v>INACTIVA</v>
      </c>
      <c r="D562" s="442">
        <v>81</v>
      </c>
      <c r="E562" s="429">
        <v>4628176</v>
      </c>
      <c r="F562" s="443" t="str">
        <v>SEAL-LIP T</v>
      </c>
      <c r="G562" s="430">
        <v>2</v>
      </c>
      <c r="H562" s="424">
        <v>6936.65</v>
      </c>
      <c r="I562" s="425">
        <v>13873.3</v>
      </c>
      <c r="J562" s="432" t="str">
        <v>—</v>
      </c>
      <c r="K562" s="431">
        <v>402.89</v>
      </c>
      <c r="L562" s="431">
        <v>805.78</v>
      </c>
      <c r="M562" s="431">
        <v>6849.13</v>
      </c>
      <c r="N562" s="432" t="str">
        <v>3-4</v>
      </c>
      <c r="O562" s="431">
        <v>0</v>
      </c>
      <c r="P562" s="431" t="str">
        <v>—</v>
      </c>
      <c r="Q562" s="431" t="str">
        <v>—</v>
      </c>
      <c r="R562" s="432" t="str">
        <v>—</v>
      </c>
    </row>
    <row r="563" spans="2:18" x14ac:dyDescent="0.25">
      <c r="B563" s="440" t="str">
        <v>MM-03</v>
      </c>
      <c r="C563" s="438" t="str">
        <v>INACTIVA</v>
      </c>
      <c r="D563" s="442">
        <v>81</v>
      </c>
      <c r="E563" s="429" t="str">
        <v>2G9794</v>
      </c>
      <c r="F563" s="443" t="str">
        <v>EMPAQUE</v>
      </c>
      <c r="G563" s="430">
        <v>4</v>
      </c>
      <c r="H563" s="424">
        <v>123.38</v>
      </c>
      <c r="I563" s="425">
        <v>493.52</v>
      </c>
      <c r="J563" s="432" t="str">
        <v>—</v>
      </c>
      <c r="K563" s="431">
        <v>8.74</v>
      </c>
      <c r="L563" s="431">
        <v>34.96</v>
      </c>
      <c r="M563" s="431">
        <v>148.58000000000001</v>
      </c>
      <c r="N563" s="432" t="str">
        <v>3-4</v>
      </c>
      <c r="O563" s="431">
        <v>2.06</v>
      </c>
      <c r="P563" s="431">
        <v>8.24</v>
      </c>
      <c r="Q563" s="431">
        <v>35.020000000000003</v>
      </c>
      <c r="R563" s="432" t="str">
        <v>—</v>
      </c>
    </row>
    <row r="564" spans="2:18" x14ac:dyDescent="0.25">
      <c r="B564" s="440" t="str">
        <v>MM-03</v>
      </c>
      <c r="C564" s="438" t="str">
        <v>INACTIVA</v>
      </c>
      <c r="D564" s="442">
        <v>81</v>
      </c>
      <c r="E564" s="429" t="str">
        <v>2G9792</v>
      </c>
      <c r="F564" s="443" t="str">
        <v>EMPAQUE</v>
      </c>
      <c r="G564" s="430">
        <v>2</v>
      </c>
      <c r="H564" s="424">
        <v>314.83</v>
      </c>
      <c r="I564" s="425">
        <v>629.66</v>
      </c>
      <c r="J564" s="432" t="str">
        <v>—</v>
      </c>
      <c r="K564" s="431">
        <v>22.3</v>
      </c>
      <c r="L564" s="431">
        <v>44.6</v>
      </c>
      <c r="M564" s="431">
        <v>379.1</v>
      </c>
      <c r="N564" s="432" t="str">
        <v>3-4</v>
      </c>
      <c r="O564" s="431">
        <v>4.53</v>
      </c>
      <c r="P564" s="431">
        <v>9.06</v>
      </c>
      <c r="Q564" s="431">
        <v>77.010000000000005</v>
      </c>
      <c r="R564" s="432" t="str">
        <v>—</v>
      </c>
    </row>
    <row r="565" spans="2:18" x14ac:dyDescent="0.25">
      <c r="B565" s="440" t="str">
        <v>MM-03</v>
      </c>
      <c r="C565" s="438" t="str">
        <v>INACTIVA</v>
      </c>
      <c r="D565" s="442">
        <v>81</v>
      </c>
      <c r="E565" s="429" t="str">
        <v>2G9796</v>
      </c>
      <c r="F565" s="443" t="str">
        <v>EMPAQUE</v>
      </c>
      <c r="G565" s="430">
        <v>2</v>
      </c>
      <c r="H565" s="424">
        <v>252.35</v>
      </c>
      <c r="I565" s="425">
        <v>504.7</v>
      </c>
      <c r="J565" s="432" t="str">
        <v>—</v>
      </c>
      <c r="K565" s="431">
        <v>17.89</v>
      </c>
      <c r="L565" s="431">
        <v>35.78</v>
      </c>
      <c r="M565" s="431">
        <v>304.13</v>
      </c>
      <c r="N565" s="432" t="str">
        <v>3-4</v>
      </c>
      <c r="O565" s="431">
        <v>2.57</v>
      </c>
      <c r="P565" s="431">
        <v>5.14</v>
      </c>
      <c r="Q565" s="431">
        <v>43.69</v>
      </c>
      <c r="R565" s="432" t="str">
        <v>—</v>
      </c>
    </row>
    <row r="566" spans="2:18" x14ac:dyDescent="0.25">
      <c r="B566" s="440" t="str">
        <v>MM-03</v>
      </c>
      <c r="C566" s="438" t="str">
        <v>INACTIVA</v>
      </c>
      <c r="D566" s="442">
        <v>81</v>
      </c>
      <c r="E566" s="429" t="str">
        <v>6Y7917</v>
      </c>
      <c r="F566" s="443" t="str">
        <v>DISCO DE FRICCION</v>
      </c>
      <c r="G566" s="430">
        <v>27</v>
      </c>
      <c r="H566" s="424">
        <v>1954.93</v>
      </c>
      <c r="I566" s="425">
        <v>52783.11</v>
      </c>
      <c r="J566" s="432" t="str">
        <v>—</v>
      </c>
      <c r="K566" s="431">
        <v>111.37</v>
      </c>
      <c r="L566" s="431">
        <v>3006.9900000000002</v>
      </c>
      <c r="M566" s="431">
        <v>1893.29</v>
      </c>
      <c r="N566" s="432" t="str">
        <v>3-4</v>
      </c>
      <c r="O566" s="431">
        <v>58.08</v>
      </c>
      <c r="P566" s="431">
        <v>1568.1599999999999</v>
      </c>
      <c r="Q566" s="431">
        <v>987.36</v>
      </c>
      <c r="R566" s="432" t="str">
        <v>—</v>
      </c>
    </row>
    <row r="567" spans="2:18" x14ac:dyDescent="0.25">
      <c r="B567" s="440" t="str">
        <v>MM-03</v>
      </c>
      <c r="C567" s="438" t="str">
        <v>INACTIVA</v>
      </c>
      <c r="D567" s="442">
        <v>81</v>
      </c>
      <c r="E567" s="429" t="str">
        <v>8D1648</v>
      </c>
      <c r="F567" s="443" t="str">
        <v>DISC</v>
      </c>
      <c r="G567" s="430">
        <v>40</v>
      </c>
      <c r="H567" s="424">
        <v>2738.58</v>
      </c>
      <c r="I567" s="425">
        <v>109543.2</v>
      </c>
      <c r="J567" s="432" t="str">
        <v>—</v>
      </c>
      <c r="K567" s="431">
        <v>156.01</v>
      </c>
      <c r="L567" s="431">
        <v>6240.4</v>
      </c>
      <c r="M567" s="431">
        <v>2652.17</v>
      </c>
      <c r="N567" s="432" t="str">
        <v>3-4</v>
      </c>
      <c r="O567" s="431">
        <v>21.31</v>
      </c>
      <c r="P567" s="431">
        <v>852.4</v>
      </c>
      <c r="Q567" s="431">
        <v>362.27</v>
      </c>
      <c r="R567" s="432" t="str">
        <v>—</v>
      </c>
    </row>
    <row r="568" spans="2:18" x14ac:dyDescent="0.25">
      <c r="B568" s="440" t="str">
        <v>MM-03</v>
      </c>
      <c r="C568" s="438" t="str">
        <v>INACTIVA</v>
      </c>
      <c r="D568" s="442">
        <v>81</v>
      </c>
      <c r="E568" s="429" t="str">
        <v>8D1643</v>
      </c>
      <c r="F568" s="443" t="str">
        <v>SELLO</v>
      </c>
      <c r="G568" s="430">
        <v>4</v>
      </c>
      <c r="H568" s="424">
        <v>172.9</v>
      </c>
      <c r="I568" s="425">
        <v>691.6</v>
      </c>
      <c r="J568" s="432" t="str">
        <v>—</v>
      </c>
      <c r="K568" s="431">
        <v>12.23</v>
      </c>
      <c r="L568" s="431">
        <v>48.92</v>
      </c>
      <c r="M568" s="431">
        <v>207.91</v>
      </c>
      <c r="N568" s="432" t="str">
        <v>3-4</v>
      </c>
      <c r="O568" s="431">
        <v>3.11</v>
      </c>
      <c r="P568" s="431">
        <v>12.44</v>
      </c>
      <c r="Q568" s="431">
        <v>52.87</v>
      </c>
      <c r="R568" s="432" t="str">
        <v>—</v>
      </c>
    </row>
    <row r="569" spans="2:18" x14ac:dyDescent="0.25">
      <c r="B569" s="440" t="str">
        <v>MM-03</v>
      </c>
      <c r="C569" s="438" t="str">
        <v>INACTIVA</v>
      </c>
      <c r="D569" s="442">
        <v>81</v>
      </c>
      <c r="E569" s="429" t="str">
        <v>9G5313</v>
      </c>
      <c r="F569" s="443" t="str">
        <v>SELLO</v>
      </c>
      <c r="G569" s="430">
        <v>4</v>
      </c>
      <c r="H569" s="424">
        <v>1959.48</v>
      </c>
      <c r="I569" s="425">
        <v>7837.92</v>
      </c>
      <c r="J569" s="432" t="str">
        <v>—</v>
      </c>
      <c r="K569" s="431">
        <v>111.63</v>
      </c>
      <c r="L569" s="431">
        <v>446.52</v>
      </c>
      <c r="M569" s="431">
        <v>1897.71</v>
      </c>
      <c r="N569" s="432" t="str">
        <v>3-4</v>
      </c>
      <c r="O569" s="431">
        <v>0</v>
      </c>
      <c r="P569" s="431" t="str">
        <v>—</v>
      </c>
      <c r="Q569" s="431" t="str">
        <v>—</v>
      </c>
      <c r="R569" s="432" t="str">
        <v>—</v>
      </c>
    </row>
    <row r="570" spans="2:18" x14ac:dyDescent="0.25">
      <c r="B570" s="440" t="str">
        <v>MM-03</v>
      </c>
      <c r="C570" s="438" t="str">
        <v>INACTIVA</v>
      </c>
      <c r="D570" s="442">
        <v>81</v>
      </c>
      <c r="E570" s="429" t="str">
        <v>8S9076</v>
      </c>
      <c r="F570" s="443" t="str">
        <v>Sello</v>
      </c>
      <c r="G570" s="430">
        <v>4</v>
      </c>
      <c r="H570" s="424">
        <v>1091.48</v>
      </c>
      <c r="I570" s="425">
        <v>4365.92</v>
      </c>
      <c r="J570" s="432" t="str">
        <v>—</v>
      </c>
      <c r="K570" s="431">
        <v>68.11</v>
      </c>
      <c r="L570" s="431">
        <v>272.44</v>
      </c>
      <c r="M570" s="431">
        <v>1157.8699999999999</v>
      </c>
      <c r="N570" s="432" t="str">
        <v>3-4</v>
      </c>
      <c r="O570" s="431">
        <v>18.510000000000002</v>
      </c>
      <c r="P570" s="431">
        <v>74.040000000000006</v>
      </c>
      <c r="Q570" s="431">
        <v>314.67</v>
      </c>
      <c r="R570" s="432" t="str">
        <v>—</v>
      </c>
    </row>
    <row r="571" spans="2:18" x14ac:dyDescent="0.25">
      <c r="B571" s="440" t="str">
        <v>MM-03</v>
      </c>
      <c r="C571" s="438" t="str">
        <v>INACTIVA</v>
      </c>
      <c r="D571" s="442">
        <v>81</v>
      </c>
      <c r="E571" s="429" t="str">
        <v>8S9075</v>
      </c>
      <c r="F571" s="443" t="str">
        <v>SEAL G</v>
      </c>
      <c r="G571" s="430">
        <v>4</v>
      </c>
      <c r="H571" s="424">
        <v>3102.4</v>
      </c>
      <c r="I571" s="425">
        <v>12409.6</v>
      </c>
      <c r="J571" s="432" t="str">
        <v>—</v>
      </c>
      <c r="K571" s="431">
        <v>177.75</v>
      </c>
      <c r="L571" s="431">
        <v>711</v>
      </c>
      <c r="M571" s="431">
        <v>3021.75</v>
      </c>
      <c r="N571" s="432" t="str">
        <v>3-4</v>
      </c>
      <c r="O571" s="431">
        <v>49.73</v>
      </c>
      <c r="P571" s="431">
        <v>198.92</v>
      </c>
      <c r="Q571" s="431">
        <v>845.41</v>
      </c>
      <c r="R571" s="432" t="str">
        <v>—</v>
      </c>
    </row>
    <row r="572" spans="2:18" x14ac:dyDescent="0.25">
      <c r="B572" s="440" t="str">
        <v>MM-03</v>
      </c>
      <c r="C572" s="438" t="str">
        <v>INACTIVA</v>
      </c>
      <c r="D572" s="442">
        <v>81</v>
      </c>
      <c r="E572" s="429" t="str">
        <v>2S6403</v>
      </c>
      <c r="F572" s="443" t="str">
        <v>RESORTE</v>
      </c>
      <c r="G572" s="430">
        <v>18</v>
      </c>
      <c r="H572" s="424">
        <v>364.18</v>
      </c>
      <c r="I572" s="425">
        <v>6555.24</v>
      </c>
      <c r="J572" s="432" t="str">
        <v>—</v>
      </c>
      <c r="K572" s="431">
        <v>25.04</v>
      </c>
      <c r="L572" s="431">
        <v>450.71999999999997</v>
      </c>
      <c r="M572" s="431">
        <v>425.68</v>
      </c>
      <c r="N572" s="432" t="str">
        <v>3-4</v>
      </c>
      <c r="O572" s="431">
        <v>3.87</v>
      </c>
      <c r="P572" s="431">
        <v>69.66</v>
      </c>
      <c r="Q572" s="431">
        <v>65.790000000000006</v>
      </c>
      <c r="R572" s="432" t="str">
        <v>—</v>
      </c>
    </row>
    <row r="573" spans="2:18" x14ac:dyDescent="0.25">
      <c r="B573" s="440" t="str">
        <v>MM-03</v>
      </c>
      <c r="C573" s="438" t="str">
        <v>INACTIVA</v>
      </c>
      <c r="D573" s="442">
        <v>81</v>
      </c>
      <c r="E573" s="429" t="str">
        <v>9U2919</v>
      </c>
      <c r="F573" s="443" t="str">
        <v>SELLO</v>
      </c>
      <c r="G573" s="430">
        <v>4</v>
      </c>
      <c r="H573" s="424">
        <v>550.20000000000005</v>
      </c>
      <c r="I573" s="425">
        <v>2200.8000000000002</v>
      </c>
      <c r="J573" s="432" t="str">
        <v>—</v>
      </c>
      <c r="K573" s="431">
        <v>37.43</v>
      </c>
      <c r="L573" s="431">
        <v>149.72</v>
      </c>
      <c r="M573" s="431">
        <v>636.30999999999995</v>
      </c>
      <c r="N573" s="432" t="str">
        <v>3-4</v>
      </c>
      <c r="O573" s="431">
        <v>3.23</v>
      </c>
      <c r="P573" s="431">
        <v>12.92</v>
      </c>
      <c r="Q573" s="431">
        <v>54.91</v>
      </c>
      <c r="R573" s="432" t="str">
        <v>—</v>
      </c>
    </row>
    <row r="574" spans="2:18" x14ac:dyDescent="0.25">
      <c r="B574" s="440" t="str">
        <v>MM-03</v>
      </c>
      <c r="C574" s="438" t="str">
        <v>INACTIVA</v>
      </c>
      <c r="D574" s="442">
        <v>81</v>
      </c>
      <c r="E574" s="429" t="str">
        <v>1B4043</v>
      </c>
      <c r="F574" s="443" t="str">
        <v>Rodamiento de rodillos cónicos de 104,78 mm</v>
      </c>
      <c r="G574" s="430">
        <v>4</v>
      </c>
      <c r="H574" s="424">
        <v>4731.3</v>
      </c>
      <c r="I574" s="425">
        <v>18925.2</v>
      </c>
      <c r="J574" s="432" t="str">
        <v>—</v>
      </c>
      <c r="K574" s="431">
        <v>269.56</v>
      </c>
      <c r="L574" s="431">
        <v>1078.24</v>
      </c>
      <c r="M574" s="431">
        <v>4582.5200000000004</v>
      </c>
      <c r="N574" s="432" t="str">
        <v>2-3</v>
      </c>
      <c r="O574" s="431">
        <v>60.57</v>
      </c>
      <c r="P574" s="431">
        <v>242.28</v>
      </c>
      <c r="Q574" s="431">
        <v>1029.69</v>
      </c>
      <c r="R574" s="432" t="str">
        <v>—</v>
      </c>
    </row>
    <row r="575" spans="2:18" x14ac:dyDescent="0.25">
      <c r="B575" s="440" t="str">
        <v>MM-03</v>
      </c>
      <c r="C575" s="438" t="str">
        <v>INACTIVA</v>
      </c>
      <c r="D575" s="442">
        <v>81</v>
      </c>
      <c r="E575" s="429" t="str">
        <v>1B3937</v>
      </c>
      <c r="F575" s="443" t="str">
        <v>Rodamiento de rodillos cónicos de 104,78 mm</v>
      </c>
      <c r="G575" s="430">
        <v>4</v>
      </c>
      <c r="H575" s="424">
        <v>2300.5500000000002</v>
      </c>
      <c r="I575" s="425">
        <v>9202.2000000000007</v>
      </c>
      <c r="J575" s="432" t="str">
        <v>—</v>
      </c>
      <c r="K575" s="431">
        <v>131.05000000000001</v>
      </c>
      <c r="L575" s="431">
        <v>524.20000000000005</v>
      </c>
      <c r="M575" s="431">
        <v>2227.8500000000004</v>
      </c>
      <c r="N575" s="432" t="str">
        <v>2-3</v>
      </c>
      <c r="O575" s="431">
        <v>49.73</v>
      </c>
      <c r="P575" s="431">
        <v>198.92</v>
      </c>
      <c r="Q575" s="431">
        <v>845.41</v>
      </c>
      <c r="R575" s="432" t="str">
        <v>—</v>
      </c>
    </row>
    <row r="576" spans="2:18" x14ac:dyDescent="0.25">
      <c r="B576" s="440" t="str">
        <v>MM-03</v>
      </c>
      <c r="C576" s="438" t="str">
        <v>INACTIVA</v>
      </c>
      <c r="D576" s="442">
        <v>81</v>
      </c>
      <c r="E576" s="429" t="str">
        <v>8W8347</v>
      </c>
      <c r="F576" s="443" t="str">
        <v>Piñón motriz</v>
      </c>
      <c r="G576" s="430">
        <v>2</v>
      </c>
      <c r="H576" s="424">
        <v>63480.2</v>
      </c>
      <c r="I576" s="425">
        <v>126960.4</v>
      </c>
      <c r="J576" s="432" t="str">
        <v>—</v>
      </c>
      <c r="K576" s="431">
        <v>3444.58</v>
      </c>
      <c r="L576" s="431">
        <v>6889.16</v>
      </c>
      <c r="M576" s="431">
        <v>58557.86</v>
      </c>
      <c r="N576" s="432" t="str">
        <v>2-3</v>
      </c>
      <c r="O576" s="431">
        <v>929.3</v>
      </c>
      <c r="P576" s="431">
        <v>1858.6</v>
      </c>
      <c r="Q576" s="431">
        <v>15798.099999999999</v>
      </c>
      <c r="R576" s="432" t="str">
        <v>—</v>
      </c>
    </row>
    <row r="577" spans="2:18" x14ac:dyDescent="0.25">
      <c r="B577" s="440" t="str">
        <v>MM-03</v>
      </c>
      <c r="C577" s="438" t="str">
        <v>INACTIVA</v>
      </c>
      <c r="D577" s="442">
        <v>81</v>
      </c>
      <c r="E577" s="429" t="str">
        <v>2R0098</v>
      </c>
      <c r="F577" s="443" t="str">
        <v>SELLADO DE JUNTA TÓRICA</v>
      </c>
      <c r="G577" s="430">
        <v>4</v>
      </c>
      <c r="H577" s="424">
        <v>290.68</v>
      </c>
      <c r="I577" s="425">
        <v>1162.72</v>
      </c>
      <c r="J577" s="432" t="str">
        <v>—</v>
      </c>
      <c r="K577" s="431">
        <v>20.63</v>
      </c>
      <c r="L577" s="431">
        <v>82.52</v>
      </c>
      <c r="M577" s="431">
        <v>350.71</v>
      </c>
      <c r="N577" s="432" t="str">
        <v>2-3</v>
      </c>
      <c r="O577" s="431">
        <v>3.47</v>
      </c>
      <c r="P577" s="431">
        <v>13.88</v>
      </c>
      <c r="Q577" s="431">
        <v>58.99</v>
      </c>
      <c r="R577" s="432" t="str">
        <v>—</v>
      </c>
    </row>
    <row r="578" spans="2:18" x14ac:dyDescent="0.25">
      <c r="B578" s="440" t="str">
        <v>MM-03</v>
      </c>
      <c r="C578" s="438" t="str">
        <v>INACTIVA</v>
      </c>
      <c r="D578" s="442">
        <v>81</v>
      </c>
      <c r="E578" s="429" t="str">
        <v>8D1636</v>
      </c>
      <c r="F578" s="443" t="str">
        <v>SHIM</v>
      </c>
      <c r="G578" s="430">
        <v>20</v>
      </c>
      <c r="H578" s="424">
        <v>42</v>
      </c>
      <c r="I578" s="425">
        <v>840</v>
      </c>
      <c r="J578" s="432" t="str">
        <v>—</v>
      </c>
      <c r="K578" s="431">
        <v>2.86</v>
      </c>
      <c r="L578" s="431">
        <v>57.199999999999996</v>
      </c>
      <c r="M578" s="431">
        <v>48.62</v>
      </c>
      <c r="N578" s="432" t="str">
        <v>2-3</v>
      </c>
      <c r="O578" s="431">
        <v>0</v>
      </c>
      <c r="P578" s="431" t="str">
        <v>—</v>
      </c>
      <c r="Q578" s="431" t="str">
        <v>—</v>
      </c>
      <c r="R578" s="432" t="str">
        <v>—</v>
      </c>
    </row>
    <row r="579" spans="2:18" x14ac:dyDescent="0.25">
      <c r="B579" s="440" t="str">
        <v>MM-03</v>
      </c>
      <c r="C579" s="438" t="str">
        <v>INACTIVA</v>
      </c>
      <c r="D579" s="442">
        <v>81</v>
      </c>
      <c r="E579" s="429" t="str">
        <v>8D1637</v>
      </c>
      <c r="F579" s="443" t="str">
        <v>SHIM</v>
      </c>
      <c r="G579" s="430">
        <v>20</v>
      </c>
      <c r="H579" s="424">
        <v>43.05</v>
      </c>
      <c r="I579" s="425">
        <v>861</v>
      </c>
      <c r="J579" s="432" t="str">
        <v>—</v>
      </c>
      <c r="K579" s="431">
        <v>2.96</v>
      </c>
      <c r="L579" s="431">
        <v>59.2</v>
      </c>
      <c r="M579" s="431">
        <v>50.32</v>
      </c>
      <c r="N579" s="432" t="str">
        <v>2-3</v>
      </c>
      <c r="O579" s="431">
        <v>0</v>
      </c>
      <c r="P579" s="431" t="str">
        <v>—</v>
      </c>
      <c r="Q579" s="431" t="str">
        <v>—</v>
      </c>
      <c r="R579" s="432" t="str">
        <v>—</v>
      </c>
    </row>
    <row r="580" spans="2:18" x14ac:dyDescent="0.25">
      <c r="B580" s="440" t="str">
        <v>MM-03</v>
      </c>
      <c r="C580" s="438" t="str">
        <v>INACTIVA</v>
      </c>
      <c r="D580" s="442">
        <v>81</v>
      </c>
      <c r="E580" s="429" t="str">
        <v>8D9015</v>
      </c>
      <c r="F580" s="443" t="str">
        <v>SHIM</v>
      </c>
      <c r="G580" s="430">
        <v>8</v>
      </c>
      <c r="H580" s="424">
        <v>140.53</v>
      </c>
      <c r="I580" s="425">
        <v>1124.24</v>
      </c>
      <c r="J580" s="432" t="str">
        <v>—</v>
      </c>
      <c r="K580" s="431">
        <v>9.65</v>
      </c>
      <c r="L580" s="431">
        <v>77.2</v>
      </c>
      <c r="M580" s="431">
        <v>164.05</v>
      </c>
      <c r="N580" s="432" t="str">
        <v>2-3</v>
      </c>
      <c r="O580" s="431">
        <v>0</v>
      </c>
      <c r="P580" s="431" t="str">
        <v>—</v>
      </c>
      <c r="Q580" s="431" t="str">
        <v>—</v>
      </c>
      <c r="R580" s="432" t="str">
        <v>—</v>
      </c>
    </row>
    <row r="581" spans="2:18" x14ac:dyDescent="0.25">
      <c r="B581" s="440" t="str">
        <v>MM-03</v>
      </c>
      <c r="C581" s="438" t="str">
        <v>INACTIVA</v>
      </c>
      <c r="D581" s="442">
        <v>81</v>
      </c>
      <c r="E581" s="429" t="str">
        <v>6G1556</v>
      </c>
      <c r="F581" s="443" t="str">
        <v>TUBO AS</v>
      </c>
      <c r="G581" s="430">
        <v>1</v>
      </c>
      <c r="H581" s="424">
        <v>3059.88</v>
      </c>
      <c r="I581" s="425">
        <v>3059.88</v>
      </c>
      <c r="J581" s="432" t="str">
        <v>—</v>
      </c>
      <c r="K581" s="431">
        <v>174.91</v>
      </c>
      <c r="L581" s="431">
        <v>174.91</v>
      </c>
      <c r="M581" s="431">
        <v>2973.47</v>
      </c>
      <c r="N581" s="432" t="str">
        <v>2-3</v>
      </c>
      <c r="O581" s="431">
        <v>0</v>
      </c>
      <c r="P581" s="431" t="str">
        <v>—</v>
      </c>
      <c r="Q581" s="431" t="str">
        <v>—</v>
      </c>
      <c r="R581" s="432" t="str">
        <v>—</v>
      </c>
    </row>
    <row r="582" spans="2:18" x14ac:dyDescent="0.25">
      <c r="B582" s="440" t="str">
        <v>MM-03</v>
      </c>
      <c r="C582" s="438" t="str">
        <v>INACTIVA</v>
      </c>
      <c r="D582" s="442">
        <v>81</v>
      </c>
      <c r="E582" s="429" t="str">
        <v>1P8362</v>
      </c>
      <c r="F582" s="443" t="str">
        <v>TUBO AS</v>
      </c>
      <c r="G582" s="430">
        <v>2</v>
      </c>
      <c r="H582" s="424">
        <v>72.45</v>
      </c>
      <c r="I582" s="425">
        <v>144.9</v>
      </c>
      <c r="J582" s="432" t="str">
        <v>—</v>
      </c>
      <c r="K582" s="431">
        <v>5.15</v>
      </c>
      <c r="L582" s="431">
        <v>10.3</v>
      </c>
      <c r="M582" s="431">
        <v>87.550000000000011</v>
      </c>
      <c r="N582" s="432" t="str">
        <v>2-3</v>
      </c>
      <c r="O582" s="431">
        <v>0.47</v>
      </c>
      <c r="P582" s="431">
        <v>0.94</v>
      </c>
      <c r="Q582" s="431">
        <v>7.9899999999999993</v>
      </c>
      <c r="R582" s="432" t="str">
        <v>—</v>
      </c>
    </row>
    <row r="583" spans="2:18" x14ac:dyDescent="0.25">
      <c r="B583" s="440" t="str">
        <v>MM-03</v>
      </c>
      <c r="C583" s="438" t="str">
        <v>INACTIVA</v>
      </c>
      <c r="D583" s="442">
        <v>81</v>
      </c>
      <c r="E583" s="429" t="str">
        <v>8D3556</v>
      </c>
      <c r="F583" s="443" t="str">
        <v>SELLO</v>
      </c>
      <c r="G583" s="430">
        <v>2</v>
      </c>
      <c r="H583" s="424">
        <v>399.35</v>
      </c>
      <c r="I583" s="425">
        <v>798.7</v>
      </c>
      <c r="J583" s="432" t="str">
        <v>—</v>
      </c>
      <c r="K583" s="431">
        <v>28.3</v>
      </c>
      <c r="L583" s="431">
        <v>56.6</v>
      </c>
      <c r="M583" s="431">
        <v>481.1</v>
      </c>
      <c r="N583" s="432" t="str">
        <v>2-3</v>
      </c>
      <c r="O583" s="431">
        <v>0</v>
      </c>
      <c r="P583" s="431" t="str">
        <v>—</v>
      </c>
      <c r="Q583" s="431" t="str">
        <v>—</v>
      </c>
      <c r="R583" s="432" t="str">
        <v>—</v>
      </c>
    </row>
    <row r="584" spans="2:18" x14ac:dyDescent="0.25">
      <c r="B584" s="440" t="str">
        <v>MM-03</v>
      </c>
      <c r="C584" s="438" t="str">
        <v>INACTIVA</v>
      </c>
      <c r="D584" s="442">
        <v>81</v>
      </c>
      <c r="E584" s="429" t="str">
        <v>6D9157</v>
      </c>
      <c r="F584" s="443" t="str">
        <v>SELLO</v>
      </c>
      <c r="G584" s="430">
        <v>1</v>
      </c>
      <c r="H584" s="424">
        <v>142.44999999999999</v>
      </c>
      <c r="I584" s="425">
        <v>142.44999999999999</v>
      </c>
      <c r="J584" s="432" t="str">
        <v>—</v>
      </c>
      <c r="K584" s="431">
        <v>10.1</v>
      </c>
      <c r="L584" s="431">
        <v>10.1</v>
      </c>
      <c r="M584" s="431">
        <v>171.7</v>
      </c>
      <c r="N584" s="432" t="str">
        <v>2-3</v>
      </c>
      <c r="O584" s="431">
        <v>0.69</v>
      </c>
      <c r="P584" s="431">
        <v>0.69</v>
      </c>
      <c r="Q584" s="431">
        <v>11.729999999999999</v>
      </c>
      <c r="R584" s="432" t="str">
        <v>—</v>
      </c>
    </row>
    <row r="585" spans="2:18" x14ac:dyDescent="0.25">
      <c r="B585" s="440" t="str">
        <v>MM-03</v>
      </c>
      <c r="C585" s="438" t="str">
        <v>INACTIVA</v>
      </c>
      <c r="D585" s="442">
        <v>81</v>
      </c>
      <c r="E585" s="429" t="str">
        <v>8D3557</v>
      </c>
      <c r="F585" s="443" t="str">
        <v>SELLO</v>
      </c>
      <c r="G585" s="430">
        <v>1</v>
      </c>
      <c r="H585" s="424">
        <v>798.88</v>
      </c>
      <c r="I585" s="425">
        <v>798.88</v>
      </c>
      <c r="J585" s="432" t="str">
        <v>—</v>
      </c>
      <c r="K585" s="431">
        <v>54.36</v>
      </c>
      <c r="L585" s="431">
        <v>54.36</v>
      </c>
      <c r="M585" s="431">
        <v>924.12</v>
      </c>
      <c r="N585" s="432" t="str">
        <v>2-3</v>
      </c>
      <c r="O585" s="431">
        <v>0</v>
      </c>
      <c r="P585" s="431" t="str">
        <v>—</v>
      </c>
      <c r="Q585" s="431" t="str">
        <v>—</v>
      </c>
      <c r="R585" s="432" t="str">
        <v>—</v>
      </c>
    </row>
    <row r="586" spans="2:18" x14ac:dyDescent="0.25">
      <c r="B586" s="440" t="str">
        <v>MM-03</v>
      </c>
      <c r="C586" s="438" t="str">
        <v>INACTIVA</v>
      </c>
      <c r="D586" s="442">
        <v>81</v>
      </c>
      <c r="E586" s="429" t="str">
        <v>7F8267</v>
      </c>
      <c r="F586" s="443" t="str">
        <v>SELLO</v>
      </c>
      <c r="G586" s="430">
        <v>1</v>
      </c>
      <c r="H586" s="424">
        <v>61.25</v>
      </c>
      <c r="I586" s="425">
        <v>61.25</v>
      </c>
      <c r="J586" s="432" t="str">
        <v>—</v>
      </c>
      <c r="K586" s="431">
        <v>4.34</v>
      </c>
      <c r="L586" s="431">
        <v>4.34</v>
      </c>
      <c r="M586" s="431">
        <v>73.78</v>
      </c>
      <c r="N586" s="432" t="str">
        <v>2-3</v>
      </c>
      <c r="O586" s="431">
        <v>0.11</v>
      </c>
      <c r="P586" s="431">
        <v>0.11</v>
      </c>
      <c r="Q586" s="431">
        <v>1.87</v>
      </c>
      <c r="R586" s="432" t="str">
        <v>—</v>
      </c>
    </row>
    <row r="587" spans="2:18" x14ac:dyDescent="0.25">
      <c r="B587" s="440" t="str">
        <v>MM-03</v>
      </c>
      <c r="C587" s="438" t="str">
        <v>INACTIVA</v>
      </c>
      <c r="D587" s="442">
        <v>81</v>
      </c>
      <c r="E587" s="429" t="str">
        <v>9F1399</v>
      </c>
      <c r="F587" s="443" t="str">
        <v>Sello O-Ring</v>
      </c>
      <c r="G587" s="430">
        <v>1</v>
      </c>
      <c r="H587" s="424">
        <v>130.38</v>
      </c>
      <c r="I587" s="425">
        <v>130.38</v>
      </c>
      <c r="J587" s="432" t="str">
        <v>—</v>
      </c>
      <c r="K587" s="431">
        <v>9.25</v>
      </c>
      <c r="L587" s="431">
        <v>9.25</v>
      </c>
      <c r="M587" s="431">
        <v>157.25</v>
      </c>
      <c r="N587" s="432" t="str">
        <v>2-3</v>
      </c>
      <c r="O587" s="431">
        <v>0.38</v>
      </c>
      <c r="P587" s="431">
        <v>0.38</v>
      </c>
      <c r="Q587" s="431">
        <v>6.46</v>
      </c>
      <c r="R587" s="432" t="str">
        <v>—</v>
      </c>
    </row>
    <row r="588" spans="2:18" x14ac:dyDescent="0.25">
      <c r="B588" s="440" t="str">
        <v>MM-03</v>
      </c>
      <c r="C588" s="438" t="str">
        <v>INACTIVA</v>
      </c>
      <c r="D588" s="442">
        <v>81</v>
      </c>
      <c r="E588" s="429" t="str">
        <v>8D4675</v>
      </c>
      <c r="F588" s="443" t="str">
        <v>Pasador de articulación</v>
      </c>
      <c r="G588" s="430">
        <v>2</v>
      </c>
      <c r="H588" s="424">
        <v>8089.9</v>
      </c>
      <c r="I588" s="425">
        <v>16179.8</v>
      </c>
      <c r="J588" s="432" t="str">
        <v>—</v>
      </c>
      <c r="K588" s="431">
        <v>481.58</v>
      </c>
      <c r="L588" s="431">
        <v>963.16</v>
      </c>
      <c r="M588" s="431">
        <v>8186.86</v>
      </c>
      <c r="N588" s="432" t="str">
        <v>2-3</v>
      </c>
      <c r="O588" s="431">
        <v>61.73</v>
      </c>
      <c r="P588" s="431">
        <v>123.46</v>
      </c>
      <c r="Q588" s="431">
        <v>1049.4099999999999</v>
      </c>
      <c r="R588" s="432" t="str">
        <v>—</v>
      </c>
    </row>
    <row r="589" spans="2:18" x14ac:dyDescent="0.25">
      <c r="B589" s="440" t="str">
        <v>MM-03</v>
      </c>
      <c r="C589" s="438" t="str">
        <v>INACTIVA</v>
      </c>
      <c r="D589" s="442">
        <v>81</v>
      </c>
      <c r="E589" s="429" t="str">
        <v>1K7081</v>
      </c>
      <c r="F589" s="443" t="str">
        <v>Arandela plana de acero M30</v>
      </c>
      <c r="G589" s="430">
        <v>6</v>
      </c>
      <c r="H589" s="424">
        <v>35.18</v>
      </c>
      <c r="I589" s="425">
        <v>211.07999999999998</v>
      </c>
      <c r="J589" s="432" t="str">
        <v>—</v>
      </c>
      <c r="K589" s="431">
        <v>2.48</v>
      </c>
      <c r="L589" s="431">
        <v>14.879999999999999</v>
      </c>
      <c r="M589" s="431">
        <v>42.16</v>
      </c>
      <c r="N589" s="432" t="str">
        <v>2-3</v>
      </c>
      <c r="O589" s="431">
        <v>0</v>
      </c>
      <c r="P589" s="431" t="str">
        <v>—</v>
      </c>
      <c r="Q589" s="431" t="str">
        <v>—</v>
      </c>
      <c r="R589" s="432" t="str">
        <v>—</v>
      </c>
    </row>
    <row r="590" spans="2:18" x14ac:dyDescent="0.25">
      <c r="B590" s="440" t="str">
        <v>MM-03</v>
      </c>
      <c r="C590" s="438" t="str">
        <v>INACTIVA</v>
      </c>
      <c r="D590" s="442">
        <v>81</v>
      </c>
      <c r="E590" s="429" t="str">
        <v>7K9204</v>
      </c>
      <c r="F590" s="443" t="str">
        <v>Sello de pasador para eje de 57,15 mm de diámetro</v>
      </c>
      <c r="G590" s="430">
        <v>4</v>
      </c>
      <c r="H590" s="424">
        <v>226.98</v>
      </c>
      <c r="I590" s="425">
        <v>907.92</v>
      </c>
      <c r="J590" s="432" t="str">
        <v>—</v>
      </c>
      <c r="K590" s="431">
        <v>15.71</v>
      </c>
      <c r="L590" s="431">
        <v>62.84</v>
      </c>
      <c r="M590" s="431">
        <v>267.07</v>
      </c>
      <c r="N590" s="432" t="str">
        <v>2-3</v>
      </c>
      <c r="O590" s="431">
        <v>1.25</v>
      </c>
      <c r="P590" s="431">
        <v>5</v>
      </c>
      <c r="Q590" s="431">
        <v>21.25</v>
      </c>
      <c r="R590" s="432" t="str">
        <v>—</v>
      </c>
    </row>
    <row r="591" spans="2:18" x14ac:dyDescent="0.25">
      <c r="B591" s="440" t="str">
        <v>MM-03</v>
      </c>
      <c r="C591" s="438" t="str">
        <v>INACTIVA</v>
      </c>
      <c r="D591" s="442">
        <v>81</v>
      </c>
      <c r="E591" s="429" t="str">
        <v>8D8704</v>
      </c>
      <c r="F591" s="443" t="str">
        <v>Cojinete de deslizamiento (buje)</v>
      </c>
      <c r="G591" s="430">
        <v>2</v>
      </c>
      <c r="H591" s="424">
        <v>1533</v>
      </c>
      <c r="I591" s="425">
        <v>3066</v>
      </c>
      <c r="J591" s="432" t="str">
        <v>—</v>
      </c>
      <c r="K591" s="431">
        <v>95.49</v>
      </c>
      <c r="L591" s="431">
        <v>190.98</v>
      </c>
      <c r="M591" s="431">
        <v>1623.33</v>
      </c>
      <c r="N591" s="432" t="str">
        <v>0</v>
      </c>
      <c r="O591" s="431">
        <v>14.31</v>
      </c>
      <c r="P591" s="431">
        <v>28.62</v>
      </c>
      <c r="Q591" s="431">
        <v>243.27</v>
      </c>
      <c r="R591" s="432" t="str">
        <v>—</v>
      </c>
    </row>
    <row r="592" spans="2:18" x14ac:dyDescent="0.25">
      <c r="B592" s="440" t="str">
        <v>MM-03</v>
      </c>
      <c r="C592" s="438" t="str">
        <v>INACTIVA</v>
      </c>
      <c r="D592" s="442">
        <v>81</v>
      </c>
      <c r="E592" s="429" t="str">
        <v>9M2421</v>
      </c>
      <c r="F592" s="443" t="str">
        <v>Arandela plana de acero M18 ID</v>
      </c>
      <c r="G592" s="430">
        <v>2</v>
      </c>
      <c r="H592" s="424">
        <v>413.88</v>
      </c>
      <c r="I592" s="425">
        <v>827.76</v>
      </c>
      <c r="J592" s="432" t="str">
        <v>—</v>
      </c>
      <c r="K592" s="431">
        <v>29.33</v>
      </c>
      <c r="L592" s="431">
        <v>58.66</v>
      </c>
      <c r="M592" s="431">
        <v>498.60999999999996</v>
      </c>
      <c r="N592" s="432" t="str">
        <v>2-3</v>
      </c>
      <c r="O592" s="431">
        <v>8.5299999999999994</v>
      </c>
      <c r="P592" s="431">
        <v>17.059999999999999</v>
      </c>
      <c r="Q592" s="431">
        <v>145.01</v>
      </c>
      <c r="R592" s="432" t="str">
        <v>—</v>
      </c>
    </row>
    <row r="593" spans="2:18" x14ac:dyDescent="0.25">
      <c r="B593" s="440" t="str">
        <v>MM-03</v>
      </c>
      <c r="C593" s="438" t="str">
        <v>INACTIVA</v>
      </c>
      <c r="D593" s="442">
        <v>81</v>
      </c>
      <c r="E593" s="429" t="str">
        <v>3B4512</v>
      </c>
      <c r="F593" s="443" t="str">
        <v>Arandela de seguridad para soporte de techo</v>
      </c>
      <c r="G593" s="430">
        <v>2</v>
      </c>
      <c r="H593" s="424">
        <v>8.93</v>
      </c>
      <c r="I593" s="425">
        <v>17.86</v>
      </c>
      <c r="J593" s="432" t="str">
        <v>—</v>
      </c>
      <c r="K593" s="431">
        <v>0.63</v>
      </c>
      <c r="L593" s="431">
        <v>1.26</v>
      </c>
      <c r="M593" s="431">
        <v>10.71</v>
      </c>
      <c r="N593" s="432" t="str">
        <v>2-3</v>
      </c>
      <c r="O593" s="431">
        <v>0.19</v>
      </c>
      <c r="P593" s="431">
        <v>0.38</v>
      </c>
      <c r="Q593" s="431">
        <v>3.23</v>
      </c>
      <c r="R593" s="432" t="str">
        <v>—</v>
      </c>
    </row>
    <row r="594" spans="2:18" x14ac:dyDescent="0.25">
      <c r="B594" s="440" t="str">
        <v>MM-03</v>
      </c>
      <c r="C594" s="438" t="str">
        <v>INACTIVA</v>
      </c>
      <c r="D594" s="442">
        <v>81</v>
      </c>
      <c r="E594" s="429" t="str">
        <v>1B0964</v>
      </c>
      <c r="F594" s="443" t="str">
        <v xml:space="preserve">Perno de cabeza hexagonal de 3/4"-10 x 2 1/8"
</v>
      </c>
      <c r="G594" s="430">
        <v>2</v>
      </c>
      <c r="H594" s="424">
        <v>137.03</v>
      </c>
      <c r="I594" s="425">
        <v>274.06</v>
      </c>
      <c r="J594" s="432" t="str">
        <v>—</v>
      </c>
      <c r="K594" s="431">
        <v>9.7100000000000009</v>
      </c>
      <c r="L594" s="431">
        <v>19.420000000000002</v>
      </c>
      <c r="M594" s="431">
        <v>165.07000000000002</v>
      </c>
      <c r="N594" s="432" t="str">
        <v>2-3</v>
      </c>
      <c r="O594" s="431">
        <v>0</v>
      </c>
      <c r="P594" s="431" t="str">
        <v>—</v>
      </c>
      <c r="Q594" s="431" t="str">
        <v>—</v>
      </c>
      <c r="R594" s="432" t="str">
        <v>—</v>
      </c>
    </row>
    <row r="595" spans="2:18" x14ac:dyDescent="0.25">
      <c r="B595" s="440" t="str">
        <v>MM-03</v>
      </c>
      <c r="C595" s="438" t="str">
        <v>INACTIVA</v>
      </c>
      <c r="D595" s="442">
        <v>81</v>
      </c>
      <c r="E595" s="429" t="str">
        <v>1H8128</v>
      </c>
      <c r="F595" s="443" t="str">
        <v xml:space="preserve">SELLO  </v>
      </c>
      <c r="G595" s="430">
        <v>1</v>
      </c>
      <c r="H595" s="424">
        <v>105</v>
      </c>
      <c r="I595" s="425">
        <v>105</v>
      </c>
      <c r="J595" s="432" t="str">
        <v>—</v>
      </c>
      <c r="K595" s="431">
        <v>7.44</v>
      </c>
      <c r="L595" s="431">
        <v>7.44</v>
      </c>
      <c r="M595" s="431">
        <v>126.48</v>
      </c>
      <c r="N595" s="432" t="str">
        <v>2-3</v>
      </c>
      <c r="O595" s="431">
        <v>0.34</v>
      </c>
      <c r="P595" s="431">
        <v>0.34</v>
      </c>
      <c r="Q595" s="431">
        <v>5.78</v>
      </c>
      <c r="R595" s="432" t="str">
        <v>—</v>
      </c>
    </row>
    <row r="596" spans="2:18" x14ac:dyDescent="0.25">
      <c r="B596" s="440" t="str">
        <v>MM-03</v>
      </c>
      <c r="C596" s="438" t="str">
        <v>INACTIVA</v>
      </c>
      <c r="D596" s="442">
        <v>81</v>
      </c>
      <c r="E596" s="429" t="str">
        <v>2K6830</v>
      </c>
      <c r="F596" s="443" t="str">
        <v xml:space="preserve">ANILLO  </v>
      </c>
      <c r="G596" s="430">
        <v>1</v>
      </c>
      <c r="H596" s="424">
        <v>112</v>
      </c>
      <c r="I596" s="425">
        <v>112</v>
      </c>
      <c r="J596" s="432" t="str">
        <v>—</v>
      </c>
      <c r="K596" s="431">
        <v>7.95</v>
      </c>
      <c r="L596" s="431">
        <v>7.95</v>
      </c>
      <c r="M596" s="431">
        <v>135.15</v>
      </c>
      <c r="N596" s="432" t="str">
        <v>2-3</v>
      </c>
      <c r="O596" s="431">
        <v>0.36</v>
      </c>
      <c r="P596" s="431">
        <v>0.36</v>
      </c>
      <c r="Q596" s="431">
        <v>6.12</v>
      </c>
      <c r="R596" s="432" t="str">
        <v>—</v>
      </c>
    </row>
    <row r="597" spans="2:18" x14ac:dyDescent="0.25">
      <c r="B597" s="440" t="str">
        <v>MM-03</v>
      </c>
      <c r="C597" s="438" t="str">
        <v>INACTIVA</v>
      </c>
      <c r="D597" s="442">
        <v>81</v>
      </c>
      <c r="E597" s="429">
        <v>2892937</v>
      </c>
      <c r="F597" s="443" t="str">
        <v xml:space="preserve">Conjunto de sello </v>
      </c>
      <c r="G597" s="430">
        <v>1</v>
      </c>
      <c r="H597" s="424">
        <v>633.67999999999995</v>
      </c>
      <c r="I597" s="425">
        <v>633.67999999999995</v>
      </c>
      <c r="J597" s="432" t="str">
        <v>—</v>
      </c>
      <c r="K597" s="431">
        <v>42.06</v>
      </c>
      <c r="L597" s="431">
        <v>42.06</v>
      </c>
      <c r="M597" s="431">
        <v>715.02</v>
      </c>
      <c r="N597" s="432" t="str">
        <v>2-3</v>
      </c>
      <c r="O597" s="431">
        <v>3.53</v>
      </c>
      <c r="P597" s="431">
        <v>3.53</v>
      </c>
      <c r="Q597" s="431">
        <v>60.01</v>
      </c>
      <c r="R597" s="432" t="str">
        <v>—</v>
      </c>
    </row>
    <row r="598" spans="2:18" x14ac:dyDescent="0.25">
      <c r="B598" s="440" t="str">
        <v>MP-03</v>
      </c>
      <c r="C598" s="438" t="str">
        <v>ACTIVA</v>
      </c>
      <c r="D598" s="442">
        <v>27</v>
      </c>
      <c r="E598" s="429">
        <v>1293948</v>
      </c>
      <c r="F598" s="443" t="str">
        <v>JUNTA DE MONTAJE</v>
      </c>
      <c r="G598" s="430">
        <v>1</v>
      </c>
      <c r="H598" s="424">
        <v>387</v>
      </c>
      <c r="I598" s="425">
        <v>387</v>
      </c>
      <c r="J598" s="432" t="str">
        <v>—</v>
      </c>
      <c r="K598" s="431">
        <v>21.41</v>
      </c>
      <c r="L598" s="431">
        <v>21.41</v>
      </c>
      <c r="M598" s="431">
        <v>363.97</v>
      </c>
      <c r="N598" s="432" t="str">
        <v>3-4</v>
      </c>
      <c r="O598" s="431">
        <v>9.34</v>
      </c>
      <c r="P598" s="431">
        <v>9.34</v>
      </c>
      <c r="Q598" s="431">
        <v>158.78</v>
      </c>
      <c r="R598" s="432" t="str">
        <v>—</v>
      </c>
    </row>
    <row r="599" spans="2:18" x14ac:dyDescent="0.25">
      <c r="B599" s="440" t="str">
        <v>MT-01</v>
      </c>
      <c r="C599" s="438" t="str">
        <v>INACTIVA</v>
      </c>
      <c r="D599" s="442">
        <v>32</v>
      </c>
      <c r="E599" s="429" t="str">
        <v>8P0058</v>
      </c>
      <c r="F599" s="443" t="str">
        <v>EMPAQUE</v>
      </c>
      <c r="G599" s="430">
        <v>1</v>
      </c>
      <c r="H599" s="424">
        <v>95.2</v>
      </c>
      <c r="I599" s="425">
        <v>95.2</v>
      </c>
      <c r="J599" s="432" t="str">
        <v>—</v>
      </c>
      <c r="K599" s="431">
        <v>6.75</v>
      </c>
      <c r="L599" s="431">
        <v>6.75</v>
      </c>
      <c r="M599" s="431">
        <v>114.75</v>
      </c>
      <c r="N599" s="432" t="str">
        <v>3-4</v>
      </c>
      <c r="O599" s="431">
        <v>0.79</v>
      </c>
      <c r="P599" s="431">
        <v>0.79</v>
      </c>
      <c r="Q599" s="431">
        <v>13.43</v>
      </c>
      <c r="R599" s="432" t="str">
        <v>—</v>
      </c>
    </row>
    <row r="600" spans="2:18" x14ac:dyDescent="0.25">
      <c r="B600" s="440" t="str">
        <v>MT-01</v>
      </c>
      <c r="C600" s="438" t="str">
        <v>INACTIVA</v>
      </c>
      <c r="D600" s="442">
        <v>32</v>
      </c>
      <c r="E600" s="429">
        <v>1863161</v>
      </c>
      <c r="F600" s="443" t="str">
        <v>EMPAQUE</v>
      </c>
      <c r="G600" s="430">
        <v>1</v>
      </c>
      <c r="H600" s="424">
        <v>357.18</v>
      </c>
      <c r="I600" s="425">
        <v>357.18</v>
      </c>
      <c r="J600" s="432" t="str">
        <v>—</v>
      </c>
      <c r="K600" s="431">
        <v>25.31</v>
      </c>
      <c r="L600" s="431">
        <v>25.31</v>
      </c>
      <c r="M600" s="431">
        <v>430.27</v>
      </c>
      <c r="N600" s="432" t="str">
        <v>3-4</v>
      </c>
      <c r="O600" s="431">
        <v>3.02</v>
      </c>
      <c r="P600" s="431">
        <v>3.02</v>
      </c>
      <c r="Q600" s="431">
        <v>51.34</v>
      </c>
      <c r="R600" s="432" t="str">
        <v>—</v>
      </c>
    </row>
    <row r="601" spans="2:18" x14ac:dyDescent="0.25">
      <c r="B601" s="440" t="str">
        <v>MT-01</v>
      </c>
      <c r="C601" s="438" t="str">
        <v>INACTIVA</v>
      </c>
      <c r="D601" s="442">
        <v>32</v>
      </c>
      <c r="E601" s="429" t="str">
        <v>6L9965</v>
      </c>
      <c r="F601" s="443" t="str">
        <v>INTEGRAL DE LA GUARNIGA</v>
      </c>
      <c r="G601" s="430">
        <v>1</v>
      </c>
      <c r="H601" s="424">
        <v>184.8</v>
      </c>
      <c r="I601" s="425">
        <v>184.8</v>
      </c>
      <c r="J601" s="432" t="str">
        <v>—</v>
      </c>
      <c r="K601" s="431">
        <v>13.13</v>
      </c>
      <c r="L601" s="431">
        <v>13.13</v>
      </c>
      <c r="M601" s="431">
        <v>223.21</v>
      </c>
      <c r="N601" s="432" t="str">
        <v>3-4</v>
      </c>
      <c r="O601" s="431">
        <v>0.59</v>
      </c>
      <c r="P601" s="431">
        <v>0.59</v>
      </c>
      <c r="Q601" s="431">
        <v>10.029999999999999</v>
      </c>
      <c r="R601" s="432" t="str">
        <v>—</v>
      </c>
    </row>
    <row r="602" spans="2:18" x14ac:dyDescent="0.25">
      <c r="B602" s="440" t="str">
        <v>MT-01</v>
      </c>
      <c r="C602" s="438" t="str">
        <v>INACTIVA</v>
      </c>
      <c r="D602" s="442">
        <v>32</v>
      </c>
      <c r="E602" s="429">
        <v>1046730</v>
      </c>
      <c r="F602" s="443" t="str">
        <v>EMPAQUE</v>
      </c>
      <c r="G602" s="430">
        <v>1</v>
      </c>
      <c r="H602" s="424">
        <v>55.65</v>
      </c>
      <c r="I602" s="425">
        <v>55.65</v>
      </c>
      <c r="J602" s="432" t="str">
        <v>—</v>
      </c>
      <c r="K602" s="431">
        <v>3.94</v>
      </c>
      <c r="L602" s="431">
        <v>3.94</v>
      </c>
      <c r="M602" s="431">
        <v>66.98</v>
      </c>
      <c r="N602" s="432" t="str">
        <v>3-4</v>
      </c>
      <c r="O602" s="431">
        <v>0.54</v>
      </c>
      <c r="P602" s="431">
        <v>0.54</v>
      </c>
      <c r="Q602" s="431">
        <v>9.18</v>
      </c>
      <c r="R602" s="432" t="str">
        <v>—</v>
      </c>
    </row>
    <row r="603" spans="2:18" x14ac:dyDescent="0.25">
      <c r="B603" s="440" t="str">
        <v>MT-01</v>
      </c>
      <c r="C603" s="438" t="str">
        <v>INACTIVA</v>
      </c>
      <c r="D603" s="442">
        <v>32</v>
      </c>
      <c r="E603" s="429" t="str">
        <v>6J2419</v>
      </c>
      <c r="F603" s="443" t="str">
        <v>EMPAQUE</v>
      </c>
      <c r="G603" s="430">
        <v>1</v>
      </c>
      <c r="H603" s="424">
        <v>40.43</v>
      </c>
      <c r="I603" s="425">
        <v>40.43</v>
      </c>
      <c r="J603" s="432" t="str">
        <v>—</v>
      </c>
      <c r="K603" s="431">
        <v>2.85</v>
      </c>
      <c r="L603" s="431">
        <v>2.85</v>
      </c>
      <c r="M603" s="431">
        <v>48.45</v>
      </c>
      <c r="N603" s="432" t="str">
        <v>3-4</v>
      </c>
      <c r="O603" s="431">
        <v>0.19</v>
      </c>
      <c r="P603" s="431">
        <v>0.19</v>
      </c>
      <c r="Q603" s="431">
        <v>3.23</v>
      </c>
      <c r="R603" s="432" t="str">
        <v>—</v>
      </c>
    </row>
    <row r="604" spans="2:18" x14ac:dyDescent="0.25">
      <c r="B604" s="440" t="str">
        <v>MT-01</v>
      </c>
      <c r="C604" s="438" t="str">
        <v>INACTIVA</v>
      </c>
      <c r="D604" s="442">
        <v>32</v>
      </c>
      <c r="E604" s="429">
        <v>2443114</v>
      </c>
      <c r="F604" s="443" t="str">
        <v>SELLADO DE JUNTA TÓRICA</v>
      </c>
      <c r="G604" s="430">
        <v>1</v>
      </c>
      <c r="H604" s="424">
        <v>6175.58</v>
      </c>
      <c r="I604" s="425">
        <v>6175.58</v>
      </c>
      <c r="J604" s="432" t="str">
        <v>—</v>
      </c>
      <c r="K604" s="431">
        <v>353.01</v>
      </c>
      <c r="L604" s="431">
        <v>353.01</v>
      </c>
      <c r="M604" s="431">
        <v>6001.17</v>
      </c>
      <c r="N604" s="432" t="str">
        <v>3-4</v>
      </c>
      <c r="O604" s="431">
        <v>123.26</v>
      </c>
      <c r="P604" s="431">
        <v>123.26</v>
      </c>
      <c r="Q604" s="431">
        <v>2095.42</v>
      </c>
      <c r="R604" s="432" t="str">
        <v>—</v>
      </c>
    </row>
    <row r="605" spans="2:18" x14ac:dyDescent="0.25">
      <c r="B605" s="440" t="str">
        <v>MT-01</v>
      </c>
      <c r="C605" s="438" t="str">
        <v>INACTIVA</v>
      </c>
      <c r="D605" s="442">
        <v>32</v>
      </c>
      <c r="E605" s="429">
        <v>1067798</v>
      </c>
      <c r="F605" s="443" t="str">
        <v>JUNTA-CTP [FC]</v>
      </c>
      <c r="G605" s="430">
        <v>2</v>
      </c>
      <c r="H605" s="424">
        <v>1256.1500000000001</v>
      </c>
      <c r="I605" s="425">
        <v>2512.3000000000002</v>
      </c>
      <c r="J605" s="432" t="str">
        <v>—</v>
      </c>
      <c r="K605" s="431">
        <v>78.38</v>
      </c>
      <c r="L605" s="431">
        <v>156.76</v>
      </c>
      <c r="M605" s="431">
        <v>1332.46</v>
      </c>
      <c r="N605" s="432" t="str">
        <v>3-4</v>
      </c>
      <c r="O605" s="431">
        <v>34.64</v>
      </c>
      <c r="P605" s="431">
        <v>69.28</v>
      </c>
      <c r="Q605" s="431">
        <v>588.88</v>
      </c>
      <c r="R605" s="432" t="str">
        <v>—</v>
      </c>
    </row>
    <row r="606" spans="2:18" x14ac:dyDescent="0.25">
      <c r="B606" s="440" t="str">
        <v>MT-01</v>
      </c>
      <c r="C606" s="438" t="str">
        <v>INACTIVA</v>
      </c>
      <c r="D606" s="442">
        <v>32</v>
      </c>
      <c r="E606" s="429" t="str">
        <v>8P4617</v>
      </c>
      <c r="F606" s="443" t="str">
        <v>SELLADO DE JUNTA TÓRICA</v>
      </c>
      <c r="G606" s="430">
        <v>1</v>
      </c>
      <c r="H606" s="424">
        <v>1068.03</v>
      </c>
      <c r="I606" s="425">
        <v>1068.03</v>
      </c>
      <c r="J606" s="432" t="str">
        <v>—</v>
      </c>
      <c r="K606" s="431">
        <v>69.64</v>
      </c>
      <c r="L606" s="431">
        <v>69.64</v>
      </c>
      <c r="M606" s="431">
        <v>1183.8800000000001</v>
      </c>
      <c r="N606" s="432" t="str">
        <v>3-4</v>
      </c>
      <c r="O606" s="431">
        <v>16.239999999999998</v>
      </c>
      <c r="P606" s="431">
        <v>16.239999999999998</v>
      </c>
      <c r="Q606" s="431">
        <v>276.08</v>
      </c>
      <c r="R606" s="432" t="str">
        <v>—</v>
      </c>
    </row>
    <row r="607" spans="2:18" x14ac:dyDescent="0.25">
      <c r="B607" s="440" t="str">
        <v>MT-01</v>
      </c>
      <c r="C607" s="438" t="str">
        <v>INACTIVA</v>
      </c>
      <c r="D607" s="442">
        <v>32</v>
      </c>
      <c r="E607" s="429" t="str">
        <v>6Y3484</v>
      </c>
      <c r="F607" s="443" t="str">
        <v>VÁLVULA GP-MODULATI</v>
      </c>
      <c r="G607" s="430">
        <v>3</v>
      </c>
      <c r="H607" s="424">
        <v>2691.5</v>
      </c>
      <c r="I607" s="425">
        <v>8074.5</v>
      </c>
      <c r="J607" s="432" t="str">
        <v>—</v>
      </c>
      <c r="K607" s="431">
        <v>153.34</v>
      </c>
      <c r="L607" s="431">
        <v>460.02</v>
      </c>
      <c r="M607" s="431">
        <v>2606.7800000000002</v>
      </c>
      <c r="N607" s="432" t="str">
        <v>3-4</v>
      </c>
      <c r="O607" s="431">
        <v>87.22</v>
      </c>
      <c r="P607" s="431">
        <v>261.65999999999997</v>
      </c>
      <c r="Q607" s="431">
        <v>1482.74</v>
      </c>
      <c r="R607" s="432" t="str">
        <v>—</v>
      </c>
    </row>
    <row r="608" spans="2:18" x14ac:dyDescent="0.25">
      <c r="B608" s="440" t="str">
        <v>MT-01</v>
      </c>
      <c r="C608" s="438" t="str">
        <v>INACTIVA</v>
      </c>
      <c r="D608" s="442">
        <v>32</v>
      </c>
      <c r="E608" s="429">
        <v>2033940</v>
      </c>
      <c r="F608" s="443" t="str">
        <v>BOLA RODAMIENTO</v>
      </c>
      <c r="G608" s="430">
        <v>2</v>
      </c>
      <c r="H608" s="424">
        <v>49</v>
      </c>
      <c r="I608" s="425">
        <v>98</v>
      </c>
      <c r="J608" s="432" t="str">
        <v>—</v>
      </c>
      <c r="K608" s="431">
        <v>3.48</v>
      </c>
      <c r="L608" s="431">
        <v>6.96</v>
      </c>
      <c r="M608" s="431">
        <v>59.16</v>
      </c>
      <c r="N608" s="432" t="str">
        <v>3-4</v>
      </c>
      <c r="O608" s="431">
        <v>0.71</v>
      </c>
      <c r="P608" s="431">
        <v>1.42</v>
      </c>
      <c r="Q608" s="431">
        <v>12.07</v>
      </c>
      <c r="R608" s="432" t="str">
        <v>—</v>
      </c>
    </row>
    <row r="609" spans="2:18" x14ac:dyDescent="0.25">
      <c r="B609" s="440" t="str">
        <v>MT-01</v>
      </c>
      <c r="C609" s="438" t="str">
        <v>INACTIVA</v>
      </c>
      <c r="D609" s="442">
        <v>32</v>
      </c>
      <c r="E609" s="429">
        <v>2825042</v>
      </c>
      <c r="F609" s="443" t="str">
        <v>METAL DEL ANILLO DE SELLADO</v>
      </c>
      <c r="G609" s="430">
        <v>24</v>
      </c>
      <c r="H609" s="424">
        <v>477.58</v>
      </c>
      <c r="I609" s="425">
        <v>11461.92</v>
      </c>
      <c r="J609" s="432" t="str">
        <v>—</v>
      </c>
      <c r="K609" s="431">
        <v>32.479999999999997</v>
      </c>
      <c r="L609" s="431">
        <v>779.52</v>
      </c>
      <c r="M609" s="431">
        <v>552.16</v>
      </c>
      <c r="N609" s="432" t="str">
        <v>2-4</v>
      </c>
      <c r="O609" s="431">
        <v>1.84</v>
      </c>
      <c r="P609" s="431">
        <v>44.160000000000004</v>
      </c>
      <c r="Q609" s="431">
        <v>31.28</v>
      </c>
      <c r="R609" s="432" t="str">
        <v>—</v>
      </c>
    </row>
    <row r="610" spans="2:18" x14ac:dyDescent="0.25">
      <c r="B610" s="440" t="str">
        <v>MT-01</v>
      </c>
      <c r="C610" s="438" t="str">
        <v>INACTIVA</v>
      </c>
      <c r="D610" s="442">
        <v>32</v>
      </c>
      <c r="E610" s="429">
        <v>1918304</v>
      </c>
      <c r="F610" s="443" t="str">
        <v>BOLA SPL DE RODAMIENTO</v>
      </c>
      <c r="G610" s="430">
        <v>1</v>
      </c>
      <c r="H610" s="424">
        <v>3966.55</v>
      </c>
      <c r="I610" s="425">
        <v>3966.55</v>
      </c>
      <c r="J610" s="432" t="str">
        <v>—</v>
      </c>
      <c r="K610" s="431">
        <v>235.21</v>
      </c>
      <c r="L610" s="431">
        <v>235.21</v>
      </c>
      <c r="M610" s="431">
        <v>3998.57</v>
      </c>
      <c r="N610" s="432" t="str">
        <v>3-4</v>
      </c>
      <c r="O610" s="431">
        <v>32.25</v>
      </c>
      <c r="P610" s="431">
        <v>32.25</v>
      </c>
      <c r="Q610" s="431">
        <v>548.25</v>
      </c>
      <c r="R610" s="432" t="str">
        <v>—</v>
      </c>
    </row>
    <row r="611" spans="2:18" x14ac:dyDescent="0.25">
      <c r="B611" s="440" t="str">
        <v>MT-01</v>
      </c>
      <c r="C611" s="438" t="str">
        <v>INACTIVA</v>
      </c>
      <c r="D611" s="442">
        <v>32</v>
      </c>
      <c r="E611" s="429">
        <v>1918305</v>
      </c>
      <c r="F611" s="443" t="str">
        <v>SELLADO DE JUNTA TÓRICA</v>
      </c>
      <c r="G611" s="430">
        <v>1</v>
      </c>
      <c r="H611" s="424">
        <v>4064.73</v>
      </c>
      <c r="I611" s="425">
        <v>4064.73</v>
      </c>
      <c r="J611" s="432" t="str">
        <v>—</v>
      </c>
      <c r="K611" s="431">
        <v>241.05</v>
      </c>
      <c r="L611" s="431">
        <v>241.05</v>
      </c>
      <c r="M611" s="431">
        <v>4097.8500000000004</v>
      </c>
      <c r="N611" s="432" t="str">
        <v>3-4</v>
      </c>
      <c r="O611" s="431">
        <v>38.840000000000003</v>
      </c>
      <c r="P611" s="431">
        <v>38.840000000000003</v>
      </c>
      <c r="Q611" s="431">
        <v>660.28000000000009</v>
      </c>
      <c r="R611" s="432" t="str">
        <v>—</v>
      </c>
    </row>
    <row r="612" spans="2:18" x14ac:dyDescent="0.25">
      <c r="B612" s="440" t="str">
        <v>MT-01</v>
      </c>
      <c r="C612" s="438" t="str">
        <v>INACTIVA</v>
      </c>
      <c r="D612" s="442">
        <v>32</v>
      </c>
      <c r="E612" s="429" t="str">
        <v>6V9176</v>
      </c>
      <c r="F612" s="443" t="str">
        <v>DISCO</v>
      </c>
      <c r="G612" s="430">
        <v>1</v>
      </c>
      <c r="H612" s="424">
        <v>6576.5</v>
      </c>
      <c r="I612" s="425">
        <v>6576.5</v>
      </c>
      <c r="J612" s="432" t="str">
        <v>—</v>
      </c>
      <c r="K612" s="431">
        <v>374.68</v>
      </c>
      <c r="L612" s="431">
        <v>374.68</v>
      </c>
      <c r="M612" s="431">
        <v>6369.56</v>
      </c>
      <c r="N612" s="432" t="str">
        <v>3-4</v>
      </c>
      <c r="O612" s="431">
        <v>142.54</v>
      </c>
      <c r="P612" s="431">
        <v>142.54</v>
      </c>
      <c r="Q612" s="431">
        <v>2423.1799999999998</v>
      </c>
      <c r="R612" s="432" t="str">
        <v>—</v>
      </c>
    </row>
    <row r="613" spans="2:18" x14ac:dyDescent="0.25">
      <c r="B613" s="440" t="str">
        <v>MT-01</v>
      </c>
      <c r="C613" s="438" t="str">
        <v>INACTIVA</v>
      </c>
      <c r="D613" s="442">
        <v>32</v>
      </c>
      <c r="E613" s="429" t="str">
        <v>1T0610</v>
      </c>
      <c r="F613" s="443" t="str">
        <v>SENSOR DE VELOCIDAD</v>
      </c>
      <c r="G613" s="430">
        <v>1</v>
      </c>
      <c r="H613" s="424">
        <v>6418.48</v>
      </c>
      <c r="I613" s="425">
        <v>6418.48</v>
      </c>
      <c r="J613" s="432" t="str">
        <v>—</v>
      </c>
      <c r="K613" s="431">
        <v>365.65</v>
      </c>
      <c r="L613" s="431">
        <v>365.65</v>
      </c>
      <c r="M613" s="431">
        <v>6216.0499999999993</v>
      </c>
      <c r="N613" s="432" t="str">
        <v>3-4</v>
      </c>
      <c r="O613" s="431">
        <v>182.19</v>
      </c>
      <c r="P613" s="431">
        <v>182.19</v>
      </c>
      <c r="Q613" s="431">
        <v>3097.23</v>
      </c>
      <c r="R613" s="432" t="str">
        <v>—</v>
      </c>
    </row>
    <row r="614" spans="2:18" x14ac:dyDescent="0.25">
      <c r="B614" s="440" t="str">
        <v>MT-01</v>
      </c>
      <c r="C614" s="438" t="str">
        <v>INACTIVA</v>
      </c>
      <c r="D614" s="442">
        <v>32</v>
      </c>
      <c r="E614" s="429" t="str">
        <v>9M5894</v>
      </c>
      <c r="F614" s="443" t="str">
        <v>SENSOR DE VELOCIDAD</v>
      </c>
      <c r="G614" s="430">
        <v>2</v>
      </c>
      <c r="H614" s="424">
        <v>171.5</v>
      </c>
      <c r="I614" s="425">
        <v>343</v>
      </c>
      <c r="J614" s="432" t="str">
        <v>—</v>
      </c>
      <c r="K614" s="431">
        <v>12.15</v>
      </c>
      <c r="L614" s="431">
        <v>24.3</v>
      </c>
      <c r="M614" s="431">
        <v>206.55</v>
      </c>
      <c r="N614" s="432" t="str">
        <v>3-4</v>
      </c>
      <c r="O614" s="431">
        <v>1.0900000000000001</v>
      </c>
      <c r="P614" s="431">
        <v>2.1800000000000002</v>
      </c>
      <c r="Q614" s="431">
        <v>18.53</v>
      </c>
      <c r="R614" s="432" t="str">
        <v>—</v>
      </c>
    </row>
    <row r="615" spans="2:18" x14ac:dyDescent="0.25">
      <c r="B615" s="440" t="str">
        <v>MT-01</v>
      </c>
      <c r="C615" s="438" t="str">
        <v>INACTIVA</v>
      </c>
      <c r="D615" s="442">
        <v>32</v>
      </c>
      <c r="E615" s="429" t="str">
        <v>2S4078</v>
      </c>
      <c r="F615" s="443" t="str">
        <v>BOLA RODAMIENTO</v>
      </c>
      <c r="G615" s="430">
        <v>2</v>
      </c>
      <c r="H615" s="424">
        <v>46.73</v>
      </c>
      <c r="I615" s="425">
        <v>93.46</v>
      </c>
      <c r="J615" s="432" t="str">
        <v>—</v>
      </c>
      <c r="K615" s="431">
        <v>3.31</v>
      </c>
      <c r="L615" s="431">
        <v>6.62</v>
      </c>
      <c r="M615" s="431">
        <v>56.27</v>
      </c>
      <c r="N615" s="432" t="str">
        <v>0</v>
      </c>
      <c r="O615" s="431">
        <v>0.13</v>
      </c>
      <c r="P615" s="431">
        <v>0.26</v>
      </c>
      <c r="Q615" s="431">
        <v>2.21</v>
      </c>
      <c r="R615" s="432" t="str">
        <v>—</v>
      </c>
    </row>
    <row r="616" spans="2:18" x14ac:dyDescent="0.25">
      <c r="B616" s="440" t="str">
        <v>MT-01</v>
      </c>
      <c r="C616" s="438" t="str">
        <v>INACTIVA</v>
      </c>
      <c r="D616" s="442">
        <v>32</v>
      </c>
      <c r="E616" s="429" t="str">
        <v>4J0524</v>
      </c>
      <c r="F616" s="443" t="str">
        <v>SPLI DE BOLA DE RODAMIENTO</v>
      </c>
      <c r="G616" s="430">
        <v>10</v>
      </c>
      <c r="H616" s="424">
        <v>61.25</v>
      </c>
      <c r="I616" s="425">
        <v>612.5</v>
      </c>
      <c r="J616" s="432" t="str">
        <v>—</v>
      </c>
      <c r="K616" s="431">
        <v>4.34</v>
      </c>
      <c r="L616" s="431">
        <v>43.4</v>
      </c>
      <c r="M616" s="431">
        <v>73.78</v>
      </c>
      <c r="N616" s="432" t="str">
        <v>0</v>
      </c>
      <c r="O616" s="431">
        <v>0.14000000000000001</v>
      </c>
      <c r="P616" s="431">
        <v>1.4000000000000001</v>
      </c>
      <c r="Q616" s="431">
        <v>2.3800000000000003</v>
      </c>
      <c r="R616" s="432" t="str">
        <v>—</v>
      </c>
    </row>
    <row r="617" spans="2:18" x14ac:dyDescent="0.25">
      <c r="B617" s="440" t="str">
        <v>MT-01</v>
      </c>
      <c r="C617" s="438" t="str">
        <v>INACTIVA</v>
      </c>
      <c r="D617" s="442">
        <v>32</v>
      </c>
      <c r="E617" s="429" t="str">
        <v>4J0520</v>
      </c>
      <c r="F617" s="443" t="str">
        <v>SELLADO DE JUNTA TÓRICA</v>
      </c>
      <c r="G617" s="430">
        <v>10</v>
      </c>
      <c r="H617" s="424">
        <v>45.85</v>
      </c>
      <c r="I617" s="425">
        <v>458.5</v>
      </c>
      <c r="J617" s="432" t="str">
        <v>—</v>
      </c>
      <c r="K617" s="431">
        <v>3.25</v>
      </c>
      <c r="L617" s="431">
        <v>32.5</v>
      </c>
      <c r="M617" s="431">
        <v>55.25</v>
      </c>
      <c r="N617" s="432" t="str">
        <v>0</v>
      </c>
      <c r="O617" s="431">
        <v>0.16</v>
      </c>
      <c r="P617" s="431">
        <v>1.6</v>
      </c>
      <c r="Q617" s="431">
        <v>2.72</v>
      </c>
      <c r="R617" s="432" t="str">
        <v>—</v>
      </c>
    </row>
    <row r="618" spans="2:18" x14ac:dyDescent="0.25">
      <c r="B618" s="440" t="str">
        <v>MT-01</v>
      </c>
      <c r="C618" s="438" t="str">
        <v>INACTIVA</v>
      </c>
      <c r="D618" s="442">
        <v>32</v>
      </c>
      <c r="E618" s="429" t="str">
        <v>4J0527</v>
      </c>
      <c r="F618" s="443" t="str">
        <v>SELLADO DE JUNTA TÓRICA</v>
      </c>
      <c r="G618" s="430">
        <v>10</v>
      </c>
      <c r="H618" s="424">
        <v>70.7</v>
      </c>
      <c r="I618" s="425">
        <v>707</v>
      </c>
      <c r="J618" s="432" t="str">
        <v>—</v>
      </c>
      <c r="K618" s="431">
        <v>5.04</v>
      </c>
      <c r="L618" s="431">
        <v>50.4</v>
      </c>
      <c r="M618" s="431">
        <v>85.68</v>
      </c>
      <c r="N618" s="432" t="str">
        <v>0</v>
      </c>
      <c r="O618" s="431">
        <v>0.28999999999999998</v>
      </c>
      <c r="P618" s="431">
        <v>2.9</v>
      </c>
      <c r="Q618" s="431">
        <v>4.93</v>
      </c>
      <c r="R618" s="432" t="str">
        <v>—</v>
      </c>
    </row>
    <row r="619" spans="2:18" x14ac:dyDescent="0.25">
      <c r="B619" s="440" t="str">
        <v>MT-01</v>
      </c>
      <c r="C619" s="438" t="str">
        <v>INACTIVA</v>
      </c>
      <c r="D619" s="442">
        <v>32</v>
      </c>
      <c r="E619" s="429" t="str">
        <v>1P3708</v>
      </c>
      <c r="F619" s="443" t="str">
        <v>SEAL O RING NEGRO</v>
      </c>
      <c r="G619" s="430">
        <v>20</v>
      </c>
      <c r="H619" s="424">
        <v>79.98</v>
      </c>
      <c r="I619" s="425">
        <v>1599.6000000000001</v>
      </c>
      <c r="J619" s="432" t="str">
        <v>—</v>
      </c>
      <c r="K619" s="431">
        <v>5.68</v>
      </c>
      <c r="L619" s="431">
        <v>113.6</v>
      </c>
      <c r="M619" s="431">
        <v>96.56</v>
      </c>
      <c r="N619" s="432" t="str">
        <v>3-4</v>
      </c>
      <c r="O619" s="431">
        <v>0.34</v>
      </c>
      <c r="P619" s="431">
        <v>6.8000000000000007</v>
      </c>
      <c r="Q619" s="431">
        <v>5.78</v>
      </c>
      <c r="R619" s="432" t="str">
        <v>—</v>
      </c>
    </row>
    <row r="620" spans="2:18" x14ac:dyDescent="0.25">
      <c r="B620" s="440" t="str">
        <v>MT-01</v>
      </c>
      <c r="C620" s="438" t="str">
        <v>INACTIVA</v>
      </c>
      <c r="D620" s="442">
        <v>32</v>
      </c>
      <c r="E620" s="429" t="str">
        <v>5P0840</v>
      </c>
      <c r="F620" s="443" t="str">
        <v>SEAL O RING NEGRO</v>
      </c>
      <c r="G620" s="430">
        <v>3</v>
      </c>
      <c r="H620" s="424">
        <v>113.4</v>
      </c>
      <c r="I620" s="425">
        <v>340.20000000000005</v>
      </c>
      <c r="J620" s="432" t="str">
        <v>—</v>
      </c>
      <c r="K620" s="431">
        <v>8.0399999999999991</v>
      </c>
      <c r="L620" s="431">
        <v>24.119999999999997</v>
      </c>
      <c r="M620" s="431">
        <v>136.67999999999998</v>
      </c>
      <c r="N620" s="432" t="str">
        <v>3-4</v>
      </c>
      <c r="O620" s="431">
        <v>0.27</v>
      </c>
      <c r="P620" s="431">
        <v>0.81</v>
      </c>
      <c r="Q620" s="431">
        <v>4.59</v>
      </c>
      <c r="R620" s="432" t="str">
        <v>—</v>
      </c>
    </row>
    <row r="621" spans="2:18" x14ac:dyDescent="0.25">
      <c r="B621" s="440" t="str">
        <v>MT-01</v>
      </c>
      <c r="C621" s="438" t="str">
        <v>INACTIVA</v>
      </c>
      <c r="D621" s="442">
        <v>32</v>
      </c>
      <c r="E621" s="429">
        <v>3464897</v>
      </c>
      <c r="F621" s="443" t="str">
        <v>SELLADO DE JUNTA TÓRICA</v>
      </c>
      <c r="G621" s="430">
        <v>2</v>
      </c>
      <c r="H621" s="424">
        <v>249.2</v>
      </c>
      <c r="I621" s="425">
        <v>498.4</v>
      </c>
      <c r="J621" s="432" t="str">
        <v>—</v>
      </c>
      <c r="K621" s="431">
        <v>17.68</v>
      </c>
      <c r="L621" s="431">
        <v>35.36</v>
      </c>
      <c r="M621" s="431">
        <v>300.56</v>
      </c>
      <c r="N621" s="432" t="str">
        <v>3-4</v>
      </c>
      <c r="O621" s="431">
        <v>0.7</v>
      </c>
      <c r="P621" s="431">
        <v>1.4</v>
      </c>
      <c r="Q621" s="431">
        <v>11.899999999999999</v>
      </c>
      <c r="R621" s="432" t="str">
        <v>—</v>
      </c>
    </row>
    <row r="622" spans="2:18" x14ac:dyDescent="0.25">
      <c r="B622" s="440" t="str">
        <v>MT-01</v>
      </c>
      <c r="C622" s="438" t="str">
        <v>INACTIVA</v>
      </c>
      <c r="D622" s="442">
        <v>32</v>
      </c>
      <c r="E622" s="429" t="str">
        <v>5D5957</v>
      </c>
      <c r="F622" s="443" t="str">
        <v>SEAL</v>
      </c>
      <c r="G622" s="430">
        <v>3</v>
      </c>
      <c r="H622" s="424">
        <v>472.68</v>
      </c>
      <c r="I622" s="425">
        <v>1418.04</v>
      </c>
      <c r="J622" s="432" t="str">
        <v>—</v>
      </c>
      <c r="K622" s="431">
        <v>32.17</v>
      </c>
      <c r="L622" s="431">
        <v>96.51</v>
      </c>
      <c r="M622" s="431">
        <v>546.89</v>
      </c>
      <c r="N622" s="432" t="str">
        <v>3-4</v>
      </c>
      <c r="O622" s="431">
        <v>1.82</v>
      </c>
      <c r="P622" s="431">
        <v>5.46</v>
      </c>
      <c r="Q622" s="431">
        <v>30.94</v>
      </c>
      <c r="R622" s="432" t="str">
        <v>—</v>
      </c>
    </row>
    <row r="623" spans="2:18" x14ac:dyDescent="0.25">
      <c r="B623" s="440" t="str">
        <v>MT-01</v>
      </c>
      <c r="C623" s="438" t="str">
        <v>INACTIVA</v>
      </c>
      <c r="D623" s="442">
        <v>32</v>
      </c>
      <c r="E623" s="429">
        <v>2119087</v>
      </c>
      <c r="F623" s="443" t="str">
        <v>SELLADO DE JUNTA TÓRICA</v>
      </c>
      <c r="G623" s="430">
        <v>2</v>
      </c>
      <c r="H623" s="424">
        <v>2834.65</v>
      </c>
      <c r="I623" s="425">
        <v>5669.3</v>
      </c>
      <c r="J623" s="432" t="str">
        <v>—</v>
      </c>
      <c r="K623" s="431">
        <v>160.07</v>
      </c>
      <c r="L623" s="431">
        <v>320.14</v>
      </c>
      <c r="M623" s="431">
        <v>2721.19</v>
      </c>
      <c r="N623" s="432" t="str">
        <v>8</v>
      </c>
      <c r="O623" s="431">
        <v>46.88</v>
      </c>
      <c r="P623" s="431">
        <v>93.76</v>
      </c>
      <c r="Q623" s="431">
        <v>796.96</v>
      </c>
      <c r="R623" s="432" t="str">
        <v>—</v>
      </c>
    </row>
    <row r="624" spans="2:18" x14ac:dyDescent="0.25">
      <c r="B624" s="440" t="str">
        <v>MT-01</v>
      </c>
      <c r="C624" s="438" t="str">
        <v>INACTIVA</v>
      </c>
      <c r="D624" s="442">
        <v>124</v>
      </c>
      <c r="E624" s="429">
        <v>6586459</v>
      </c>
      <c r="F624" s="443" t="str">
        <v>Tren de rodaje con orugas de 610 mm de ancho</v>
      </c>
      <c r="G624" s="430">
        <v>2</v>
      </c>
      <c r="H624" s="424">
        <v>404023.38</v>
      </c>
      <c r="I624" s="425">
        <v>808046.76</v>
      </c>
      <c r="J624" s="432" t="str">
        <v>—</v>
      </c>
      <c r="K624" s="431">
        <v>17936.87</v>
      </c>
      <c r="L624" s="431">
        <v>35873.74</v>
      </c>
      <c r="M624" s="431">
        <v>304926.78999999998</v>
      </c>
      <c r="N624" s="432" t="str">
        <v>10-15</v>
      </c>
      <c r="O624" s="431">
        <v>0</v>
      </c>
      <c r="P624" s="431" t="str">
        <v>—</v>
      </c>
      <c r="Q624" s="431" t="str">
        <v>—</v>
      </c>
      <c r="R624" s="432" t="str">
        <v>—</v>
      </c>
    </row>
    <row r="625" spans="2:18" x14ac:dyDescent="0.25">
      <c r="B625" s="440" t="str">
        <v>MT-01</v>
      </c>
      <c r="C625" s="438" t="str">
        <v>INACTIVA</v>
      </c>
      <c r="D625" s="442">
        <v>124</v>
      </c>
      <c r="E625" s="429">
        <v>4587791</v>
      </c>
      <c r="F625" s="443" t="str">
        <v>Grupo de rodillos de rodaje</v>
      </c>
      <c r="G625" s="430">
        <v>10</v>
      </c>
      <c r="H625" s="424">
        <v>16675.93</v>
      </c>
      <c r="I625" s="425">
        <v>166759.29999999999</v>
      </c>
      <c r="J625" s="432" t="str">
        <v>—</v>
      </c>
      <c r="K625" s="431">
        <v>780.11</v>
      </c>
      <c r="L625" s="431">
        <v>7801.1</v>
      </c>
      <c r="M625" s="431">
        <v>13261.87</v>
      </c>
      <c r="N625" s="432" t="str">
        <v>2-3</v>
      </c>
      <c r="O625" s="431">
        <v>0</v>
      </c>
      <c r="P625" s="431" t="str">
        <v>—</v>
      </c>
      <c r="Q625" s="431" t="str">
        <v>—</v>
      </c>
      <c r="R625" s="432" t="str">
        <v>—</v>
      </c>
    </row>
    <row r="626" spans="2:18" x14ac:dyDescent="0.25">
      <c r="B626" s="440" t="str">
        <v>MT-01</v>
      </c>
      <c r="C626" s="438" t="str">
        <v>INACTIVA</v>
      </c>
      <c r="D626" s="442">
        <v>124</v>
      </c>
      <c r="E626" s="429">
        <v>1969954</v>
      </c>
      <c r="F626" s="443" t="str">
        <v>Grupo de rodillos de rodaje</v>
      </c>
      <c r="G626" s="430">
        <v>8</v>
      </c>
      <c r="H626" s="424">
        <v>24450.13</v>
      </c>
      <c r="I626" s="425">
        <v>195601.04</v>
      </c>
      <c r="J626" s="432" t="str">
        <v>—</v>
      </c>
      <c r="K626" s="431">
        <v>1143.58</v>
      </c>
      <c r="L626" s="431">
        <v>9148.64</v>
      </c>
      <c r="M626" s="431">
        <v>19440.86</v>
      </c>
      <c r="N626" s="432" t="str">
        <v>2-3</v>
      </c>
      <c r="O626" s="431">
        <v>677.6</v>
      </c>
      <c r="P626" s="431">
        <v>5420.8</v>
      </c>
      <c r="Q626" s="431">
        <v>11519.2</v>
      </c>
      <c r="R626" s="432" t="str">
        <v>2-3</v>
      </c>
    </row>
    <row r="627" spans="2:18" x14ac:dyDescent="0.25">
      <c r="B627" s="440" t="str">
        <v>MT-01</v>
      </c>
      <c r="C627" s="438" t="str">
        <v>INACTIVA</v>
      </c>
      <c r="D627" s="442">
        <v>124</v>
      </c>
      <c r="E627" s="429" t="str">
        <v>6T1140</v>
      </c>
      <c r="F627" s="443" t="str">
        <v>BOLT</v>
      </c>
      <c r="G627" s="430">
        <v>32</v>
      </c>
      <c r="H627" s="424">
        <v>111.83</v>
      </c>
      <c r="I627" s="425">
        <v>3578.56</v>
      </c>
      <c r="J627" s="432" t="str">
        <v>—</v>
      </c>
      <c r="K627" s="431">
        <v>5.16</v>
      </c>
      <c r="L627" s="431">
        <v>165.12</v>
      </c>
      <c r="M627" s="431">
        <v>87.72</v>
      </c>
      <c r="N627" s="432" t="str">
        <v>2-3</v>
      </c>
      <c r="O627" s="431">
        <v>2.5499999999999998</v>
      </c>
      <c r="P627" s="431">
        <v>81.599999999999994</v>
      </c>
      <c r="Q627" s="431">
        <v>43.349999999999994</v>
      </c>
      <c r="R627" s="432" t="str">
        <v>2-3</v>
      </c>
    </row>
    <row r="628" spans="2:18" x14ac:dyDescent="0.25">
      <c r="B628" s="440" t="str">
        <v>MT-01</v>
      </c>
      <c r="C628" s="438" t="str">
        <v>INACTIVA</v>
      </c>
      <c r="D628" s="442">
        <v>124</v>
      </c>
      <c r="E628" s="429">
        <v>3111298</v>
      </c>
      <c r="F628" s="443" t="str">
        <v>Cartucho del conjunto de pasador del bogie</v>
      </c>
      <c r="G628" s="430">
        <v>32</v>
      </c>
      <c r="H628" s="424">
        <v>11063.85</v>
      </c>
      <c r="I628" s="425">
        <v>354043.2</v>
      </c>
      <c r="J628" s="432" t="str">
        <v>—</v>
      </c>
      <c r="K628" s="431">
        <v>509.3</v>
      </c>
      <c r="L628" s="431">
        <v>16297.6</v>
      </c>
      <c r="M628" s="431">
        <v>8658.1</v>
      </c>
      <c r="N628" s="432" t="str">
        <v>2-3</v>
      </c>
      <c r="O628" s="431">
        <v>0</v>
      </c>
      <c r="P628" s="431" t="str">
        <v>—</v>
      </c>
      <c r="Q628" s="431" t="str">
        <v>—</v>
      </c>
      <c r="R628" s="432" t="str">
        <v>—</v>
      </c>
    </row>
    <row r="629" spans="2:18" x14ac:dyDescent="0.25">
      <c r="B629" s="440" t="str">
        <v>MT-01</v>
      </c>
      <c r="C629" s="438" t="str">
        <v>INACTIVA</v>
      </c>
      <c r="D629" s="442">
        <v>124</v>
      </c>
      <c r="E629" s="429">
        <v>1844395</v>
      </c>
      <c r="F629" s="443" t="str">
        <v>Roller Guard de centro corto</v>
      </c>
      <c r="G629" s="430">
        <v>16</v>
      </c>
      <c r="H629" s="424">
        <v>2831.15</v>
      </c>
      <c r="I629" s="425">
        <v>45298.400000000001</v>
      </c>
      <c r="J629" s="432" t="str">
        <v>—</v>
      </c>
      <c r="K629" s="431">
        <v>130.33000000000001</v>
      </c>
      <c r="L629" s="431">
        <v>2085.2800000000002</v>
      </c>
      <c r="M629" s="431">
        <v>2215.61</v>
      </c>
      <c r="N629" s="432" t="str">
        <v>2-3</v>
      </c>
      <c r="O629" s="431">
        <v>33.880000000000003</v>
      </c>
      <c r="P629" s="431">
        <v>542.08000000000004</v>
      </c>
      <c r="Q629" s="431">
        <v>575.96</v>
      </c>
      <c r="R629" s="432" t="str">
        <v>2-3</v>
      </c>
    </row>
    <row r="630" spans="2:18" x14ac:dyDescent="0.25">
      <c r="B630" s="440" t="str">
        <v>MT-01</v>
      </c>
      <c r="C630" s="438" t="str">
        <v>INACTIVA</v>
      </c>
      <c r="D630" s="442">
        <v>124</v>
      </c>
      <c r="E630" s="429" t="str">
        <v>1D4608</v>
      </c>
      <c r="F630" s="443" t="str">
        <v>Perno de cabeza hexagonal de 3/4-10</v>
      </c>
      <c r="G630" s="430">
        <v>32</v>
      </c>
      <c r="H630" s="424">
        <v>128.97999999999999</v>
      </c>
      <c r="I630" s="425">
        <v>4127.3599999999997</v>
      </c>
      <c r="J630" s="432" t="str">
        <v>—</v>
      </c>
      <c r="K630" s="431">
        <v>7.23</v>
      </c>
      <c r="L630" s="431">
        <v>231.36</v>
      </c>
      <c r="M630" s="431">
        <v>122.91000000000001</v>
      </c>
      <c r="N630" s="432" t="str">
        <v>2-3</v>
      </c>
      <c r="O630" s="431">
        <v>1.33</v>
      </c>
      <c r="P630" s="431">
        <v>42.56</v>
      </c>
      <c r="Q630" s="431">
        <v>22.61</v>
      </c>
      <c r="R630" s="432" t="str">
        <v>2-3</v>
      </c>
    </row>
    <row r="631" spans="2:18" x14ac:dyDescent="0.25">
      <c r="B631" s="440" t="str">
        <v>MT-01</v>
      </c>
      <c r="C631" s="438" t="str">
        <v>INACTIVA</v>
      </c>
      <c r="D631" s="442">
        <v>124</v>
      </c>
      <c r="E631" s="429" t="str">
        <v>8T4994</v>
      </c>
      <c r="F631" s="443" t="str">
        <v>Arandela plana de acero con diámetro interior de 3/4"</v>
      </c>
      <c r="G631" s="430">
        <v>64</v>
      </c>
      <c r="H631" s="424">
        <v>36.58</v>
      </c>
      <c r="I631" s="425">
        <v>2341.12</v>
      </c>
      <c r="J631" s="432" t="str">
        <v>—</v>
      </c>
      <c r="K631" s="431">
        <v>2.0499999999999998</v>
      </c>
      <c r="L631" s="431">
        <v>131.19999999999999</v>
      </c>
      <c r="M631" s="431">
        <v>34.849999999999994</v>
      </c>
      <c r="N631" s="432" t="str">
        <v>2-3</v>
      </c>
      <c r="O631" s="431">
        <v>0.28999999999999998</v>
      </c>
      <c r="P631" s="431">
        <v>18.559999999999999</v>
      </c>
      <c r="Q631" s="431">
        <v>4.93</v>
      </c>
      <c r="R631" s="432" t="str">
        <v>2-3</v>
      </c>
    </row>
    <row r="632" spans="2:18" x14ac:dyDescent="0.25">
      <c r="B632" s="440" t="str">
        <v>MT-01</v>
      </c>
      <c r="C632" s="438" t="str">
        <v>INACTIVA</v>
      </c>
      <c r="D632" s="442">
        <v>124</v>
      </c>
      <c r="E632" s="429" t="str">
        <v>8S4755</v>
      </c>
      <c r="F632" s="443" t="str">
        <v>tornillo de cabeza hexagonal de 1"-14 x 1 1/2"</v>
      </c>
      <c r="G632" s="430">
        <v>16</v>
      </c>
      <c r="H632" s="424">
        <v>118.83</v>
      </c>
      <c r="I632" s="425">
        <v>1901.28</v>
      </c>
      <c r="J632" s="432" t="str">
        <v>—</v>
      </c>
      <c r="K632" s="431">
        <v>6.65</v>
      </c>
      <c r="L632" s="431">
        <v>106.4</v>
      </c>
      <c r="M632" s="431">
        <v>113.05000000000001</v>
      </c>
      <c r="N632" s="432" t="str">
        <v>2-3</v>
      </c>
      <c r="O632" s="431">
        <v>1.7</v>
      </c>
      <c r="P632" s="431">
        <v>27.2</v>
      </c>
      <c r="Q632" s="431">
        <v>28.9</v>
      </c>
      <c r="R632" s="432" t="str">
        <v>2-3</v>
      </c>
    </row>
    <row r="633" spans="2:18" x14ac:dyDescent="0.25">
      <c r="B633" s="440" t="str">
        <v>MT-01</v>
      </c>
      <c r="C633" s="438" t="str">
        <v>INACTIVA</v>
      </c>
      <c r="D633" s="442">
        <v>124</v>
      </c>
      <c r="E633" s="429">
        <v>6287557</v>
      </c>
      <c r="F633" s="443" t="str">
        <v>Grupo de rodillos locos</v>
      </c>
      <c r="G633" s="430">
        <v>4</v>
      </c>
      <c r="H633" s="424">
        <v>77007.179999999993</v>
      </c>
      <c r="I633" s="425">
        <v>308028.71999999997</v>
      </c>
      <c r="J633" s="432" t="str">
        <v>—</v>
      </c>
      <c r="K633" s="431">
        <v>3602.44</v>
      </c>
      <c r="L633" s="431">
        <v>14409.76</v>
      </c>
      <c r="M633" s="431">
        <v>61241.48</v>
      </c>
      <c r="N633" s="432" t="str">
        <v>2-3</v>
      </c>
      <c r="O633" s="431">
        <v>0</v>
      </c>
      <c r="P633" s="431" t="str">
        <v>—</v>
      </c>
      <c r="Q633" s="431" t="str">
        <v>—</v>
      </c>
      <c r="R633" s="432" t="str">
        <v>—</v>
      </c>
    </row>
    <row r="634" spans="2:18" x14ac:dyDescent="0.25">
      <c r="B634" s="440" t="str">
        <v>MT-01</v>
      </c>
      <c r="C634" s="438" t="str">
        <v>INACTIVA</v>
      </c>
      <c r="D634" s="442">
        <v>124</v>
      </c>
      <c r="E634" s="429" t="str">
        <v>7T4145</v>
      </c>
      <c r="F634" s="443" t="str">
        <v>Cojinete de deslizamiento (buje)</v>
      </c>
      <c r="G634" s="430">
        <v>2</v>
      </c>
      <c r="H634" s="424">
        <v>10426.15</v>
      </c>
      <c r="I634" s="425">
        <v>20852.3</v>
      </c>
      <c r="J634" s="432" t="str">
        <v>—</v>
      </c>
      <c r="K634" s="431">
        <v>490.33</v>
      </c>
      <c r="L634" s="431">
        <v>980.66</v>
      </c>
      <c r="M634" s="431">
        <v>8335.61</v>
      </c>
      <c r="N634" s="432" t="str">
        <v>2-3</v>
      </c>
      <c r="O634" s="431">
        <v>113.23</v>
      </c>
      <c r="P634" s="431">
        <v>226.46</v>
      </c>
      <c r="Q634" s="431">
        <v>1924.91</v>
      </c>
      <c r="R634" s="432" t="str">
        <v>2-3</v>
      </c>
    </row>
    <row r="635" spans="2:18" x14ac:dyDescent="0.25">
      <c r="B635" s="440" t="str">
        <v>MT-01</v>
      </c>
      <c r="C635" s="438" t="str">
        <v>INACTIVA</v>
      </c>
      <c r="D635" s="442">
        <v>124</v>
      </c>
      <c r="E635" s="429" t="str">
        <v>6Y0210</v>
      </c>
      <c r="F635" s="443" t="str">
        <v>208.465mm Outside Diameter Sleeve Bearing</v>
      </c>
      <c r="G635" s="430">
        <v>2</v>
      </c>
      <c r="H635" s="424">
        <v>4793.43</v>
      </c>
      <c r="I635" s="425">
        <v>9586.86</v>
      </c>
      <c r="J635" s="432" t="str">
        <v>—</v>
      </c>
      <c r="K635" s="431">
        <v>225.44</v>
      </c>
      <c r="L635" s="431">
        <v>450.88</v>
      </c>
      <c r="M635" s="431">
        <v>3832.48</v>
      </c>
      <c r="N635" s="432" t="str">
        <v>2-3</v>
      </c>
      <c r="O635" s="431">
        <v>90.85</v>
      </c>
      <c r="P635" s="431">
        <v>181.7</v>
      </c>
      <c r="Q635" s="431">
        <v>1544.4499999999998</v>
      </c>
      <c r="R635" s="432" t="str">
        <v>2-3</v>
      </c>
    </row>
    <row r="636" spans="2:18" x14ac:dyDescent="0.25">
      <c r="B636" s="440" t="str">
        <v>MT-01</v>
      </c>
      <c r="C636" s="438" t="str">
        <v>INACTIVA</v>
      </c>
      <c r="D636" s="442">
        <v>124</v>
      </c>
      <c r="E636" s="429" t="str">
        <v>2P1692</v>
      </c>
      <c r="F636" s="443" t="str">
        <v>sello</v>
      </c>
      <c r="G636" s="430">
        <v>2</v>
      </c>
      <c r="H636" s="424">
        <v>134.4</v>
      </c>
      <c r="I636" s="425">
        <v>268.8</v>
      </c>
      <c r="J636" s="432" t="str">
        <v>—</v>
      </c>
      <c r="K636" s="431">
        <v>7.53</v>
      </c>
      <c r="L636" s="431">
        <v>15.06</v>
      </c>
      <c r="M636" s="431">
        <v>128.01</v>
      </c>
      <c r="N636" s="432" t="str">
        <v>2-3</v>
      </c>
      <c r="O636" s="431">
        <v>0.38</v>
      </c>
      <c r="P636" s="431">
        <v>0.76</v>
      </c>
      <c r="Q636" s="431">
        <v>6.46</v>
      </c>
      <c r="R636" s="432" t="str">
        <v>2-3</v>
      </c>
    </row>
    <row r="637" spans="2:18" x14ac:dyDescent="0.25">
      <c r="B637" s="440" t="str">
        <v>MT-01</v>
      </c>
      <c r="C637" s="438" t="str">
        <v>INACTIVA</v>
      </c>
      <c r="D637" s="442">
        <v>124</v>
      </c>
      <c r="E637" s="429" t="str">
        <v>9M5894</v>
      </c>
      <c r="F637" s="443" t="str">
        <v>sello</v>
      </c>
      <c r="G637" s="430">
        <v>2</v>
      </c>
      <c r="H637" s="424">
        <v>217.18</v>
      </c>
      <c r="I637" s="425">
        <v>434.36</v>
      </c>
      <c r="J637" s="432" t="str">
        <v>—</v>
      </c>
      <c r="K637" s="431">
        <v>12.15</v>
      </c>
      <c r="L637" s="431">
        <v>24.3</v>
      </c>
      <c r="M637" s="431">
        <v>206.55</v>
      </c>
      <c r="N637" s="432" t="str">
        <v>2-3</v>
      </c>
      <c r="O637" s="431">
        <v>1.0900000000000001</v>
      </c>
      <c r="P637" s="431">
        <v>2.1800000000000002</v>
      </c>
      <c r="Q637" s="431">
        <v>18.53</v>
      </c>
      <c r="R637" s="432" t="str">
        <v>2-3</v>
      </c>
    </row>
    <row r="638" spans="2:18" x14ac:dyDescent="0.25">
      <c r="B638" s="440" t="str">
        <v>MT-01</v>
      </c>
      <c r="C638" s="438" t="str">
        <v>INACTIVA</v>
      </c>
      <c r="D638" s="442">
        <v>124</v>
      </c>
      <c r="E638" s="429" t="str">
        <v>1P9254</v>
      </c>
      <c r="F638" s="443" t="str">
        <v>Anillo de retención interno de 229,64 mm de diámetro exterior</v>
      </c>
      <c r="G638" s="430">
        <v>2</v>
      </c>
      <c r="H638" s="424">
        <v>992.25</v>
      </c>
      <c r="I638" s="425">
        <v>1984.5</v>
      </c>
      <c r="J638" s="432" t="str">
        <v>—</v>
      </c>
      <c r="K638" s="431">
        <v>51.71</v>
      </c>
      <c r="L638" s="431">
        <v>103.42</v>
      </c>
      <c r="M638" s="431">
        <v>879.07</v>
      </c>
      <c r="N638" s="432" t="str">
        <v>2-3</v>
      </c>
      <c r="O638" s="431">
        <v>8.35</v>
      </c>
      <c r="P638" s="431">
        <v>16.7</v>
      </c>
      <c r="Q638" s="431">
        <v>141.94999999999999</v>
      </c>
      <c r="R638" s="432" t="str">
        <v>2-3</v>
      </c>
    </row>
    <row r="639" spans="2:18" x14ac:dyDescent="0.25">
      <c r="B639" s="440" t="str">
        <v>MT-01</v>
      </c>
      <c r="C639" s="438" t="str">
        <v>INACTIVA</v>
      </c>
      <c r="D639" s="442">
        <v>124</v>
      </c>
      <c r="E639" s="429" t="str">
        <v>2K4472</v>
      </c>
      <c r="F639" s="443" t="str">
        <v>sello</v>
      </c>
      <c r="G639" s="430">
        <v>4</v>
      </c>
      <c r="H639" s="424">
        <v>157.33000000000001</v>
      </c>
      <c r="I639" s="425">
        <v>629.32000000000005</v>
      </c>
      <c r="J639" s="432" t="str">
        <v>—</v>
      </c>
      <c r="K639" s="431">
        <v>8.8000000000000007</v>
      </c>
      <c r="L639" s="431">
        <v>35.200000000000003</v>
      </c>
      <c r="M639" s="431">
        <v>149.60000000000002</v>
      </c>
      <c r="N639" s="432" t="str">
        <v>2-3</v>
      </c>
      <c r="O639" s="431">
        <v>0.3</v>
      </c>
      <c r="P639" s="431">
        <v>1.2</v>
      </c>
      <c r="Q639" s="431">
        <v>5.0999999999999996</v>
      </c>
      <c r="R639" s="432" t="str">
        <v>2-3</v>
      </c>
    </row>
    <row r="640" spans="2:18" x14ac:dyDescent="0.25">
      <c r="B640" s="440" t="str">
        <v>MT-01</v>
      </c>
      <c r="C640" s="438" t="str">
        <v>INACTIVA</v>
      </c>
      <c r="D640" s="442">
        <v>124</v>
      </c>
      <c r="E640" s="429" t="str">
        <v>5P1979</v>
      </c>
      <c r="F640" s="443" t="str">
        <v>sello</v>
      </c>
      <c r="G640" s="430">
        <v>2</v>
      </c>
      <c r="H640" s="424">
        <v>174.83</v>
      </c>
      <c r="I640" s="425">
        <v>349.66</v>
      </c>
      <c r="J640" s="432" t="str">
        <v>—</v>
      </c>
      <c r="K640" s="431">
        <v>9.7899999999999991</v>
      </c>
      <c r="L640" s="431">
        <v>19.579999999999998</v>
      </c>
      <c r="M640" s="431">
        <v>166.42999999999998</v>
      </c>
      <c r="N640" s="432" t="str">
        <v>2-3</v>
      </c>
      <c r="O640" s="431">
        <v>0.88</v>
      </c>
      <c r="P640" s="431">
        <v>1.76</v>
      </c>
      <c r="Q640" s="431">
        <v>14.96</v>
      </c>
      <c r="R640" s="432" t="str">
        <v>2-3</v>
      </c>
    </row>
    <row r="641" spans="2:18" x14ac:dyDescent="0.25">
      <c r="B641" s="440" t="str">
        <v>MT-01</v>
      </c>
      <c r="C641" s="438" t="str">
        <v>INACTIVA</v>
      </c>
      <c r="D641" s="442">
        <v>124</v>
      </c>
      <c r="E641" s="429" t="str">
        <v>8T9389</v>
      </c>
      <c r="F641" s="443" t="str">
        <v>TORNILLO DE SEGMENTO</v>
      </c>
      <c r="G641" s="430">
        <v>16</v>
      </c>
      <c r="H641" s="424">
        <v>59.5</v>
      </c>
      <c r="I641" s="425">
        <v>952</v>
      </c>
      <c r="J641" s="432" t="str">
        <v>—</v>
      </c>
      <c r="K641" s="431">
        <v>3.34</v>
      </c>
      <c r="L641" s="431">
        <v>53.44</v>
      </c>
      <c r="M641" s="431">
        <v>56.78</v>
      </c>
      <c r="N641" s="432" t="str">
        <v>2-3</v>
      </c>
      <c r="O641" s="431">
        <v>0.76</v>
      </c>
      <c r="P641" s="431">
        <v>12.16</v>
      </c>
      <c r="Q641" s="431">
        <v>12.92</v>
      </c>
      <c r="R641" s="432" t="str">
        <v>2-3</v>
      </c>
    </row>
    <row r="642" spans="2:18" x14ac:dyDescent="0.25">
      <c r="B642" s="440" t="str">
        <v>MT-01</v>
      </c>
      <c r="C642" s="438" t="str">
        <v>INACTIVA</v>
      </c>
      <c r="D642" s="442">
        <v>124</v>
      </c>
      <c r="E642" s="429" t="str">
        <v>7T1248</v>
      </c>
      <c r="F642" s="443" t="str">
        <v>tornillo de segmento</v>
      </c>
      <c r="G642" s="430">
        <v>60</v>
      </c>
      <c r="H642" s="424">
        <v>96.25</v>
      </c>
      <c r="I642" s="425">
        <v>5775</v>
      </c>
      <c r="J642" s="432" t="str">
        <v>—</v>
      </c>
      <c r="K642" s="431">
        <v>4.4400000000000004</v>
      </c>
      <c r="L642" s="431">
        <v>266.40000000000003</v>
      </c>
      <c r="M642" s="431">
        <v>75.48</v>
      </c>
      <c r="N642" s="432" t="str">
        <v>2-3</v>
      </c>
      <c r="O642" s="431">
        <v>2.14</v>
      </c>
      <c r="P642" s="431">
        <v>128.4</v>
      </c>
      <c r="Q642" s="431">
        <v>36.380000000000003</v>
      </c>
      <c r="R642" s="432" t="str">
        <v>2-3</v>
      </c>
    </row>
    <row r="643" spans="2:18" x14ac:dyDescent="0.25">
      <c r="B643" s="440" t="str">
        <v>MT-01</v>
      </c>
      <c r="C643" s="438" t="str">
        <v>INACTIVA</v>
      </c>
      <c r="D643" s="442">
        <v>124</v>
      </c>
      <c r="E643" s="429" t="str">
        <v>7H3609</v>
      </c>
      <c r="F643" s="443" t="str">
        <v>Tuerca de riel</v>
      </c>
      <c r="G643" s="430">
        <v>60</v>
      </c>
      <c r="H643" s="424">
        <v>45.15</v>
      </c>
      <c r="I643" s="425">
        <v>2709</v>
      </c>
      <c r="J643" s="432" t="str">
        <v>—</v>
      </c>
      <c r="K643" s="431">
        <v>2.0699999999999998</v>
      </c>
      <c r="L643" s="431">
        <v>124.19999999999999</v>
      </c>
      <c r="M643" s="431">
        <v>35.19</v>
      </c>
      <c r="N643" s="432" t="str">
        <v>2-3</v>
      </c>
      <c r="O643" s="431">
        <v>0.69</v>
      </c>
      <c r="P643" s="431">
        <v>41.4</v>
      </c>
      <c r="Q643" s="431">
        <v>11.729999999999999</v>
      </c>
      <c r="R643" s="432" t="str">
        <v>2-3</v>
      </c>
    </row>
    <row r="644" spans="2:18" x14ac:dyDescent="0.25">
      <c r="B644" s="440" t="str">
        <v>MT-01</v>
      </c>
      <c r="C644" s="438" t="str">
        <v>INACTIVA</v>
      </c>
      <c r="D644" s="442">
        <v>124</v>
      </c>
      <c r="E644" s="429" t="str">
        <v>8E6752</v>
      </c>
      <c r="F644" s="443" t="str">
        <v>buje</v>
      </c>
      <c r="G644" s="430">
        <v>8</v>
      </c>
      <c r="H644" s="424">
        <v>1314.43</v>
      </c>
      <c r="I644" s="425">
        <v>10515.44</v>
      </c>
      <c r="J644" s="432" t="str">
        <v>—</v>
      </c>
      <c r="K644" s="431">
        <v>67.709999999999994</v>
      </c>
      <c r="L644" s="431">
        <v>541.67999999999995</v>
      </c>
      <c r="M644" s="431">
        <v>1151.07</v>
      </c>
      <c r="N644" s="432" t="str">
        <v>2-3</v>
      </c>
      <c r="O644" s="431">
        <v>0</v>
      </c>
      <c r="P644" s="431" t="str">
        <v>—</v>
      </c>
      <c r="Q644" s="431" t="str">
        <v>—</v>
      </c>
      <c r="R644" s="432" t="str">
        <v>—</v>
      </c>
    </row>
    <row r="645" spans="2:18" x14ac:dyDescent="0.25">
      <c r="B645" s="440" t="str">
        <v>MT-01</v>
      </c>
      <c r="C645" s="438" t="str">
        <v>INACTIVA</v>
      </c>
      <c r="D645" s="442">
        <v>124</v>
      </c>
      <c r="E645" s="429" t="str">
        <v>3G9598</v>
      </c>
      <c r="F645" s="443" t="str">
        <v>buje</v>
      </c>
      <c r="G645" s="430">
        <v>4</v>
      </c>
      <c r="H645" s="424">
        <v>1804.6</v>
      </c>
      <c r="I645" s="425">
        <v>7218.4</v>
      </c>
      <c r="J645" s="432" t="str">
        <v>—</v>
      </c>
      <c r="K645" s="431">
        <v>88.92</v>
      </c>
      <c r="L645" s="431">
        <v>355.68</v>
      </c>
      <c r="M645" s="431">
        <v>1511.64</v>
      </c>
      <c r="N645" s="432" t="str">
        <v>2-3</v>
      </c>
      <c r="O645" s="431">
        <v>9.49</v>
      </c>
      <c r="P645" s="431">
        <v>37.96</v>
      </c>
      <c r="Q645" s="431">
        <v>161.33000000000001</v>
      </c>
      <c r="R645" s="432" t="str">
        <v>2-3</v>
      </c>
    </row>
    <row r="646" spans="2:18" x14ac:dyDescent="0.25">
      <c r="B646" s="440" t="str">
        <v>MT-02</v>
      </c>
      <c r="C646" s="438" t="str">
        <v>ACTIVA</v>
      </c>
      <c r="D646" s="442">
        <v>67</v>
      </c>
      <c r="E646" s="429" t="str">
        <v>10R7434</v>
      </c>
      <c r="F646" s="443" t="str">
        <v>Bomba de pistones Cat® Reman</v>
      </c>
      <c r="G646" s="430">
        <v>1</v>
      </c>
      <c r="H646" s="424">
        <v>78958.570000000007</v>
      </c>
      <c r="I646" s="425">
        <v>78958.570000000007</v>
      </c>
      <c r="J646" s="432" t="str">
        <v>—</v>
      </c>
      <c r="K646" s="431">
        <v>3113.18</v>
      </c>
      <c r="L646" s="431">
        <v>3113.18</v>
      </c>
      <c r="M646" s="431">
        <v>52924.06</v>
      </c>
      <c r="N646" s="432" t="str">
        <v>3-4</v>
      </c>
      <c r="O646" s="431">
        <v>0</v>
      </c>
      <c r="P646" s="431" t="str">
        <v>—</v>
      </c>
      <c r="Q646" s="431" t="str">
        <v>—</v>
      </c>
      <c r="R646" s="432" t="str">
        <v>—</v>
      </c>
    </row>
    <row r="647" spans="2:18" x14ac:dyDescent="0.25">
      <c r="B647" s="440" t="str">
        <v>MT-02</v>
      </c>
      <c r="C647" s="438" t="str">
        <v>ACTIVA</v>
      </c>
      <c r="D647" s="442">
        <v>67</v>
      </c>
      <c r="E647" s="429">
        <v>1357935</v>
      </c>
      <c r="F647" s="443" t="str">
        <v>3 juntas tóricas de NBR de 130 mm y 70 A</v>
      </c>
      <c r="G647" s="430">
        <v>1</v>
      </c>
      <c r="H647" s="424">
        <v>187.58</v>
      </c>
      <c r="I647" s="425">
        <v>187.58</v>
      </c>
      <c r="J647" s="432" t="str">
        <v>—</v>
      </c>
      <c r="K647" s="431">
        <v>10.35</v>
      </c>
      <c r="L647" s="431">
        <v>10.35</v>
      </c>
      <c r="M647" s="431">
        <v>175.95</v>
      </c>
      <c r="N647" s="432" t="str">
        <v>3-4</v>
      </c>
      <c r="O647" s="431">
        <v>0.86</v>
      </c>
      <c r="P647" s="431">
        <v>0.86</v>
      </c>
      <c r="Q647" s="431">
        <v>14.62</v>
      </c>
      <c r="R647" s="432" t="str">
        <v>—</v>
      </c>
    </row>
    <row r="648" spans="2:18" x14ac:dyDescent="0.25">
      <c r="B648" s="440" t="str">
        <v>MT-02</v>
      </c>
      <c r="C648" s="438" t="str">
        <v>ACTIVA</v>
      </c>
      <c r="D648" s="442">
        <v>77</v>
      </c>
      <c r="E648" s="429" t="str">
        <v>3535065 / 6195170</v>
      </c>
      <c r="F648" s="443" t="str">
        <v>Junta del cárter de aceite</v>
      </c>
      <c r="G648" s="430">
        <v>2</v>
      </c>
      <c r="H648" s="424">
        <v>3296.52</v>
      </c>
      <c r="I648" s="425">
        <v>6593.04</v>
      </c>
      <c r="J648" s="432" t="str">
        <v>—</v>
      </c>
      <c r="K648" s="431">
        <v>105.96</v>
      </c>
      <c r="L648" s="431">
        <v>211.92</v>
      </c>
      <c r="M648" s="431">
        <v>1801.32</v>
      </c>
      <c r="N648" s="432" t="str">
        <v>3-4</v>
      </c>
      <c r="O648" s="431">
        <v>0</v>
      </c>
      <c r="P648" s="431" t="str">
        <v>—</v>
      </c>
      <c r="Q648" s="431" t="str">
        <v>—</v>
      </c>
      <c r="R648" s="432" t="str">
        <v>—</v>
      </c>
    </row>
    <row r="649" spans="2:18" x14ac:dyDescent="0.25">
      <c r="B649" s="440" t="str">
        <v>MT-02</v>
      </c>
      <c r="C649" s="438" t="str">
        <v>ACTIVA</v>
      </c>
      <c r="D649" s="442">
        <v>77</v>
      </c>
      <c r="E649" s="429" t="str">
        <v>4N7266</v>
      </c>
      <c r="F649" s="443" t="str">
        <v>Junta de la carcasa del motor</v>
      </c>
      <c r="G649" s="430">
        <v>1</v>
      </c>
      <c r="H649" s="424">
        <v>229.86</v>
      </c>
      <c r="I649" s="425">
        <v>229.86</v>
      </c>
      <c r="J649" s="432" t="str">
        <v>—</v>
      </c>
      <c r="K649" s="431">
        <v>12.33</v>
      </c>
      <c r="L649" s="431">
        <v>12.33</v>
      </c>
      <c r="M649" s="431">
        <v>209.61</v>
      </c>
      <c r="N649" s="432" t="str">
        <v>3-4</v>
      </c>
      <c r="O649" s="431">
        <v>1.54</v>
      </c>
      <c r="P649" s="431">
        <v>1.54</v>
      </c>
      <c r="Q649" s="431">
        <v>26.18</v>
      </c>
      <c r="R649" s="432" t="str">
        <v>—</v>
      </c>
    </row>
    <row r="650" spans="2:18" x14ac:dyDescent="0.25">
      <c r="B650" s="440" t="str">
        <v>MT-02</v>
      </c>
      <c r="C650" s="438" t="str">
        <v>ACTIVA</v>
      </c>
      <c r="D650" s="442">
        <v>77</v>
      </c>
      <c r="E650" s="429" t="str">
        <v>7W0845</v>
      </c>
      <c r="F650" s="443" t="str">
        <v>Junta de 0,8 mm de espesor para conductos de refrigeración del motor</v>
      </c>
      <c r="G650" s="430">
        <v>1</v>
      </c>
      <c r="H650" s="424">
        <v>177.48</v>
      </c>
      <c r="I650" s="425">
        <v>177.48</v>
      </c>
      <c r="J650" s="432" t="str">
        <v>—</v>
      </c>
      <c r="K650" s="431">
        <v>9.5</v>
      </c>
      <c r="L650" s="431">
        <v>9.5</v>
      </c>
      <c r="M650" s="431">
        <v>161.5</v>
      </c>
      <c r="N650" s="432" t="str">
        <v>3-4</v>
      </c>
      <c r="O650" s="431">
        <v>1.42</v>
      </c>
      <c r="P650" s="431">
        <v>1.42</v>
      </c>
      <c r="Q650" s="431">
        <v>24.14</v>
      </c>
      <c r="R650" s="432" t="str">
        <v>—</v>
      </c>
    </row>
    <row r="651" spans="2:18" x14ac:dyDescent="0.25">
      <c r="B651" s="440" t="str">
        <v>MT-03</v>
      </c>
      <c r="C651" s="438" t="str">
        <v>ACTIVA</v>
      </c>
      <c r="D651" s="442">
        <v>75</v>
      </c>
      <c r="E651" s="429">
        <v>1327994</v>
      </c>
      <c r="F651" s="443" t="str">
        <v>Pasador de articulación de 76,2 mm de diámetro exterior</v>
      </c>
      <c r="G651" s="430">
        <v>1</v>
      </c>
      <c r="H651" s="424">
        <v>11722.66</v>
      </c>
      <c r="I651" s="425">
        <v>11722.66</v>
      </c>
      <c r="J651" s="432" t="str">
        <v>—</v>
      </c>
      <c r="K651" s="431">
        <v>540.77</v>
      </c>
      <c r="L651" s="431">
        <v>540.77</v>
      </c>
      <c r="M651" s="431">
        <v>9193.09</v>
      </c>
      <c r="N651" s="432" t="str">
        <v>3-4</v>
      </c>
      <c r="O651" s="431">
        <v>83.71</v>
      </c>
      <c r="P651" s="431">
        <v>83.71</v>
      </c>
      <c r="Q651" s="431">
        <v>1423.07</v>
      </c>
      <c r="R651" s="432" t="str">
        <v>—</v>
      </c>
    </row>
    <row r="652" spans="2:18" x14ac:dyDescent="0.25">
      <c r="B652" s="440" t="str">
        <v>MT-03</v>
      </c>
      <c r="C652" s="438" t="str">
        <v>ACTIVA</v>
      </c>
      <c r="D652" s="442">
        <v>75</v>
      </c>
      <c r="E652" s="429">
        <v>1488385</v>
      </c>
      <c r="F652" s="443" t="str">
        <v>codo/junta/sello</v>
      </c>
      <c r="G652" s="430">
        <v>2</v>
      </c>
      <c r="H652" s="424">
        <v>581.22</v>
      </c>
      <c r="I652" s="425">
        <v>1162.44</v>
      </c>
      <c r="J652" s="432" t="str">
        <v>—</v>
      </c>
      <c r="K652" s="431">
        <v>0</v>
      </c>
      <c r="L652" s="431" t="str">
        <v>—</v>
      </c>
      <c r="M652" s="431" t="str">
        <v>—</v>
      </c>
      <c r="N652" s="432" t="str">
        <v>0</v>
      </c>
      <c r="O652" s="431">
        <v>3.91</v>
      </c>
      <c r="P652" s="431">
        <v>7.82</v>
      </c>
      <c r="Q652" s="431">
        <v>66.47</v>
      </c>
      <c r="R652" s="432" t="str">
        <v>—</v>
      </c>
    </row>
    <row r="653" spans="2:18" x14ac:dyDescent="0.25">
      <c r="B653" s="440" t="str">
        <v>MT-03</v>
      </c>
      <c r="C653" s="438" t="str">
        <v>ACTIVA</v>
      </c>
      <c r="D653" s="442">
        <v>75</v>
      </c>
      <c r="E653" s="429" t="str">
        <v>9R6776</v>
      </c>
      <c r="F653" s="443" t="str">
        <v>MANGUERA A</v>
      </c>
      <c r="G653" s="430">
        <v>2</v>
      </c>
      <c r="H653" s="424">
        <v>1173.02</v>
      </c>
      <c r="I653" s="425">
        <v>2346.04</v>
      </c>
      <c r="J653" s="432" t="str">
        <v>—</v>
      </c>
      <c r="K653" s="431">
        <v>50.98</v>
      </c>
      <c r="L653" s="431">
        <v>101.96</v>
      </c>
      <c r="M653" s="431">
        <v>866.66</v>
      </c>
      <c r="N653" s="432" t="str">
        <v>3-4</v>
      </c>
      <c r="O653" s="431">
        <v>28.44</v>
      </c>
      <c r="P653" s="431">
        <v>56.88</v>
      </c>
      <c r="Q653" s="431">
        <v>483.48</v>
      </c>
      <c r="R653" s="432" t="str">
        <v>—</v>
      </c>
    </row>
    <row r="654" spans="2:18" x14ac:dyDescent="0.25">
      <c r="B654" s="440" t="str">
        <v>MT-03</v>
      </c>
      <c r="C654" s="438" t="str">
        <v>ACTIVA</v>
      </c>
      <c r="D654" s="442">
        <v>75</v>
      </c>
      <c r="E654" s="429">
        <v>2012184</v>
      </c>
      <c r="F654" s="443" t="str">
        <v>TORNILLO HEX</v>
      </c>
      <c r="G654" s="430">
        <v>8</v>
      </c>
      <c r="H654" s="424">
        <v>152.53</v>
      </c>
      <c r="I654" s="425">
        <v>1220.24</v>
      </c>
      <c r="J654" s="432" t="str">
        <v>—</v>
      </c>
      <c r="K654" s="431">
        <v>8.3800000000000008</v>
      </c>
      <c r="L654" s="431">
        <v>67.040000000000006</v>
      </c>
      <c r="M654" s="431">
        <v>142.46</v>
      </c>
      <c r="N654" s="432" t="str">
        <v>3-4</v>
      </c>
      <c r="O654" s="431">
        <v>2.6</v>
      </c>
      <c r="P654" s="431">
        <v>20.8</v>
      </c>
      <c r="Q654" s="431">
        <v>44.2</v>
      </c>
      <c r="R654" s="432" t="str">
        <v>—</v>
      </c>
    </row>
    <row r="655" spans="2:18" x14ac:dyDescent="0.25">
      <c r="B655" s="440" t="str">
        <v>MT-03</v>
      </c>
      <c r="C655" s="438" t="str">
        <v>ACTIVA</v>
      </c>
      <c r="D655" s="442">
        <v>75</v>
      </c>
      <c r="E655" s="429">
        <v>2993427</v>
      </c>
      <c r="F655" s="443" t="str">
        <v xml:space="preserve">Arandela  </v>
      </c>
      <c r="G655" s="430">
        <v>8</v>
      </c>
      <c r="H655" s="424">
        <v>43.35</v>
      </c>
      <c r="I655" s="425">
        <v>346.8</v>
      </c>
      <c r="J655" s="432" t="str">
        <v>—</v>
      </c>
      <c r="K655" s="431">
        <v>2.39</v>
      </c>
      <c r="L655" s="431">
        <v>19.12</v>
      </c>
      <c r="M655" s="431">
        <v>40.630000000000003</v>
      </c>
      <c r="N655" s="432" t="str">
        <v>3-4</v>
      </c>
      <c r="O655" s="431">
        <v>0.53</v>
      </c>
      <c r="P655" s="431">
        <v>4.24</v>
      </c>
      <c r="Q655" s="431">
        <v>9.01</v>
      </c>
      <c r="R655" s="432" t="str">
        <v>—</v>
      </c>
    </row>
    <row r="656" spans="2:18" x14ac:dyDescent="0.25">
      <c r="B656" s="440" t="str">
        <v>MT-03</v>
      </c>
      <c r="C656" s="438" t="str">
        <v>ACTIVA</v>
      </c>
      <c r="D656" s="442">
        <v>80</v>
      </c>
      <c r="E656" s="429">
        <v>1927810</v>
      </c>
      <c r="F656" s="443" t="str">
        <v>Bolsa de aire</v>
      </c>
      <c r="G656" s="430">
        <v>1</v>
      </c>
      <c r="H656" s="424">
        <v>3111.16</v>
      </c>
      <c r="I656" s="425">
        <v>3111.16</v>
      </c>
      <c r="J656" s="432" t="str">
        <v>—</v>
      </c>
      <c r="K656" s="431">
        <v>137.97</v>
      </c>
      <c r="L656" s="431">
        <v>137.97</v>
      </c>
      <c r="M656" s="431">
        <v>2345.4899999999998</v>
      </c>
      <c r="N656" s="432" t="str">
        <v>3-4</v>
      </c>
      <c r="O656" s="431">
        <v>100.81</v>
      </c>
      <c r="P656" s="431">
        <v>100.81</v>
      </c>
      <c r="Q656" s="431">
        <v>1713.77</v>
      </c>
      <c r="R656" s="432" t="str">
        <v>—</v>
      </c>
    </row>
    <row r="657" spans="2:18" x14ac:dyDescent="0.25">
      <c r="B657" s="440" t="str">
        <v>MT-03</v>
      </c>
      <c r="C657" s="438" t="str">
        <v>ACTIVA</v>
      </c>
      <c r="D657" s="442">
        <v>95</v>
      </c>
      <c r="E657" s="429" t="str">
        <v>3P8845</v>
      </c>
      <c r="F657" s="443" t="str">
        <v>Cojinete de manguito con diámetro exterior de 225,791 mm</v>
      </c>
      <c r="G657" s="430">
        <v>1</v>
      </c>
      <c r="H657" s="424">
        <v>14816.07</v>
      </c>
      <c r="I657" s="425">
        <v>14816.07</v>
      </c>
      <c r="J657" s="432" t="str">
        <v>—</v>
      </c>
      <c r="K657" s="431">
        <v>685.81</v>
      </c>
      <c r="L657" s="431">
        <v>685.81</v>
      </c>
      <c r="M657" s="431">
        <v>11658.769999999999</v>
      </c>
      <c r="N657" s="432" t="str">
        <v>2-3</v>
      </c>
      <c r="O657" s="431">
        <v>222.64</v>
      </c>
      <c r="P657" s="431">
        <v>222.64</v>
      </c>
      <c r="Q657" s="431">
        <v>3784.8799999999997</v>
      </c>
      <c r="R657" s="432" t="str">
        <v>—</v>
      </c>
    </row>
    <row r="658" spans="2:18" x14ac:dyDescent="0.25">
      <c r="B658" s="440" t="str">
        <v>MT-03</v>
      </c>
      <c r="C658" s="438" t="str">
        <v>ACTIVA</v>
      </c>
      <c r="D658" s="442">
        <v>95</v>
      </c>
      <c r="E658" s="429" t="str">
        <v>6Y0210</v>
      </c>
      <c r="F658" s="443" t="str">
        <v>Cojinete de manguito con diámetro exterior de 225,791 mm</v>
      </c>
      <c r="G658" s="430">
        <v>1</v>
      </c>
      <c r="H658" s="424">
        <v>4870.12</v>
      </c>
      <c r="I658" s="425">
        <v>4870.12</v>
      </c>
      <c r="J658" s="432" t="str">
        <v>—</v>
      </c>
      <c r="K658" s="431">
        <v>225.44</v>
      </c>
      <c r="L658" s="431">
        <v>225.44</v>
      </c>
      <c r="M658" s="431">
        <v>3832.48</v>
      </c>
      <c r="N658" s="432" t="str">
        <v>2-3</v>
      </c>
      <c r="O658" s="431">
        <v>90.85</v>
      </c>
      <c r="P658" s="431">
        <v>90.85</v>
      </c>
      <c r="Q658" s="431">
        <v>1544.4499999999998</v>
      </c>
      <c r="R658" s="432" t="str">
        <v>—</v>
      </c>
    </row>
    <row r="659" spans="2:18" x14ac:dyDescent="0.25">
      <c r="B659" s="440" t="str">
        <v>MT-03</v>
      </c>
      <c r="C659" s="438" t="str">
        <v>ACTIVA</v>
      </c>
      <c r="D659" s="442">
        <v>95</v>
      </c>
      <c r="E659" s="429" t="str">
        <v>9M5894</v>
      </c>
      <c r="F659" s="443" t="str">
        <v>SELLO</v>
      </c>
      <c r="G659" s="430">
        <v>1</v>
      </c>
      <c r="H659" s="424">
        <v>220.65</v>
      </c>
      <c r="I659" s="425">
        <v>220.65</v>
      </c>
      <c r="J659" s="432" t="str">
        <v>—</v>
      </c>
      <c r="K659" s="431">
        <v>12.15</v>
      </c>
      <c r="L659" s="431">
        <v>12.15</v>
      </c>
      <c r="M659" s="431">
        <v>206.55</v>
      </c>
      <c r="N659" s="432" t="str">
        <v>1-2</v>
      </c>
      <c r="O659" s="431">
        <v>1.0900000000000001</v>
      </c>
      <c r="P659" s="431">
        <v>1.0900000000000001</v>
      </c>
      <c r="Q659" s="431">
        <v>18.53</v>
      </c>
      <c r="R659" s="432" t="str">
        <v>—</v>
      </c>
    </row>
    <row r="660" spans="2:18" x14ac:dyDescent="0.25">
      <c r="B660" s="440" t="str">
        <v>MT-03</v>
      </c>
      <c r="C660" s="438" t="str">
        <v>ACTIVA</v>
      </c>
      <c r="D660" s="442">
        <v>95</v>
      </c>
      <c r="E660" s="429" t="str">
        <v>2P1692</v>
      </c>
      <c r="F660" s="443" t="str">
        <v>SELLO</v>
      </c>
      <c r="G660" s="430">
        <v>1</v>
      </c>
      <c r="H660" s="424">
        <v>136.55000000000001</v>
      </c>
      <c r="I660" s="425">
        <v>136.55000000000001</v>
      </c>
      <c r="J660" s="432" t="str">
        <v>—</v>
      </c>
      <c r="K660" s="431">
        <v>7.53</v>
      </c>
      <c r="L660" s="431">
        <v>7.53</v>
      </c>
      <c r="M660" s="431">
        <v>128.01</v>
      </c>
      <c r="N660" s="432" t="str">
        <v>1-2</v>
      </c>
      <c r="O660" s="431">
        <v>0.38</v>
      </c>
      <c r="P660" s="431">
        <v>0.38</v>
      </c>
      <c r="Q660" s="431">
        <v>6.46</v>
      </c>
      <c r="R660" s="432" t="str">
        <v>—</v>
      </c>
    </row>
    <row r="661" spans="2:18" x14ac:dyDescent="0.25">
      <c r="B661" s="440" t="str">
        <v>MT-03</v>
      </c>
      <c r="C661" s="438" t="str">
        <v>ACTIVA</v>
      </c>
      <c r="D661" s="442">
        <v>95</v>
      </c>
      <c r="E661" s="429" t="str">
        <v>7G9709</v>
      </c>
      <c r="F661" s="443" t="str">
        <v>Cojinete de manguito con diámetro exterior de 192,4 mm</v>
      </c>
      <c r="G661" s="430">
        <v>1</v>
      </c>
      <c r="H661" s="424">
        <v>4027.35</v>
      </c>
      <c r="I661" s="425">
        <v>4027.35</v>
      </c>
      <c r="J661" s="432" t="str">
        <v>—</v>
      </c>
      <c r="K661" s="431">
        <v>186.41</v>
      </c>
      <c r="L661" s="431">
        <v>186.41</v>
      </c>
      <c r="M661" s="431">
        <v>3168.97</v>
      </c>
      <c r="N661" s="432" t="str">
        <v>1-2</v>
      </c>
      <c r="O661" s="431">
        <v>49.97</v>
      </c>
      <c r="P661" s="431">
        <v>49.97</v>
      </c>
      <c r="Q661" s="431">
        <v>849.49</v>
      </c>
      <c r="R661" s="432" t="str">
        <v>—</v>
      </c>
    </row>
    <row r="662" spans="2:18" x14ac:dyDescent="0.25">
      <c r="B662" s="440" t="str">
        <v>MT-03</v>
      </c>
      <c r="C662" s="438" t="str">
        <v>ACTIVA</v>
      </c>
      <c r="D662" s="442">
        <v>95</v>
      </c>
      <c r="E662" s="429" t="str">
        <v>4D4508</v>
      </c>
      <c r="F662" s="443" t="str">
        <v>SELLADO DE JUNTA TÓRICA</v>
      </c>
      <c r="G662" s="430">
        <v>1</v>
      </c>
      <c r="H662" s="424">
        <v>348.67</v>
      </c>
      <c r="I662" s="425">
        <v>348.67</v>
      </c>
      <c r="J662" s="432" t="str">
        <v>—</v>
      </c>
      <c r="K662" s="431">
        <v>19.2</v>
      </c>
      <c r="L662" s="431">
        <v>19.2</v>
      </c>
      <c r="M662" s="431">
        <v>326.39999999999998</v>
      </c>
      <c r="N662" s="432" t="str">
        <v>1-2</v>
      </c>
      <c r="O662" s="431">
        <v>2.75</v>
      </c>
      <c r="P662" s="431">
        <v>2.75</v>
      </c>
      <c r="Q662" s="431">
        <v>46.75</v>
      </c>
      <c r="R662" s="432" t="str">
        <v>—</v>
      </c>
    </row>
    <row r="663" spans="2:18" x14ac:dyDescent="0.25">
      <c r="B663" s="440" t="str">
        <v>MT-03</v>
      </c>
      <c r="C663" s="438" t="str">
        <v>ACTIVA</v>
      </c>
      <c r="D663" s="442">
        <v>95</v>
      </c>
      <c r="E663" s="429" t="str">
        <v>8T0208</v>
      </c>
      <c r="F663" s="443" t="str">
        <v>SELLO</v>
      </c>
      <c r="G663" s="430">
        <v>1</v>
      </c>
      <c r="H663" s="424">
        <v>12891.92</v>
      </c>
      <c r="I663" s="425">
        <v>12891.92</v>
      </c>
      <c r="J663" s="432" t="str">
        <v>—</v>
      </c>
      <c r="K663" s="431">
        <v>596.75</v>
      </c>
      <c r="L663" s="431">
        <v>596.75</v>
      </c>
      <c r="M663" s="431">
        <v>10144.75</v>
      </c>
      <c r="N663" s="432" t="str">
        <v>1-2</v>
      </c>
      <c r="O663" s="431">
        <v>43.56</v>
      </c>
      <c r="P663" s="431">
        <v>43.56</v>
      </c>
      <c r="Q663" s="431">
        <v>740.52</v>
      </c>
      <c r="R663" s="432" t="str">
        <v>—</v>
      </c>
    </row>
    <row r="664" spans="2:18" x14ac:dyDescent="0.25">
      <c r="B664" s="440" t="str">
        <v>MT-03</v>
      </c>
      <c r="C664" s="438" t="str">
        <v>ACTIVA</v>
      </c>
      <c r="D664" s="442">
        <v>95</v>
      </c>
      <c r="E664" s="429" t="str">
        <v>5P1979</v>
      </c>
      <c r="F664" s="443" t="str">
        <v>SELLO</v>
      </c>
      <c r="G664" s="430">
        <v>1</v>
      </c>
      <c r="H664" s="424">
        <v>177.62</v>
      </c>
      <c r="I664" s="425">
        <v>177.62</v>
      </c>
      <c r="J664" s="432" t="str">
        <v>—</v>
      </c>
      <c r="K664" s="431">
        <v>9.7899999999999991</v>
      </c>
      <c r="L664" s="431">
        <v>9.7899999999999991</v>
      </c>
      <c r="M664" s="431">
        <v>166.42999999999998</v>
      </c>
      <c r="N664" s="432" t="str">
        <v>1-2</v>
      </c>
      <c r="O664" s="431">
        <v>0.88</v>
      </c>
      <c r="P664" s="431">
        <v>0.88</v>
      </c>
      <c r="Q664" s="431">
        <v>14.96</v>
      </c>
      <c r="R664" s="432" t="str">
        <v>—</v>
      </c>
    </row>
    <row r="665" spans="2:18" x14ac:dyDescent="0.25">
      <c r="B665" s="440" t="str">
        <v>MT-03</v>
      </c>
      <c r="C665" s="438" t="str">
        <v>ACTIVA</v>
      </c>
      <c r="D665" s="442">
        <v>95</v>
      </c>
      <c r="E665" s="429" t="str">
        <v>7T4145</v>
      </c>
      <c r="F665" s="443" t="str">
        <v>BUJE</v>
      </c>
      <c r="G665" s="430">
        <v>1</v>
      </c>
      <c r="H665" s="424">
        <v>10592.97</v>
      </c>
      <c r="I665" s="425">
        <v>10592.97</v>
      </c>
      <c r="J665" s="432" t="str">
        <v>—</v>
      </c>
      <c r="K665" s="431">
        <v>490.33</v>
      </c>
      <c r="L665" s="431">
        <v>490.33</v>
      </c>
      <c r="M665" s="431">
        <v>8335.61</v>
      </c>
      <c r="N665" s="432" t="str">
        <v>1-2</v>
      </c>
      <c r="O665" s="431">
        <v>113.23</v>
      </c>
      <c r="P665" s="431">
        <v>113.23</v>
      </c>
      <c r="Q665" s="431">
        <v>1924.91</v>
      </c>
      <c r="R665" s="432" t="str">
        <v>—</v>
      </c>
    </row>
    <row r="666" spans="2:18" x14ac:dyDescent="0.25">
      <c r="B666" s="440" t="str">
        <v>MT-04</v>
      </c>
      <c r="C666" s="438" t="str">
        <v>INACTIVA</v>
      </c>
      <c r="D666" s="442">
        <v>146</v>
      </c>
      <c r="E666" s="429" t="str">
        <v>7G3435</v>
      </c>
      <c r="F666" s="443" t="str">
        <v>ENGRANE</v>
      </c>
      <c r="G666" s="430">
        <v>1</v>
      </c>
      <c r="H666" s="424">
        <v>22788.31</v>
      </c>
      <c r="I666" s="425">
        <v>22788.31</v>
      </c>
      <c r="J666" s="432" t="str">
        <v>—</v>
      </c>
      <c r="K666" s="431">
        <v>0</v>
      </c>
      <c r="L666" s="431" t="str">
        <v>—</v>
      </c>
      <c r="M666" s="431" t="str">
        <v>—</v>
      </c>
      <c r="N666" s="432" t="str">
        <v>—</v>
      </c>
      <c r="O666" s="431">
        <v>0</v>
      </c>
      <c r="P666" s="431" t="str">
        <v>—</v>
      </c>
      <c r="Q666" s="431" t="str">
        <v>—</v>
      </c>
      <c r="R666" s="432" t="str">
        <v>—</v>
      </c>
    </row>
    <row r="667" spans="2:18" x14ac:dyDescent="0.25">
      <c r="B667" s="440" t="str">
        <v>MT-05</v>
      </c>
      <c r="C667" s="438" t="str">
        <v>ACTIVA</v>
      </c>
      <c r="D667" s="442">
        <v>136</v>
      </c>
      <c r="E667" s="429">
        <v>1797087</v>
      </c>
      <c r="F667" s="443" t="str">
        <v>ARNÉS AS</v>
      </c>
      <c r="G667" s="430">
        <v>2</v>
      </c>
      <c r="H667" s="424">
        <v>1763.46</v>
      </c>
      <c r="I667" s="425">
        <v>3526.92</v>
      </c>
      <c r="J667" s="432" t="str">
        <v>—</v>
      </c>
      <c r="K667" s="431">
        <v>83.33</v>
      </c>
      <c r="L667" s="431">
        <v>166.66</v>
      </c>
      <c r="M667" s="431">
        <v>1416.61</v>
      </c>
      <c r="N667" s="432" t="str">
        <v>1-2</v>
      </c>
      <c r="O667" s="431">
        <v>71.63</v>
      </c>
      <c r="P667" s="431">
        <v>143.26</v>
      </c>
      <c r="Q667" s="431">
        <v>1217.71</v>
      </c>
      <c r="R667" s="432" t="str">
        <v>2-3</v>
      </c>
    </row>
    <row r="668" spans="2:18" x14ac:dyDescent="0.25">
      <c r="B668" s="440" t="str">
        <v>MT-06</v>
      </c>
      <c r="C668" s="438" t="str">
        <v>INACTIVA</v>
      </c>
      <c r="D668" s="442">
        <v>34</v>
      </c>
      <c r="E668" s="429" t="str">
        <v>20R2932</v>
      </c>
      <c r="F668" s="443" t="str">
        <v>ARBOL DE LEVAS</v>
      </c>
      <c r="G668" s="430">
        <v>1</v>
      </c>
      <c r="H668" s="424">
        <v>60982.78</v>
      </c>
      <c r="I668" s="425">
        <v>60982.78</v>
      </c>
      <c r="J668" s="432" t="str">
        <v>—</v>
      </c>
      <c r="K668" s="431">
        <v>2047.02</v>
      </c>
      <c r="L668" s="431">
        <v>2047.02</v>
      </c>
      <c r="M668" s="431">
        <v>34799.339999999997</v>
      </c>
      <c r="N668" s="432" t="str">
        <v>3-4</v>
      </c>
      <c r="O668" s="431">
        <v>0</v>
      </c>
      <c r="P668" s="431" t="str">
        <v>—</v>
      </c>
      <c r="Q668" s="431" t="str">
        <v>—</v>
      </c>
      <c r="R668" s="432" t="str">
        <v>—</v>
      </c>
    </row>
    <row r="669" spans="2:18" x14ac:dyDescent="0.25">
      <c r="B669" s="440" t="str">
        <v>MT-06</v>
      </c>
      <c r="C669" s="438" t="str">
        <v>INACTIVA</v>
      </c>
      <c r="D669" s="442">
        <v>34</v>
      </c>
      <c r="E669" s="429" t="str">
        <v>20R2931</v>
      </c>
      <c r="F669" s="443" t="str">
        <v>ARBOL DE LEVAS</v>
      </c>
      <c r="G669" s="430">
        <v>1</v>
      </c>
      <c r="H669" s="424">
        <v>60982.78</v>
      </c>
      <c r="I669" s="425">
        <v>60982.78</v>
      </c>
      <c r="J669" s="432" t="str">
        <v>—</v>
      </c>
      <c r="K669" s="431">
        <v>2042.71</v>
      </c>
      <c r="L669" s="431">
        <v>2042.71</v>
      </c>
      <c r="M669" s="431">
        <v>34726.07</v>
      </c>
      <c r="N669" s="432" t="str">
        <v>3-4</v>
      </c>
      <c r="O669" s="431">
        <v>0</v>
      </c>
      <c r="P669" s="431" t="str">
        <v>—</v>
      </c>
      <c r="Q669" s="431" t="str">
        <v>—</v>
      </c>
      <c r="R669" s="432" t="str">
        <v>—</v>
      </c>
    </row>
    <row r="670" spans="2:18" x14ac:dyDescent="0.25">
      <c r="B670" s="440" t="str">
        <v>MT-06</v>
      </c>
      <c r="C670" s="438" t="str">
        <v>INACTIVA</v>
      </c>
      <c r="D670" s="442">
        <v>34</v>
      </c>
      <c r="E670" s="429">
        <v>2165582</v>
      </c>
      <c r="F670" s="443" t="str">
        <v>Cojinete de manguito con diámetro interior de 5,10 mm</v>
      </c>
      <c r="G670" s="430">
        <v>7</v>
      </c>
      <c r="H670" s="424">
        <v>1200.5</v>
      </c>
      <c r="I670" s="425">
        <v>8403.5</v>
      </c>
      <c r="J670" s="432" t="str">
        <v>—</v>
      </c>
      <c r="K670" s="431">
        <v>77.099999999999994</v>
      </c>
      <c r="L670" s="431">
        <v>539.69999999999993</v>
      </c>
      <c r="M670" s="431">
        <v>1310.6999999999998</v>
      </c>
      <c r="N670" s="432" t="str">
        <v>3-4</v>
      </c>
      <c r="O670" s="431">
        <v>12.34</v>
      </c>
      <c r="P670" s="431">
        <v>86.38</v>
      </c>
      <c r="Q670" s="431">
        <v>209.78</v>
      </c>
      <c r="R670" s="432" t="str">
        <v>—</v>
      </c>
    </row>
    <row r="671" spans="2:18" x14ac:dyDescent="0.25">
      <c r="B671" s="440" t="str">
        <v>MT-06</v>
      </c>
      <c r="C671" s="438" t="str">
        <v>INACTIVA</v>
      </c>
      <c r="D671" s="442">
        <v>34</v>
      </c>
      <c r="E671" s="429">
        <v>2634920</v>
      </c>
      <c r="F671" s="443" t="str">
        <v>Camisa de inyector con diámetro exterior de 38,52 mm</v>
      </c>
      <c r="G671" s="430">
        <v>2</v>
      </c>
      <c r="H671" s="424">
        <v>497.53</v>
      </c>
      <c r="I671" s="425">
        <v>995.06</v>
      </c>
      <c r="J671" s="432" t="str">
        <v>—</v>
      </c>
      <c r="K671" s="431">
        <v>33.31</v>
      </c>
      <c r="L671" s="431">
        <v>66.62</v>
      </c>
      <c r="M671" s="431">
        <v>566.27</v>
      </c>
      <c r="N671" s="432" t="str">
        <v>3-4</v>
      </c>
      <c r="O671" s="431">
        <v>5.14</v>
      </c>
      <c r="P671" s="431">
        <v>10.28</v>
      </c>
      <c r="Q671" s="431">
        <v>87.38</v>
      </c>
      <c r="R671" s="432" t="str">
        <v>—</v>
      </c>
    </row>
    <row r="672" spans="2:18" x14ac:dyDescent="0.25">
      <c r="B672" s="440" t="str">
        <v>MT-06</v>
      </c>
      <c r="C672" s="438" t="str">
        <v>INACTIVA</v>
      </c>
      <c r="D672" s="442">
        <v>34</v>
      </c>
      <c r="E672" s="429">
        <v>1662904</v>
      </c>
      <c r="F672" s="443" t="str">
        <v xml:space="preserve">
Junta tórica de TFEP 80A de 2,62 x 34,59 mm</v>
      </c>
      <c r="G672" s="430">
        <v>24</v>
      </c>
      <c r="H672" s="424">
        <v>279.64999999999998</v>
      </c>
      <c r="I672" s="425">
        <v>6711.5999999999995</v>
      </c>
      <c r="J672" s="432" t="str">
        <v>—</v>
      </c>
      <c r="K672" s="431">
        <v>19.8</v>
      </c>
      <c r="L672" s="431">
        <v>475.20000000000005</v>
      </c>
      <c r="M672" s="431">
        <v>336.6</v>
      </c>
      <c r="N672" s="432" t="str">
        <v>3-4</v>
      </c>
      <c r="O672" s="431">
        <v>0.7</v>
      </c>
      <c r="P672" s="431">
        <v>16.799999999999997</v>
      </c>
      <c r="Q672" s="431">
        <v>11.899999999999999</v>
      </c>
      <c r="R672" s="432" t="str">
        <v>—</v>
      </c>
    </row>
    <row r="673" spans="2:18" x14ac:dyDescent="0.25">
      <c r="B673" s="440" t="str">
        <v>MT-06</v>
      </c>
      <c r="C673" s="438" t="str">
        <v>INACTIVA</v>
      </c>
      <c r="D673" s="442">
        <v>34</v>
      </c>
      <c r="E673" s="429" t="str">
        <v>9X7430</v>
      </c>
      <c r="F673" s="443" t="str">
        <v xml:space="preserve">Junta tórica de FKM de 1,4 x 25,63 mm, dureza 90A
</v>
      </c>
      <c r="G673" s="430">
        <v>12</v>
      </c>
      <c r="H673" s="424">
        <v>104.48</v>
      </c>
      <c r="I673" s="425">
        <v>1253.76</v>
      </c>
      <c r="J673" s="432" t="str">
        <v>—</v>
      </c>
      <c r="K673" s="431">
        <v>7.4</v>
      </c>
      <c r="L673" s="431">
        <v>88.800000000000011</v>
      </c>
      <c r="M673" s="431">
        <v>125.80000000000001</v>
      </c>
      <c r="N673" s="432" t="str">
        <v>3-4</v>
      </c>
      <c r="O673" s="431">
        <v>0.87</v>
      </c>
      <c r="P673" s="431">
        <v>10.44</v>
      </c>
      <c r="Q673" s="431">
        <v>14.79</v>
      </c>
      <c r="R673" s="432" t="str">
        <v>—</v>
      </c>
    </row>
    <row r="674" spans="2:18" x14ac:dyDescent="0.25">
      <c r="B674" s="440" t="str">
        <v>MT-06</v>
      </c>
      <c r="C674" s="438" t="str">
        <v>INACTIVA</v>
      </c>
      <c r="D674" s="442">
        <v>34</v>
      </c>
      <c r="E674" s="429">
        <v>1178801</v>
      </c>
      <c r="F674" s="443" t="str">
        <v xml:space="preserve">Junta tórica de FKM de 2,62 x 126,67 mm, dureza 75A
</v>
      </c>
      <c r="G674" s="430">
        <v>4</v>
      </c>
      <c r="H674" s="424">
        <v>481.43</v>
      </c>
      <c r="I674" s="425">
        <v>1925.72</v>
      </c>
      <c r="J674" s="432" t="str">
        <v>—</v>
      </c>
      <c r="K674" s="431">
        <v>32.75</v>
      </c>
      <c r="L674" s="431">
        <v>131</v>
      </c>
      <c r="M674" s="431">
        <v>556.75</v>
      </c>
      <c r="N674" s="432" t="str">
        <v>3-4</v>
      </c>
      <c r="O674" s="431">
        <v>2.04</v>
      </c>
      <c r="P674" s="431">
        <v>8.16</v>
      </c>
      <c r="Q674" s="431">
        <v>34.68</v>
      </c>
      <c r="R674" s="432" t="str">
        <v>—</v>
      </c>
    </row>
    <row r="675" spans="2:18" x14ac:dyDescent="0.25">
      <c r="B675" s="440" t="str">
        <v>MT-06</v>
      </c>
      <c r="C675" s="438" t="str">
        <v>INACTIVA</v>
      </c>
      <c r="D675" s="442">
        <v>34</v>
      </c>
      <c r="E675" s="429" t="str">
        <v>5E8771</v>
      </c>
      <c r="F675" s="443" t="str">
        <v xml:space="preserve">
Junta tórica de 120,32 mm de diámetro interior</v>
      </c>
      <c r="G675" s="430">
        <v>4</v>
      </c>
      <c r="H675" s="424">
        <v>446.95</v>
      </c>
      <c r="I675" s="425">
        <v>1787.8</v>
      </c>
      <c r="J675" s="432" t="str">
        <v>—</v>
      </c>
      <c r="K675" s="431">
        <v>30.42</v>
      </c>
      <c r="L675" s="431">
        <v>121.68</v>
      </c>
      <c r="M675" s="431">
        <v>517.14</v>
      </c>
      <c r="N675" s="432" t="str">
        <v>3-4</v>
      </c>
      <c r="O675" s="431">
        <v>0</v>
      </c>
      <c r="P675" s="431" t="str">
        <v>—</v>
      </c>
      <c r="Q675" s="431" t="str">
        <v>—</v>
      </c>
      <c r="R675" s="432" t="str">
        <v>—</v>
      </c>
    </row>
    <row r="676" spans="2:18" x14ac:dyDescent="0.25">
      <c r="B676" s="440" t="str">
        <v>MT-06</v>
      </c>
      <c r="C676" s="438" t="str">
        <v>INACTIVA</v>
      </c>
      <c r="D676" s="442">
        <v>34</v>
      </c>
      <c r="E676" s="429">
        <v>315085</v>
      </c>
      <c r="F676" s="443" t="str">
        <v>Perno de seguridad con cabeza hexagonal de 1/4"-20 x 1"</v>
      </c>
      <c r="G676" s="430">
        <v>12</v>
      </c>
      <c r="H676" s="424">
        <v>106.75</v>
      </c>
      <c r="I676" s="425">
        <v>1281</v>
      </c>
      <c r="J676" s="432" t="str">
        <v>—</v>
      </c>
      <c r="K676" s="431">
        <v>7.56</v>
      </c>
      <c r="L676" s="431">
        <v>90.72</v>
      </c>
      <c r="M676" s="431">
        <v>128.51999999999998</v>
      </c>
      <c r="N676" s="432" t="str">
        <v>3-4</v>
      </c>
      <c r="O676" s="431">
        <v>0</v>
      </c>
      <c r="P676" s="431" t="str">
        <v>—</v>
      </c>
      <c r="Q676" s="431" t="str">
        <v>—</v>
      </c>
      <c r="R676" s="432" t="str">
        <v>—</v>
      </c>
    </row>
    <row r="677" spans="2:18" x14ac:dyDescent="0.25">
      <c r="B677" s="440" t="str">
        <v>MT-06</v>
      </c>
      <c r="C677" s="438" t="str">
        <v>INACTIVA</v>
      </c>
      <c r="D677" s="442">
        <v>34</v>
      </c>
      <c r="E677" s="429" t="str">
        <v>6V5553</v>
      </c>
      <c r="F677" s="443" t="str">
        <v>Junta tórica de 151,99 mm de diámetro interior</v>
      </c>
      <c r="G677" s="430">
        <v>2</v>
      </c>
      <c r="H677" s="424">
        <v>537.95000000000005</v>
      </c>
      <c r="I677" s="425">
        <v>1075.9000000000001</v>
      </c>
      <c r="J677" s="432" t="str">
        <v>—</v>
      </c>
      <c r="K677" s="431">
        <v>36.6</v>
      </c>
      <c r="L677" s="431">
        <v>73.2</v>
      </c>
      <c r="M677" s="431">
        <v>622.20000000000005</v>
      </c>
      <c r="N677" s="432" t="str">
        <v>3-4</v>
      </c>
      <c r="O677" s="431">
        <v>5.3</v>
      </c>
      <c r="P677" s="431">
        <v>10.6</v>
      </c>
      <c r="Q677" s="431">
        <v>90.1</v>
      </c>
      <c r="R677" s="432" t="str">
        <v>—</v>
      </c>
    </row>
    <row r="678" spans="2:18" x14ac:dyDescent="0.25">
      <c r="B678" s="440" t="str">
        <v>MT-06</v>
      </c>
      <c r="C678" s="438" t="str">
        <v>INACTIVA</v>
      </c>
      <c r="D678" s="442">
        <v>34</v>
      </c>
      <c r="E678" s="429">
        <v>2275538</v>
      </c>
      <c r="F678" s="443" t="str">
        <v>Junta tórica de FKM 75A de 3,53 x 202,79 mm</v>
      </c>
      <c r="G678" s="430">
        <v>1</v>
      </c>
      <c r="H678" s="424">
        <v>637.88</v>
      </c>
      <c r="I678" s="425">
        <v>637.88</v>
      </c>
      <c r="J678" s="432" t="str">
        <v>—</v>
      </c>
      <c r="K678" s="431">
        <v>43.39</v>
      </c>
      <c r="L678" s="431">
        <v>43.39</v>
      </c>
      <c r="M678" s="431">
        <v>737.63</v>
      </c>
      <c r="N678" s="432" t="str">
        <v>3-4</v>
      </c>
      <c r="O678" s="431">
        <v>4.46</v>
      </c>
      <c r="P678" s="431">
        <v>4.46</v>
      </c>
      <c r="Q678" s="431">
        <v>75.819999999999993</v>
      </c>
      <c r="R678" s="432" t="str">
        <v>—</v>
      </c>
    </row>
    <row r="679" spans="2:18" x14ac:dyDescent="0.25">
      <c r="B679" s="440" t="str">
        <v>MT-06</v>
      </c>
      <c r="C679" s="438" t="str">
        <v>INACTIVA</v>
      </c>
      <c r="D679" s="442">
        <v>34</v>
      </c>
      <c r="E679" s="429">
        <v>2386646</v>
      </c>
      <c r="F679" s="443" t="str">
        <v>Sello / Empaque</v>
      </c>
      <c r="G679" s="430">
        <v>1</v>
      </c>
      <c r="H679" s="424">
        <v>615.83000000000004</v>
      </c>
      <c r="I679" s="425">
        <v>615.83000000000004</v>
      </c>
      <c r="J679" s="432" t="str">
        <v>—</v>
      </c>
      <c r="K679" s="431">
        <v>41.89</v>
      </c>
      <c r="L679" s="431">
        <v>41.89</v>
      </c>
      <c r="M679" s="431">
        <v>712.13</v>
      </c>
      <c r="N679" s="432" t="str">
        <v>3-4</v>
      </c>
      <c r="O679" s="431">
        <v>3.74</v>
      </c>
      <c r="P679" s="431">
        <v>3.74</v>
      </c>
      <c r="Q679" s="431">
        <v>63.580000000000005</v>
      </c>
      <c r="R679" s="432" t="str">
        <v>—</v>
      </c>
    </row>
    <row r="680" spans="2:18" x14ac:dyDescent="0.25">
      <c r="B680" s="440" t="str">
        <v>MT-06</v>
      </c>
      <c r="C680" s="438" t="str">
        <v>INACTIVA</v>
      </c>
      <c r="D680" s="442">
        <v>34</v>
      </c>
      <c r="E680" s="429">
        <v>2391139</v>
      </c>
      <c r="F680" s="443" t="str">
        <v>SELLADO DE JUNTA TÓRICA</v>
      </c>
      <c r="G680" s="430">
        <v>2</v>
      </c>
      <c r="H680" s="424">
        <v>1076.43</v>
      </c>
      <c r="I680" s="425">
        <v>2152.86</v>
      </c>
      <c r="J680" s="432" t="str">
        <v>—</v>
      </c>
      <c r="K680" s="431">
        <v>70.17</v>
      </c>
      <c r="L680" s="431">
        <v>140.34</v>
      </c>
      <c r="M680" s="431">
        <v>1192.8900000000001</v>
      </c>
      <c r="N680" s="432" t="str">
        <v>3-4</v>
      </c>
      <c r="O680" s="431">
        <v>10.16</v>
      </c>
      <c r="P680" s="431">
        <v>20.32</v>
      </c>
      <c r="Q680" s="431">
        <v>172.72</v>
      </c>
      <c r="R680" s="432" t="str">
        <v>—</v>
      </c>
    </row>
    <row r="681" spans="2:18" x14ac:dyDescent="0.25">
      <c r="B681" s="440" t="str">
        <v>MT-06</v>
      </c>
      <c r="C681" s="438" t="str">
        <v>INACTIVA</v>
      </c>
      <c r="D681" s="442">
        <v>34</v>
      </c>
      <c r="E681" s="429">
        <v>4800204</v>
      </c>
      <c r="F681" s="443" t="str">
        <v xml:space="preserve">
Kit de instalación de culata para motor monocilíndrico</v>
      </c>
      <c r="G681" s="430">
        <v>1</v>
      </c>
      <c r="H681" s="424">
        <v>29220.799999999999</v>
      </c>
      <c r="I681" s="425">
        <v>29220.799999999999</v>
      </c>
      <c r="J681" s="432" t="str">
        <v>—</v>
      </c>
      <c r="K681" s="431">
        <v>1535.14</v>
      </c>
      <c r="L681" s="431">
        <v>1535.14</v>
      </c>
      <c r="M681" s="431">
        <v>26097.38</v>
      </c>
      <c r="N681" s="432" t="str">
        <v>5-6</v>
      </c>
      <c r="O681" s="431">
        <v>826.68</v>
      </c>
      <c r="P681" s="431">
        <v>826.68</v>
      </c>
      <c r="Q681" s="431">
        <v>14053.56</v>
      </c>
      <c r="R681" s="432" t="str">
        <v>—</v>
      </c>
    </row>
    <row r="682" spans="2:18" x14ac:dyDescent="0.25">
      <c r="B682" s="440" t="str">
        <v>MT-06</v>
      </c>
      <c r="C682" s="438" t="str">
        <v>INACTIVA</v>
      </c>
      <c r="D682" s="442">
        <v>34</v>
      </c>
      <c r="E682" s="429">
        <v>4799148</v>
      </c>
      <c r="F682" s="443" t="str">
        <v>Kit de juntas para el enfriador de aceite y las líneas</v>
      </c>
      <c r="G682" s="430">
        <v>1</v>
      </c>
      <c r="H682" s="424">
        <v>7155.75</v>
      </c>
      <c r="I682" s="425">
        <v>7155.75</v>
      </c>
      <c r="J682" s="432" t="str">
        <v>—</v>
      </c>
      <c r="K682" s="431">
        <v>384.8</v>
      </c>
      <c r="L682" s="431">
        <v>384.8</v>
      </c>
      <c r="M682" s="431">
        <v>6541.6</v>
      </c>
      <c r="N682" s="432" t="str">
        <v>3-4</v>
      </c>
      <c r="O682" s="431">
        <v>47.17</v>
      </c>
      <c r="P682" s="431">
        <v>47.17</v>
      </c>
      <c r="Q682" s="431">
        <v>801.89</v>
      </c>
      <c r="R682" s="432" t="str">
        <v>—</v>
      </c>
    </row>
    <row r="683" spans="2:18" x14ac:dyDescent="0.25">
      <c r="B683" s="440" t="str">
        <v>MT-06</v>
      </c>
      <c r="C683" s="438" t="str">
        <v>INACTIVA</v>
      </c>
      <c r="D683" s="442">
        <v>34</v>
      </c>
      <c r="E683" s="429">
        <v>1609874</v>
      </c>
      <c r="F683" s="443" t="str">
        <v>Kit de juntas para camisa de cilindro individual</v>
      </c>
      <c r="G683" s="430">
        <v>1</v>
      </c>
      <c r="H683" s="424">
        <v>1091.6500000000001</v>
      </c>
      <c r="I683" s="425">
        <v>1091.6500000000001</v>
      </c>
      <c r="J683" s="432" t="str">
        <v>—</v>
      </c>
      <c r="K683" s="431">
        <v>64.3</v>
      </c>
      <c r="L683" s="431">
        <v>64.3</v>
      </c>
      <c r="M683" s="431">
        <v>1093.0999999999999</v>
      </c>
      <c r="N683" s="432" t="str">
        <v>3-4</v>
      </c>
      <c r="O683" s="431">
        <v>5.81</v>
      </c>
      <c r="P683" s="431">
        <v>5.81</v>
      </c>
      <c r="Q683" s="431">
        <v>98.77</v>
      </c>
      <c r="R683" s="432" t="str">
        <v>—</v>
      </c>
    </row>
    <row r="684" spans="2:18" x14ac:dyDescent="0.25">
      <c r="B684" s="440" t="str">
        <v>MT-06</v>
      </c>
      <c r="C684" s="438" t="str">
        <v>INACTIVA</v>
      </c>
      <c r="D684" s="442">
        <v>34</v>
      </c>
      <c r="E684" s="429">
        <v>1656170</v>
      </c>
      <c r="F684" s="443" t="str">
        <v>Kit de juntas para camisa de cilindro individual</v>
      </c>
      <c r="G684" s="430">
        <v>3</v>
      </c>
      <c r="H684" s="424">
        <v>176.23</v>
      </c>
      <c r="I684" s="425">
        <v>528.68999999999994</v>
      </c>
      <c r="J684" s="432" t="str">
        <v>—</v>
      </c>
      <c r="K684" s="431">
        <v>12.11</v>
      </c>
      <c r="L684" s="431">
        <v>36.33</v>
      </c>
      <c r="M684" s="431">
        <v>205.87</v>
      </c>
      <c r="N684" s="432" t="str">
        <v>3-4</v>
      </c>
      <c r="O684" s="431">
        <v>1.61</v>
      </c>
      <c r="P684" s="431">
        <v>4.83</v>
      </c>
      <c r="Q684" s="431">
        <v>27.37</v>
      </c>
      <c r="R684" s="432" t="str">
        <v>—</v>
      </c>
    </row>
    <row r="685" spans="2:18" x14ac:dyDescent="0.25">
      <c r="B685" s="440" t="str">
        <v>MT-06</v>
      </c>
      <c r="C685" s="438" t="str">
        <v>INACTIVA</v>
      </c>
      <c r="D685" s="442">
        <v>34</v>
      </c>
      <c r="E685" s="429">
        <v>2481394</v>
      </c>
      <c r="F685" s="443" t="str">
        <v>JUNTA DE KIT SING C</v>
      </c>
      <c r="G685" s="430">
        <v>12</v>
      </c>
      <c r="H685" s="424">
        <v>474.95</v>
      </c>
      <c r="I685" s="425">
        <v>5699.4</v>
      </c>
      <c r="J685" s="432" t="str">
        <v>—</v>
      </c>
      <c r="K685" s="431">
        <v>30.41</v>
      </c>
      <c r="L685" s="431">
        <v>364.92</v>
      </c>
      <c r="M685" s="431">
        <v>516.97</v>
      </c>
      <c r="N685" s="432" t="str">
        <v>3-4</v>
      </c>
      <c r="O685" s="431">
        <v>2.15</v>
      </c>
      <c r="P685" s="431">
        <v>25.799999999999997</v>
      </c>
      <c r="Q685" s="431">
        <v>36.549999999999997</v>
      </c>
      <c r="R685" s="432" t="str">
        <v>—</v>
      </c>
    </row>
    <row r="686" spans="2:18" x14ac:dyDescent="0.25">
      <c r="B686" s="440" t="str">
        <v>MT-06</v>
      </c>
      <c r="C686" s="438" t="str">
        <v>INACTIVA</v>
      </c>
      <c r="D686" s="442">
        <v>34</v>
      </c>
      <c r="E686" s="429">
        <v>5251864</v>
      </c>
      <c r="F686" s="443" t="str">
        <v>Kit de juntas para bloque y cárter de aceite – Estructura inferior central</v>
      </c>
      <c r="G686" s="430">
        <v>1</v>
      </c>
      <c r="H686" s="424">
        <v>5964.88</v>
      </c>
      <c r="I686" s="425">
        <v>5964.88</v>
      </c>
      <c r="J686" s="432" t="str">
        <v>—</v>
      </c>
      <c r="K686" s="431">
        <v>320.76</v>
      </c>
      <c r="L686" s="431">
        <v>320.76</v>
      </c>
      <c r="M686" s="431">
        <v>5452.92</v>
      </c>
      <c r="N686" s="432" t="str">
        <v>3-4</v>
      </c>
      <c r="O686" s="431">
        <v>45.68</v>
      </c>
      <c r="P686" s="431">
        <v>45.68</v>
      </c>
      <c r="Q686" s="431">
        <v>776.56</v>
      </c>
      <c r="R686" s="432" t="str">
        <v>—</v>
      </c>
    </row>
    <row r="687" spans="2:18" x14ac:dyDescent="0.25">
      <c r="B687" s="440" t="str">
        <v>MT-06</v>
      </c>
      <c r="C687" s="438" t="str">
        <v>INACTIVA</v>
      </c>
      <c r="D687" s="442">
        <v>34</v>
      </c>
      <c r="E687" s="429">
        <v>2323226</v>
      </c>
      <c r="F687" s="443" t="str">
        <v>Cojinete de biela de 104,90 mm de diámetro exterior</v>
      </c>
      <c r="G687" s="430">
        <v>12</v>
      </c>
      <c r="H687" s="424">
        <v>769.3</v>
      </c>
      <c r="I687" s="425">
        <v>9231.5999999999985</v>
      </c>
      <c r="J687" s="432" t="str">
        <v>—</v>
      </c>
      <c r="K687" s="431">
        <v>51.54</v>
      </c>
      <c r="L687" s="431">
        <v>618.48</v>
      </c>
      <c r="M687" s="431">
        <v>876.18</v>
      </c>
      <c r="N687" s="432" t="str">
        <v>3-4</v>
      </c>
      <c r="O687" s="431">
        <v>14.88</v>
      </c>
      <c r="P687" s="431">
        <v>178.56</v>
      </c>
      <c r="Q687" s="431">
        <v>252.96</v>
      </c>
      <c r="R687" s="432" t="str">
        <v>—</v>
      </c>
    </row>
    <row r="688" spans="2:18" x14ac:dyDescent="0.25">
      <c r="B688" s="440" t="str">
        <v>MT-06</v>
      </c>
      <c r="C688" s="438" t="str">
        <v>INACTIVA</v>
      </c>
      <c r="D688" s="442">
        <v>34</v>
      </c>
      <c r="E688" s="429">
        <v>3178766</v>
      </c>
      <c r="F688" s="443" t="str">
        <v>Cojinete de bancada de cobre-plomo con respaldo de acero y diámetro exterior de 131,29 mm</v>
      </c>
      <c r="G688" s="430">
        <v>7</v>
      </c>
      <c r="H688" s="424">
        <v>1349.43</v>
      </c>
      <c r="I688" s="425">
        <v>9446.01</v>
      </c>
      <c r="J688" s="432" t="str">
        <v>—</v>
      </c>
      <c r="K688" s="431">
        <v>2.86</v>
      </c>
      <c r="L688" s="431">
        <v>20.02</v>
      </c>
      <c r="M688" s="431">
        <v>48.62</v>
      </c>
      <c r="N688" s="432" t="str">
        <v>3-4</v>
      </c>
      <c r="O688" s="431">
        <v>12.22</v>
      </c>
      <c r="P688" s="431">
        <v>85.54</v>
      </c>
      <c r="Q688" s="431">
        <v>207.74</v>
      </c>
      <c r="R688" s="432" t="str">
        <v>—</v>
      </c>
    </row>
    <row r="689" spans="2:18" x14ac:dyDescent="0.25">
      <c r="B689" s="440" t="str">
        <v>MT-06</v>
      </c>
      <c r="C689" s="438" t="str">
        <v>INACTIVA</v>
      </c>
      <c r="D689" s="442">
        <v>34</v>
      </c>
      <c r="E689" s="429" t="str">
        <v>10R5457</v>
      </c>
      <c r="F689" s="443" t="str">
        <v>biela reacondicionada</v>
      </c>
      <c r="G689" s="430">
        <v>1</v>
      </c>
      <c r="H689" s="424">
        <v>11759.48</v>
      </c>
      <c r="I689" s="425">
        <v>11759.48</v>
      </c>
      <c r="J689" s="432" t="str">
        <v>—</v>
      </c>
      <c r="K689" s="431">
        <v>536.34</v>
      </c>
      <c r="L689" s="431">
        <v>536.34</v>
      </c>
      <c r="M689" s="431">
        <v>9117.7800000000007</v>
      </c>
      <c r="N689" s="432" t="str">
        <v>3-4</v>
      </c>
      <c r="O689" s="431">
        <v>0</v>
      </c>
      <c r="P689" s="431" t="str">
        <v>—</v>
      </c>
      <c r="Q689" s="431" t="str">
        <v>—</v>
      </c>
      <c r="R689" s="432" t="str">
        <v>—</v>
      </c>
    </row>
    <row r="690" spans="2:18" x14ac:dyDescent="0.25">
      <c r="B690" s="440" t="str">
        <v>MT-06</v>
      </c>
      <c r="C690" s="438" t="str">
        <v>INACTIVA</v>
      </c>
      <c r="D690" s="442">
        <v>34</v>
      </c>
      <c r="E690" s="429">
        <v>5245565</v>
      </c>
      <c r="F690" s="443" t="str">
        <v xml:space="preserve">
Bulón de pistón de 59,975 mm de diámetro</v>
      </c>
      <c r="G690" s="430">
        <v>1</v>
      </c>
      <c r="H690" s="424">
        <v>1590.23</v>
      </c>
      <c r="I690" s="425">
        <v>1590.23</v>
      </c>
      <c r="J690" s="432" t="str">
        <v>—</v>
      </c>
      <c r="K690" s="431">
        <v>98.64</v>
      </c>
      <c r="L690" s="431">
        <v>98.64</v>
      </c>
      <c r="M690" s="431">
        <v>1676.88</v>
      </c>
      <c r="N690" s="432" t="str">
        <v>3-4</v>
      </c>
      <c r="O690" s="431">
        <v>23.38</v>
      </c>
      <c r="P690" s="431">
        <v>23.38</v>
      </c>
      <c r="Q690" s="431">
        <v>397.46</v>
      </c>
      <c r="R690" s="432" t="str">
        <v>—</v>
      </c>
    </row>
    <row r="691" spans="2:18" x14ac:dyDescent="0.25">
      <c r="B691" s="440" t="str">
        <v>MT-06</v>
      </c>
      <c r="C691" s="438" t="str">
        <v>INACTIVA</v>
      </c>
      <c r="D691" s="442">
        <v>34</v>
      </c>
      <c r="E691" s="429">
        <v>2502940</v>
      </c>
      <c r="F691" s="443" t="str">
        <v>Retén de pasador de 2 mm de grosor</v>
      </c>
      <c r="G691" s="430">
        <v>2</v>
      </c>
      <c r="H691" s="424">
        <v>124.6</v>
      </c>
      <c r="I691" s="425">
        <v>249.2</v>
      </c>
      <c r="J691" s="432" t="str">
        <v>—</v>
      </c>
      <c r="K691" s="431">
        <v>8.5500000000000007</v>
      </c>
      <c r="L691" s="431">
        <v>17.100000000000001</v>
      </c>
      <c r="M691" s="431">
        <v>145.35000000000002</v>
      </c>
      <c r="N691" s="432" t="str">
        <v>3-4</v>
      </c>
      <c r="O691" s="431">
        <v>0.61</v>
      </c>
      <c r="P691" s="431">
        <v>1.22</v>
      </c>
      <c r="Q691" s="431">
        <v>10.37</v>
      </c>
      <c r="R691" s="432" t="str">
        <v>—</v>
      </c>
    </row>
    <row r="692" spans="2:18" x14ac:dyDescent="0.25">
      <c r="B692" s="440" t="str">
        <v>MT-06</v>
      </c>
      <c r="C692" s="438" t="str">
        <v>INACTIVA</v>
      </c>
      <c r="D692" s="442">
        <v>34</v>
      </c>
      <c r="E692" s="429">
        <v>3767362</v>
      </c>
      <c r="F692" s="443" t="str">
        <v xml:space="preserve">Pistón de acero con diámetro máximo de falda de 137,06 mm
</v>
      </c>
      <c r="G692" s="430">
        <v>1</v>
      </c>
      <c r="H692" s="424">
        <v>6910.93</v>
      </c>
      <c r="I692" s="425">
        <v>6910.93</v>
      </c>
      <c r="J692" s="432" t="str">
        <v>—</v>
      </c>
      <c r="K692" s="431">
        <v>409.11</v>
      </c>
      <c r="L692" s="431">
        <v>409.11</v>
      </c>
      <c r="M692" s="431">
        <v>6954.87</v>
      </c>
      <c r="N692" s="432" t="str">
        <v>3-4</v>
      </c>
      <c r="O692" s="431">
        <v>211.75</v>
      </c>
      <c r="P692" s="431">
        <v>211.75</v>
      </c>
      <c r="Q692" s="431">
        <v>3599.75</v>
      </c>
      <c r="R692" s="432" t="str">
        <v>—</v>
      </c>
    </row>
    <row r="693" spans="2:18" x14ac:dyDescent="0.25">
      <c r="B693" s="440" t="str">
        <v>MT-06</v>
      </c>
      <c r="C693" s="438" t="str">
        <v>INACTIVA</v>
      </c>
      <c r="D693" s="442">
        <v>34</v>
      </c>
      <c r="E693" s="429">
        <v>2380294</v>
      </c>
      <c r="F693" s="443" t="str">
        <v>Anillo de aceite de pistón con diámetro de calibración de 137 mm</v>
      </c>
      <c r="G693" s="430">
        <v>1</v>
      </c>
      <c r="H693" s="424">
        <v>835.45</v>
      </c>
      <c r="I693" s="425">
        <v>835.45</v>
      </c>
      <c r="J693" s="432" t="str">
        <v>—</v>
      </c>
      <c r="K693" s="431">
        <v>56.53</v>
      </c>
      <c r="L693" s="431">
        <v>56.53</v>
      </c>
      <c r="M693" s="431">
        <v>961.01</v>
      </c>
      <c r="N693" s="432" t="str">
        <v>3-4</v>
      </c>
      <c r="O693" s="431">
        <v>13.43</v>
      </c>
      <c r="P693" s="431">
        <v>13.43</v>
      </c>
      <c r="Q693" s="431">
        <v>228.31</v>
      </c>
      <c r="R693" s="432" t="str">
        <v>—</v>
      </c>
    </row>
    <row r="694" spans="2:18" x14ac:dyDescent="0.25">
      <c r="B694" s="440" t="str">
        <v>MT-06</v>
      </c>
      <c r="C694" s="438" t="str">
        <v>INACTIVA</v>
      </c>
      <c r="D694" s="442">
        <v>34</v>
      </c>
      <c r="E694" s="429">
        <v>2476130</v>
      </c>
      <c r="F694" s="443" t="str">
        <v>Anillo de pistón superior de 137,16 mm de diámetro exterior</v>
      </c>
      <c r="G694" s="430">
        <v>1</v>
      </c>
      <c r="H694" s="424">
        <v>919.8</v>
      </c>
      <c r="I694" s="425">
        <v>919.8</v>
      </c>
      <c r="J694" s="432" t="str">
        <v>—</v>
      </c>
      <c r="K694" s="431">
        <v>59.64</v>
      </c>
      <c r="L694" s="431">
        <v>59.64</v>
      </c>
      <c r="M694" s="431">
        <v>1013.88</v>
      </c>
      <c r="N694" s="432" t="str">
        <v>3-4</v>
      </c>
      <c r="O694" s="431">
        <v>11.86</v>
      </c>
      <c r="P694" s="431">
        <v>11.86</v>
      </c>
      <c r="Q694" s="431">
        <v>201.62</v>
      </c>
      <c r="R694" s="432" t="str">
        <v>—</v>
      </c>
    </row>
    <row r="695" spans="2:18" x14ac:dyDescent="0.25">
      <c r="B695" s="440" t="str">
        <v>MT-06</v>
      </c>
      <c r="C695" s="438" t="str">
        <v>INACTIVA</v>
      </c>
      <c r="D695" s="442">
        <v>34</v>
      </c>
      <c r="E695" s="429">
        <v>1644187</v>
      </c>
      <c r="F695" s="443" t="str">
        <v>Anillo intermedio de pistón para diámetro de calibre de 137 mm</v>
      </c>
      <c r="G695" s="430">
        <v>1</v>
      </c>
      <c r="H695" s="424">
        <v>835.45</v>
      </c>
      <c r="I695" s="425">
        <v>835.45</v>
      </c>
      <c r="J695" s="432" t="str">
        <v>—</v>
      </c>
      <c r="K695" s="431">
        <v>56.53</v>
      </c>
      <c r="L695" s="431">
        <v>56.53</v>
      </c>
      <c r="M695" s="431">
        <v>961.01</v>
      </c>
      <c r="N695" s="432" t="str">
        <v>3-4</v>
      </c>
      <c r="O695" s="431">
        <v>6.66</v>
      </c>
      <c r="P695" s="431">
        <v>6.66</v>
      </c>
      <c r="Q695" s="431">
        <v>113.22</v>
      </c>
      <c r="R695" s="432" t="str">
        <v>—</v>
      </c>
    </row>
    <row r="696" spans="2:18" x14ac:dyDescent="0.25">
      <c r="B696" s="440" t="str">
        <v>MT-06</v>
      </c>
      <c r="C696" s="438" t="str">
        <v>INACTIVA</v>
      </c>
      <c r="D696" s="442">
        <v>34</v>
      </c>
      <c r="E696" s="429">
        <v>5863377</v>
      </c>
      <c r="F696" s="443" t="str">
        <v>Camisa de bloque de cilindros con diámetro interior de 137,185 mm</v>
      </c>
      <c r="G696" s="430">
        <v>1</v>
      </c>
      <c r="H696" s="424">
        <v>4267.7299999999996</v>
      </c>
      <c r="I696" s="425">
        <v>4267.7299999999996</v>
      </c>
      <c r="J696" s="432" t="str">
        <v>—</v>
      </c>
      <c r="K696" s="431">
        <v>252.64</v>
      </c>
      <c r="L696" s="431">
        <v>252.64</v>
      </c>
      <c r="M696" s="431">
        <v>4294.88</v>
      </c>
      <c r="N696" s="432" t="str">
        <v>3-4</v>
      </c>
      <c r="O696" s="431">
        <v>73.81</v>
      </c>
      <c r="P696" s="431">
        <v>73.81</v>
      </c>
      <c r="Q696" s="431">
        <v>1254.77</v>
      </c>
      <c r="R696" s="432" t="str">
        <v>—</v>
      </c>
    </row>
    <row r="697" spans="2:18" x14ac:dyDescent="0.25">
      <c r="B697" s="440" t="str">
        <v>MT-06</v>
      </c>
      <c r="C697" s="438" t="str">
        <v>INACTIVA</v>
      </c>
      <c r="D697" s="442">
        <v>34</v>
      </c>
      <c r="E697" s="429" t="str">
        <v>9L5854</v>
      </c>
      <c r="F697" s="443" t="str">
        <v>Banda de relleno de 130,175 mm de diámetro interior</v>
      </c>
      <c r="G697" s="430">
        <v>1</v>
      </c>
      <c r="H697" s="424">
        <v>114.8</v>
      </c>
      <c r="I697" s="425">
        <v>114.8</v>
      </c>
      <c r="J697" s="432" t="str">
        <v>—</v>
      </c>
      <c r="K697" s="431">
        <v>8.14</v>
      </c>
      <c r="L697" s="431">
        <v>8.14</v>
      </c>
      <c r="M697" s="431">
        <v>138.38</v>
      </c>
      <c r="N697" s="432" t="str">
        <v>3-4</v>
      </c>
      <c r="O697" s="431">
        <v>0.34</v>
      </c>
      <c r="P697" s="431">
        <v>0.34</v>
      </c>
      <c r="Q697" s="431">
        <v>5.78</v>
      </c>
      <c r="R697" s="432" t="str">
        <v>—</v>
      </c>
    </row>
    <row r="698" spans="2:18" x14ac:dyDescent="0.25">
      <c r="B698" s="440" t="str">
        <v>MT-06</v>
      </c>
      <c r="C698" s="438" t="str">
        <v>INACTIVA</v>
      </c>
      <c r="D698" s="442">
        <v>34</v>
      </c>
      <c r="E698" s="429">
        <v>1102220</v>
      </c>
      <c r="F698" s="443" t="str">
        <v xml:space="preserve">
Junta tórica de 141 mm de diámetro interior</v>
      </c>
      <c r="G698" s="430">
        <v>1</v>
      </c>
      <c r="H698" s="424">
        <v>270.02999999999997</v>
      </c>
      <c r="I698" s="425">
        <v>270.02999999999997</v>
      </c>
      <c r="J698" s="432" t="str">
        <v>—</v>
      </c>
      <c r="K698" s="431">
        <v>19.13</v>
      </c>
      <c r="L698" s="431">
        <v>19.13</v>
      </c>
      <c r="M698" s="431">
        <v>325.20999999999998</v>
      </c>
      <c r="N698" s="432" t="str">
        <v>3-4</v>
      </c>
      <c r="O698" s="431">
        <v>3.84</v>
      </c>
      <c r="P698" s="431">
        <v>3.84</v>
      </c>
      <c r="Q698" s="431">
        <v>65.28</v>
      </c>
      <c r="R698" s="432" t="str">
        <v>—</v>
      </c>
    </row>
    <row r="699" spans="2:18" x14ac:dyDescent="0.25">
      <c r="B699" s="440" t="str">
        <v>MT-06</v>
      </c>
      <c r="C699" s="438" t="str">
        <v>INACTIVA</v>
      </c>
      <c r="D699" s="442">
        <v>34</v>
      </c>
      <c r="E699" s="429">
        <v>1426217</v>
      </c>
      <c r="F699" s="443" t="str">
        <v>Junta tórica de 140,2 mm de diámetro interior</v>
      </c>
      <c r="G699" s="430">
        <v>1</v>
      </c>
      <c r="H699" s="424">
        <v>593.08000000000004</v>
      </c>
      <c r="I699" s="425">
        <v>593.08000000000004</v>
      </c>
      <c r="J699" s="432" t="str">
        <v>—</v>
      </c>
      <c r="K699" s="431">
        <v>40.33</v>
      </c>
      <c r="L699" s="431">
        <v>40.33</v>
      </c>
      <c r="M699" s="431">
        <v>685.61</v>
      </c>
      <c r="N699" s="432" t="str">
        <v>3-4</v>
      </c>
      <c r="O699" s="431">
        <v>2.0099999999999998</v>
      </c>
      <c r="P699" s="431">
        <v>2.0099999999999998</v>
      </c>
      <c r="Q699" s="431">
        <v>34.169999999999995</v>
      </c>
      <c r="R699" s="432" t="str">
        <v>—</v>
      </c>
    </row>
    <row r="700" spans="2:18" x14ac:dyDescent="0.25">
      <c r="B700" s="440" t="str">
        <v>MT-06</v>
      </c>
      <c r="C700" s="438" t="str">
        <v>INACTIVA</v>
      </c>
      <c r="D700" s="442">
        <v>34</v>
      </c>
      <c r="E700" s="429">
        <v>1427072</v>
      </c>
      <c r="F700" s="443" t="str">
        <v>Junta tórica de 140,2 mm de diámetro interior</v>
      </c>
      <c r="G700" s="430">
        <v>1</v>
      </c>
      <c r="H700" s="424">
        <v>151.19999999999999</v>
      </c>
      <c r="I700" s="425">
        <v>151.19999999999999</v>
      </c>
      <c r="J700" s="432" t="str">
        <v>—</v>
      </c>
      <c r="K700" s="431">
        <v>10.7</v>
      </c>
      <c r="L700" s="431">
        <v>10.7</v>
      </c>
      <c r="M700" s="431">
        <v>181.89999999999998</v>
      </c>
      <c r="N700" s="432" t="str">
        <v>3-4</v>
      </c>
      <c r="O700" s="431">
        <v>1.01</v>
      </c>
      <c r="P700" s="431">
        <v>1.01</v>
      </c>
      <c r="Q700" s="431">
        <v>17.170000000000002</v>
      </c>
      <c r="R700" s="432" t="str">
        <v>—</v>
      </c>
    </row>
    <row r="701" spans="2:18" x14ac:dyDescent="0.25">
      <c r="B701" s="440" t="str">
        <v>MT-06</v>
      </c>
      <c r="C701" s="438" t="str">
        <v>INACTIVA</v>
      </c>
      <c r="D701" s="442">
        <v>34</v>
      </c>
      <c r="E701" s="429" t="str">
        <v>30R0004</v>
      </c>
      <c r="F701" s="443" t="str">
        <v>Inyector de combustible remanufacturado</v>
      </c>
      <c r="G701" s="430">
        <v>1</v>
      </c>
      <c r="H701" s="424">
        <v>21315.18</v>
      </c>
      <c r="I701" s="425">
        <v>21315.18</v>
      </c>
      <c r="J701" s="432" t="str">
        <v>—</v>
      </c>
      <c r="K701" s="431">
        <v>937.09</v>
      </c>
      <c r="L701" s="431">
        <v>937.09</v>
      </c>
      <c r="M701" s="431">
        <v>15930.53</v>
      </c>
      <c r="N701" s="432" t="str">
        <v>3-4</v>
      </c>
      <c r="O701" s="431">
        <v>0</v>
      </c>
      <c r="P701" s="431" t="str">
        <v>—</v>
      </c>
      <c r="Q701" s="431" t="str">
        <v>—</v>
      </c>
      <c r="R701" s="432" t="str">
        <v>—</v>
      </c>
    </row>
    <row r="702" spans="2:18" x14ac:dyDescent="0.25">
      <c r="B702" s="440" t="str">
        <v>MT-06</v>
      </c>
      <c r="C702" s="438" t="str">
        <v>INACTIVA</v>
      </c>
      <c r="D702" s="442">
        <v>34</v>
      </c>
      <c r="E702" s="429" t="str">
        <v>8S9191</v>
      </c>
      <c r="F702" s="443" t="str">
        <v>Perno de cabeza hexagonal de 3/8"-16 x 4"</v>
      </c>
      <c r="G702" s="430">
        <v>12</v>
      </c>
      <c r="H702" s="424">
        <v>33.08</v>
      </c>
      <c r="I702" s="425">
        <v>396.96</v>
      </c>
      <c r="J702" s="432" t="str">
        <v>—</v>
      </c>
      <c r="K702" s="431">
        <v>2.35</v>
      </c>
      <c r="L702" s="431">
        <v>28.200000000000003</v>
      </c>
      <c r="M702" s="431">
        <v>39.950000000000003</v>
      </c>
      <c r="N702" s="432" t="str">
        <v>3-4</v>
      </c>
      <c r="O702" s="431">
        <v>0.35</v>
      </c>
      <c r="P702" s="431">
        <v>4.1999999999999993</v>
      </c>
      <c r="Q702" s="431">
        <v>5.9499999999999993</v>
      </c>
      <c r="R702" s="432" t="str">
        <v>—</v>
      </c>
    </row>
    <row r="703" spans="2:18" x14ac:dyDescent="0.25">
      <c r="B703" s="440" t="str">
        <v>MT-06</v>
      </c>
      <c r="C703" s="438" t="str">
        <v>INACTIVA</v>
      </c>
      <c r="D703" s="442">
        <v>34</v>
      </c>
      <c r="E703" s="429" t="str">
        <v>20R3319</v>
      </c>
      <c r="F703" s="443" t="str">
        <v>Balancín de inyector unitario remanufacturado</v>
      </c>
      <c r="G703" s="430">
        <v>12</v>
      </c>
      <c r="H703" s="424">
        <v>6315.05</v>
      </c>
      <c r="I703" s="425">
        <v>75780.600000000006</v>
      </c>
      <c r="J703" s="432" t="str">
        <v>—</v>
      </c>
      <c r="K703" s="431">
        <v>259.12</v>
      </c>
      <c r="L703" s="431">
        <v>3109.44</v>
      </c>
      <c r="M703" s="431">
        <v>4405.04</v>
      </c>
      <c r="N703" s="432" t="str">
        <v>3-4</v>
      </c>
      <c r="O703" s="431">
        <v>0</v>
      </c>
      <c r="P703" s="431" t="str">
        <v>—</v>
      </c>
      <c r="Q703" s="431" t="str">
        <v>—</v>
      </c>
      <c r="R703" s="432" t="str">
        <v>—</v>
      </c>
    </row>
    <row r="704" spans="2:18" x14ac:dyDescent="0.25">
      <c r="B704" s="440" t="str">
        <v>MT-06</v>
      </c>
      <c r="C704" s="438" t="str">
        <v>INACTIVA</v>
      </c>
      <c r="D704" s="442">
        <v>34</v>
      </c>
      <c r="E704" s="429" t="str">
        <v>20R3317</v>
      </c>
      <c r="F704" s="443" t="str">
        <v>Balancín de válvula remanufacturado</v>
      </c>
      <c r="G704" s="430">
        <v>12</v>
      </c>
      <c r="H704" s="424">
        <v>4202.45</v>
      </c>
      <c r="I704" s="425">
        <v>50429.399999999994</v>
      </c>
      <c r="J704" s="432" t="str">
        <v>—</v>
      </c>
      <c r="K704" s="431">
        <v>172.44</v>
      </c>
      <c r="L704" s="431">
        <v>2069.2799999999997</v>
      </c>
      <c r="M704" s="431">
        <v>2931.48</v>
      </c>
      <c r="N704" s="432" t="str">
        <v>3-4</v>
      </c>
      <c r="O704" s="431">
        <v>0</v>
      </c>
      <c r="P704" s="431" t="str">
        <v>—</v>
      </c>
      <c r="Q704" s="431" t="str">
        <v>—</v>
      </c>
      <c r="R704" s="432" t="str">
        <v>—</v>
      </c>
    </row>
    <row r="705" spans="2:18" x14ac:dyDescent="0.25">
      <c r="B705" s="440" t="str">
        <v>MT-06</v>
      </c>
      <c r="C705" s="438" t="str">
        <v>INACTIVA</v>
      </c>
      <c r="D705" s="442">
        <v>34</v>
      </c>
      <c r="E705" s="429" t="str">
        <v>20R3318</v>
      </c>
      <c r="F705" s="443" t="str">
        <v xml:space="preserve">
Balancín de válvula remanufacturado</v>
      </c>
      <c r="G705" s="430">
        <v>12</v>
      </c>
      <c r="H705" s="424">
        <v>4103.05</v>
      </c>
      <c r="I705" s="425">
        <v>49236.600000000006</v>
      </c>
      <c r="J705" s="432" t="str">
        <v>—</v>
      </c>
      <c r="K705" s="431">
        <v>168.36</v>
      </c>
      <c r="L705" s="431">
        <v>2020.3200000000002</v>
      </c>
      <c r="M705" s="431">
        <v>2862.1200000000003</v>
      </c>
      <c r="N705" s="432" t="str">
        <v>3-4</v>
      </c>
      <c r="O705" s="431">
        <v>0</v>
      </c>
      <c r="P705" s="431" t="str">
        <v>—</v>
      </c>
      <c r="Q705" s="431" t="str">
        <v>—</v>
      </c>
      <c r="R705" s="432" t="str">
        <v>—</v>
      </c>
    </row>
    <row r="706" spans="2:18" x14ac:dyDescent="0.25">
      <c r="B706" s="440" t="str">
        <v>MT-13</v>
      </c>
      <c r="C706" s="438" t="str">
        <v>ACTIVA</v>
      </c>
      <c r="D706" s="442">
        <v>129</v>
      </c>
      <c r="E706" s="429" t="str">
        <v>5P8221</v>
      </c>
      <c r="F706" s="443" t="str">
        <v>TUERCA</v>
      </c>
      <c r="G706" s="430">
        <v>344</v>
      </c>
      <c r="H706" s="424">
        <v>70.69</v>
      </c>
      <c r="I706" s="425">
        <v>24317.360000000001</v>
      </c>
      <c r="J706" s="432" t="str">
        <v>3-5</v>
      </c>
      <c r="K706" s="431">
        <v>3.73</v>
      </c>
      <c r="L706" s="431">
        <v>1283.1199999999999</v>
      </c>
      <c r="M706" s="431">
        <v>63.41</v>
      </c>
      <c r="N706" s="432" t="str">
        <v>1-2</v>
      </c>
      <c r="O706" s="431">
        <v>2.54</v>
      </c>
      <c r="P706" s="431">
        <v>873.76</v>
      </c>
      <c r="Q706" s="431">
        <v>43.18</v>
      </c>
      <c r="R706" s="432" t="str">
        <v>3-5</v>
      </c>
    </row>
    <row r="707" spans="2:18" x14ac:dyDescent="0.25">
      <c r="B707" s="440" t="str">
        <v>MT-13</v>
      </c>
      <c r="C707" s="438" t="str">
        <v>ACTIVA</v>
      </c>
      <c r="D707" s="442">
        <v>129</v>
      </c>
      <c r="E707" s="429" t="str">
        <v>7T1000</v>
      </c>
      <c r="F707" s="443">
        <v>0</v>
      </c>
      <c r="G707" s="430">
        <v>344</v>
      </c>
      <c r="H707" s="424">
        <v>198.44</v>
      </c>
      <c r="I707" s="425">
        <v>68263.360000000001</v>
      </c>
      <c r="J707" s="432" t="str">
        <v>3-5</v>
      </c>
      <c r="K707" s="431">
        <v>10.46</v>
      </c>
      <c r="L707" s="431">
        <v>3598.2400000000002</v>
      </c>
      <c r="M707" s="431">
        <v>177.82000000000002</v>
      </c>
      <c r="N707" s="432" t="str">
        <v>1-2</v>
      </c>
      <c r="O707" s="431">
        <v>4.05</v>
      </c>
      <c r="P707" s="431">
        <v>1393.2</v>
      </c>
      <c r="Q707" s="431">
        <v>68.849999999999994</v>
      </c>
      <c r="R707" s="432" t="str">
        <v>3-5</v>
      </c>
    </row>
    <row r="708" spans="2:18" x14ac:dyDescent="0.25">
      <c r="B708" s="440" t="str">
        <v>MT-13</v>
      </c>
      <c r="C708" s="438" t="str">
        <v>ACTIVA</v>
      </c>
      <c r="D708" s="442">
        <v>129</v>
      </c>
      <c r="E708" s="429">
        <v>5394754</v>
      </c>
      <c r="F708" s="443">
        <v>0</v>
      </c>
      <c r="G708" s="430">
        <v>2</v>
      </c>
      <c r="H708" s="424">
        <v>1263.47</v>
      </c>
      <c r="I708" s="425">
        <v>2526.94</v>
      </c>
      <c r="J708" s="432" t="str">
        <v>3-5</v>
      </c>
      <c r="K708" s="431">
        <v>66.53</v>
      </c>
      <c r="L708" s="431">
        <v>133.06</v>
      </c>
      <c r="M708" s="431">
        <v>1131.01</v>
      </c>
      <c r="N708" s="432" t="str">
        <v>1-2</v>
      </c>
      <c r="O708" s="431">
        <v>49.19</v>
      </c>
      <c r="P708" s="431">
        <v>98.38</v>
      </c>
      <c r="Q708" s="431">
        <v>836.23</v>
      </c>
      <c r="R708" s="432" t="str">
        <v>—</v>
      </c>
    </row>
    <row r="709" spans="2:18" x14ac:dyDescent="0.25">
      <c r="B709" s="440" t="str">
        <v>MT-13</v>
      </c>
      <c r="C709" s="438" t="str">
        <v>ACTIVA</v>
      </c>
      <c r="D709" s="442">
        <v>129</v>
      </c>
      <c r="E709" s="429">
        <v>3805946</v>
      </c>
      <c r="F709" s="443">
        <v>0</v>
      </c>
      <c r="G709" s="430">
        <v>1</v>
      </c>
      <c r="H709" s="424">
        <v>465882.09</v>
      </c>
      <c r="I709" s="425">
        <v>465882.09</v>
      </c>
      <c r="J709" s="432" t="str">
        <v>3-5</v>
      </c>
      <c r="K709" s="431">
        <v>24924.61</v>
      </c>
      <c r="L709" s="431">
        <v>24924.61</v>
      </c>
      <c r="M709" s="431">
        <v>423718.37</v>
      </c>
      <c r="N709" s="432" t="str">
        <v>1-2</v>
      </c>
      <c r="O709" s="431">
        <v>0</v>
      </c>
      <c r="P709" s="431" t="str">
        <v>—</v>
      </c>
      <c r="Q709" s="431" t="str">
        <v>—</v>
      </c>
      <c r="R709" s="432" t="str">
        <v>—</v>
      </c>
    </row>
    <row r="710" spans="2:18" x14ac:dyDescent="0.25">
      <c r="B710" s="440" t="str">
        <v>TM-03</v>
      </c>
      <c r="C710" s="438" t="str">
        <v>ACTIVA</v>
      </c>
      <c r="D710" s="442">
        <v>119</v>
      </c>
      <c r="E710" s="429" t="str">
        <v>3I1145</v>
      </c>
      <c r="F710" s="443" t="str">
        <v>FILTRO P550115</v>
      </c>
      <c r="G710" s="430">
        <v>1</v>
      </c>
      <c r="H710" s="424">
        <v>224.55</v>
      </c>
      <c r="I710" s="425">
        <v>224.55</v>
      </c>
      <c r="J710" s="432" t="str">
        <v>—</v>
      </c>
      <c r="K710" s="431">
        <v>0</v>
      </c>
      <c r="L710" s="431" t="str">
        <v>—</v>
      </c>
      <c r="M710" s="431" t="str">
        <v>—</v>
      </c>
      <c r="N710" s="432" t="str">
        <v>—</v>
      </c>
      <c r="O710" s="431">
        <v>0</v>
      </c>
      <c r="P710" s="431" t="str">
        <v>—</v>
      </c>
      <c r="Q710" s="431" t="str">
        <v>—</v>
      </c>
      <c r="R710" s="432" t="str">
        <v>—</v>
      </c>
    </row>
    <row r="711" spans="2:18" x14ac:dyDescent="0.25">
      <c r="B711" s="440" t="str">
        <v>TM-03</v>
      </c>
      <c r="C711" s="438" t="str">
        <v>ACTIVA</v>
      </c>
      <c r="D711" s="442">
        <v>119</v>
      </c>
      <c r="E711" s="429" t="str">
        <v>P553000</v>
      </c>
      <c r="F711" s="443" t="str">
        <v>FILTRO</v>
      </c>
      <c r="G711" s="430">
        <v>1</v>
      </c>
      <c r="H711" s="424">
        <v>360</v>
      </c>
      <c r="I711" s="425">
        <v>360</v>
      </c>
      <c r="J711" s="432" t="str">
        <v>—</v>
      </c>
      <c r="K711" s="431">
        <v>0</v>
      </c>
      <c r="L711" s="431" t="str">
        <v>—</v>
      </c>
      <c r="M711" s="431" t="str">
        <v>—</v>
      </c>
      <c r="N711" s="432" t="str">
        <v>—</v>
      </c>
      <c r="O711" s="431">
        <v>0</v>
      </c>
      <c r="P711" s="431" t="str">
        <v>—</v>
      </c>
      <c r="Q711" s="431" t="str">
        <v>—</v>
      </c>
      <c r="R711" s="432" t="str">
        <v>—</v>
      </c>
    </row>
    <row r="712" spans="2:18" x14ac:dyDescent="0.25">
      <c r="B712" s="440" t="str">
        <v>TM-03</v>
      </c>
      <c r="C712" s="438" t="str">
        <v>ACTIVA</v>
      </c>
      <c r="D712" s="442">
        <v>119</v>
      </c>
      <c r="E712" s="429">
        <v>33697</v>
      </c>
      <c r="F712" s="443" t="str">
        <v>FILTRO</v>
      </c>
      <c r="G712" s="430">
        <v>1</v>
      </c>
      <c r="H712" s="424">
        <v>0</v>
      </c>
      <c r="I712" s="425">
        <v>0</v>
      </c>
      <c r="J712" s="432" t="str">
        <v>—</v>
      </c>
      <c r="K712" s="431">
        <v>0</v>
      </c>
      <c r="L712" s="431" t="str">
        <v>—</v>
      </c>
      <c r="M712" s="431" t="str">
        <v>—</v>
      </c>
      <c r="N712" s="432" t="str">
        <v>—</v>
      </c>
      <c r="O712" s="431">
        <v>0</v>
      </c>
      <c r="P712" s="431" t="str">
        <v>—</v>
      </c>
      <c r="Q712" s="431" t="str">
        <v>—</v>
      </c>
      <c r="R712" s="432" t="str">
        <v>—</v>
      </c>
    </row>
    <row r="713" spans="2:18" x14ac:dyDescent="0.25">
      <c r="B713" s="440" t="str">
        <v>TM-03</v>
      </c>
      <c r="C713" s="438" t="str">
        <v>ACTIVA</v>
      </c>
      <c r="D713" s="442">
        <v>119</v>
      </c>
      <c r="E713" s="429" t="str">
        <v>RS2863</v>
      </c>
      <c r="F713" s="443" t="str">
        <v xml:space="preserve">FILTRO DE AIRE   </v>
      </c>
      <c r="G713" s="430">
        <v>1</v>
      </c>
      <c r="H713" s="424">
        <v>456</v>
      </c>
      <c r="I713" s="425">
        <v>456</v>
      </c>
      <c r="J713" s="432" t="str">
        <v>—</v>
      </c>
      <c r="K713" s="431">
        <v>0</v>
      </c>
      <c r="L713" s="431" t="str">
        <v>—</v>
      </c>
      <c r="M713" s="431" t="str">
        <v>—</v>
      </c>
      <c r="N713" s="432" t="str">
        <v>—</v>
      </c>
      <c r="O713" s="431">
        <v>0</v>
      </c>
      <c r="P713" s="431" t="str">
        <v>—</v>
      </c>
      <c r="Q713" s="431" t="str">
        <v>—</v>
      </c>
      <c r="R713" s="432" t="str">
        <v>—</v>
      </c>
    </row>
    <row r="714" spans="2:18" x14ac:dyDescent="0.25">
      <c r="B714" s="440" t="str">
        <v>TM-03</v>
      </c>
      <c r="C714" s="438" t="str">
        <v>ACTIVA</v>
      </c>
      <c r="D714" s="442">
        <v>119</v>
      </c>
      <c r="E714" s="429">
        <v>33604</v>
      </c>
      <c r="F714" s="443" t="str">
        <v>FILTRO</v>
      </c>
      <c r="G714" s="430">
        <v>1</v>
      </c>
      <c r="H714" s="424">
        <v>380</v>
      </c>
      <c r="I714" s="425">
        <v>380</v>
      </c>
      <c r="J714" s="432" t="str">
        <v>—</v>
      </c>
      <c r="K714" s="431">
        <v>0</v>
      </c>
      <c r="L714" s="431" t="str">
        <v>—</v>
      </c>
      <c r="M714" s="431" t="str">
        <v>—</v>
      </c>
      <c r="N714" s="432" t="str">
        <v>—</v>
      </c>
      <c r="O714" s="431">
        <v>0</v>
      </c>
      <c r="P714" s="431" t="str">
        <v>—</v>
      </c>
      <c r="Q714" s="431" t="str">
        <v>—</v>
      </c>
      <c r="R714" s="432" t="str">
        <v>—</v>
      </c>
    </row>
    <row r="715" spans="2:18" x14ac:dyDescent="0.25">
      <c r="B715" s="440"/>
      <c r="C715" s="438"/>
      <c r="D715" s="442"/>
      <c r="E715" s="429"/>
      <c r="F715" s="443"/>
      <c r="G715" s="430"/>
      <c r="H715" s="424"/>
      <c r="I715" s="425"/>
      <c r="J715" s="432"/>
      <c r="K715" s="431"/>
      <c r="L715" s="431"/>
      <c r="M715" s="431"/>
      <c r="N715" s="432"/>
      <c r="O715" s="431"/>
      <c r="P715" s="431"/>
      <c r="Q715" s="431"/>
      <c r="R715" s="432"/>
    </row>
    <row r="716" spans="2:18" x14ac:dyDescent="0.25">
      <c r="B716" s="440"/>
      <c r="C716" s="438"/>
      <c r="D716" s="442"/>
      <c r="E716" s="429"/>
      <c r="F716" s="443"/>
      <c r="G716" s="430"/>
      <c r="H716" s="424"/>
      <c r="I716" s="425"/>
      <c r="J716" s="432"/>
      <c r="K716" s="431"/>
      <c r="L716" s="431"/>
      <c r="M716" s="431"/>
      <c r="N716" s="432"/>
      <c r="O716" s="431"/>
      <c r="P716" s="431"/>
      <c r="Q716" s="431"/>
      <c r="R716" s="432"/>
    </row>
    <row r="717" spans="2:18" x14ac:dyDescent="0.25">
      <c r="B717" s="440"/>
      <c r="C717" s="438"/>
      <c r="D717" s="442"/>
      <c r="E717" s="429"/>
      <c r="F717" s="443"/>
      <c r="G717" s="430"/>
      <c r="H717" s="424"/>
      <c r="I717" s="425"/>
      <c r="J717" s="432"/>
      <c r="K717" s="431"/>
      <c r="L717" s="431"/>
      <c r="M717" s="431"/>
      <c r="N717" s="432"/>
      <c r="O717" s="431"/>
      <c r="P717" s="431"/>
      <c r="Q717" s="431"/>
      <c r="R717" s="432"/>
    </row>
    <row r="718" spans="2:18" x14ac:dyDescent="0.25">
      <c r="B718" s="440"/>
      <c r="C718" s="438"/>
      <c r="D718" s="442"/>
      <c r="E718" s="429"/>
      <c r="F718" s="443"/>
      <c r="G718" s="430"/>
      <c r="H718" s="424"/>
      <c r="I718" s="425"/>
      <c r="J718" s="432"/>
      <c r="K718" s="431"/>
      <c r="L718" s="431"/>
      <c r="M718" s="431"/>
      <c r="N718" s="432"/>
      <c r="O718" s="431"/>
      <c r="P718" s="431"/>
      <c r="Q718" s="431"/>
      <c r="R718" s="432"/>
    </row>
    <row r="719" spans="2:18" x14ac:dyDescent="0.25">
      <c r="B719" s="440"/>
      <c r="C719" s="438"/>
      <c r="D719" s="442"/>
      <c r="E719" s="429"/>
      <c r="F719" s="443"/>
      <c r="G719" s="430"/>
      <c r="H719" s="424"/>
      <c r="I719" s="425"/>
      <c r="J719" s="432"/>
      <c r="K719" s="431"/>
      <c r="L719" s="431"/>
      <c r="M719" s="431"/>
      <c r="N719" s="432"/>
      <c r="O719" s="431"/>
      <c r="P719" s="431"/>
      <c r="Q719" s="431"/>
      <c r="R719" s="432"/>
    </row>
  </sheetData>
  <autoFilter ref="B5:R714" xr:uid="{9C776C0F-2273-4CBC-8BB9-63ACF0D65F0F}"/>
  <mergeCells count="6">
    <mergeCell ref="B1:R1"/>
    <mergeCell ref="B2:E2"/>
    <mergeCell ref="B4:G4"/>
    <mergeCell ref="H4:J4"/>
    <mergeCell ref="K4:N4"/>
    <mergeCell ref="O4:R4"/>
  </mergeCells>
  <conditionalFormatting sqref="C6:C719">
    <cfRule type="expression" dxfId="4471" priority="1">
      <formula>$C6="INACTIVA"</formula>
    </cfRule>
    <cfRule type="expression" dxfId="4470" priority="2">
      <formula>$C6="ACTIVA"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3837-AB7A-484B-AE86-C69D62A48DDB}">
  <sheetPr filterMode="1">
    <pageSetUpPr fitToPage="1"/>
  </sheetPr>
  <dimension ref="A1:AN655"/>
  <sheetViews>
    <sheetView view="pageBreakPreview" zoomScale="70" zoomScaleNormal="70" zoomScaleSheetLayoutView="70" workbookViewId="0">
      <selection activeCell="F281" sqref="F281"/>
    </sheetView>
  </sheetViews>
  <sheetFormatPr baseColWidth="10" defaultColWidth="10.85546875" defaultRowHeight="15.75" outlineLevelRow="1" x14ac:dyDescent="0.25"/>
  <cols>
    <col min="1" max="2" width="10.85546875" style="47"/>
    <col min="3" max="3" width="27.5703125" style="45" customWidth="1"/>
    <col min="4" max="4" width="14.85546875" style="47" customWidth="1"/>
    <col min="5" max="5" width="10.85546875" style="47"/>
    <col min="6" max="7" width="24.5703125" style="47" customWidth="1"/>
    <col min="8" max="8" width="14.7109375" style="45" customWidth="1"/>
    <col min="9" max="9" width="62.5703125" style="45" customWidth="1"/>
    <col min="10" max="10" width="14.5703125" style="47" customWidth="1"/>
    <col min="11" max="11" width="12.140625" style="45" customWidth="1"/>
    <col min="12" max="13" width="14.5703125" style="47" customWidth="1"/>
    <col min="14" max="17" width="10.85546875" style="45"/>
    <col min="18" max="18" width="3.5703125" style="46" customWidth="1"/>
    <col min="19" max="16384" width="10.85546875" style="45"/>
  </cols>
  <sheetData>
    <row r="1" spans="1:40" s="59" customFormat="1" ht="5.0999999999999996" customHeight="1" thickBot="1" x14ac:dyDescent="0.3">
      <c r="A1" s="203"/>
      <c r="B1" s="51"/>
      <c r="C1" s="52"/>
      <c r="D1" s="51"/>
      <c r="E1" s="51"/>
      <c r="F1" s="51"/>
      <c r="G1" s="51"/>
      <c r="H1" s="52"/>
      <c r="I1" s="52"/>
      <c r="J1" s="51"/>
      <c r="K1" s="52"/>
      <c r="L1" s="51"/>
      <c r="M1" s="51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</row>
    <row r="2" spans="1:40" s="195" customFormat="1" ht="48.75" thickTop="1" thickBot="1" x14ac:dyDescent="0.3">
      <c r="A2" s="201" t="s">
        <v>89</v>
      </c>
      <c r="B2" s="201" t="s">
        <v>1145</v>
      </c>
      <c r="C2" s="201" t="s">
        <v>1146</v>
      </c>
      <c r="D2" s="201" t="s">
        <v>1147</v>
      </c>
      <c r="E2" s="200" t="s">
        <v>34</v>
      </c>
      <c r="F2" s="201" t="s">
        <v>1148</v>
      </c>
      <c r="G2" s="202" t="s">
        <v>1149</v>
      </c>
      <c r="H2" s="201" t="s">
        <v>35</v>
      </c>
      <c r="I2" s="200" t="s">
        <v>1150</v>
      </c>
      <c r="J2" s="199" t="s">
        <v>1151</v>
      </c>
      <c r="K2" s="199" t="s">
        <v>1152</v>
      </c>
      <c r="L2" s="198" t="s">
        <v>1153</v>
      </c>
      <c r="M2" s="197" t="s">
        <v>1154</v>
      </c>
      <c r="N2" s="337" t="s">
        <v>1155</v>
      </c>
      <c r="O2" s="338"/>
      <c r="P2" s="338"/>
      <c r="Q2" s="339"/>
      <c r="R2" s="196"/>
    </row>
    <row r="3" spans="1:40" ht="16.5" thickBot="1" x14ac:dyDescent="0.3">
      <c r="A3" s="133">
        <v>1</v>
      </c>
      <c r="B3" s="135" t="s">
        <v>247</v>
      </c>
      <c r="C3" s="134" t="s">
        <v>1156</v>
      </c>
      <c r="D3" s="133" t="s">
        <v>237</v>
      </c>
      <c r="E3" s="133" t="s">
        <v>1157</v>
      </c>
      <c r="F3" s="136" t="s">
        <v>1158</v>
      </c>
      <c r="G3" s="192"/>
      <c r="H3" s="169" t="s">
        <v>1159</v>
      </c>
      <c r="I3" s="168" t="s">
        <v>1160</v>
      </c>
      <c r="J3" s="152">
        <v>46108</v>
      </c>
      <c r="K3" s="140"/>
      <c r="L3" s="136"/>
      <c r="M3" s="164" t="s">
        <v>1161</v>
      </c>
      <c r="N3" s="115"/>
      <c r="O3" s="102"/>
      <c r="P3" s="102"/>
      <c r="Q3" s="101"/>
    </row>
    <row r="4" spans="1:40" s="105" customFormat="1" ht="45" hidden="1" customHeight="1" outlineLevel="1" x14ac:dyDescent="0.3">
      <c r="A4" s="114">
        <f>+A28+0.1</f>
        <v>11.299999999999997</v>
      </c>
      <c r="B4" s="109" t="s">
        <v>1162</v>
      </c>
      <c r="C4" s="109"/>
      <c r="D4" s="111"/>
      <c r="E4" s="111"/>
      <c r="F4" s="111" t="s">
        <v>1158</v>
      </c>
      <c r="G4" s="192"/>
      <c r="H4" s="112"/>
      <c r="I4" s="111"/>
      <c r="J4" s="108">
        <v>46120</v>
      </c>
      <c r="K4" s="109"/>
      <c r="L4" s="108"/>
      <c r="M4" s="107"/>
      <c r="N4" s="333" t="s">
        <v>1163</v>
      </c>
      <c r="O4" s="333"/>
      <c r="P4" s="333"/>
      <c r="Q4" s="334"/>
      <c r="R4" s="106"/>
    </row>
    <row r="5" spans="1:40" s="105" customFormat="1" ht="48.95" hidden="1" customHeight="1" outlineLevel="1" x14ac:dyDescent="0.3">
      <c r="A5" s="114">
        <f>+A29+0.1</f>
        <v>4.8000000000000007</v>
      </c>
      <c r="B5" s="109" t="s">
        <v>1162</v>
      </c>
      <c r="C5" s="109"/>
      <c r="D5" s="111"/>
      <c r="E5" s="111"/>
      <c r="F5" s="111" t="s">
        <v>1158</v>
      </c>
      <c r="G5" s="192"/>
      <c r="H5" s="112"/>
      <c r="I5" s="111"/>
      <c r="J5" s="108">
        <v>46128</v>
      </c>
      <c r="K5" s="109"/>
      <c r="L5" s="108"/>
      <c r="M5" s="107"/>
      <c r="N5" s="333" t="s">
        <v>1164</v>
      </c>
      <c r="O5" s="333"/>
      <c r="P5" s="333"/>
      <c r="Q5" s="334"/>
      <c r="R5" s="106"/>
    </row>
    <row r="6" spans="1:40" s="105" customFormat="1" ht="48.95" hidden="1" customHeight="1" outlineLevel="1" x14ac:dyDescent="0.3">
      <c r="A6" s="114">
        <f>+A30+0.1</f>
        <v>6.6999999999999984</v>
      </c>
      <c r="B6" s="109" t="s">
        <v>1162</v>
      </c>
      <c r="C6" s="109"/>
      <c r="D6" s="111"/>
      <c r="E6" s="111"/>
      <c r="F6" s="111" t="s">
        <v>1158</v>
      </c>
      <c r="G6" s="192"/>
      <c r="H6" s="112"/>
      <c r="I6" s="111"/>
      <c r="J6" s="108">
        <v>46134</v>
      </c>
      <c r="K6" s="109"/>
      <c r="L6" s="108"/>
      <c r="M6" s="107"/>
      <c r="N6" s="333" t="s">
        <v>1165</v>
      </c>
      <c r="O6" s="333"/>
      <c r="P6" s="333"/>
      <c r="Q6" s="334"/>
      <c r="R6" s="106"/>
    </row>
    <row r="7" spans="1:40" s="105" customFormat="1" ht="48.95" hidden="1" customHeight="1" outlineLevel="1" thickBot="1" x14ac:dyDescent="0.3">
      <c r="A7" s="114">
        <f>+A31+0.1</f>
        <v>4.7999999999999989</v>
      </c>
      <c r="B7" s="109" t="s">
        <v>1162</v>
      </c>
      <c r="C7" s="109"/>
      <c r="D7" s="111"/>
      <c r="E7" s="111"/>
      <c r="F7" s="111" t="s">
        <v>1158</v>
      </c>
      <c r="G7" s="192"/>
      <c r="H7" s="112"/>
      <c r="I7" s="111"/>
      <c r="J7" s="108">
        <v>46141</v>
      </c>
      <c r="K7" s="109"/>
      <c r="L7" s="108"/>
      <c r="M7" s="107"/>
      <c r="N7" s="333" t="s">
        <v>1166</v>
      </c>
      <c r="O7" s="333"/>
      <c r="P7" s="333"/>
      <c r="Q7" s="334"/>
      <c r="R7" s="106"/>
    </row>
    <row r="8" spans="1:40" ht="16.5" hidden="1" collapsed="1" thickBot="1" x14ac:dyDescent="0.3">
      <c r="A8" s="133">
        <f>+A28+1</f>
        <v>12.199999999999998</v>
      </c>
      <c r="B8" s="133" t="s">
        <v>224</v>
      </c>
      <c r="C8" s="194" t="s">
        <v>1156</v>
      </c>
      <c r="D8" s="141" t="s">
        <v>237</v>
      </c>
      <c r="E8" s="141" t="s">
        <v>1157</v>
      </c>
      <c r="F8" s="154" t="s">
        <v>1167</v>
      </c>
      <c r="G8" s="193" t="s">
        <v>1168</v>
      </c>
      <c r="H8" s="99" t="s">
        <v>1169</v>
      </c>
      <c r="I8" s="165"/>
      <c r="J8" s="138">
        <v>46073</v>
      </c>
      <c r="K8" s="125"/>
      <c r="L8" s="138">
        <v>46163</v>
      </c>
      <c r="M8" s="166" t="s">
        <v>1170</v>
      </c>
      <c r="N8" s="97"/>
      <c r="O8" s="96"/>
      <c r="P8" s="96"/>
      <c r="Q8" s="95"/>
    </row>
    <row r="9" spans="1:40" s="105" customFormat="1" ht="45" hidden="1" customHeight="1" outlineLevel="1" x14ac:dyDescent="0.3">
      <c r="A9" s="114">
        <f t="shared" ref="A9:A15" si="0">+A33+0.1</f>
        <v>2.9100000000000015</v>
      </c>
      <c r="B9" s="109" t="s">
        <v>1162</v>
      </c>
      <c r="C9" s="109"/>
      <c r="D9" s="111"/>
      <c r="E9" s="111"/>
      <c r="F9" s="111" t="s">
        <v>1158</v>
      </c>
      <c r="G9" s="192"/>
      <c r="H9" s="112"/>
      <c r="I9" s="111"/>
      <c r="J9" s="108">
        <v>45995</v>
      </c>
      <c r="K9" s="109"/>
      <c r="L9" s="108"/>
      <c r="M9" s="107"/>
      <c r="N9" s="333" t="s">
        <v>1171</v>
      </c>
      <c r="O9" s="333"/>
      <c r="P9" s="333"/>
      <c r="Q9" s="334"/>
      <c r="R9" s="106"/>
    </row>
    <row r="10" spans="1:40" s="105" customFormat="1" ht="45" hidden="1" customHeight="1" outlineLevel="1" x14ac:dyDescent="0.3">
      <c r="A10" s="114">
        <f t="shared" si="0"/>
        <v>3.8100000000000014</v>
      </c>
      <c r="B10" s="109" t="s">
        <v>1162</v>
      </c>
      <c r="C10" s="109"/>
      <c r="D10" s="111"/>
      <c r="E10" s="111"/>
      <c r="F10" s="111" t="s">
        <v>1158</v>
      </c>
      <c r="G10" s="192"/>
      <c r="H10" s="112"/>
      <c r="I10" s="111"/>
      <c r="J10" s="108">
        <v>46044</v>
      </c>
      <c r="K10" s="109"/>
      <c r="L10" s="108"/>
      <c r="M10" s="107"/>
      <c r="N10" s="333" t="s">
        <v>1172</v>
      </c>
      <c r="O10" s="333"/>
      <c r="P10" s="333"/>
      <c r="Q10" s="334"/>
      <c r="R10" s="106"/>
    </row>
    <row r="11" spans="1:40" s="105" customFormat="1" ht="45" hidden="1" customHeight="1" outlineLevel="1" x14ac:dyDescent="0.3">
      <c r="A11" s="114">
        <f t="shared" si="0"/>
        <v>5.6999999999999975</v>
      </c>
      <c r="B11" s="109" t="s">
        <v>1162</v>
      </c>
      <c r="C11" s="109"/>
      <c r="D11" s="111"/>
      <c r="E11" s="111"/>
      <c r="F11" s="111" t="s">
        <v>1158</v>
      </c>
      <c r="G11" s="192"/>
      <c r="H11" s="112"/>
      <c r="I11" s="111"/>
      <c r="J11" s="108">
        <v>46051</v>
      </c>
      <c r="K11" s="109"/>
      <c r="L11" s="108"/>
      <c r="M11" s="107"/>
      <c r="N11" s="333" t="s">
        <v>1173</v>
      </c>
      <c r="O11" s="333"/>
      <c r="P11" s="333"/>
      <c r="Q11" s="334"/>
      <c r="R11" s="106"/>
    </row>
    <row r="12" spans="1:40" s="105" customFormat="1" ht="45" hidden="1" customHeight="1" outlineLevel="1" x14ac:dyDescent="0.3">
      <c r="A12" s="114">
        <f t="shared" si="0"/>
        <v>5.6099999999999985</v>
      </c>
      <c r="B12" s="109" t="s">
        <v>1162</v>
      </c>
      <c r="C12" s="109"/>
      <c r="D12" s="111"/>
      <c r="E12" s="111"/>
      <c r="F12" s="111" t="s">
        <v>1158</v>
      </c>
      <c r="G12" s="192"/>
      <c r="H12" s="112"/>
      <c r="I12" s="111"/>
      <c r="J12" s="108">
        <v>46058</v>
      </c>
      <c r="K12" s="109"/>
      <c r="L12" s="108"/>
      <c r="M12" s="107"/>
      <c r="N12" s="333" t="s">
        <v>1174</v>
      </c>
      <c r="O12" s="333"/>
      <c r="P12" s="333"/>
      <c r="Q12" s="334"/>
      <c r="R12" s="106"/>
    </row>
    <row r="13" spans="1:40" s="105" customFormat="1" ht="45" hidden="1" customHeight="1" outlineLevel="1" x14ac:dyDescent="0.3">
      <c r="A13" s="114">
        <f t="shared" si="0"/>
        <v>5.6999999999999993</v>
      </c>
      <c r="B13" s="109" t="s">
        <v>1162</v>
      </c>
      <c r="C13" s="109"/>
      <c r="D13" s="111"/>
      <c r="E13" s="111"/>
      <c r="F13" s="111" t="s">
        <v>1158</v>
      </c>
      <c r="G13" s="192"/>
      <c r="H13" s="112"/>
      <c r="I13" s="111"/>
      <c r="J13" s="108">
        <v>46120</v>
      </c>
      <c r="K13" s="109"/>
      <c r="L13" s="108"/>
      <c r="M13" s="107"/>
      <c r="N13" s="333" t="s">
        <v>1175</v>
      </c>
      <c r="O13" s="333"/>
      <c r="P13" s="333"/>
      <c r="Q13" s="334"/>
      <c r="R13" s="106"/>
    </row>
    <row r="14" spans="1:40" s="105" customFormat="1" ht="45" hidden="1" customHeight="1" outlineLevel="1" x14ac:dyDescent="0.3">
      <c r="A14" s="114">
        <f t="shared" si="0"/>
        <v>5.7000000000000011</v>
      </c>
      <c r="B14" s="109" t="s">
        <v>1162</v>
      </c>
      <c r="C14" s="109"/>
      <c r="D14" s="111"/>
      <c r="E14" s="111"/>
      <c r="F14" s="111" t="s">
        <v>1158</v>
      </c>
      <c r="G14" s="192"/>
      <c r="H14" s="112"/>
      <c r="I14" s="111"/>
      <c r="J14" s="108">
        <v>46128</v>
      </c>
      <c r="K14" s="109"/>
      <c r="L14" s="108"/>
      <c r="M14" s="107"/>
      <c r="N14" s="333" t="s">
        <v>1176</v>
      </c>
      <c r="O14" s="333"/>
      <c r="P14" s="333"/>
      <c r="Q14" s="334"/>
      <c r="R14" s="106"/>
    </row>
    <row r="15" spans="1:40" s="105" customFormat="1" ht="48.95" hidden="1" customHeight="1" outlineLevel="1" thickBot="1" x14ac:dyDescent="0.3">
      <c r="A15" s="114">
        <f t="shared" si="0"/>
        <v>10.299999999999997</v>
      </c>
      <c r="B15" s="109" t="s">
        <v>1162</v>
      </c>
      <c r="C15" s="109"/>
      <c r="D15" s="111"/>
      <c r="E15" s="111"/>
      <c r="F15" s="111" t="s">
        <v>1158</v>
      </c>
      <c r="G15" s="192"/>
      <c r="H15" s="112"/>
      <c r="I15" s="111"/>
      <c r="J15" s="108">
        <v>46134</v>
      </c>
      <c r="K15" s="109"/>
      <c r="L15" s="108"/>
      <c r="M15" s="107"/>
      <c r="N15" s="333" t="s">
        <v>1177</v>
      </c>
      <c r="O15" s="333"/>
      <c r="P15" s="333"/>
      <c r="Q15" s="334"/>
      <c r="R15" s="106"/>
    </row>
    <row r="16" spans="1:40" ht="16.5" hidden="1" collapsed="1" thickBot="1" x14ac:dyDescent="0.3">
      <c r="A16" s="133">
        <f>+A33+1</f>
        <v>3.8100000000000014</v>
      </c>
      <c r="B16" s="133" t="s">
        <v>132</v>
      </c>
      <c r="C16" s="127" t="s">
        <v>1156</v>
      </c>
      <c r="D16" s="126" t="s">
        <v>237</v>
      </c>
      <c r="E16" s="126" t="s">
        <v>1157</v>
      </c>
      <c r="F16" s="166" t="s">
        <v>1178</v>
      </c>
      <c r="G16" s="48" t="s">
        <v>1179</v>
      </c>
      <c r="H16" s="99" t="s">
        <v>1169</v>
      </c>
      <c r="I16" s="165"/>
      <c r="J16" s="138">
        <v>46057</v>
      </c>
      <c r="K16" s="125"/>
      <c r="L16" s="138"/>
      <c r="M16" s="191" t="s">
        <v>1170</v>
      </c>
      <c r="N16" s="97"/>
      <c r="O16" s="96"/>
      <c r="P16" s="96"/>
      <c r="Q16" s="95"/>
    </row>
    <row r="17" spans="1:18" s="105" customFormat="1" ht="45" hidden="1" customHeight="1" outlineLevel="1" x14ac:dyDescent="0.3">
      <c r="A17" s="114">
        <f>+A41+0.1</f>
        <v>6.6000000000000014</v>
      </c>
      <c r="B17" s="109" t="s">
        <v>1162</v>
      </c>
      <c r="C17" s="109"/>
      <c r="D17" s="111"/>
      <c r="E17" s="111"/>
      <c r="F17" s="111" t="s">
        <v>1180</v>
      </c>
      <c r="G17" s="113"/>
      <c r="H17" s="112"/>
      <c r="I17" s="111"/>
      <c r="J17" s="108">
        <v>45945</v>
      </c>
      <c r="K17" s="109"/>
      <c r="L17" s="108"/>
      <c r="M17" s="107"/>
      <c r="N17" s="333" t="s">
        <v>1181</v>
      </c>
      <c r="O17" s="333"/>
      <c r="P17" s="333"/>
      <c r="Q17" s="334"/>
      <c r="R17" s="106"/>
    </row>
    <row r="18" spans="1:18" s="105" customFormat="1" ht="60.95" hidden="1" customHeight="1" outlineLevel="1" x14ac:dyDescent="0.3">
      <c r="A18" s="114">
        <f>+A42+0.1</f>
        <v>10.299999999999997</v>
      </c>
      <c r="B18" s="109" t="s">
        <v>1162</v>
      </c>
      <c r="C18" s="109"/>
      <c r="D18" s="111"/>
      <c r="E18" s="111"/>
      <c r="F18" s="111" t="s">
        <v>1180</v>
      </c>
      <c r="G18" s="113"/>
      <c r="H18" s="112"/>
      <c r="I18" s="111"/>
      <c r="J18" s="108">
        <v>45952</v>
      </c>
      <c r="K18" s="109"/>
      <c r="L18" s="108"/>
      <c r="M18" s="107"/>
      <c r="N18" s="333" t="s">
        <v>1182</v>
      </c>
      <c r="O18" s="333"/>
      <c r="P18" s="333"/>
      <c r="Q18" s="334"/>
      <c r="R18" s="106"/>
    </row>
    <row r="19" spans="1:18" s="105" customFormat="1" ht="45" hidden="1" customHeight="1" outlineLevel="1" x14ac:dyDescent="0.3">
      <c r="A19" s="114">
        <f>+A43+0.1</f>
        <v>10.299999999999997</v>
      </c>
      <c r="B19" s="109" t="s">
        <v>1162</v>
      </c>
      <c r="C19" s="109"/>
      <c r="D19" s="111"/>
      <c r="E19" s="111"/>
      <c r="F19" s="111" t="s">
        <v>1180</v>
      </c>
      <c r="G19" s="113"/>
      <c r="H19" s="112"/>
      <c r="I19" s="111"/>
      <c r="J19" s="108">
        <v>45995</v>
      </c>
      <c r="K19" s="109"/>
      <c r="L19" s="108"/>
      <c r="M19" s="107"/>
      <c r="N19" s="333" t="s">
        <v>1183</v>
      </c>
      <c r="O19" s="333"/>
      <c r="P19" s="333"/>
      <c r="Q19" s="334"/>
      <c r="R19" s="106"/>
    </row>
    <row r="20" spans="1:18" s="105" customFormat="1" ht="45" hidden="1" customHeight="1" outlineLevel="1" x14ac:dyDescent="0.3">
      <c r="A20" s="114">
        <f>+A44+0.1</f>
        <v>11.199999999999998</v>
      </c>
      <c r="B20" s="109" t="s">
        <v>1162</v>
      </c>
      <c r="C20" s="109"/>
      <c r="D20" s="111"/>
      <c r="E20" s="111"/>
      <c r="F20" s="111" t="s">
        <v>1180</v>
      </c>
      <c r="G20" s="113"/>
      <c r="H20" s="112"/>
      <c r="I20" s="111"/>
      <c r="J20" s="108">
        <v>46058</v>
      </c>
      <c r="K20" s="109"/>
      <c r="L20" s="108"/>
      <c r="M20" s="107"/>
      <c r="N20" s="333" t="s">
        <v>1184</v>
      </c>
      <c r="O20" s="333"/>
      <c r="P20" s="333"/>
      <c r="Q20" s="334"/>
      <c r="R20" s="106"/>
    </row>
    <row r="21" spans="1:18" s="105" customFormat="1" ht="45" hidden="1" customHeight="1" outlineLevel="1" thickBot="1" x14ac:dyDescent="0.3">
      <c r="A21" s="114">
        <f>+A45+0.1</f>
        <v>11.199999999999998</v>
      </c>
      <c r="B21" s="109" t="s">
        <v>1162</v>
      </c>
      <c r="C21" s="109"/>
      <c r="D21" s="111"/>
      <c r="E21" s="111"/>
      <c r="F21" s="111" t="s">
        <v>1180</v>
      </c>
      <c r="G21" s="113"/>
      <c r="H21" s="112"/>
      <c r="I21" s="111"/>
      <c r="J21" s="108">
        <v>46064</v>
      </c>
      <c r="K21" s="109"/>
      <c r="L21" s="108"/>
      <c r="M21" s="107"/>
      <c r="N21" s="333" t="s">
        <v>1185</v>
      </c>
      <c r="O21" s="333"/>
      <c r="P21" s="333"/>
      <c r="Q21" s="334"/>
      <c r="R21" s="106"/>
    </row>
    <row r="22" spans="1:18" ht="16.5" collapsed="1" thickBot="1" x14ac:dyDescent="0.3">
      <c r="A22" s="133">
        <f>+A41+1</f>
        <v>7.5000000000000018</v>
      </c>
      <c r="B22" s="133" t="s">
        <v>935</v>
      </c>
      <c r="C22" s="134" t="s">
        <v>1156</v>
      </c>
      <c r="D22" s="133" t="s">
        <v>237</v>
      </c>
      <c r="E22" s="133" t="s">
        <v>1186</v>
      </c>
      <c r="F22" s="164" t="s">
        <v>1187</v>
      </c>
      <c r="G22" s="183"/>
      <c r="H22" s="169" t="s">
        <v>1159</v>
      </c>
      <c r="I22" s="173" t="s">
        <v>1188</v>
      </c>
      <c r="J22" s="138">
        <v>46133</v>
      </c>
      <c r="K22" s="125"/>
      <c r="L22" s="138"/>
      <c r="M22" s="164" t="s">
        <v>1189</v>
      </c>
      <c r="N22" s="115"/>
      <c r="O22" s="102"/>
      <c r="P22" s="102"/>
      <c r="Q22" s="101"/>
    </row>
    <row r="23" spans="1:18" s="105" customFormat="1" ht="68.099999999999994" hidden="1" customHeight="1" outlineLevel="1" x14ac:dyDescent="0.3">
      <c r="A23" s="114">
        <f t="shared" ref="A23:A29" si="1">+A47+0.1</f>
        <v>5.6999999999999984</v>
      </c>
      <c r="B23" s="109" t="s">
        <v>1162</v>
      </c>
      <c r="C23" s="109"/>
      <c r="D23" s="111"/>
      <c r="E23" s="111"/>
      <c r="F23" s="111" t="s">
        <v>1190</v>
      </c>
      <c r="G23" s="113"/>
      <c r="H23" s="112"/>
      <c r="I23" s="111"/>
      <c r="J23" s="108">
        <v>45980</v>
      </c>
      <c r="K23" s="109"/>
      <c r="L23" s="108"/>
      <c r="M23" s="107"/>
      <c r="N23" s="333" t="s">
        <v>1191</v>
      </c>
      <c r="O23" s="333"/>
      <c r="P23" s="333"/>
      <c r="Q23" s="334"/>
      <c r="R23" s="106"/>
    </row>
    <row r="24" spans="1:18" s="105" customFormat="1" ht="45" hidden="1" customHeight="1" outlineLevel="1" x14ac:dyDescent="0.3">
      <c r="A24" s="114">
        <f t="shared" si="1"/>
        <v>5.6099999999999994</v>
      </c>
      <c r="B24" s="109" t="s">
        <v>1162</v>
      </c>
      <c r="C24" s="109"/>
      <c r="D24" s="111"/>
      <c r="E24" s="111"/>
      <c r="F24" s="111" t="s">
        <v>1190</v>
      </c>
      <c r="G24" s="113"/>
      <c r="H24" s="112"/>
      <c r="I24" s="111"/>
      <c r="J24" s="108">
        <v>45987</v>
      </c>
      <c r="K24" s="109"/>
      <c r="L24" s="108"/>
      <c r="M24" s="107"/>
      <c r="N24" s="333" t="s">
        <v>1192</v>
      </c>
      <c r="O24" s="333"/>
      <c r="P24" s="333"/>
      <c r="Q24" s="334"/>
      <c r="R24" s="106"/>
    </row>
    <row r="25" spans="1:18" s="105" customFormat="1" ht="45" hidden="1" customHeight="1" outlineLevel="1" x14ac:dyDescent="0.3">
      <c r="A25" s="114">
        <f t="shared" si="1"/>
        <v>6.5999999999999979</v>
      </c>
      <c r="B25" s="109" t="s">
        <v>1162</v>
      </c>
      <c r="C25" s="109"/>
      <c r="D25" s="111"/>
      <c r="E25" s="111"/>
      <c r="F25" s="111" t="s">
        <v>1187</v>
      </c>
      <c r="G25" s="113"/>
      <c r="H25" s="112"/>
      <c r="I25" s="111"/>
      <c r="J25" s="108">
        <v>46058</v>
      </c>
      <c r="K25" s="109"/>
      <c r="L25" s="108"/>
      <c r="M25" s="107"/>
      <c r="N25" s="333" t="s">
        <v>1193</v>
      </c>
      <c r="O25" s="333"/>
      <c r="P25" s="333"/>
      <c r="Q25" s="334"/>
      <c r="R25" s="106"/>
    </row>
    <row r="26" spans="1:18" s="105" customFormat="1" ht="45" hidden="1" customHeight="1" outlineLevel="1" x14ac:dyDescent="0.3">
      <c r="A26" s="114">
        <f t="shared" si="1"/>
        <v>12.099999999999998</v>
      </c>
      <c r="B26" s="109" t="s">
        <v>1162</v>
      </c>
      <c r="C26" s="109"/>
      <c r="D26" s="111"/>
      <c r="E26" s="111"/>
      <c r="F26" s="111" t="s">
        <v>1187</v>
      </c>
      <c r="G26" s="113"/>
      <c r="H26" s="112"/>
      <c r="I26" s="111"/>
      <c r="J26" s="108">
        <v>46064</v>
      </c>
      <c r="K26" s="109"/>
      <c r="L26" s="108"/>
      <c r="M26" s="107"/>
      <c r="N26" s="333" t="s">
        <v>1194</v>
      </c>
      <c r="O26" s="333"/>
      <c r="P26" s="333"/>
      <c r="Q26" s="334"/>
      <c r="R26" s="106"/>
    </row>
    <row r="27" spans="1:18" s="105" customFormat="1" ht="45" hidden="1" customHeight="1" outlineLevel="1" x14ac:dyDescent="0.3">
      <c r="A27" s="114">
        <f t="shared" si="1"/>
        <v>12.909999999999998</v>
      </c>
      <c r="B27" s="109" t="s">
        <v>1162</v>
      </c>
      <c r="C27" s="109"/>
      <c r="D27" s="111"/>
      <c r="E27" s="111"/>
      <c r="F27" s="111" t="s">
        <v>1187</v>
      </c>
      <c r="G27" s="113"/>
      <c r="H27" s="112"/>
      <c r="I27" s="111"/>
      <c r="J27" s="108">
        <v>46072</v>
      </c>
      <c r="K27" s="109"/>
      <c r="L27" s="108"/>
      <c r="M27" s="107"/>
      <c r="N27" s="333" t="s">
        <v>1195</v>
      </c>
      <c r="O27" s="333"/>
      <c r="P27" s="333"/>
      <c r="Q27" s="334"/>
      <c r="R27" s="106"/>
    </row>
    <row r="28" spans="1:18" s="105" customFormat="1" ht="45" hidden="1" customHeight="1" outlineLevel="1" x14ac:dyDescent="0.3">
      <c r="A28" s="114">
        <f t="shared" si="1"/>
        <v>11.199999999999998</v>
      </c>
      <c r="B28" s="109" t="s">
        <v>1162</v>
      </c>
      <c r="C28" s="109"/>
      <c r="D28" s="111"/>
      <c r="E28" s="111"/>
      <c r="F28" s="111" t="s">
        <v>1187</v>
      </c>
      <c r="G28" s="113"/>
      <c r="H28" s="112"/>
      <c r="I28" s="111"/>
      <c r="J28" s="108">
        <v>46134</v>
      </c>
      <c r="K28" s="109"/>
      <c r="L28" s="108"/>
      <c r="M28" s="107"/>
      <c r="N28" s="333" t="s">
        <v>1196</v>
      </c>
      <c r="O28" s="333"/>
      <c r="P28" s="333"/>
      <c r="Q28" s="334"/>
      <c r="R28" s="106"/>
    </row>
    <row r="29" spans="1:18" s="105" customFormat="1" ht="45" hidden="1" customHeight="1" outlineLevel="1" thickBot="1" x14ac:dyDescent="0.3">
      <c r="A29" s="114">
        <f t="shared" si="1"/>
        <v>4.7000000000000011</v>
      </c>
      <c r="B29" s="109" t="s">
        <v>1162</v>
      </c>
      <c r="C29" s="109"/>
      <c r="D29" s="111"/>
      <c r="E29" s="111"/>
      <c r="F29" s="111" t="s">
        <v>1187</v>
      </c>
      <c r="G29" s="113"/>
      <c r="H29" s="112"/>
      <c r="I29" s="111"/>
      <c r="J29" s="108">
        <v>46141</v>
      </c>
      <c r="K29" s="109"/>
      <c r="L29" s="108"/>
      <c r="M29" s="107"/>
      <c r="N29" s="333" t="s">
        <v>1197</v>
      </c>
      <c r="O29" s="333"/>
      <c r="P29" s="333"/>
      <c r="Q29" s="334"/>
      <c r="R29" s="106"/>
    </row>
    <row r="30" spans="1:18" ht="16.5" hidden="1" collapsed="1" thickBot="1" x14ac:dyDescent="0.3">
      <c r="A30" s="133">
        <f>+A47+1</f>
        <v>6.5999999999999988</v>
      </c>
      <c r="B30" s="133" t="s">
        <v>234</v>
      </c>
      <c r="C30" s="134" t="s">
        <v>1156</v>
      </c>
      <c r="D30" s="133" t="s">
        <v>237</v>
      </c>
      <c r="E30" s="133" t="s">
        <v>1186</v>
      </c>
      <c r="F30" s="136" t="s">
        <v>1190</v>
      </c>
      <c r="G30" s="181" t="s">
        <v>1198</v>
      </c>
      <c r="H30" s="99" t="s">
        <v>1169</v>
      </c>
      <c r="I30" s="165"/>
      <c r="J30" s="138">
        <v>45980</v>
      </c>
      <c r="K30" s="125"/>
      <c r="L30" s="138">
        <v>46125</v>
      </c>
      <c r="M30" s="164" t="s">
        <v>1161</v>
      </c>
      <c r="N30" s="97"/>
      <c r="O30" s="96"/>
      <c r="P30" s="96"/>
      <c r="Q30" s="95"/>
    </row>
    <row r="31" spans="1:18" s="105" customFormat="1" ht="45" hidden="1" customHeight="1" outlineLevel="1" x14ac:dyDescent="0.3">
      <c r="A31" s="114">
        <f t="shared" ref="A31:A36" si="2">+A55+0.1</f>
        <v>4.6999999999999993</v>
      </c>
      <c r="B31" s="109" t="s">
        <v>1162</v>
      </c>
      <c r="C31" s="109"/>
      <c r="D31" s="111"/>
      <c r="E31" s="111"/>
      <c r="F31" s="111" t="s">
        <v>1180</v>
      </c>
      <c r="G31" s="113"/>
      <c r="H31" s="112"/>
      <c r="I31" s="111"/>
      <c r="J31" s="108">
        <v>45995</v>
      </c>
      <c r="K31" s="109"/>
      <c r="L31" s="108"/>
      <c r="M31" s="107"/>
      <c r="N31" s="333" t="s">
        <v>1199</v>
      </c>
      <c r="O31" s="333"/>
      <c r="P31" s="333"/>
      <c r="Q31" s="334"/>
      <c r="R31" s="106"/>
    </row>
    <row r="32" spans="1:18" s="105" customFormat="1" ht="45" hidden="1" customHeight="1" outlineLevel="1" x14ac:dyDescent="0.3">
      <c r="A32" s="114">
        <f t="shared" si="2"/>
        <v>4.6999999999999993</v>
      </c>
      <c r="B32" s="109" t="s">
        <v>1162</v>
      </c>
      <c r="C32" s="109"/>
      <c r="D32" s="111"/>
      <c r="E32" s="111"/>
      <c r="F32" s="111" t="s">
        <v>1180</v>
      </c>
      <c r="G32" s="113"/>
      <c r="H32" s="112"/>
      <c r="I32" s="111"/>
      <c r="J32" s="108">
        <v>46044</v>
      </c>
      <c r="K32" s="109"/>
      <c r="L32" s="108"/>
      <c r="M32" s="107"/>
      <c r="N32" s="333" t="s">
        <v>1200</v>
      </c>
      <c r="O32" s="333"/>
      <c r="P32" s="333"/>
      <c r="Q32" s="334"/>
      <c r="R32" s="106"/>
    </row>
    <row r="33" spans="1:18" s="105" customFormat="1" ht="45" hidden="1" customHeight="1" outlineLevel="1" x14ac:dyDescent="0.3">
      <c r="A33" s="114">
        <f t="shared" si="2"/>
        <v>2.8100000000000014</v>
      </c>
      <c r="B33" s="109" t="s">
        <v>1162</v>
      </c>
      <c r="C33" s="109"/>
      <c r="D33" s="111"/>
      <c r="E33" s="111"/>
      <c r="F33" s="111" t="s">
        <v>1180</v>
      </c>
      <c r="G33" s="113"/>
      <c r="H33" s="112"/>
      <c r="I33" s="111"/>
      <c r="J33" s="108">
        <v>46058</v>
      </c>
      <c r="K33" s="109"/>
      <c r="L33" s="108"/>
      <c r="M33" s="107"/>
      <c r="N33" s="333" t="s">
        <v>1201</v>
      </c>
      <c r="O33" s="333"/>
      <c r="P33" s="333"/>
      <c r="Q33" s="334"/>
      <c r="R33" s="106"/>
    </row>
    <row r="34" spans="1:18" s="105" customFormat="1" ht="45" hidden="1" customHeight="1" outlineLevel="1" x14ac:dyDescent="0.3">
      <c r="A34" s="114">
        <f t="shared" si="2"/>
        <v>3.7100000000000013</v>
      </c>
      <c r="B34" s="109" t="s">
        <v>1162</v>
      </c>
      <c r="C34" s="109"/>
      <c r="D34" s="111"/>
      <c r="E34" s="111"/>
      <c r="F34" s="111" t="s">
        <v>1180</v>
      </c>
      <c r="G34" s="113"/>
      <c r="H34" s="112"/>
      <c r="I34" s="111"/>
      <c r="J34" s="108">
        <v>46107</v>
      </c>
      <c r="K34" s="109"/>
      <c r="L34" s="108"/>
      <c r="M34" s="107"/>
      <c r="N34" s="333" t="s">
        <v>1202</v>
      </c>
      <c r="O34" s="333"/>
      <c r="P34" s="333"/>
      <c r="Q34" s="334"/>
      <c r="R34" s="106"/>
    </row>
    <row r="35" spans="1:18" s="105" customFormat="1" ht="66.95" hidden="1" customHeight="1" outlineLevel="1" x14ac:dyDescent="0.3">
      <c r="A35" s="114">
        <f t="shared" si="2"/>
        <v>5.5999999999999979</v>
      </c>
      <c r="B35" s="109" t="s">
        <v>1162</v>
      </c>
      <c r="C35" s="109"/>
      <c r="D35" s="111"/>
      <c r="E35" s="111"/>
      <c r="F35" s="111" t="s">
        <v>1180</v>
      </c>
      <c r="G35" s="113"/>
      <c r="H35" s="112"/>
      <c r="I35" s="111"/>
      <c r="J35" s="108">
        <v>46120</v>
      </c>
      <c r="K35" s="109"/>
      <c r="L35" s="108"/>
      <c r="M35" s="107"/>
      <c r="N35" s="333" t="s">
        <v>1203</v>
      </c>
      <c r="O35" s="333"/>
      <c r="P35" s="333"/>
      <c r="Q35" s="334"/>
      <c r="R35" s="106"/>
    </row>
    <row r="36" spans="1:18" s="105" customFormat="1" ht="66.95" hidden="1" customHeight="1" outlineLevel="1" thickBot="1" x14ac:dyDescent="0.3">
      <c r="A36" s="114">
        <f t="shared" si="2"/>
        <v>5.5099999999999989</v>
      </c>
      <c r="B36" s="109" t="s">
        <v>1162</v>
      </c>
      <c r="C36" s="109"/>
      <c r="D36" s="111"/>
      <c r="E36" s="111"/>
      <c r="F36" s="111" t="s">
        <v>1180</v>
      </c>
      <c r="G36" s="113"/>
      <c r="H36" s="112"/>
      <c r="I36" s="111"/>
      <c r="J36" s="108">
        <v>46128</v>
      </c>
      <c r="K36" s="109"/>
      <c r="L36" s="108"/>
      <c r="M36" s="107"/>
      <c r="N36" s="333" t="s">
        <v>1204</v>
      </c>
      <c r="O36" s="333"/>
      <c r="P36" s="333"/>
      <c r="Q36" s="334"/>
      <c r="R36" s="106"/>
    </row>
    <row r="37" spans="1:18" ht="16.5" collapsed="1" thickBot="1" x14ac:dyDescent="0.3">
      <c r="A37" s="133">
        <f>+A55+1</f>
        <v>5.6</v>
      </c>
      <c r="B37" s="133" t="s">
        <v>349</v>
      </c>
      <c r="C37" s="134" t="s">
        <v>1156</v>
      </c>
      <c r="D37" s="133" t="s">
        <v>237</v>
      </c>
      <c r="E37" s="133" t="s">
        <v>1205</v>
      </c>
      <c r="F37" s="164" t="s">
        <v>1187</v>
      </c>
      <c r="G37" s="183"/>
      <c r="H37" s="169" t="s">
        <v>1159</v>
      </c>
      <c r="I37" s="190" t="s">
        <v>1206</v>
      </c>
      <c r="J37" s="138">
        <v>46127</v>
      </c>
      <c r="K37" s="125"/>
      <c r="L37" s="124"/>
      <c r="M37" s="164" t="s">
        <v>1189</v>
      </c>
      <c r="N37" s="115"/>
      <c r="O37" s="102"/>
      <c r="P37" s="102"/>
      <c r="Q37" s="101"/>
    </row>
    <row r="38" spans="1:18" s="105" customFormat="1" ht="105" hidden="1" customHeight="1" outlineLevel="1" x14ac:dyDescent="0.3">
      <c r="A38" s="114">
        <f>+A62+0.1</f>
        <v>5.6000000000000014</v>
      </c>
      <c r="B38" s="109" t="s">
        <v>1162</v>
      </c>
      <c r="C38" s="109"/>
      <c r="D38" s="111"/>
      <c r="E38" s="111"/>
      <c r="F38" s="111" t="s">
        <v>1187</v>
      </c>
      <c r="G38" s="113"/>
      <c r="H38" s="112"/>
      <c r="I38" s="111"/>
      <c r="J38" s="108">
        <v>46128</v>
      </c>
      <c r="K38" s="109"/>
      <c r="L38" s="108"/>
      <c r="M38" s="107"/>
      <c r="N38" s="333" t="s">
        <v>1207</v>
      </c>
      <c r="O38" s="333"/>
      <c r="P38" s="333"/>
      <c r="Q38" s="334"/>
      <c r="R38" s="106"/>
    </row>
    <row r="39" spans="1:18" s="105" customFormat="1" ht="105" hidden="1" customHeight="1" outlineLevel="1" x14ac:dyDescent="0.3">
      <c r="A39" s="114">
        <f>+A63+0.1</f>
        <v>10.199999999999998</v>
      </c>
      <c r="B39" s="109" t="s">
        <v>1162</v>
      </c>
      <c r="C39" s="109"/>
      <c r="D39" s="111"/>
      <c r="E39" s="111"/>
      <c r="F39" s="111" t="s">
        <v>1187</v>
      </c>
      <c r="G39" s="113"/>
      <c r="H39" s="112"/>
      <c r="I39" s="111"/>
      <c r="J39" s="108">
        <v>46134</v>
      </c>
      <c r="K39" s="109"/>
      <c r="L39" s="108"/>
      <c r="M39" s="107"/>
      <c r="N39" s="333" t="s">
        <v>1208</v>
      </c>
      <c r="O39" s="333"/>
      <c r="P39" s="333"/>
      <c r="Q39" s="334"/>
      <c r="R39" s="106"/>
    </row>
    <row r="40" spans="1:18" s="105" customFormat="1" ht="87.95" hidden="1" customHeight="1" outlineLevel="1" thickBot="1" x14ac:dyDescent="0.3">
      <c r="A40" s="114">
        <f>+A64+0.1</f>
        <v>4.6099999999999994</v>
      </c>
      <c r="B40" s="109" t="s">
        <v>1162</v>
      </c>
      <c r="C40" s="109"/>
      <c r="D40" s="111"/>
      <c r="E40" s="111"/>
      <c r="F40" s="111" t="s">
        <v>1187</v>
      </c>
      <c r="G40" s="113"/>
      <c r="H40" s="112"/>
      <c r="I40" s="111"/>
      <c r="J40" s="108">
        <v>46141</v>
      </c>
      <c r="K40" s="109"/>
      <c r="L40" s="108"/>
      <c r="M40" s="107"/>
      <c r="N40" s="333" t="s">
        <v>1209</v>
      </c>
      <c r="O40" s="333"/>
      <c r="P40" s="333"/>
      <c r="Q40" s="334"/>
      <c r="R40" s="106"/>
    </row>
    <row r="41" spans="1:18" ht="16.5" collapsed="1" thickBot="1" x14ac:dyDescent="0.3">
      <c r="A41" s="133">
        <f>+A62+1</f>
        <v>6.5000000000000018</v>
      </c>
      <c r="B41" s="133" t="s">
        <v>210</v>
      </c>
      <c r="C41" s="134" t="s">
        <v>1156</v>
      </c>
      <c r="D41" s="133" t="s">
        <v>237</v>
      </c>
      <c r="E41" s="133" t="s">
        <v>1205</v>
      </c>
      <c r="F41" s="164" t="s">
        <v>1187</v>
      </c>
      <c r="G41" s="184"/>
      <c r="H41" s="169" t="s">
        <v>1159</v>
      </c>
      <c r="I41" s="173" t="s">
        <v>1210</v>
      </c>
      <c r="J41" s="138">
        <v>45876</v>
      </c>
      <c r="K41" s="125"/>
      <c r="L41" s="124"/>
      <c r="M41" s="164" t="s">
        <v>1161</v>
      </c>
      <c r="N41" s="115"/>
      <c r="O41" s="102"/>
      <c r="P41" s="102"/>
      <c r="Q41" s="101"/>
    </row>
    <row r="42" spans="1:18" s="105" customFormat="1" ht="66.599999999999994" hidden="1" customHeight="1" outlineLevel="1" x14ac:dyDescent="0.3">
      <c r="A42" s="114">
        <f t="shared" ref="A42:A50" si="3">+A66+0.1</f>
        <v>10.199999999999998</v>
      </c>
      <c r="B42" s="109" t="s">
        <v>1162</v>
      </c>
      <c r="C42" s="109"/>
      <c r="D42" s="111"/>
      <c r="E42" s="111"/>
      <c r="F42" s="111" t="s">
        <v>1187</v>
      </c>
      <c r="G42" s="113"/>
      <c r="H42" s="112"/>
      <c r="I42" s="111"/>
      <c r="J42" s="108">
        <v>45952</v>
      </c>
      <c r="K42" s="109"/>
      <c r="L42" s="108"/>
      <c r="M42" s="107"/>
      <c r="N42" s="333" t="s">
        <v>1211</v>
      </c>
      <c r="O42" s="333"/>
      <c r="P42" s="333"/>
      <c r="Q42" s="334"/>
      <c r="R42" s="106"/>
    </row>
    <row r="43" spans="1:18" s="105" customFormat="1" ht="45" hidden="1" customHeight="1" outlineLevel="1" x14ac:dyDescent="0.3">
      <c r="A43" s="114">
        <f t="shared" si="3"/>
        <v>10.199999999999998</v>
      </c>
      <c r="B43" s="109" t="s">
        <v>1162</v>
      </c>
      <c r="C43" s="109"/>
      <c r="D43" s="111"/>
      <c r="E43" s="111"/>
      <c r="F43" s="111" t="s">
        <v>1187</v>
      </c>
      <c r="G43" s="113"/>
      <c r="H43" s="112"/>
      <c r="I43" s="111"/>
      <c r="J43" s="108">
        <v>45966</v>
      </c>
      <c r="K43" s="109"/>
      <c r="L43" s="108"/>
      <c r="M43" s="107"/>
      <c r="N43" s="333" t="s">
        <v>1212</v>
      </c>
      <c r="O43" s="333"/>
      <c r="P43" s="333"/>
      <c r="Q43" s="334"/>
      <c r="R43" s="106"/>
    </row>
    <row r="44" spans="1:18" s="105" customFormat="1" ht="45" hidden="1" customHeight="1" outlineLevel="1" x14ac:dyDescent="0.3">
      <c r="A44" s="114">
        <f t="shared" si="3"/>
        <v>11.099999999999998</v>
      </c>
      <c r="B44" s="109" t="s">
        <v>1162</v>
      </c>
      <c r="C44" s="109"/>
      <c r="D44" s="111"/>
      <c r="E44" s="111"/>
      <c r="F44" s="111" t="s">
        <v>1187</v>
      </c>
      <c r="G44" s="113"/>
      <c r="H44" s="112"/>
      <c r="I44" s="111"/>
      <c r="J44" s="108">
        <v>45980</v>
      </c>
      <c r="K44" s="109"/>
      <c r="L44" s="108"/>
      <c r="M44" s="107"/>
      <c r="N44" s="333" t="s">
        <v>1213</v>
      </c>
      <c r="O44" s="333"/>
      <c r="P44" s="333"/>
      <c r="Q44" s="334"/>
      <c r="R44" s="106"/>
    </row>
    <row r="45" spans="1:18" s="105" customFormat="1" ht="45" hidden="1" customHeight="1" outlineLevel="1" x14ac:dyDescent="0.3">
      <c r="A45" s="114">
        <f t="shared" si="3"/>
        <v>11.099999999999998</v>
      </c>
      <c r="B45" s="109" t="s">
        <v>1162</v>
      </c>
      <c r="C45" s="109"/>
      <c r="D45" s="111"/>
      <c r="E45" s="111"/>
      <c r="F45" s="111" t="s">
        <v>1187</v>
      </c>
      <c r="G45" s="113"/>
      <c r="H45" s="112"/>
      <c r="I45" s="111"/>
      <c r="J45" s="108">
        <v>45987</v>
      </c>
      <c r="K45" s="109"/>
      <c r="L45" s="108"/>
      <c r="M45" s="107"/>
      <c r="N45" s="333" t="s">
        <v>1214</v>
      </c>
      <c r="O45" s="333"/>
      <c r="P45" s="333"/>
      <c r="Q45" s="334"/>
      <c r="R45" s="106"/>
    </row>
    <row r="46" spans="1:18" s="105" customFormat="1" ht="45" hidden="1" customHeight="1" outlineLevel="1" x14ac:dyDescent="0.3">
      <c r="A46" s="114">
        <f t="shared" si="3"/>
        <v>9.1999999999999957</v>
      </c>
      <c r="B46" s="109" t="s">
        <v>1162</v>
      </c>
      <c r="C46" s="109"/>
      <c r="D46" s="111"/>
      <c r="E46" s="111"/>
      <c r="F46" s="111" t="s">
        <v>1187</v>
      </c>
      <c r="G46" s="113"/>
      <c r="H46" s="112"/>
      <c r="I46" s="111"/>
      <c r="J46" s="108">
        <v>45995</v>
      </c>
      <c r="K46" s="109"/>
      <c r="L46" s="108"/>
      <c r="M46" s="107"/>
      <c r="N46" s="333" t="s">
        <v>1215</v>
      </c>
      <c r="O46" s="333"/>
      <c r="P46" s="333"/>
      <c r="Q46" s="334"/>
      <c r="R46" s="106"/>
    </row>
    <row r="47" spans="1:18" s="105" customFormat="1" ht="45" hidden="1" customHeight="1" outlineLevel="1" x14ac:dyDescent="0.3">
      <c r="A47" s="114">
        <f t="shared" si="3"/>
        <v>5.5999999999999988</v>
      </c>
      <c r="B47" s="109" t="s">
        <v>1162</v>
      </c>
      <c r="C47" s="109"/>
      <c r="D47" s="111"/>
      <c r="E47" s="111"/>
      <c r="F47" s="111" t="s">
        <v>1187</v>
      </c>
      <c r="G47" s="113"/>
      <c r="H47" s="112"/>
      <c r="I47" s="111"/>
      <c r="J47" s="108">
        <v>46051</v>
      </c>
      <c r="K47" s="109"/>
      <c r="L47" s="108"/>
      <c r="M47" s="107"/>
      <c r="N47" s="333" t="s">
        <v>1216</v>
      </c>
      <c r="O47" s="333"/>
      <c r="P47" s="333"/>
      <c r="Q47" s="334"/>
      <c r="R47" s="106"/>
    </row>
    <row r="48" spans="1:18" s="105" customFormat="1" ht="45" hidden="1" customHeight="1" outlineLevel="1" x14ac:dyDescent="0.3">
      <c r="A48" s="114">
        <f t="shared" si="3"/>
        <v>5.51</v>
      </c>
      <c r="B48" s="109" t="s">
        <v>1162</v>
      </c>
      <c r="C48" s="109"/>
      <c r="D48" s="111"/>
      <c r="E48" s="111"/>
      <c r="F48" s="111" t="s">
        <v>1187</v>
      </c>
      <c r="G48" s="113"/>
      <c r="H48" s="112"/>
      <c r="I48" s="111"/>
      <c r="J48" s="108">
        <v>46107</v>
      </c>
      <c r="K48" s="109"/>
      <c r="L48" s="108"/>
      <c r="M48" s="107"/>
      <c r="N48" s="333" t="s">
        <v>1217</v>
      </c>
      <c r="O48" s="333"/>
      <c r="P48" s="333"/>
      <c r="Q48" s="334"/>
      <c r="R48" s="106"/>
    </row>
    <row r="49" spans="1:18" s="105" customFormat="1" ht="48.95" hidden="1" customHeight="1" outlineLevel="1" x14ac:dyDescent="0.3">
      <c r="A49" s="114">
        <f t="shared" si="3"/>
        <v>6.4999999999999982</v>
      </c>
      <c r="B49" s="109" t="s">
        <v>1162</v>
      </c>
      <c r="C49" s="109"/>
      <c r="D49" s="111"/>
      <c r="E49" s="111"/>
      <c r="F49" s="111" t="s">
        <v>1187</v>
      </c>
      <c r="G49" s="113"/>
      <c r="H49" s="112"/>
      <c r="I49" s="111"/>
      <c r="J49" s="108">
        <v>46120</v>
      </c>
      <c r="K49" s="109"/>
      <c r="L49" s="108"/>
      <c r="M49" s="107"/>
      <c r="N49" s="333" t="s">
        <v>1218</v>
      </c>
      <c r="O49" s="333"/>
      <c r="P49" s="333"/>
      <c r="Q49" s="334"/>
      <c r="R49" s="106"/>
    </row>
    <row r="50" spans="1:18" s="105" customFormat="1" ht="48.95" hidden="1" customHeight="1" outlineLevel="1" x14ac:dyDescent="0.3">
      <c r="A50" s="114">
        <f t="shared" si="3"/>
        <v>11.999999999999998</v>
      </c>
      <c r="B50" s="109" t="s">
        <v>1162</v>
      </c>
      <c r="C50" s="109"/>
      <c r="D50" s="111"/>
      <c r="E50" s="111"/>
      <c r="F50" s="111" t="s">
        <v>1187</v>
      </c>
      <c r="G50" s="113"/>
      <c r="H50" s="112"/>
      <c r="I50" s="111"/>
      <c r="J50" s="108">
        <v>46128</v>
      </c>
      <c r="K50" s="109"/>
      <c r="L50" s="108"/>
      <c r="M50" s="107"/>
      <c r="N50" s="333" t="s">
        <v>1219</v>
      </c>
      <c r="O50" s="333"/>
      <c r="P50" s="333"/>
      <c r="Q50" s="334"/>
      <c r="R50" s="106"/>
    </row>
    <row r="51" spans="1:18" s="105" customFormat="1" ht="48.95" hidden="1" customHeight="1" outlineLevel="1" thickBot="1" x14ac:dyDescent="0.3">
      <c r="A51" s="114">
        <f>+A75+0.01</f>
        <v>12.809999999999999</v>
      </c>
      <c r="B51" s="109" t="s">
        <v>1162</v>
      </c>
      <c r="C51" s="109"/>
      <c r="D51" s="111"/>
      <c r="E51" s="111"/>
      <c r="F51" s="111" t="s">
        <v>1187</v>
      </c>
      <c r="G51" s="113"/>
      <c r="H51" s="112"/>
      <c r="I51" s="111"/>
      <c r="J51" s="108">
        <v>46134</v>
      </c>
      <c r="K51" s="109"/>
      <c r="L51" s="108"/>
      <c r="M51" s="107"/>
      <c r="N51" s="333" t="s">
        <v>1220</v>
      </c>
      <c r="O51" s="333"/>
      <c r="P51" s="333"/>
      <c r="Q51" s="334"/>
      <c r="R51" s="106"/>
    </row>
    <row r="52" spans="1:18" ht="16.5" hidden="1" collapsed="1" thickBot="1" x14ac:dyDescent="0.3">
      <c r="A52" s="133">
        <f>+A66+1</f>
        <v>11.099999999999998</v>
      </c>
      <c r="B52" s="133" t="s">
        <v>94</v>
      </c>
      <c r="C52" s="134" t="s">
        <v>1156</v>
      </c>
      <c r="D52" s="133" t="s">
        <v>237</v>
      </c>
      <c r="E52" s="133" t="s">
        <v>1221</v>
      </c>
      <c r="F52" s="136" t="s">
        <v>1190</v>
      </c>
      <c r="G52" s="184" t="s">
        <v>1222</v>
      </c>
      <c r="H52" s="99" t="s">
        <v>1169</v>
      </c>
      <c r="I52" s="165"/>
      <c r="J52" s="138">
        <v>45785</v>
      </c>
      <c r="K52" s="125"/>
      <c r="L52" s="124"/>
      <c r="M52" s="164" t="s">
        <v>1161</v>
      </c>
      <c r="N52" s="97"/>
      <c r="O52" s="96"/>
      <c r="P52" s="96"/>
      <c r="Q52" s="95"/>
    </row>
    <row r="53" spans="1:18" s="105" customFormat="1" ht="45" hidden="1" customHeight="1" outlineLevel="1" x14ac:dyDescent="0.3">
      <c r="A53" s="114">
        <f t="shared" ref="A53:A61" si="4">+A77+0.1</f>
        <v>4.6000000000000014</v>
      </c>
      <c r="B53" s="109" t="s">
        <v>1162</v>
      </c>
      <c r="C53" s="109"/>
      <c r="D53" s="111"/>
      <c r="E53" s="111"/>
      <c r="F53" s="111" t="s">
        <v>1187</v>
      </c>
      <c r="G53" s="113"/>
      <c r="H53" s="112"/>
      <c r="I53" s="111"/>
      <c r="J53" s="108">
        <v>45952</v>
      </c>
      <c r="K53" s="109"/>
      <c r="L53" s="108"/>
      <c r="M53" s="107"/>
      <c r="N53" s="333" t="s">
        <v>1223</v>
      </c>
      <c r="O53" s="333"/>
      <c r="P53" s="333"/>
      <c r="Q53" s="334"/>
      <c r="R53" s="106"/>
    </row>
    <row r="54" spans="1:18" s="105" customFormat="1" ht="61.5" hidden="1" customHeight="1" outlineLevel="1" x14ac:dyDescent="0.3">
      <c r="A54" s="114">
        <f t="shared" si="4"/>
        <v>4.5999999999999979</v>
      </c>
      <c r="B54" s="109" t="s">
        <v>1162</v>
      </c>
      <c r="C54" s="109"/>
      <c r="D54" s="111"/>
      <c r="E54" s="111"/>
      <c r="F54" s="111" t="s">
        <v>1187</v>
      </c>
      <c r="G54" s="113"/>
      <c r="H54" s="112"/>
      <c r="I54" s="111"/>
      <c r="J54" s="108">
        <v>45966</v>
      </c>
      <c r="K54" s="109"/>
      <c r="L54" s="108"/>
      <c r="M54" s="107"/>
      <c r="N54" s="333" t="s">
        <v>1224</v>
      </c>
      <c r="O54" s="333"/>
      <c r="P54" s="333"/>
      <c r="Q54" s="334"/>
      <c r="R54" s="106"/>
    </row>
    <row r="55" spans="1:18" s="105" customFormat="1" ht="45" hidden="1" customHeight="1" outlineLevel="1" x14ac:dyDescent="0.3">
      <c r="A55" s="114">
        <f t="shared" si="4"/>
        <v>4.5999999999999996</v>
      </c>
      <c r="B55" s="109" t="s">
        <v>1162</v>
      </c>
      <c r="C55" s="109"/>
      <c r="D55" s="111"/>
      <c r="E55" s="111"/>
      <c r="F55" s="111" t="s">
        <v>1187</v>
      </c>
      <c r="G55" s="113"/>
      <c r="H55" s="112"/>
      <c r="I55" s="111"/>
      <c r="J55" s="108">
        <v>45995</v>
      </c>
      <c r="K55" s="109"/>
      <c r="L55" s="108"/>
      <c r="M55" s="107"/>
      <c r="N55" s="333" t="s">
        <v>1225</v>
      </c>
      <c r="O55" s="333"/>
      <c r="P55" s="333"/>
      <c r="Q55" s="334"/>
      <c r="R55" s="106"/>
    </row>
    <row r="56" spans="1:18" s="105" customFormat="1" ht="45" hidden="1" customHeight="1" outlineLevel="1" x14ac:dyDescent="0.3">
      <c r="A56" s="114">
        <f t="shared" si="4"/>
        <v>4.5999999999999996</v>
      </c>
      <c r="B56" s="109" t="s">
        <v>1162</v>
      </c>
      <c r="C56" s="109"/>
      <c r="D56" s="111"/>
      <c r="E56" s="111"/>
      <c r="F56" s="111" t="s">
        <v>1187</v>
      </c>
      <c r="G56" s="113"/>
      <c r="H56" s="112"/>
      <c r="I56" s="111"/>
      <c r="J56" s="108">
        <v>46051</v>
      </c>
      <c r="K56" s="109"/>
      <c r="L56" s="108"/>
      <c r="M56" s="107"/>
      <c r="N56" s="333" t="s">
        <v>1226</v>
      </c>
      <c r="O56" s="333"/>
      <c r="P56" s="333"/>
      <c r="Q56" s="334"/>
      <c r="R56" s="106"/>
    </row>
    <row r="57" spans="1:18" s="105" customFormat="1" ht="45" hidden="1" customHeight="1" outlineLevel="1" x14ac:dyDescent="0.3">
      <c r="A57" s="114">
        <f t="shared" si="4"/>
        <v>2.7100000000000013</v>
      </c>
      <c r="B57" s="109" t="s">
        <v>1162</v>
      </c>
      <c r="C57" s="109"/>
      <c r="D57" s="111"/>
      <c r="E57" s="111"/>
      <c r="F57" s="111" t="s">
        <v>1187</v>
      </c>
      <c r="G57" s="113"/>
      <c r="H57" s="112"/>
      <c r="I57" s="111"/>
      <c r="J57" s="108">
        <v>46107</v>
      </c>
      <c r="K57" s="109"/>
      <c r="L57" s="108"/>
      <c r="M57" s="107"/>
      <c r="N57" s="333" t="s">
        <v>1227</v>
      </c>
      <c r="O57" s="333"/>
      <c r="P57" s="333"/>
      <c r="Q57" s="334"/>
      <c r="R57" s="106"/>
    </row>
    <row r="58" spans="1:18" s="105" customFormat="1" ht="45" hidden="1" customHeight="1" outlineLevel="1" x14ac:dyDescent="0.3">
      <c r="A58" s="114">
        <f t="shared" si="4"/>
        <v>3.6100000000000012</v>
      </c>
      <c r="B58" s="109" t="s">
        <v>1162</v>
      </c>
      <c r="C58" s="109"/>
      <c r="D58" s="111"/>
      <c r="E58" s="111"/>
      <c r="F58" s="111" t="s">
        <v>1187</v>
      </c>
      <c r="G58" s="113"/>
      <c r="H58" s="112"/>
      <c r="I58" s="111"/>
      <c r="J58" s="108">
        <v>46120</v>
      </c>
      <c r="K58" s="109"/>
      <c r="L58" s="108"/>
      <c r="M58" s="107"/>
      <c r="N58" s="333" t="s">
        <v>1228</v>
      </c>
      <c r="O58" s="333"/>
      <c r="P58" s="333"/>
      <c r="Q58" s="334"/>
      <c r="R58" s="106"/>
    </row>
    <row r="59" spans="1:18" s="105" customFormat="1" ht="54.6" hidden="1" customHeight="1" outlineLevel="1" x14ac:dyDescent="0.3">
      <c r="A59" s="114">
        <f t="shared" si="4"/>
        <v>5.4999999999999982</v>
      </c>
      <c r="B59" s="109" t="s">
        <v>1162</v>
      </c>
      <c r="C59" s="109"/>
      <c r="D59" s="111"/>
      <c r="E59" s="111"/>
      <c r="F59" s="111" t="s">
        <v>1187</v>
      </c>
      <c r="G59" s="113"/>
      <c r="H59" s="112"/>
      <c r="I59" s="111"/>
      <c r="J59" s="108">
        <v>46128</v>
      </c>
      <c r="K59" s="109"/>
      <c r="L59" s="108"/>
      <c r="M59" s="107"/>
      <c r="N59" s="333" t="s">
        <v>1229</v>
      </c>
      <c r="O59" s="333"/>
      <c r="P59" s="333"/>
      <c r="Q59" s="334"/>
      <c r="R59" s="106"/>
    </row>
    <row r="60" spans="1:18" s="105" customFormat="1" ht="62.45" hidden="1" customHeight="1" outlineLevel="1" x14ac:dyDescent="0.3">
      <c r="A60" s="114">
        <f t="shared" si="4"/>
        <v>5.4099999999999993</v>
      </c>
      <c r="B60" s="109" t="s">
        <v>1162</v>
      </c>
      <c r="C60" s="109"/>
      <c r="D60" s="111"/>
      <c r="E60" s="111"/>
      <c r="F60" s="111" t="s">
        <v>1187</v>
      </c>
      <c r="G60" s="113"/>
      <c r="H60" s="112"/>
      <c r="I60" s="111"/>
      <c r="J60" s="108">
        <v>46134</v>
      </c>
      <c r="K60" s="109"/>
      <c r="L60" s="108"/>
      <c r="M60" s="107"/>
      <c r="N60" s="333" t="s">
        <v>1230</v>
      </c>
      <c r="O60" s="333"/>
      <c r="P60" s="333"/>
      <c r="Q60" s="334"/>
      <c r="R60" s="106"/>
    </row>
    <row r="61" spans="1:18" s="105" customFormat="1" ht="62.45" hidden="1" customHeight="1" outlineLevel="1" thickBot="1" x14ac:dyDescent="0.3">
      <c r="A61" s="114">
        <f t="shared" si="4"/>
        <v>3.5200000000000009</v>
      </c>
      <c r="B61" s="109" t="s">
        <v>1162</v>
      </c>
      <c r="C61" s="109"/>
      <c r="D61" s="111"/>
      <c r="E61" s="111"/>
      <c r="F61" s="111" t="s">
        <v>1187</v>
      </c>
      <c r="G61" s="113"/>
      <c r="H61" s="112"/>
      <c r="I61" s="111"/>
      <c r="J61" s="108">
        <v>46141</v>
      </c>
      <c r="K61" s="109"/>
      <c r="L61" s="108"/>
      <c r="M61" s="107"/>
      <c r="N61" s="333" t="s">
        <v>1231</v>
      </c>
      <c r="O61" s="333"/>
      <c r="P61" s="333"/>
      <c r="Q61" s="334"/>
      <c r="R61" s="106"/>
    </row>
    <row r="62" spans="1:18" ht="16.5" hidden="1" collapsed="1" thickBot="1" x14ac:dyDescent="0.3">
      <c r="A62" s="133">
        <f>+A77+1</f>
        <v>5.5000000000000018</v>
      </c>
      <c r="B62" s="133" t="s">
        <v>196</v>
      </c>
      <c r="C62" s="134" t="s">
        <v>1156</v>
      </c>
      <c r="D62" s="133" t="s">
        <v>237</v>
      </c>
      <c r="E62" s="133" t="s">
        <v>1232</v>
      </c>
      <c r="F62" s="133" t="s">
        <v>1167</v>
      </c>
      <c r="G62" s="184" t="s">
        <v>1233</v>
      </c>
      <c r="H62" s="99" t="s">
        <v>1169</v>
      </c>
      <c r="I62" s="165"/>
      <c r="J62" s="182"/>
      <c r="K62" s="127"/>
      <c r="L62" s="126"/>
      <c r="M62" s="164"/>
      <c r="N62" s="103"/>
      <c r="O62" s="102"/>
      <c r="P62" s="102"/>
      <c r="Q62" s="101"/>
    </row>
    <row r="63" spans="1:18" ht="16.5" hidden="1" thickBot="1" x14ac:dyDescent="0.3">
      <c r="A63" s="133">
        <f>+A87+1</f>
        <v>10.099999999999998</v>
      </c>
      <c r="B63" s="133" t="s">
        <v>1234</v>
      </c>
      <c r="C63" s="134" t="s">
        <v>1156</v>
      </c>
      <c r="D63" s="133" t="s">
        <v>237</v>
      </c>
      <c r="E63" s="133" t="s">
        <v>1235</v>
      </c>
      <c r="F63" s="164" t="s">
        <v>44</v>
      </c>
      <c r="G63" s="183"/>
      <c r="H63" s="175" t="s">
        <v>1236</v>
      </c>
      <c r="I63" s="189" t="s">
        <v>1237</v>
      </c>
      <c r="J63" s="152">
        <v>46034</v>
      </c>
      <c r="K63" s="140"/>
      <c r="L63" s="136"/>
      <c r="M63" s="164" t="s">
        <v>1238</v>
      </c>
      <c r="N63" s="115"/>
      <c r="O63" s="102"/>
      <c r="P63" s="102"/>
      <c r="Q63" s="101"/>
    </row>
    <row r="64" spans="1:18" ht="45.95" hidden="1" customHeight="1" outlineLevel="1" x14ac:dyDescent="0.3">
      <c r="A64" s="114">
        <f t="shared" ref="A64:A71" si="5">+A88+0.1</f>
        <v>4.51</v>
      </c>
      <c r="B64" s="109" t="s">
        <v>1162</v>
      </c>
      <c r="C64" s="109"/>
      <c r="D64" s="187"/>
      <c r="E64" s="187"/>
      <c r="F64" s="111" t="s">
        <v>44</v>
      </c>
      <c r="G64" s="183"/>
      <c r="H64" s="188"/>
      <c r="I64" s="187"/>
      <c r="J64" s="108">
        <v>46037</v>
      </c>
      <c r="K64" s="186"/>
      <c r="L64" s="185"/>
      <c r="N64" s="354" t="s">
        <v>1239</v>
      </c>
      <c r="O64" s="354"/>
      <c r="P64" s="354"/>
      <c r="Q64" s="355"/>
    </row>
    <row r="65" spans="1:18" ht="45" hidden="1" customHeight="1" outlineLevel="1" x14ac:dyDescent="0.3">
      <c r="A65" s="114">
        <f t="shared" si="5"/>
        <v>4.5999999999999988</v>
      </c>
      <c r="B65" s="109" t="s">
        <v>1162</v>
      </c>
      <c r="C65" s="109"/>
      <c r="D65" s="187"/>
      <c r="E65" s="187"/>
      <c r="F65" s="111" t="s">
        <v>44</v>
      </c>
      <c r="G65" s="183"/>
      <c r="H65" s="188"/>
      <c r="I65" s="187"/>
      <c r="J65" s="108">
        <v>46051</v>
      </c>
      <c r="K65" s="186"/>
      <c r="L65" s="185"/>
      <c r="N65" s="333" t="s">
        <v>1240</v>
      </c>
      <c r="O65" s="333"/>
      <c r="P65" s="333"/>
      <c r="Q65" s="334"/>
    </row>
    <row r="66" spans="1:18" ht="100.5" hidden="1" customHeight="1" outlineLevel="1" x14ac:dyDescent="0.3">
      <c r="A66" s="114">
        <f t="shared" si="5"/>
        <v>10.099999999999998</v>
      </c>
      <c r="B66" s="109" t="s">
        <v>1162</v>
      </c>
      <c r="C66" s="109"/>
      <c r="D66" s="187"/>
      <c r="E66" s="187"/>
      <c r="F66" s="111" t="s">
        <v>44</v>
      </c>
      <c r="G66" s="183"/>
      <c r="H66" s="188"/>
      <c r="I66" s="187"/>
      <c r="J66" s="108">
        <v>46058</v>
      </c>
      <c r="K66" s="186"/>
      <c r="L66" s="185"/>
      <c r="N66" s="333" t="s">
        <v>1241</v>
      </c>
      <c r="O66" s="333"/>
      <c r="P66" s="333"/>
      <c r="Q66" s="334"/>
    </row>
    <row r="67" spans="1:18" s="105" customFormat="1" ht="53.1" hidden="1" customHeight="1" outlineLevel="1" x14ac:dyDescent="0.3">
      <c r="A67" s="114">
        <f t="shared" si="5"/>
        <v>10.099999999999998</v>
      </c>
      <c r="B67" s="109" t="s">
        <v>1162</v>
      </c>
      <c r="C67" s="109"/>
      <c r="D67" s="111"/>
      <c r="E67" s="111"/>
      <c r="F67" s="111" t="s">
        <v>44</v>
      </c>
      <c r="G67" s="113"/>
      <c r="H67" s="112"/>
      <c r="I67" s="111"/>
      <c r="J67" s="108">
        <v>46107</v>
      </c>
      <c r="K67" s="109"/>
      <c r="L67" s="108"/>
      <c r="M67" s="107"/>
      <c r="N67" s="333" t="s">
        <v>1242</v>
      </c>
      <c r="O67" s="333"/>
      <c r="P67" s="333"/>
      <c r="Q67" s="334"/>
      <c r="R67" s="106"/>
    </row>
    <row r="68" spans="1:18" s="105" customFormat="1" ht="66.95" hidden="1" customHeight="1" outlineLevel="1" x14ac:dyDescent="0.3">
      <c r="A68" s="114">
        <f t="shared" si="5"/>
        <v>10.999999999999998</v>
      </c>
      <c r="B68" s="109" t="s">
        <v>1162</v>
      </c>
      <c r="C68" s="109"/>
      <c r="D68" s="111"/>
      <c r="E68" s="111"/>
      <c r="F68" s="111" t="s">
        <v>44</v>
      </c>
      <c r="G68" s="113"/>
      <c r="H68" s="112"/>
      <c r="I68" s="111"/>
      <c r="J68" s="108">
        <v>46120</v>
      </c>
      <c r="K68" s="109"/>
      <c r="L68" s="108"/>
      <c r="M68" s="107"/>
      <c r="N68" s="333" t="s">
        <v>1243</v>
      </c>
      <c r="O68" s="333"/>
      <c r="P68" s="333"/>
      <c r="Q68" s="334"/>
      <c r="R68" s="106"/>
    </row>
    <row r="69" spans="1:18" s="105" customFormat="1" ht="66.95" hidden="1" customHeight="1" outlineLevel="1" x14ac:dyDescent="0.3">
      <c r="A69" s="114">
        <f t="shared" si="5"/>
        <v>10.999999999999998</v>
      </c>
      <c r="B69" s="109" t="s">
        <v>1162</v>
      </c>
      <c r="C69" s="109"/>
      <c r="D69" s="111"/>
      <c r="E69" s="111"/>
      <c r="F69" s="111" t="s">
        <v>44</v>
      </c>
      <c r="G69" s="113"/>
      <c r="H69" s="112"/>
      <c r="I69" s="111"/>
      <c r="J69" s="108">
        <v>46128</v>
      </c>
      <c r="K69" s="109"/>
      <c r="L69" s="108"/>
      <c r="M69" s="107"/>
      <c r="N69" s="333" t="s">
        <v>1244</v>
      </c>
      <c r="O69" s="333"/>
      <c r="P69" s="333"/>
      <c r="Q69" s="334"/>
      <c r="R69" s="106"/>
    </row>
    <row r="70" spans="1:18" s="105" customFormat="1" ht="66.95" hidden="1" customHeight="1" outlineLevel="1" x14ac:dyDescent="0.3">
      <c r="A70" s="114">
        <f t="shared" si="5"/>
        <v>9.0999999999999961</v>
      </c>
      <c r="B70" s="109" t="s">
        <v>1162</v>
      </c>
      <c r="C70" s="109"/>
      <c r="D70" s="111"/>
      <c r="E70" s="111"/>
      <c r="F70" s="111" t="s">
        <v>44</v>
      </c>
      <c r="G70" s="113"/>
      <c r="H70" s="112"/>
      <c r="I70" s="111"/>
      <c r="J70" s="108">
        <v>46134</v>
      </c>
      <c r="K70" s="109"/>
      <c r="L70" s="108"/>
      <c r="M70" s="107"/>
      <c r="N70" s="333" t="s">
        <v>1245</v>
      </c>
      <c r="O70" s="333"/>
      <c r="P70" s="333"/>
      <c r="Q70" s="334"/>
      <c r="R70" s="106"/>
    </row>
    <row r="71" spans="1:18" s="105" customFormat="1" ht="66.95" hidden="1" customHeight="1" outlineLevel="1" thickBot="1" x14ac:dyDescent="0.3">
      <c r="A71" s="114">
        <f t="shared" si="5"/>
        <v>5.4999999999999991</v>
      </c>
      <c r="B71" s="109" t="s">
        <v>1162</v>
      </c>
      <c r="C71" s="109"/>
      <c r="D71" s="111"/>
      <c r="E71" s="111"/>
      <c r="F71" s="111" t="s">
        <v>44</v>
      </c>
      <c r="G71" s="113"/>
      <c r="H71" s="112"/>
      <c r="I71" s="111"/>
      <c r="J71" s="108">
        <v>46141</v>
      </c>
      <c r="K71" s="109"/>
      <c r="L71" s="108"/>
      <c r="M71" s="107"/>
      <c r="N71" s="333" t="s">
        <v>1246</v>
      </c>
      <c r="O71" s="333"/>
      <c r="P71" s="333"/>
      <c r="Q71" s="334"/>
      <c r="R71" s="106"/>
    </row>
    <row r="72" spans="1:18" ht="16.5" hidden="1" collapsed="1" thickBot="1" x14ac:dyDescent="0.3">
      <c r="A72" s="136">
        <f>+A88+1</f>
        <v>5.41</v>
      </c>
      <c r="B72" s="136" t="s">
        <v>121</v>
      </c>
      <c r="C72" s="140" t="s">
        <v>1156</v>
      </c>
      <c r="D72" s="136" t="s">
        <v>237</v>
      </c>
      <c r="E72" s="136" t="s">
        <v>1157</v>
      </c>
      <c r="F72" s="166" t="s">
        <v>1247</v>
      </c>
      <c r="G72" s="184" t="s">
        <v>1248</v>
      </c>
      <c r="H72" s="99" t="s">
        <v>1169</v>
      </c>
      <c r="I72" s="165"/>
      <c r="J72" s="138"/>
      <c r="K72" s="125"/>
      <c r="L72" s="124"/>
      <c r="M72" s="166"/>
      <c r="N72" s="97"/>
      <c r="O72" s="96"/>
      <c r="P72" s="96"/>
      <c r="Q72" s="95"/>
    </row>
    <row r="73" spans="1:18" ht="16.5" hidden="1" thickBot="1" x14ac:dyDescent="0.3">
      <c r="A73" s="136">
        <f>+A97+1</f>
        <v>6.3999999999999986</v>
      </c>
      <c r="B73" s="141" t="s">
        <v>1249</v>
      </c>
      <c r="C73" s="140" t="s">
        <v>1156</v>
      </c>
      <c r="D73" s="136" t="s">
        <v>237</v>
      </c>
      <c r="E73" s="136" t="s">
        <v>1186</v>
      </c>
      <c r="F73" s="154" t="s">
        <v>1158</v>
      </c>
      <c r="G73" s="183"/>
      <c r="H73" s="146" t="s">
        <v>1250</v>
      </c>
      <c r="I73" s="171" t="s">
        <v>1251</v>
      </c>
      <c r="J73" s="136"/>
      <c r="K73" s="140"/>
      <c r="L73" s="136"/>
      <c r="M73" s="133" t="s">
        <v>1238</v>
      </c>
      <c r="N73" s="144"/>
      <c r="O73" s="143"/>
      <c r="P73" s="143"/>
      <c r="Q73" s="142"/>
    </row>
    <row r="74" spans="1:18" s="105" customFormat="1" ht="45" hidden="1" customHeight="1" outlineLevel="1" thickBot="1" x14ac:dyDescent="0.3">
      <c r="A74" s="114">
        <f>+A98+0.1</f>
        <v>11.899999999999999</v>
      </c>
      <c r="B74" s="109" t="s">
        <v>1162</v>
      </c>
      <c r="C74" s="109"/>
      <c r="D74" s="111"/>
      <c r="E74" s="111"/>
      <c r="F74" s="111" t="s">
        <v>1158</v>
      </c>
      <c r="G74" s="113"/>
      <c r="H74" s="112"/>
      <c r="I74" s="111"/>
      <c r="J74" s="108"/>
      <c r="K74" s="109"/>
      <c r="L74" s="108"/>
      <c r="M74" s="107"/>
      <c r="N74" s="333" t="s">
        <v>1252</v>
      </c>
      <c r="O74" s="333"/>
      <c r="P74" s="333"/>
      <c r="Q74" s="334"/>
      <c r="R74" s="106"/>
    </row>
    <row r="75" spans="1:18" ht="16.5" hidden="1" collapsed="1" thickBot="1" x14ac:dyDescent="0.3">
      <c r="A75" s="133">
        <f>+A98+1</f>
        <v>12.799999999999999</v>
      </c>
      <c r="B75" s="133" t="s">
        <v>241</v>
      </c>
      <c r="C75" s="134" t="s">
        <v>1156</v>
      </c>
      <c r="D75" s="133" t="s">
        <v>237</v>
      </c>
      <c r="E75" s="133" t="s">
        <v>1205</v>
      </c>
      <c r="F75" s="136" t="s">
        <v>1190</v>
      </c>
      <c r="G75" s="48" t="s">
        <v>1253</v>
      </c>
      <c r="H75" s="99" t="s">
        <v>1169</v>
      </c>
      <c r="I75" s="165"/>
      <c r="J75" s="182">
        <v>46156</v>
      </c>
      <c r="K75" s="127"/>
      <c r="L75" s="126"/>
      <c r="M75" s="164" t="s">
        <v>1238</v>
      </c>
      <c r="N75" s="97"/>
      <c r="O75" s="96"/>
      <c r="P75" s="96"/>
      <c r="Q75" s="95"/>
    </row>
    <row r="76" spans="1:18" ht="16.5" thickBot="1" x14ac:dyDescent="0.3">
      <c r="A76" s="136">
        <f>+A100+1</f>
        <v>10.899999999999997</v>
      </c>
      <c r="B76" s="136" t="s">
        <v>1254</v>
      </c>
      <c r="C76" s="140" t="s">
        <v>1156</v>
      </c>
      <c r="D76" s="136" t="s">
        <v>237</v>
      </c>
      <c r="E76" s="166" t="s">
        <v>1235</v>
      </c>
      <c r="F76" s="48" t="s">
        <v>44</v>
      </c>
      <c r="G76" s="181"/>
      <c r="H76" s="169" t="s">
        <v>1159</v>
      </c>
      <c r="I76" s="168" t="s">
        <v>1255</v>
      </c>
      <c r="J76" s="152"/>
      <c r="K76" s="140"/>
      <c r="L76" s="136"/>
      <c r="M76" s="166"/>
      <c r="N76" s="115"/>
      <c r="O76" s="102"/>
      <c r="P76" s="102"/>
      <c r="Q76" s="101"/>
    </row>
    <row r="77" spans="1:18" ht="16.5" thickBot="1" x14ac:dyDescent="0.3">
      <c r="A77" s="126">
        <f>+A101+1</f>
        <v>4.5000000000000018</v>
      </c>
      <c r="B77" s="126" t="s">
        <v>1256</v>
      </c>
      <c r="C77" s="127" t="s">
        <v>1257</v>
      </c>
      <c r="D77" s="126" t="s">
        <v>237</v>
      </c>
      <c r="E77" s="126" t="s">
        <v>1258</v>
      </c>
      <c r="F77" s="126" t="s">
        <v>1158</v>
      </c>
      <c r="G77" s="167"/>
      <c r="H77" s="169" t="s">
        <v>1159</v>
      </c>
      <c r="I77" s="180" t="s">
        <v>1259</v>
      </c>
      <c r="J77" s="124"/>
      <c r="K77" s="125"/>
      <c r="L77" s="124"/>
      <c r="M77" s="126" t="s">
        <v>1260</v>
      </c>
      <c r="N77" s="115"/>
      <c r="O77" s="102"/>
      <c r="P77" s="102"/>
      <c r="Q77" s="101"/>
    </row>
    <row r="78" spans="1:18" s="105" customFormat="1" ht="45" hidden="1" customHeight="1" outlineLevel="1" x14ac:dyDescent="0.3">
      <c r="A78" s="114">
        <f>+A102+0.1</f>
        <v>4.4999999999999982</v>
      </c>
      <c r="B78" s="109" t="s">
        <v>1162</v>
      </c>
      <c r="C78" s="109"/>
      <c r="D78" s="111"/>
      <c r="E78" s="111"/>
      <c r="F78" s="111" t="s">
        <v>1158</v>
      </c>
      <c r="G78" s="113"/>
      <c r="H78" s="112"/>
      <c r="I78" s="111"/>
      <c r="J78" s="108">
        <v>45945</v>
      </c>
      <c r="K78" s="109"/>
      <c r="L78" s="108"/>
      <c r="M78" s="107"/>
      <c r="N78" s="333" t="s">
        <v>1261</v>
      </c>
      <c r="O78" s="333"/>
      <c r="P78" s="333"/>
      <c r="Q78" s="334"/>
      <c r="R78" s="106"/>
    </row>
    <row r="79" spans="1:18" s="105" customFormat="1" ht="45" hidden="1" customHeight="1" outlineLevel="1" x14ac:dyDescent="0.3">
      <c r="A79" s="114">
        <f>+A103+0.1</f>
        <v>4.5</v>
      </c>
      <c r="B79" s="109" t="s">
        <v>1162</v>
      </c>
      <c r="C79" s="109"/>
      <c r="D79" s="111"/>
      <c r="E79" s="111"/>
      <c r="F79" s="111" t="s">
        <v>1158</v>
      </c>
      <c r="G79" s="113"/>
      <c r="H79" s="112"/>
      <c r="I79" s="111"/>
      <c r="J79" s="108">
        <v>45952</v>
      </c>
      <c r="K79" s="109"/>
      <c r="L79" s="108"/>
      <c r="M79" s="107"/>
      <c r="N79" s="333" t="s">
        <v>1262</v>
      </c>
      <c r="O79" s="333"/>
      <c r="P79" s="333"/>
      <c r="Q79" s="334"/>
      <c r="R79" s="106"/>
    </row>
    <row r="80" spans="1:18" s="105" customFormat="1" ht="66.599999999999994" hidden="1" customHeight="1" outlineLevel="1" x14ac:dyDescent="0.3">
      <c r="A80" s="114">
        <f>+A104+0.1</f>
        <v>4.5</v>
      </c>
      <c r="B80" s="109" t="s">
        <v>1162</v>
      </c>
      <c r="C80" s="109"/>
      <c r="D80" s="111"/>
      <c r="E80" s="111"/>
      <c r="F80" s="111" t="s">
        <v>1158</v>
      </c>
      <c r="G80" s="113"/>
      <c r="H80" s="112"/>
      <c r="I80" s="111"/>
      <c r="J80" s="108">
        <v>45959</v>
      </c>
      <c r="K80" s="109"/>
      <c r="L80" s="108"/>
      <c r="M80" s="107"/>
      <c r="N80" s="333" t="s">
        <v>1263</v>
      </c>
      <c r="O80" s="333"/>
      <c r="P80" s="333"/>
      <c r="Q80" s="334"/>
      <c r="R80" s="106"/>
    </row>
    <row r="81" spans="1:18" s="105" customFormat="1" ht="65.45" hidden="1" customHeight="1" outlineLevel="1" x14ac:dyDescent="0.3">
      <c r="A81" s="114">
        <f>+A105+0.1</f>
        <v>2.6100000000000012</v>
      </c>
      <c r="B81" s="109" t="s">
        <v>1162</v>
      </c>
      <c r="C81" s="109"/>
      <c r="D81" s="111"/>
      <c r="E81" s="111"/>
      <c r="F81" s="111" t="s">
        <v>1158</v>
      </c>
      <c r="G81" s="113"/>
      <c r="H81" s="112"/>
      <c r="I81" s="111"/>
      <c r="J81" s="108">
        <v>45983</v>
      </c>
      <c r="K81" s="109"/>
      <c r="L81" s="108"/>
      <c r="M81" s="107"/>
      <c r="N81" s="333" t="s">
        <v>1263</v>
      </c>
      <c r="O81" s="333"/>
      <c r="P81" s="333"/>
      <c r="Q81" s="334"/>
      <c r="R81" s="106"/>
    </row>
    <row r="82" spans="1:18" s="105" customFormat="1" ht="45" hidden="1" customHeight="1" outlineLevel="1" thickBot="1" x14ac:dyDescent="0.3">
      <c r="A82" s="114">
        <f>+A106+0.1</f>
        <v>3.5100000000000011</v>
      </c>
      <c r="B82" s="109" t="s">
        <v>1162</v>
      </c>
      <c r="C82" s="109"/>
      <c r="D82" s="111"/>
      <c r="E82" s="111"/>
      <c r="F82" s="111" t="s">
        <v>1158</v>
      </c>
      <c r="G82" s="113"/>
      <c r="H82" s="112"/>
      <c r="I82" s="111"/>
      <c r="J82" s="108">
        <v>46120</v>
      </c>
      <c r="K82" s="109"/>
      <c r="L82" s="108"/>
      <c r="M82" s="107"/>
      <c r="N82" s="333" t="s">
        <v>1264</v>
      </c>
      <c r="O82" s="333"/>
      <c r="P82" s="333"/>
      <c r="Q82" s="334"/>
      <c r="R82" s="106"/>
    </row>
    <row r="83" spans="1:18" ht="16.5" hidden="1" collapsed="1" thickBot="1" x14ac:dyDescent="0.3">
      <c r="A83" s="133">
        <f>+A102+1</f>
        <v>5.3999999999999986</v>
      </c>
      <c r="B83" s="135" t="s">
        <v>1265</v>
      </c>
      <c r="C83" s="134" t="s">
        <v>1257</v>
      </c>
      <c r="D83" s="133" t="s">
        <v>237</v>
      </c>
      <c r="E83" s="133" t="s">
        <v>1266</v>
      </c>
      <c r="F83" s="126" t="s">
        <v>1167</v>
      </c>
      <c r="G83" s="179" t="s">
        <v>1267</v>
      </c>
      <c r="H83" s="99" t="s">
        <v>1169</v>
      </c>
      <c r="I83" s="165"/>
      <c r="J83" s="138">
        <v>45947</v>
      </c>
      <c r="K83" s="139">
        <v>45954</v>
      </c>
      <c r="L83" s="138">
        <v>45958</v>
      </c>
      <c r="M83" s="133" t="s">
        <v>1268</v>
      </c>
      <c r="N83" s="97"/>
      <c r="O83" s="96"/>
      <c r="P83" s="96"/>
      <c r="Q83" s="95"/>
    </row>
    <row r="84" spans="1:18" s="105" customFormat="1" ht="45" hidden="1" customHeight="1" outlineLevel="1" x14ac:dyDescent="0.3">
      <c r="A84" s="114">
        <f>+A108+0.1</f>
        <v>5.31</v>
      </c>
      <c r="B84" s="109" t="s">
        <v>1162</v>
      </c>
      <c r="C84" s="109"/>
      <c r="D84" s="111"/>
      <c r="E84" s="111"/>
      <c r="F84" s="111" t="s">
        <v>1269</v>
      </c>
      <c r="G84" s="113"/>
      <c r="H84" s="112"/>
      <c r="I84" s="111"/>
      <c r="J84" s="108">
        <v>45952</v>
      </c>
      <c r="K84" s="109"/>
      <c r="L84" s="108"/>
      <c r="M84" s="107"/>
      <c r="N84" s="333" t="s">
        <v>1261</v>
      </c>
      <c r="O84" s="333"/>
      <c r="P84" s="333"/>
      <c r="Q84" s="334"/>
      <c r="R84" s="106"/>
    </row>
    <row r="85" spans="1:18" s="105" customFormat="1" ht="55.5" hidden="1" customHeight="1" outlineLevel="1" thickBot="1" x14ac:dyDescent="0.3">
      <c r="A85" s="114">
        <f>+A109+0.1</f>
        <v>3.4200000000000008</v>
      </c>
      <c r="B85" s="109" t="s">
        <v>1162</v>
      </c>
      <c r="C85" s="109"/>
      <c r="D85" s="111"/>
      <c r="E85" s="111"/>
      <c r="F85" s="111" t="s">
        <v>1269</v>
      </c>
      <c r="G85" s="113"/>
      <c r="H85" s="112"/>
      <c r="I85" s="111"/>
      <c r="J85" s="108">
        <v>45959</v>
      </c>
      <c r="K85" s="109"/>
      <c r="L85" s="108"/>
      <c r="M85" s="107"/>
      <c r="N85" s="333" t="s">
        <v>1262</v>
      </c>
      <c r="O85" s="333"/>
      <c r="P85" s="333"/>
      <c r="Q85" s="334"/>
      <c r="R85" s="106"/>
    </row>
    <row r="86" spans="1:18" ht="16.5" hidden="1" collapsed="1" thickBot="1" x14ac:dyDescent="0.3">
      <c r="A86" s="133">
        <f>+A108+1</f>
        <v>6.21</v>
      </c>
      <c r="B86" s="133" t="s">
        <v>1044</v>
      </c>
      <c r="C86" s="134" t="s">
        <v>1257</v>
      </c>
      <c r="D86" s="133" t="s">
        <v>237</v>
      </c>
      <c r="E86" s="133">
        <v>330</v>
      </c>
      <c r="F86" s="172" t="s">
        <v>1187</v>
      </c>
      <c r="G86" s="178" t="s">
        <v>1270</v>
      </c>
      <c r="H86" s="99" t="s">
        <v>1169</v>
      </c>
      <c r="I86" s="155" t="s">
        <v>1271</v>
      </c>
      <c r="J86" s="138">
        <v>45915</v>
      </c>
      <c r="K86" s="139"/>
      <c r="L86" s="138">
        <v>46038</v>
      </c>
      <c r="M86" s="133" t="s">
        <v>1272</v>
      </c>
      <c r="N86" s="97"/>
      <c r="O86" s="96"/>
      <c r="P86" s="96"/>
      <c r="Q86" s="95"/>
    </row>
    <row r="87" spans="1:18" s="105" customFormat="1" ht="45" hidden="1" customHeight="1" outlineLevel="1" x14ac:dyDescent="0.3">
      <c r="A87" s="114">
        <f>+A111+0.1</f>
        <v>9.0999999999999979</v>
      </c>
      <c r="B87" s="109" t="s">
        <v>1162</v>
      </c>
      <c r="C87" s="109"/>
      <c r="D87" s="111"/>
      <c r="E87" s="111"/>
      <c r="F87" s="111" t="s">
        <v>1187</v>
      </c>
      <c r="G87" s="113"/>
      <c r="H87" s="112"/>
      <c r="I87" s="111"/>
      <c r="J87" s="108">
        <v>45936</v>
      </c>
      <c r="K87" s="109"/>
      <c r="L87" s="108"/>
      <c r="M87" s="107"/>
      <c r="N87" s="333" t="s">
        <v>1273</v>
      </c>
      <c r="O87" s="333"/>
      <c r="P87" s="333"/>
      <c r="Q87" s="334"/>
      <c r="R87" s="106"/>
    </row>
    <row r="88" spans="1:18" s="105" customFormat="1" ht="45" hidden="1" customHeight="1" outlineLevel="1" x14ac:dyDescent="0.3">
      <c r="A88" s="114">
        <f>+A112+0.1</f>
        <v>4.41</v>
      </c>
      <c r="B88" s="109" t="s">
        <v>1162</v>
      </c>
      <c r="C88" s="109"/>
      <c r="D88" s="111"/>
      <c r="E88" s="111"/>
      <c r="F88" s="111" t="s">
        <v>1187</v>
      </c>
      <c r="G88" s="113"/>
      <c r="H88" s="112"/>
      <c r="I88" s="111"/>
      <c r="J88" s="108">
        <v>45945</v>
      </c>
      <c r="K88" s="109"/>
      <c r="L88" s="108"/>
      <c r="M88" s="107"/>
      <c r="N88" s="333" t="s">
        <v>1274</v>
      </c>
      <c r="O88" s="333"/>
      <c r="P88" s="333"/>
      <c r="Q88" s="334"/>
      <c r="R88" s="106"/>
    </row>
    <row r="89" spans="1:18" s="105" customFormat="1" ht="56.45" hidden="1" customHeight="1" outlineLevel="1" x14ac:dyDescent="0.3">
      <c r="A89" s="114">
        <f>+A113+0.1</f>
        <v>4.4999999999999991</v>
      </c>
      <c r="B89" s="109" t="s">
        <v>1162</v>
      </c>
      <c r="C89" s="109"/>
      <c r="D89" s="111"/>
      <c r="E89" s="111"/>
      <c r="F89" s="111" t="s">
        <v>1187</v>
      </c>
      <c r="G89" s="113"/>
      <c r="H89" s="112"/>
      <c r="I89" s="111"/>
      <c r="J89" s="108">
        <v>45952</v>
      </c>
      <c r="K89" s="109"/>
      <c r="L89" s="108"/>
      <c r="M89" s="107"/>
      <c r="N89" s="333" t="s">
        <v>1275</v>
      </c>
      <c r="O89" s="333"/>
      <c r="P89" s="333"/>
      <c r="Q89" s="334"/>
      <c r="R89" s="106"/>
    </row>
    <row r="90" spans="1:18" s="105" customFormat="1" ht="58.5" hidden="1" customHeight="1" outlineLevel="1" thickBot="1" x14ac:dyDescent="0.3">
      <c r="A90" s="114">
        <f>+A114+0.1</f>
        <v>9.9999999999999982</v>
      </c>
      <c r="B90" s="109" t="s">
        <v>1162</v>
      </c>
      <c r="C90" s="109"/>
      <c r="D90" s="111"/>
      <c r="E90" s="111"/>
      <c r="F90" s="111" t="s">
        <v>1187</v>
      </c>
      <c r="G90" s="113"/>
      <c r="H90" s="112"/>
      <c r="I90" s="111"/>
      <c r="J90" s="108">
        <v>46044</v>
      </c>
      <c r="K90" s="109"/>
      <c r="L90" s="108"/>
      <c r="M90" s="107"/>
      <c r="N90" s="333" t="s">
        <v>1276</v>
      </c>
      <c r="O90" s="333"/>
      <c r="P90" s="333"/>
      <c r="Q90" s="334"/>
      <c r="R90" s="106"/>
    </row>
    <row r="91" spans="1:18" ht="16.5" collapsed="1" thickBot="1" x14ac:dyDescent="0.3">
      <c r="A91" s="133">
        <f>+A111+1</f>
        <v>9.9999999999999982</v>
      </c>
      <c r="B91" s="133" t="s">
        <v>405</v>
      </c>
      <c r="C91" s="134" t="s">
        <v>1257</v>
      </c>
      <c r="D91" s="133" t="s">
        <v>237</v>
      </c>
      <c r="E91" s="133" t="s">
        <v>1277</v>
      </c>
      <c r="F91" s="172" t="s">
        <v>1187</v>
      </c>
      <c r="G91" s="177"/>
      <c r="H91" s="169" t="s">
        <v>1159</v>
      </c>
      <c r="I91" s="168" t="s">
        <v>1278</v>
      </c>
      <c r="J91" s="126"/>
      <c r="K91" s="127"/>
      <c r="L91" s="126"/>
      <c r="M91" s="133"/>
      <c r="N91" s="115"/>
      <c r="O91" s="102"/>
      <c r="P91" s="102"/>
      <c r="Q91" s="101"/>
    </row>
    <row r="92" spans="1:18" ht="16.5" thickBot="1" x14ac:dyDescent="0.3">
      <c r="A92" s="133">
        <f>+A116+1</f>
        <v>10.899999999999999</v>
      </c>
      <c r="B92" s="133" t="s">
        <v>1035</v>
      </c>
      <c r="C92" s="134" t="s">
        <v>1257</v>
      </c>
      <c r="D92" s="133" t="s">
        <v>237</v>
      </c>
      <c r="E92" s="133" t="s">
        <v>1279</v>
      </c>
      <c r="F92" s="133" t="s">
        <v>1187</v>
      </c>
      <c r="G92" s="176"/>
      <c r="H92" s="169" t="s">
        <v>1159</v>
      </c>
      <c r="I92" s="168" t="s">
        <v>1280</v>
      </c>
      <c r="J92" s="152">
        <v>45700</v>
      </c>
      <c r="K92" s="162">
        <v>45948</v>
      </c>
      <c r="L92" s="152"/>
      <c r="M92" s="133" t="s">
        <v>1170</v>
      </c>
      <c r="N92" s="115"/>
      <c r="O92" s="102"/>
      <c r="P92" s="102"/>
      <c r="Q92" s="101"/>
    </row>
    <row r="93" spans="1:18" s="105" customFormat="1" ht="45" hidden="1" customHeight="1" outlineLevel="1" x14ac:dyDescent="0.3">
      <c r="A93" s="114">
        <f>+A117+0.1</f>
        <v>10.899999999999999</v>
      </c>
      <c r="B93" s="109" t="s">
        <v>1162</v>
      </c>
      <c r="C93" s="109"/>
      <c r="D93" s="111"/>
      <c r="E93" s="111"/>
      <c r="F93" s="111" t="s">
        <v>1187</v>
      </c>
      <c r="G93" s="113"/>
      <c r="H93" s="112"/>
      <c r="I93" s="111"/>
      <c r="J93" s="108">
        <v>45945</v>
      </c>
      <c r="K93" s="109"/>
      <c r="L93" s="108"/>
      <c r="M93" s="107"/>
      <c r="N93" s="333" t="s">
        <v>1281</v>
      </c>
      <c r="O93" s="333"/>
      <c r="P93" s="333"/>
      <c r="Q93" s="334"/>
      <c r="R93" s="106"/>
    </row>
    <row r="94" spans="1:18" s="105" customFormat="1" ht="45" hidden="1" customHeight="1" outlineLevel="1" x14ac:dyDescent="0.3">
      <c r="A94" s="114">
        <f>+A118+0.1</f>
        <v>8.9999999999999964</v>
      </c>
      <c r="B94" s="109" t="s">
        <v>1162</v>
      </c>
      <c r="C94" s="109"/>
      <c r="D94" s="111"/>
      <c r="E94" s="111"/>
      <c r="F94" s="111" t="s">
        <v>1187</v>
      </c>
      <c r="G94" s="113"/>
      <c r="H94" s="112"/>
      <c r="I94" s="111"/>
      <c r="J94" s="108">
        <v>45952</v>
      </c>
      <c r="K94" s="109"/>
      <c r="L94" s="108"/>
      <c r="M94" s="107"/>
      <c r="N94" s="333" t="s">
        <v>1275</v>
      </c>
      <c r="O94" s="333"/>
      <c r="P94" s="333"/>
      <c r="Q94" s="334"/>
      <c r="R94" s="106"/>
    </row>
    <row r="95" spans="1:18" s="105" customFormat="1" ht="64.5" hidden="1" customHeight="1" outlineLevel="1" x14ac:dyDescent="0.3">
      <c r="A95" s="114">
        <f>+A119+0.1</f>
        <v>5.3999999999999995</v>
      </c>
      <c r="B95" s="109" t="s">
        <v>1162</v>
      </c>
      <c r="C95" s="109"/>
      <c r="D95" s="111"/>
      <c r="E95" s="111"/>
      <c r="F95" s="111" t="s">
        <v>1187</v>
      </c>
      <c r="G95" s="113"/>
      <c r="H95" s="112"/>
      <c r="I95" s="111"/>
      <c r="J95" s="108">
        <v>45966</v>
      </c>
      <c r="K95" s="109"/>
      <c r="L95" s="108"/>
      <c r="M95" s="107"/>
      <c r="N95" s="333" t="s">
        <v>1282</v>
      </c>
      <c r="O95" s="333"/>
      <c r="P95" s="333"/>
      <c r="Q95" s="334"/>
      <c r="R95" s="106"/>
    </row>
    <row r="96" spans="1:18" s="105" customFormat="1" ht="58.5" hidden="1" customHeight="1" outlineLevel="1" x14ac:dyDescent="0.3">
      <c r="A96" s="114">
        <f>+A120+0.1</f>
        <v>3.5000000000000013</v>
      </c>
      <c r="B96" s="109" t="s">
        <v>1162</v>
      </c>
      <c r="C96" s="109"/>
      <c r="D96" s="111"/>
      <c r="E96" s="111"/>
      <c r="F96" s="111" t="s">
        <v>1187</v>
      </c>
      <c r="G96" s="113"/>
      <c r="H96" s="112"/>
      <c r="I96" s="111"/>
      <c r="J96" s="108">
        <v>45980</v>
      </c>
      <c r="K96" s="109"/>
      <c r="L96" s="108"/>
      <c r="M96" s="107"/>
      <c r="N96" s="333" t="s">
        <v>1283</v>
      </c>
      <c r="O96" s="333"/>
      <c r="P96" s="333"/>
      <c r="Q96" s="334"/>
      <c r="R96" s="106"/>
    </row>
    <row r="97" spans="1:18" s="105" customFormat="1" ht="45" hidden="1" customHeight="1" outlineLevel="1" thickBot="1" x14ac:dyDescent="0.3">
      <c r="A97" s="114">
        <f>+A121+0.1</f>
        <v>5.3999999999999986</v>
      </c>
      <c r="B97" s="109" t="s">
        <v>1162</v>
      </c>
      <c r="C97" s="109"/>
      <c r="D97" s="111"/>
      <c r="E97" s="111"/>
      <c r="F97" s="111" t="s">
        <v>1187</v>
      </c>
      <c r="G97" s="113"/>
      <c r="H97" s="112"/>
      <c r="I97" s="111"/>
      <c r="J97" s="108">
        <v>46120</v>
      </c>
      <c r="K97" s="109"/>
      <c r="L97" s="108"/>
      <c r="M97" s="107"/>
      <c r="N97" s="333" t="s">
        <v>1264</v>
      </c>
      <c r="O97" s="333"/>
      <c r="P97" s="333"/>
      <c r="Q97" s="334"/>
      <c r="R97" s="106"/>
    </row>
    <row r="98" spans="1:18" ht="16.5" hidden="1" collapsed="1" thickBot="1" x14ac:dyDescent="0.3">
      <c r="A98" s="136">
        <f>+A117+1</f>
        <v>11.799999999999999</v>
      </c>
      <c r="B98" s="136" t="s">
        <v>188</v>
      </c>
      <c r="C98" s="140" t="s">
        <v>1257</v>
      </c>
      <c r="D98" s="136" t="s">
        <v>237</v>
      </c>
      <c r="E98" s="136" t="s">
        <v>1284</v>
      </c>
      <c r="F98" s="133" t="s">
        <v>1285</v>
      </c>
      <c r="G98" s="167" t="s">
        <v>1286</v>
      </c>
      <c r="H98" s="99" t="s">
        <v>1169</v>
      </c>
      <c r="I98" s="165"/>
      <c r="J98" s="138">
        <v>46161</v>
      </c>
      <c r="K98" s="125"/>
      <c r="L98" s="124"/>
      <c r="M98" s="136"/>
      <c r="N98" s="97"/>
      <c r="O98" s="96"/>
      <c r="P98" s="96"/>
      <c r="Q98" s="95"/>
    </row>
    <row r="99" spans="1:18" ht="16.5" hidden="1" thickBot="1" x14ac:dyDescent="0.3">
      <c r="A99" s="126">
        <f>+A123+1</f>
        <v>7.2</v>
      </c>
      <c r="B99" s="126" t="s">
        <v>454</v>
      </c>
      <c r="C99" s="127" t="s">
        <v>1287</v>
      </c>
      <c r="D99" s="126" t="s">
        <v>237</v>
      </c>
      <c r="E99" s="126" t="s">
        <v>1288</v>
      </c>
      <c r="F99" s="133" t="s">
        <v>1289</v>
      </c>
      <c r="G99" s="123"/>
      <c r="H99" s="175" t="s">
        <v>1236</v>
      </c>
      <c r="I99" s="174" t="s">
        <v>1290</v>
      </c>
      <c r="J99" s="138">
        <v>46134</v>
      </c>
      <c r="K99" s="125"/>
      <c r="L99" s="138"/>
      <c r="M99" s="126" t="s">
        <v>1161</v>
      </c>
      <c r="N99" s="115"/>
      <c r="O99" s="102"/>
      <c r="P99" s="102"/>
      <c r="Q99" s="101"/>
    </row>
    <row r="100" spans="1:18" s="105" customFormat="1" ht="45" hidden="1" customHeight="1" outlineLevel="1" x14ac:dyDescent="0.3">
      <c r="A100" s="114">
        <f t="shared" ref="A100:A108" si="6">+A124+0.1</f>
        <v>9.8999999999999968</v>
      </c>
      <c r="B100" s="109" t="s">
        <v>1162</v>
      </c>
      <c r="C100" s="109"/>
      <c r="D100" s="111"/>
      <c r="E100" s="111"/>
      <c r="F100" s="111" t="s">
        <v>1289</v>
      </c>
      <c r="G100" s="113"/>
      <c r="H100" s="112"/>
      <c r="I100" s="111"/>
      <c r="J100" s="108">
        <v>45952</v>
      </c>
      <c r="K100" s="109"/>
      <c r="L100" s="108"/>
      <c r="M100" s="107"/>
      <c r="N100" s="333" t="s">
        <v>1275</v>
      </c>
      <c r="O100" s="333"/>
      <c r="P100" s="333"/>
      <c r="Q100" s="334"/>
      <c r="R100" s="106"/>
    </row>
    <row r="101" spans="1:18" s="105" customFormat="1" ht="45" hidden="1" customHeight="1" outlineLevel="1" x14ac:dyDescent="0.3">
      <c r="A101" s="114">
        <f t="shared" si="6"/>
        <v>3.5000000000000013</v>
      </c>
      <c r="B101" s="109" t="s">
        <v>1162</v>
      </c>
      <c r="C101" s="109"/>
      <c r="D101" s="111"/>
      <c r="E101" s="111"/>
      <c r="F101" s="111" t="s">
        <v>1289</v>
      </c>
      <c r="G101" s="113"/>
      <c r="H101" s="112"/>
      <c r="I101" s="111"/>
      <c r="J101" s="108">
        <v>45995</v>
      </c>
      <c r="K101" s="109"/>
      <c r="L101" s="108"/>
      <c r="M101" s="107"/>
      <c r="N101" s="333" t="s">
        <v>1291</v>
      </c>
      <c r="O101" s="333"/>
      <c r="P101" s="333"/>
      <c r="Q101" s="334"/>
      <c r="R101" s="106"/>
    </row>
    <row r="102" spans="1:18" s="105" customFormat="1" ht="56.45" hidden="1" customHeight="1" outlineLevel="1" x14ac:dyDescent="0.3">
      <c r="A102" s="114">
        <f t="shared" si="6"/>
        <v>4.3999999999999986</v>
      </c>
      <c r="B102" s="109" t="s">
        <v>1162</v>
      </c>
      <c r="C102" s="109"/>
      <c r="D102" s="111"/>
      <c r="E102" s="111"/>
      <c r="F102" s="111" t="s">
        <v>1289</v>
      </c>
      <c r="G102" s="113"/>
      <c r="H102" s="112"/>
      <c r="I102" s="111"/>
      <c r="J102" s="108">
        <v>46044</v>
      </c>
      <c r="K102" s="109"/>
      <c r="L102" s="108"/>
      <c r="M102" s="107"/>
      <c r="N102" s="333" t="s">
        <v>1292</v>
      </c>
      <c r="O102" s="333"/>
      <c r="P102" s="333"/>
      <c r="Q102" s="334"/>
      <c r="R102" s="106"/>
    </row>
    <row r="103" spans="1:18" s="105" customFormat="1" ht="56.45" hidden="1" customHeight="1" outlineLevel="1" x14ac:dyDescent="0.3">
      <c r="A103" s="114">
        <f t="shared" si="6"/>
        <v>4.4000000000000004</v>
      </c>
      <c r="B103" s="109" t="s">
        <v>1162</v>
      </c>
      <c r="C103" s="109"/>
      <c r="D103" s="111"/>
      <c r="E103" s="111"/>
      <c r="F103" s="111" t="s">
        <v>1289</v>
      </c>
      <c r="G103" s="113"/>
      <c r="H103" s="112"/>
      <c r="I103" s="111"/>
      <c r="J103" s="108">
        <v>46064</v>
      </c>
      <c r="K103" s="109"/>
      <c r="L103" s="108"/>
      <c r="M103" s="107"/>
      <c r="N103" s="333" t="s">
        <v>1293</v>
      </c>
      <c r="O103" s="333"/>
      <c r="P103" s="333"/>
      <c r="Q103" s="334"/>
      <c r="R103" s="106"/>
    </row>
    <row r="104" spans="1:18" s="105" customFormat="1" ht="56.45" hidden="1" customHeight="1" outlineLevel="1" x14ac:dyDescent="0.3">
      <c r="A104" s="114">
        <f t="shared" si="6"/>
        <v>4.4000000000000004</v>
      </c>
      <c r="B104" s="109" t="s">
        <v>1162</v>
      </c>
      <c r="C104" s="109"/>
      <c r="D104" s="111"/>
      <c r="E104" s="111"/>
      <c r="F104" s="111" t="s">
        <v>1289</v>
      </c>
      <c r="G104" s="113"/>
      <c r="H104" s="112"/>
      <c r="I104" s="111"/>
      <c r="J104" s="108">
        <v>46072</v>
      </c>
      <c r="K104" s="109"/>
      <c r="L104" s="108"/>
      <c r="M104" s="107"/>
      <c r="N104" s="333" t="s">
        <v>1294</v>
      </c>
      <c r="O104" s="333"/>
      <c r="P104" s="333"/>
      <c r="Q104" s="334"/>
      <c r="R104" s="106"/>
    </row>
    <row r="105" spans="1:18" s="105" customFormat="1" ht="45" hidden="1" customHeight="1" outlineLevel="1" x14ac:dyDescent="0.3">
      <c r="A105" s="114">
        <f t="shared" si="6"/>
        <v>2.5100000000000011</v>
      </c>
      <c r="B105" s="109" t="s">
        <v>1162</v>
      </c>
      <c r="C105" s="109"/>
      <c r="D105" s="111"/>
      <c r="E105" s="111"/>
      <c r="F105" s="111" t="s">
        <v>1289</v>
      </c>
      <c r="G105" s="113"/>
      <c r="H105" s="112"/>
      <c r="I105" s="111"/>
      <c r="J105" s="108">
        <v>46107</v>
      </c>
      <c r="K105" s="109"/>
      <c r="L105" s="108"/>
      <c r="M105" s="107"/>
      <c r="N105" s="333" t="s">
        <v>1295</v>
      </c>
      <c r="O105" s="333"/>
      <c r="P105" s="333"/>
      <c r="Q105" s="334"/>
      <c r="R105" s="106"/>
    </row>
    <row r="106" spans="1:18" s="105" customFormat="1" ht="45" hidden="1" customHeight="1" outlineLevel="1" x14ac:dyDescent="0.3">
      <c r="A106" s="114">
        <f t="shared" si="6"/>
        <v>3.410000000000001</v>
      </c>
      <c r="B106" s="109" t="s">
        <v>1162</v>
      </c>
      <c r="C106" s="109"/>
      <c r="D106" s="111"/>
      <c r="E106" s="111"/>
      <c r="F106" s="111" t="s">
        <v>1289</v>
      </c>
      <c r="G106" s="113"/>
      <c r="H106" s="112"/>
      <c r="I106" s="111"/>
      <c r="J106" s="108">
        <v>46120</v>
      </c>
      <c r="K106" s="109"/>
      <c r="L106" s="108"/>
      <c r="M106" s="107"/>
      <c r="N106" s="333" t="s">
        <v>1296</v>
      </c>
      <c r="O106" s="333"/>
      <c r="P106" s="333"/>
      <c r="Q106" s="334"/>
      <c r="R106" s="106"/>
    </row>
    <row r="107" spans="1:18" s="105" customFormat="1" ht="45" hidden="1" customHeight="1" outlineLevel="1" x14ac:dyDescent="0.3">
      <c r="A107" s="114">
        <f t="shared" si="6"/>
        <v>4.3099999999999996</v>
      </c>
      <c r="B107" s="109" t="s">
        <v>1162</v>
      </c>
      <c r="C107" s="109"/>
      <c r="D107" s="111"/>
      <c r="E107" s="111"/>
      <c r="F107" s="111" t="s">
        <v>1289</v>
      </c>
      <c r="G107" s="113"/>
      <c r="H107" s="112"/>
      <c r="I107" s="111"/>
      <c r="J107" s="108">
        <v>46128</v>
      </c>
      <c r="K107" s="109"/>
      <c r="L107" s="108"/>
      <c r="M107" s="107"/>
      <c r="N107" s="333" t="s">
        <v>1297</v>
      </c>
      <c r="O107" s="333"/>
      <c r="P107" s="333"/>
      <c r="Q107" s="334"/>
      <c r="R107" s="106"/>
    </row>
    <row r="108" spans="1:18" s="105" customFormat="1" ht="45" hidden="1" customHeight="1" outlineLevel="1" x14ac:dyDescent="0.3">
      <c r="A108" s="114">
        <f t="shared" si="6"/>
        <v>5.21</v>
      </c>
      <c r="B108" s="109" t="s">
        <v>1162</v>
      </c>
      <c r="C108" s="109"/>
      <c r="D108" s="111"/>
      <c r="E108" s="111"/>
      <c r="F108" s="111" t="s">
        <v>1289</v>
      </c>
      <c r="G108" s="113"/>
      <c r="H108" s="112"/>
      <c r="I108" s="111"/>
      <c r="J108" s="108">
        <v>46134</v>
      </c>
      <c r="K108" s="109"/>
      <c r="L108" s="108"/>
      <c r="M108" s="107"/>
      <c r="N108" s="333" t="s">
        <v>1298</v>
      </c>
      <c r="O108" s="333"/>
      <c r="P108" s="333"/>
      <c r="Q108" s="334"/>
      <c r="R108" s="106"/>
    </row>
    <row r="109" spans="1:18" s="105" customFormat="1" ht="45" hidden="1" customHeight="1" outlineLevel="1" thickBot="1" x14ac:dyDescent="0.3">
      <c r="A109" s="114">
        <f>+A133+0.01</f>
        <v>3.3200000000000007</v>
      </c>
      <c r="B109" s="109" t="s">
        <v>1162</v>
      </c>
      <c r="C109" s="109"/>
      <c r="D109" s="111"/>
      <c r="E109" s="111"/>
      <c r="F109" s="111" t="s">
        <v>1289</v>
      </c>
      <c r="G109" s="113"/>
      <c r="H109" s="112"/>
      <c r="I109" s="111"/>
      <c r="J109" s="108">
        <v>46141</v>
      </c>
      <c r="K109" s="109"/>
      <c r="L109" s="108"/>
      <c r="M109" s="107"/>
      <c r="N109" s="333" t="s">
        <v>1299</v>
      </c>
      <c r="O109" s="333"/>
      <c r="P109" s="333"/>
      <c r="Q109" s="334"/>
      <c r="R109" s="106"/>
    </row>
    <row r="110" spans="1:18" ht="16.5" collapsed="1" thickBot="1" x14ac:dyDescent="0.3">
      <c r="A110" s="126">
        <f>+A124+1</f>
        <v>10.799999999999997</v>
      </c>
      <c r="B110" s="126" t="s">
        <v>167</v>
      </c>
      <c r="C110" s="127" t="s">
        <v>1287</v>
      </c>
      <c r="D110" s="126" t="s">
        <v>237</v>
      </c>
      <c r="E110" s="126" t="s">
        <v>1288</v>
      </c>
      <c r="F110" s="133" t="s">
        <v>1187</v>
      </c>
      <c r="G110" s="123"/>
      <c r="H110" s="99" t="s">
        <v>1159</v>
      </c>
      <c r="I110" s="173" t="s">
        <v>1300</v>
      </c>
      <c r="J110" s="138">
        <v>46093</v>
      </c>
      <c r="K110" s="125"/>
      <c r="L110" s="124"/>
      <c r="M110" s="133" t="s">
        <v>1301</v>
      </c>
      <c r="N110" s="115"/>
      <c r="O110" s="102"/>
      <c r="P110" s="102"/>
      <c r="Q110" s="101"/>
    </row>
    <row r="111" spans="1:18" s="105" customFormat="1" ht="45" hidden="1" customHeight="1" outlineLevel="1" x14ac:dyDescent="0.3">
      <c r="A111" s="114">
        <f>+A135+0.1</f>
        <v>8.9999999999999982</v>
      </c>
      <c r="B111" s="109" t="s">
        <v>1162</v>
      </c>
      <c r="C111" s="109"/>
      <c r="D111" s="111"/>
      <c r="E111" s="111"/>
      <c r="F111" s="111" t="s">
        <v>1187</v>
      </c>
      <c r="G111" s="113"/>
      <c r="H111" s="112"/>
      <c r="I111" s="111"/>
      <c r="J111" s="108">
        <v>46107</v>
      </c>
      <c r="K111" s="109"/>
      <c r="L111" s="108"/>
      <c r="M111" s="107"/>
      <c r="N111" s="333" t="s">
        <v>1302</v>
      </c>
      <c r="O111" s="333"/>
      <c r="P111" s="333"/>
      <c r="Q111" s="334"/>
      <c r="R111" s="106"/>
    </row>
    <row r="112" spans="1:18" s="105" customFormat="1" ht="45" hidden="1" customHeight="1" outlineLevel="1" x14ac:dyDescent="0.3">
      <c r="A112" s="114">
        <f>+A136+0.1</f>
        <v>4.3100000000000005</v>
      </c>
      <c r="B112" s="109" t="s">
        <v>1162</v>
      </c>
      <c r="C112" s="109"/>
      <c r="D112" s="111"/>
      <c r="E112" s="111"/>
      <c r="F112" s="111" t="s">
        <v>1187</v>
      </c>
      <c r="G112" s="113"/>
      <c r="H112" s="112"/>
      <c r="I112" s="111"/>
      <c r="J112" s="108">
        <v>46120</v>
      </c>
      <c r="K112" s="109"/>
      <c r="L112" s="108"/>
      <c r="M112" s="107"/>
      <c r="N112" s="333" t="s">
        <v>1303</v>
      </c>
      <c r="O112" s="333"/>
      <c r="P112" s="333"/>
      <c r="Q112" s="334"/>
      <c r="R112" s="106"/>
    </row>
    <row r="113" spans="1:18" s="105" customFormat="1" ht="51.6" hidden="1" customHeight="1" outlineLevel="1" thickBot="1" x14ac:dyDescent="0.3">
      <c r="A113" s="114">
        <f>+A137+0.1</f>
        <v>4.3999999999999995</v>
      </c>
      <c r="B113" s="109" t="s">
        <v>1162</v>
      </c>
      <c r="C113" s="109"/>
      <c r="D113" s="111"/>
      <c r="E113" s="111"/>
      <c r="F113" s="111" t="s">
        <v>1187</v>
      </c>
      <c r="G113" s="113"/>
      <c r="H113" s="112"/>
      <c r="I113" s="111"/>
      <c r="J113" s="108">
        <v>46128</v>
      </c>
      <c r="K113" s="109"/>
      <c r="L113" s="108"/>
      <c r="M113" s="107"/>
      <c r="N113" s="333" t="s">
        <v>1304</v>
      </c>
      <c r="O113" s="333"/>
      <c r="P113" s="333"/>
      <c r="Q113" s="334"/>
      <c r="R113" s="106"/>
    </row>
    <row r="114" spans="1:18" ht="16.5" hidden="1" collapsed="1" thickBot="1" x14ac:dyDescent="0.3">
      <c r="A114" s="126">
        <f>+A135+1</f>
        <v>9.8999999999999986</v>
      </c>
      <c r="B114" s="126" t="s">
        <v>119</v>
      </c>
      <c r="C114" s="127" t="s">
        <v>1287</v>
      </c>
      <c r="D114" s="126" t="s">
        <v>237</v>
      </c>
      <c r="E114" s="126" t="s">
        <v>1288</v>
      </c>
      <c r="F114" s="172" t="s">
        <v>1187</v>
      </c>
      <c r="G114" s="123" t="s">
        <v>1270</v>
      </c>
      <c r="H114" s="99" t="s">
        <v>1169</v>
      </c>
      <c r="I114" s="155" t="s">
        <v>1271</v>
      </c>
      <c r="J114" s="126"/>
      <c r="K114" s="127"/>
      <c r="L114" s="126"/>
      <c r="M114" s="133"/>
      <c r="N114" s="97"/>
      <c r="O114" s="96"/>
      <c r="P114" s="96"/>
      <c r="Q114" s="95"/>
    </row>
    <row r="115" spans="1:18" ht="16.5" hidden="1" thickBot="1" x14ac:dyDescent="0.3">
      <c r="A115" s="126">
        <f>+A139+1</f>
        <v>6.1999999999999993</v>
      </c>
      <c r="B115" s="126" t="s">
        <v>1305</v>
      </c>
      <c r="C115" s="127" t="s">
        <v>1287</v>
      </c>
      <c r="D115" s="126" t="s">
        <v>237</v>
      </c>
      <c r="E115" s="126" t="s">
        <v>1306</v>
      </c>
      <c r="F115" s="133" t="s">
        <v>1158</v>
      </c>
      <c r="G115" s="154"/>
      <c r="H115" s="146" t="s">
        <v>1250</v>
      </c>
      <c r="I115" s="171" t="s">
        <v>1251</v>
      </c>
      <c r="J115" s="136"/>
      <c r="K115" s="140"/>
      <c r="L115" s="136"/>
      <c r="M115" s="133" t="s">
        <v>1238</v>
      </c>
      <c r="N115" s="144"/>
      <c r="O115" s="143"/>
      <c r="P115" s="143"/>
      <c r="Q115" s="142"/>
    </row>
    <row r="116" spans="1:18" s="105" customFormat="1" ht="45" hidden="1" customHeight="1" outlineLevel="1" thickBot="1" x14ac:dyDescent="0.3">
      <c r="A116" s="114">
        <f>+A140+0.1</f>
        <v>9.8999999999999986</v>
      </c>
      <c r="B116" s="109" t="s">
        <v>1162</v>
      </c>
      <c r="C116" s="109"/>
      <c r="D116" s="111"/>
      <c r="E116" s="111"/>
      <c r="F116" s="111" t="s">
        <v>1158</v>
      </c>
      <c r="G116" s="113"/>
      <c r="H116" s="112"/>
      <c r="I116" s="111"/>
      <c r="J116" s="108"/>
      <c r="K116" s="109"/>
      <c r="L116" s="108"/>
      <c r="M116" s="107"/>
      <c r="N116" s="333" t="s">
        <v>1307</v>
      </c>
      <c r="O116" s="333"/>
      <c r="P116" s="333"/>
      <c r="Q116" s="334"/>
      <c r="R116" s="106"/>
    </row>
    <row r="117" spans="1:18" ht="16.5" hidden="1" collapsed="1" thickBot="1" x14ac:dyDescent="0.3">
      <c r="A117" s="126">
        <f>+A140+1</f>
        <v>10.799999999999999</v>
      </c>
      <c r="B117" s="126" t="s">
        <v>903</v>
      </c>
      <c r="C117" s="127" t="s">
        <v>1287</v>
      </c>
      <c r="D117" s="126" t="s">
        <v>237</v>
      </c>
      <c r="E117" s="126" t="s">
        <v>1288</v>
      </c>
      <c r="F117" s="136" t="s">
        <v>1190</v>
      </c>
      <c r="G117" s="167" t="s">
        <v>1308</v>
      </c>
      <c r="H117" s="99" t="s">
        <v>1169</v>
      </c>
      <c r="I117" s="127"/>
      <c r="J117" s="138">
        <v>46057</v>
      </c>
      <c r="K117" s="139"/>
      <c r="L117" s="138">
        <v>46063</v>
      </c>
      <c r="M117" s="133" t="s">
        <v>1189</v>
      </c>
      <c r="N117" s="97"/>
      <c r="O117" s="96"/>
      <c r="P117" s="96"/>
      <c r="Q117" s="95"/>
    </row>
    <row r="118" spans="1:18" s="105" customFormat="1" ht="45" hidden="1" customHeight="1" outlineLevel="1" x14ac:dyDescent="0.3">
      <c r="A118" s="114">
        <f t="shared" ref="A118:A123" si="7">+A142+0.1</f>
        <v>8.8999999999999968</v>
      </c>
      <c r="B118" s="109" t="s">
        <v>1162</v>
      </c>
      <c r="C118" s="109"/>
      <c r="D118" s="111"/>
      <c r="E118" s="111"/>
      <c r="F118" s="111" t="s">
        <v>1187</v>
      </c>
      <c r="G118" s="113"/>
      <c r="H118" s="112"/>
      <c r="I118" s="111"/>
      <c r="J118" s="108">
        <v>45945</v>
      </c>
      <c r="K118" s="109"/>
      <c r="L118" s="108"/>
      <c r="M118" s="107"/>
      <c r="N118" s="333" t="s">
        <v>1309</v>
      </c>
      <c r="O118" s="333"/>
      <c r="P118" s="333"/>
      <c r="Q118" s="334"/>
      <c r="R118" s="106"/>
    </row>
    <row r="119" spans="1:18" s="105" customFormat="1" ht="45" hidden="1" customHeight="1" outlineLevel="1" x14ac:dyDescent="0.3">
      <c r="A119" s="114">
        <f t="shared" si="7"/>
        <v>5.3</v>
      </c>
      <c r="B119" s="109" t="s">
        <v>1162</v>
      </c>
      <c r="C119" s="109"/>
      <c r="D119" s="111"/>
      <c r="E119" s="111"/>
      <c r="F119" s="111" t="s">
        <v>1187</v>
      </c>
      <c r="G119" s="113"/>
      <c r="H119" s="112"/>
      <c r="I119" s="111"/>
      <c r="J119" s="108">
        <v>45952</v>
      </c>
      <c r="K119" s="109"/>
      <c r="L119" s="108"/>
      <c r="M119" s="107"/>
      <c r="N119" s="333" t="s">
        <v>1310</v>
      </c>
      <c r="O119" s="333"/>
      <c r="P119" s="333"/>
      <c r="Q119" s="334"/>
      <c r="R119" s="106"/>
    </row>
    <row r="120" spans="1:18" s="105" customFormat="1" ht="56.45" hidden="1" customHeight="1" outlineLevel="1" x14ac:dyDescent="0.3">
      <c r="A120" s="114">
        <f t="shared" si="7"/>
        <v>3.4000000000000012</v>
      </c>
      <c r="B120" s="109" t="s">
        <v>1162</v>
      </c>
      <c r="C120" s="109"/>
      <c r="D120" s="111"/>
      <c r="E120" s="111"/>
      <c r="F120" s="111" t="s">
        <v>1187</v>
      </c>
      <c r="G120" s="113"/>
      <c r="H120" s="112"/>
      <c r="I120" s="111"/>
      <c r="J120" s="108">
        <v>45966</v>
      </c>
      <c r="K120" s="109"/>
      <c r="L120" s="108"/>
      <c r="M120" s="107"/>
      <c r="N120" s="333" t="s">
        <v>1311</v>
      </c>
      <c r="O120" s="333"/>
      <c r="P120" s="333"/>
      <c r="Q120" s="334"/>
      <c r="R120" s="106"/>
    </row>
    <row r="121" spans="1:18" s="105" customFormat="1" ht="56.45" hidden="1" customHeight="1" outlineLevel="1" x14ac:dyDescent="0.3">
      <c r="A121" s="114">
        <f t="shared" si="7"/>
        <v>5.2999999999999989</v>
      </c>
      <c r="B121" s="109" t="s">
        <v>1162</v>
      </c>
      <c r="C121" s="109"/>
      <c r="D121" s="111"/>
      <c r="E121" s="111"/>
      <c r="F121" s="111" t="s">
        <v>1187</v>
      </c>
      <c r="G121" s="113"/>
      <c r="H121" s="112"/>
      <c r="I121" s="111"/>
      <c r="J121" s="108">
        <v>45973</v>
      </c>
      <c r="K121" s="109"/>
      <c r="L121" s="108"/>
      <c r="M121" s="107"/>
      <c r="N121" s="333" t="s">
        <v>1312</v>
      </c>
      <c r="O121" s="333"/>
      <c r="P121" s="333"/>
      <c r="Q121" s="334"/>
      <c r="R121" s="106"/>
    </row>
    <row r="122" spans="1:18" s="105" customFormat="1" ht="56.45" hidden="1" customHeight="1" outlineLevel="1" x14ac:dyDescent="0.3">
      <c r="A122" s="114">
        <f t="shared" si="7"/>
        <v>3.4000000000000008</v>
      </c>
      <c r="B122" s="109" t="s">
        <v>1162</v>
      </c>
      <c r="C122" s="109"/>
      <c r="D122" s="111"/>
      <c r="E122" s="111"/>
      <c r="F122" s="111" t="s">
        <v>1187</v>
      </c>
      <c r="G122" s="113"/>
      <c r="H122" s="112"/>
      <c r="I122" s="111"/>
      <c r="J122" s="108">
        <v>45973</v>
      </c>
      <c r="K122" s="109"/>
      <c r="L122" s="108"/>
      <c r="M122" s="107"/>
      <c r="N122" s="333" t="s">
        <v>1312</v>
      </c>
      <c r="O122" s="333"/>
      <c r="P122" s="333"/>
      <c r="Q122" s="334"/>
      <c r="R122" s="106"/>
    </row>
    <row r="123" spans="1:18" s="105" customFormat="1" ht="56.45" hidden="1" customHeight="1" outlineLevel="1" thickBot="1" x14ac:dyDescent="0.3">
      <c r="A123" s="114">
        <f t="shared" si="7"/>
        <v>6.2</v>
      </c>
      <c r="B123" s="109" t="s">
        <v>1162</v>
      </c>
      <c r="C123" s="109"/>
      <c r="D123" s="111"/>
      <c r="E123" s="111"/>
      <c r="F123" s="111" t="s">
        <v>1187</v>
      </c>
      <c r="G123" s="113"/>
      <c r="H123" s="112"/>
      <c r="I123" s="111"/>
      <c r="J123" s="108">
        <v>46058</v>
      </c>
      <c r="K123" s="109"/>
      <c r="L123" s="108"/>
      <c r="M123" s="107"/>
      <c r="N123" s="333" t="s">
        <v>1313</v>
      </c>
      <c r="O123" s="333"/>
      <c r="P123" s="333"/>
      <c r="Q123" s="334"/>
      <c r="R123" s="106"/>
    </row>
    <row r="124" spans="1:18" ht="16.5" collapsed="1" thickBot="1" x14ac:dyDescent="0.3">
      <c r="A124" s="126">
        <f>+A142+1</f>
        <v>9.7999999999999972</v>
      </c>
      <c r="B124" s="126" t="s">
        <v>1314</v>
      </c>
      <c r="C124" s="127" t="s">
        <v>1287</v>
      </c>
      <c r="D124" s="126" t="s">
        <v>237</v>
      </c>
      <c r="E124" s="126" t="s">
        <v>1315</v>
      </c>
      <c r="F124" s="133" t="s">
        <v>1158</v>
      </c>
      <c r="G124" s="137"/>
      <c r="H124" s="117" t="s">
        <v>1159</v>
      </c>
      <c r="I124" s="156" t="s">
        <v>1316</v>
      </c>
      <c r="J124" s="124"/>
      <c r="K124" s="125"/>
      <c r="L124" s="124"/>
      <c r="M124" s="133" t="s">
        <v>1189</v>
      </c>
      <c r="N124" s="115"/>
      <c r="O124" s="102"/>
      <c r="P124" s="102"/>
      <c r="Q124" s="101"/>
    </row>
    <row r="125" spans="1:18" s="105" customFormat="1" ht="45" hidden="1" customHeight="1" outlineLevel="1" x14ac:dyDescent="0.3">
      <c r="A125" s="114">
        <f>+A149+0.1</f>
        <v>3.4000000000000012</v>
      </c>
      <c r="B125" s="109" t="s">
        <v>1162</v>
      </c>
      <c r="C125" s="109"/>
      <c r="D125" s="111"/>
      <c r="E125" s="111"/>
      <c r="F125" s="111" t="s">
        <v>1158</v>
      </c>
      <c r="G125" s="113"/>
      <c r="H125" s="112"/>
      <c r="I125" s="111"/>
      <c r="J125" s="108">
        <v>45945</v>
      </c>
      <c r="K125" s="109"/>
      <c r="L125" s="108"/>
      <c r="M125" s="107"/>
      <c r="N125" s="333" t="s">
        <v>1317</v>
      </c>
      <c r="O125" s="333"/>
      <c r="P125" s="333"/>
      <c r="Q125" s="334"/>
      <c r="R125" s="106"/>
    </row>
    <row r="126" spans="1:18" s="105" customFormat="1" ht="45" hidden="1" customHeight="1" outlineLevel="1" x14ac:dyDescent="0.3">
      <c r="A126" s="114">
        <f>+A150+0.1</f>
        <v>4.2999999999999989</v>
      </c>
      <c r="B126" s="109" t="s">
        <v>1162</v>
      </c>
      <c r="C126" s="109"/>
      <c r="D126" s="111"/>
      <c r="E126" s="111"/>
      <c r="F126" s="111" t="s">
        <v>1158</v>
      </c>
      <c r="G126" s="113"/>
      <c r="H126" s="112"/>
      <c r="I126" s="111"/>
      <c r="J126" s="108">
        <v>45952</v>
      </c>
      <c r="K126" s="109"/>
      <c r="L126" s="108"/>
      <c r="M126" s="107"/>
      <c r="N126" s="333" t="s">
        <v>1275</v>
      </c>
      <c r="O126" s="333"/>
      <c r="P126" s="333"/>
      <c r="Q126" s="334"/>
      <c r="R126" s="106"/>
    </row>
    <row r="127" spans="1:18" s="105" customFormat="1" ht="56.45" hidden="1" customHeight="1" outlineLevel="1" thickBot="1" x14ac:dyDescent="0.3">
      <c r="A127" s="114">
        <f>+A151+0.1</f>
        <v>4.3000000000000007</v>
      </c>
      <c r="B127" s="109" t="s">
        <v>1162</v>
      </c>
      <c r="C127" s="109"/>
      <c r="D127" s="111"/>
      <c r="E127" s="111"/>
      <c r="F127" s="111" t="s">
        <v>1158</v>
      </c>
      <c r="G127" s="113"/>
      <c r="H127" s="112"/>
      <c r="I127" s="111"/>
      <c r="J127" s="108">
        <v>46120</v>
      </c>
      <c r="K127" s="109"/>
      <c r="L127" s="108"/>
      <c r="M127" s="107"/>
      <c r="N127" s="333" t="s">
        <v>1318</v>
      </c>
      <c r="O127" s="333"/>
      <c r="P127" s="333"/>
      <c r="Q127" s="334"/>
      <c r="R127" s="106"/>
    </row>
    <row r="128" spans="1:18" ht="16.5" collapsed="1" thickBot="1" x14ac:dyDescent="0.3">
      <c r="A128" s="126">
        <f>+A149+1</f>
        <v>4.3000000000000007</v>
      </c>
      <c r="B128" s="126" t="s">
        <v>344</v>
      </c>
      <c r="C128" s="127" t="s">
        <v>1287</v>
      </c>
      <c r="D128" s="126" t="s">
        <v>237</v>
      </c>
      <c r="E128" s="126" t="s">
        <v>1288</v>
      </c>
      <c r="F128" s="133" t="s">
        <v>1289</v>
      </c>
      <c r="H128" s="117" t="s">
        <v>1159</v>
      </c>
      <c r="I128" s="153" t="s">
        <v>1319</v>
      </c>
      <c r="J128" s="138">
        <v>45994</v>
      </c>
      <c r="K128" s="139"/>
      <c r="L128" s="138">
        <v>46002</v>
      </c>
      <c r="M128" s="133" t="s">
        <v>1301</v>
      </c>
      <c r="N128" s="115"/>
      <c r="O128" s="102"/>
      <c r="P128" s="102"/>
      <c r="Q128" s="101"/>
    </row>
    <row r="129" spans="1:18" s="105" customFormat="1" ht="45" hidden="1" customHeight="1" outlineLevel="1" x14ac:dyDescent="0.3">
      <c r="A129" s="114">
        <f>+A153+0.1</f>
        <v>2.410000000000001</v>
      </c>
      <c r="B129" s="109" t="s">
        <v>1162</v>
      </c>
      <c r="C129" s="109"/>
      <c r="D129" s="111"/>
      <c r="E129" s="111"/>
      <c r="F129" s="111" t="s">
        <v>1180</v>
      </c>
      <c r="G129" s="113"/>
      <c r="H129" s="112"/>
      <c r="I129" s="111"/>
      <c r="J129" s="108">
        <v>45966</v>
      </c>
      <c r="K129" s="109"/>
      <c r="L129" s="108"/>
      <c r="M129" s="107"/>
      <c r="N129" s="333" t="s">
        <v>1320</v>
      </c>
      <c r="O129" s="333"/>
      <c r="P129" s="333"/>
      <c r="Q129" s="334"/>
      <c r="R129" s="106"/>
    </row>
    <row r="130" spans="1:18" s="105" customFormat="1" ht="45" hidden="1" customHeight="1" outlineLevel="1" x14ac:dyDescent="0.3">
      <c r="A130" s="114">
        <f>+A154+0.1</f>
        <v>3.3100000000000009</v>
      </c>
      <c r="B130" s="109" t="s">
        <v>1162</v>
      </c>
      <c r="C130" s="109"/>
      <c r="D130" s="111"/>
      <c r="E130" s="111"/>
      <c r="F130" s="111" t="s">
        <v>1180</v>
      </c>
      <c r="G130" s="113"/>
      <c r="H130" s="112"/>
      <c r="I130" s="111"/>
      <c r="J130" s="108">
        <v>45980</v>
      </c>
      <c r="K130" s="109"/>
      <c r="L130" s="108"/>
      <c r="M130" s="107"/>
      <c r="N130" s="333" t="s">
        <v>1321</v>
      </c>
      <c r="O130" s="333"/>
      <c r="P130" s="333"/>
      <c r="Q130" s="334"/>
      <c r="R130" s="106"/>
    </row>
    <row r="131" spans="1:18" s="105" customFormat="1" ht="56.45" hidden="1" customHeight="1" outlineLevel="1" x14ac:dyDescent="0.3">
      <c r="A131" s="114">
        <f>+A155+0.1</f>
        <v>4.21</v>
      </c>
      <c r="B131" s="109" t="s">
        <v>1162</v>
      </c>
      <c r="C131" s="109"/>
      <c r="D131" s="111"/>
      <c r="E131" s="111"/>
      <c r="F131" s="111" t="s">
        <v>1180</v>
      </c>
      <c r="G131" s="113"/>
      <c r="H131" s="112"/>
      <c r="I131" s="111"/>
      <c r="J131" s="108">
        <v>45995</v>
      </c>
      <c r="K131" s="109"/>
      <c r="L131" s="108"/>
      <c r="M131" s="107"/>
      <c r="N131" s="333" t="s">
        <v>1322</v>
      </c>
      <c r="O131" s="333"/>
      <c r="P131" s="333"/>
      <c r="Q131" s="334"/>
      <c r="R131" s="106"/>
    </row>
    <row r="132" spans="1:18" s="105" customFormat="1" ht="56.45" hidden="1" customHeight="1" outlineLevel="1" x14ac:dyDescent="0.3">
      <c r="A132" s="114">
        <f>+A156+0.1</f>
        <v>5.1100000000000003</v>
      </c>
      <c r="B132" s="109" t="s">
        <v>1162</v>
      </c>
      <c r="C132" s="109"/>
      <c r="D132" s="111"/>
      <c r="E132" s="111"/>
      <c r="F132" s="111" t="s">
        <v>1180</v>
      </c>
      <c r="G132" s="113"/>
      <c r="H132" s="112"/>
      <c r="I132" s="111"/>
      <c r="J132" s="108">
        <v>46008</v>
      </c>
      <c r="K132" s="109"/>
      <c r="L132" s="108"/>
      <c r="M132" s="107"/>
      <c r="N132" s="333" t="s">
        <v>1323</v>
      </c>
      <c r="O132" s="333"/>
      <c r="P132" s="333"/>
      <c r="Q132" s="334"/>
      <c r="R132" s="106"/>
    </row>
    <row r="133" spans="1:18" s="105" customFormat="1" ht="56.45" hidden="1" customHeight="1" outlineLevel="1" thickBot="1" x14ac:dyDescent="0.3">
      <c r="A133" s="114">
        <f>+A157+0.1</f>
        <v>3.3100000000000009</v>
      </c>
      <c r="B133" s="109" t="s">
        <v>1162</v>
      </c>
      <c r="C133" s="109"/>
      <c r="D133" s="111"/>
      <c r="E133" s="111"/>
      <c r="F133" s="111" t="s">
        <v>1180</v>
      </c>
      <c r="G133" s="113"/>
      <c r="H133" s="112"/>
      <c r="I133" s="111"/>
      <c r="J133" s="108">
        <v>46064</v>
      </c>
      <c r="K133" s="109"/>
      <c r="L133" s="108"/>
      <c r="M133" s="107"/>
      <c r="N133" s="333" t="s">
        <v>1324</v>
      </c>
      <c r="O133" s="333"/>
      <c r="P133" s="333"/>
      <c r="Q133" s="334"/>
      <c r="R133" s="106"/>
    </row>
    <row r="134" spans="1:18" ht="16.5" hidden="1" collapsed="1" thickBot="1" x14ac:dyDescent="0.3">
      <c r="A134" s="126">
        <f>+A153+1</f>
        <v>3.3100000000000009</v>
      </c>
      <c r="B134" s="126" t="s">
        <v>719</v>
      </c>
      <c r="C134" s="127" t="s">
        <v>1287</v>
      </c>
      <c r="D134" s="126" t="s">
        <v>237</v>
      </c>
      <c r="E134" s="126" t="s">
        <v>1288</v>
      </c>
      <c r="F134" s="133" t="s">
        <v>1187</v>
      </c>
      <c r="G134" s="123" t="s">
        <v>1270</v>
      </c>
      <c r="H134" s="99" t="s">
        <v>1169</v>
      </c>
      <c r="I134" s="155" t="s">
        <v>1271</v>
      </c>
      <c r="J134" s="138">
        <v>46122</v>
      </c>
      <c r="K134" s="139"/>
      <c r="L134" s="138"/>
      <c r="M134" s="133" t="s">
        <v>1189</v>
      </c>
      <c r="N134" s="97"/>
      <c r="O134" s="96"/>
      <c r="P134" s="96"/>
      <c r="Q134" s="95"/>
    </row>
    <row r="135" spans="1:18" s="105" customFormat="1" ht="45" hidden="1" customHeight="1" outlineLevel="1" x14ac:dyDescent="0.3">
      <c r="A135" s="114">
        <f>+A159+0.1</f>
        <v>8.8999999999999986</v>
      </c>
      <c r="B135" s="109" t="s">
        <v>1162</v>
      </c>
      <c r="C135" s="109"/>
      <c r="D135" s="111"/>
      <c r="E135" s="111"/>
      <c r="F135" s="111" t="s">
        <v>1187</v>
      </c>
      <c r="G135" s="113"/>
      <c r="H135" s="112"/>
      <c r="I135" s="111"/>
      <c r="J135" s="108">
        <v>45952</v>
      </c>
      <c r="K135" s="109"/>
      <c r="L135" s="108"/>
      <c r="M135" s="107"/>
      <c r="N135" s="333" t="s">
        <v>1325</v>
      </c>
      <c r="O135" s="333"/>
      <c r="P135" s="333"/>
      <c r="Q135" s="334"/>
      <c r="R135" s="106"/>
    </row>
    <row r="136" spans="1:18" s="105" customFormat="1" ht="45" hidden="1" customHeight="1" outlineLevel="1" x14ac:dyDescent="0.3">
      <c r="A136" s="114">
        <f>+A160+0.1</f>
        <v>4.2100000000000009</v>
      </c>
      <c r="B136" s="109" t="s">
        <v>1162</v>
      </c>
      <c r="C136" s="109"/>
      <c r="D136" s="111"/>
      <c r="E136" s="111"/>
      <c r="F136" s="111" t="s">
        <v>1187</v>
      </c>
      <c r="G136" s="113"/>
      <c r="H136" s="112"/>
      <c r="I136" s="111"/>
      <c r="J136" s="108">
        <v>45966</v>
      </c>
      <c r="K136" s="109"/>
      <c r="L136" s="108"/>
      <c r="M136" s="107"/>
      <c r="N136" s="333" t="s">
        <v>1326</v>
      </c>
      <c r="O136" s="333"/>
      <c r="P136" s="333"/>
      <c r="Q136" s="334"/>
      <c r="R136" s="106"/>
    </row>
    <row r="137" spans="1:18" s="105" customFormat="1" ht="56.45" hidden="1" customHeight="1" outlineLevel="1" x14ac:dyDescent="0.3">
      <c r="A137" s="114">
        <f>+A161+0.1</f>
        <v>4.3</v>
      </c>
      <c r="B137" s="109" t="s">
        <v>1162</v>
      </c>
      <c r="C137" s="109"/>
      <c r="D137" s="111"/>
      <c r="E137" s="111"/>
      <c r="F137" s="111" t="s">
        <v>1187</v>
      </c>
      <c r="G137" s="113"/>
      <c r="H137" s="112"/>
      <c r="I137" s="111"/>
      <c r="J137" s="108">
        <v>46128</v>
      </c>
      <c r="K137" s="109"/>
      <c r="L137" s="108"/>
      <c r="M137" s="107"/>
      <c r="N137" s="333" t="s">
        <v>1327</v>
      </c>
      <c r="O137" s="333"/>
      <c r="P137" s="333"/>
      <c r="Q137" s="334"/>
      <c r="R137" s="106"/>
    </row>
    <row r="138" spans="1:18" s="105" customFormat="1" ht="56.45" hidden="1" customHeight="1" outlineLevel="1" x14ac:dyDescent="0.3">
      <c r="A138" s="114">
        <f>+A162+0.1</f>
        <v>4.21</v>
      </c>
      <c r="B138" s="109" t="s">
        <v>1162</v>
      </c>
      <c r="C138" s="109"/>
      <c r="D138" s="111"/>
      <c r="E138" s="111"/>
      <c r="F138" s="111" t="s">
        <v>1187</v>
      </c>
      <c r="G138" s="113"/>
      <c r="H138" s="112"/>
      <c r="I138" s="111"/>
      <c r="J138" s="108">
        <v>46134</v>
      </c>
      <c r="K138" s="109"/>
      <c r="L138" s="108"/>
      <c r="M138" s="107"/>
      <c r="N138" s="333" t="s">
        <v>1328</v>
      </c>
      <c r="O138" s="333"/>
      <c r="P138" s="333"/>
      <c r="Q138" s="334"/>
      <c r="R138" s="106"/>
    </row>
    <row r="139" spans="1:18" s="105" customFormat="1" ht="56.45" hidden="1" customHeight="1" outlineLevel="1" thickBot="1" x14ac:dyDescent="0.3">
      <c r="A139" s="114">
        <f>+A163+0.1</f>
        <v>5.1999999999999993</v>
      </c>
      <c r="B139" s="109" t="s">
        <v>1162</v>
      </c>
      <c r="C139" s="109"/>
      <c r="D139" s="111"/>
      <c r="E139" s="111"/>
      <c r="F139" s="111" t="s">
        <v>1187</v>
      </c>
      <c r="G139" s="113"/>
      <c r="H139" s="112"/>
      <c r="I139" s="111"/>
      <c r="J139" s="108">
        <v>46141</v>
      </c>
      <c r="K139" s="109"/>
      <c r="L139" s="108"/>
      <c r="M139" s="107"/>
      <c r="N139" s="333" t="s">
        <v>1329</v>
      </c>
      <c r="O139" s="333"/>
      <c r="P139" s="333"/>
      <c r="Q139" s="334"/>
      <c r="R139" s="106"/>
    </row>
    <row r="140" spans="1:18" ht="16.5" hidden="1" collapsed="1" thickBot="1" x14ac:dyDescent="0.3">
      <c r="A140" s="126">
        <f>+A159+1</f>
        <v>9.7999999999999989</v>
      </c>
      <c r="B140" s="126" t="s">
        <v>1330</v>
      </c>
      <c r="C140" s="127" t="s">
        <v>1287</v>
      </c>
      <c r="D140" s="126" t="s">
        <v>237</v>
      </c>
      <c r="E140" s="126" t="s">
        <v>1288</v>
      </c>
      <c r="F140" s="133" t="s">
        <v>1158</v>
      </c>
      <c r="G140" s="167"/>
      <c r="H140" s="146" t="s">
        <v>1250</v>
      </c>
      <c r="I140" s="145" t="s">
        <v>1251</v>
      </c>
      <c r="J140" s="124"/>
      <c r="K140" s="125"/>
      <c r="L140" s="124"/>
      <c r="M140" s="133" t="s">
        <v>1238</v>
      </c>
      <c r="N140" s="144"/>
      <c r="O140" s="143"/>
      <c r="P140" s="143"/>
      <c r="Q140" s="142"/>
    </row>
    <row r="141" spans="1:18" s="105" customFormat="1" ht="45" hidden="1" customHeight="1" outlineLevel="1" thickBot="1" x14ac:dyDescent="0.3">
      <c r="A141" s="114">
        <f>+A165+0.1</f>
        <v>7.8999999999999968</v>
      </c>
      <c r="B141" s="109" t="s">
        <v>1162</v>
      </c>
      <c r="C141" s="109"/>
      <c r="D141" s="111"/>
      <c r="E141" s="111"/>
      <c r="F141" s="111" t="s">
        <v>1158</v>
      </c>
      <c r="G141" s="113"/>
      <c r="H141" s="112"/>
      <c r="I141" s="111"/>
      <c r="J141" s="108"/>
      <c r="K141" s="109"/>
      <c r="L141" s="108"/>
      <c r="M141" s="107"/>
      <c r="N141" s="333" t="s">
        <v>1307</v>
      </c>
      <c r="O141" s="333"/>
      <c r="P141" s="333"/>
      <c r="Q141" s="334"/>
      <c r="R141" s="106"/>
    </row>
    <row r="142" spans="1:18" ht="16.5" collapsed="1" thickBot="1" x14ac:dyDescent="0.3">
      <c r="A142" s="126">
        <f>+A165+1</f>
        <v>8.7999999999999972</v>
      </c>
      <c r="B142" s="126" t="s">
        <v>1331</v>
      </c>
      <c r="C142" s="127" t="s">
        <v>1287</v>
      </c>
      <c r="D142" s="126" t="s">
        <v>237</v>
      </c>
      <c r="E142" s="126" t="s">
        <v>1288</v>
      </c>
      <c r="F142" s="133" t="s">
        <v>1289</v>
      </c>
      <c r="G142" s="123"/>
      <c r="H142" s="117" t="s">
        <v>1159</v>
      </c>
      <c r="I142" s="156" t="s">
        <v>1332</v>
      </c>
      <c r="J142" s="138">
        <v>45832</v>
      </c>
      <c r="K142" s="139"/>
      <c r="L142" s="138"/>
      <c r="M142" s="133" t="s">
        <v>1333</v>
      </c>
      <c r="N142" s="115"/>
      <c r="O142" s="102"/>
      <c r="P142" s="102"/>
      <c r="Q142" s="101"/>
    </row>
    <row r="143" spans="1:18" s="105" customFormat="1" ht="45" hidden="1" customHeight="1" outlineLevel="1" x14ac:dyDescent="0.3">
      <c r="A143" s="114">
        <f>+A167+0.1</f>
        <v>5.2</v>
      </c>
      <c r="B143" s="109" t="s">
        <v>1162</v>
      </c>
      <c r="C143" s="109"/>
      <c r="D143" s="111"/>
      <c r="E143" s="111"/>
      <c r="F143" s="111" t="s">
        <v>1180</v>
      </c>
      <c r="G143" s="113"/>
      <c r="H143" s="112"/>
      <c r="I143" s="111"/>
      <c r="J143" s="108">
        <v>45980</v>
      </c>
      <c r="K143" s="109"/>
      <c r="L143" s="108"/>
      <c r="M143" s="107"/>
      <c r="N143" s="333" t="s">
        <v>1334</v>
      </c>
      <c r="O143" s="333"/>
      <c r="P143" s="333"/>
      <c r="Q143" s="334"/>
      <c r="R143" s="106"/>
    </row>
    <row r="144" spans="1:18" s="105" customFormat="1" ht="45" hidden="1" customHeight="1" outlineLevel="1" x14ac:dyDescent="0.3">
      <c r="A144" s="114">
        <f>+A168+0.1</f>
        <v>3.3000000000000012</v>
      </c>
      <c r="B144" s="109" t="s">
        <v>1162</v>
      </c>
      <c r="C144" s="109"/>
      <c r="D144" s="111"/>
      <c r="E144" s="111"/>
      <c r="F144" s="111" t="s">
        <v>1180</v>
      </c>
      <c r="G144" s="113"/>
      <c r="H144" s="112"/>
      <c r="I144" s="111"/>
      <c r="J144" s="108">
        <v>45987</v>
      </c>
      <c r="K144" s="109"/>
      <c r="L144" s="108"/>
      <c r="M144" s="107"/>
      <c r="N144" s="333" t="s">
        <v>1335</v>
      </c>
      <c r="O144" s="333"/>
      <c r="P144" s="333"/>
      <c r="Q144" s="334"/>
      <c r="R144" s="106"/>
    </row>
    <row r="145" spans="1:18" s="105" customFormat="1" ht="56.45" hidden="1" customHeight="1" outlineLevel="1" x14ac:dyDescent="0.3">
      <c r="A145" s="114">
        <f>+A169+0.1</f>
        <v>5.1999999999999993</v>
      </c>
      <c r="B145" s="109" t="s">
        <v>1162</v>
      </c>
      <c r="C145" s="109"/>
      <c r="D145" s="111"/>
      <c r="E145" s="111"/>
      <c r="F145" s="111" t="s">
        <v>1180</v>
      </c>
      <c r="G145" s="113"/>
      <c r="H145" s="112"/>
      <c r="I145" s="111"/>
      <c r="J145" s="108">
        <v>46120</v>
      </c>
      <c r="K145" s="109"/>
      <c r="L145" s="108"/>
      <c r="M145" s="107"/>
      <c r="N145" s="333" t="s">
        <v>1336</v>
      </c>
      <c r="O145" s="333"/>
      <c r="P145" s="333"/>
      <c r="Q145" s="334"/>
      <c r="R145" s="106"/>
    </row>
    <row r="146" spans="1:18" s="105" customFormat="1" ht="56.45" hidden="1" customHeight="1" outlineLevel="1" thickBot="1" x14ac:dyDescent="0.3">
      <c r="A146" s="114">
        <f>+A170+0.1</f>
        <v>3.3000000000000007</v>
      </c>
      <c r="B146" s="109" t="s">
        <v>1162</v>
      </c>
      <c r="C146" s="109"/>
      <c r="D146" s="111"/>
      <c r="E146" s="111"/>
      <c r="F146" s="111" t="s">
        <v>1180</v>
      </c>
      <c r="G146" s="113"/>
      <c r="H146" s="112"/>
      <c r="I146" s="111"/>
      <c r="J146" s="108">
        <v>46134</v>
      </c>
      <c r="K146" s="109"/>
      <c r="L146" s="108"/>
      <c r="M146" s="107"/>
      <c r="N146" s="333" t="s">
        <v>1337</v>
      </c>
      <c r="O146" s="333"/>
      <c r="P146" s="333"/>
      <c r="Q146" s="334"/>
      <c r="R146" s="106"/>
    </row>
    <row r="147" spans="1:18" ht="16.5" hidden="1" collapsed="1" thickBot="1" x14ac:dyDescent="0.3">
      <c r="A147" s="126">
        <f>+A167+1</f>
        <v>6.1000000000000005</v>
      </c>
      <c r="B147" s="126" t="s">
        <v>1338</v>
      </c>
      <c r="C147" s="127" t="s">
        <v>1287</v>
      </c>
      <c r="D147" s="126" t="s">
        <v>237</v>
      </c>
      <c r="E147" s="126" t="s">
        <v>1288</v>
      </c>
      <c r="F147" s="133" t="s">
        <v>1187</v>
      </c>
      <c r="G147" s="123" t="s">
        <v>1270</v>
      </c>
      <c r="H147" s="99" t="s">
        <v>1169</v>
      </c>
      <c r="I147" s="155" t="s">
        <v>1271</v>
      </c>
      <c r="J147" s="138">
        <v>45943</v>
      </c>
      <c r="K147" s="139"/>
      <c r="L147" s="138"/>
      <c r="M147" s="133" t="s">
        <v>1161</v>
      </c>
      <c r="N147" s="97"/>
      <c r="O147" s="96"/>
      <c r="P147" s="96"/>
      <c r="Q147" s="95"/>
    </row>
    <row r="148" spans="1:18" s="105" customFormat="1" ht="45" hidden="1" customHeight="1" outlineLevel="1" x14ac:dyDescent="0.3">
      <c r="A148" s="114">
        <f>+A172+0.1</f>
        <v>3.3000000000000012</v>
      </c>
      <c r="B148" s="109" t="s">
        <v>1162</v>
      </c>
      <c r="C148" s="109"/>
      <c r="D148" s="111"/>
      <c r="E148" s="111"/>
      <c r="F148" s="111" t="s">
        <v>1187</v>
      </c>
      <c r="G148" s="113"/>
      <c r="H148" s="112"/>
      <c r="I148" s="111"/>
      <c r="J148" s="108">
        <v>45966</v>
      </c>
      <c r="K148" s="109"/>
      <c r="L148" s="108"/>
      <c r="M148" s="107"/>
      <c r="N148" s="333" t="s">
        <v>1339</v>
      </c>
      <c r="O148" s="333"/>
      <c r="P148" s="333"/>
      <c r="Q148" s="334"/>
      <c r="R148" s="106"/>
    </row>
    <row r="149" spans="1:18" s="105" customFormat="1" ht="45" hidden="1" customHeight="1" outlineLevel="1" x14ac:dyDescent="0.3">
      <c r="A149" s="114">
        <f>+A173+0.1</f>
        <v>3.3000000000000012</v>
      </c>
      <c r="B149" s="109" t="s">
        <v>1162</v>
      </c>
      <c r="C149" s="109"/>
      <c r="D149" s="111"/>
      <c r="E149" s="111"/>
      <c r="F149" s="111" t="s">
        <v>1187</v>
      </c>
      <c r="G149" s="113"/>
      <c r="H149" s="112"/>
      <c r="I149" s="111"/>
      <c r="J149" s="108">
        <v>45980</v>
      </c>
      <c r="K149" s="109"/>
      <c r="L149" s="108"/>
      <c r="M149" s="107"/>
      <c r="N149" s="333" t="s">
        <v>1340</v>
      </c>
      <c r="O149" s="333"/>
      <c r="P149" s="333"/>
      <c r="Q149" s="334"/>
      <c r="R149" s="106"/>
    </row>
    <row r="150" spans="1:18" s="105" customFormat="1" ht="56.45" hidden="1" customHeight="1" outlineLevel="1" x14ac:dyDescent="0.3">
      <c r="A150" s="114">
        <f>+A174+0.1</f>
        <v>4.1999999999999993</v>
      </c>
      <c r="B150" s="109" t="s">
        <v>1162</v>
      </c>
      <c r="C150" s="109"/>
      <c r="D150" s="111"/>
      <c r="E150" s="111"/>
      <c r="F150" s="111" t="s">
        <v>1187</v>
      </c>
      <c r="G150" s="113"/>
      <c r="H150" s="112"/>
      <c r="I150" s="111"/>
      <c r="J150" s="108">
        <v>45987</v>
      </c>
      <c r="K150" s="109"/>
      <c r="L150" s="108"/>
      <c r="M150" s="107"/>
      <c r="N150" s="333" t="s">
        <v>1341</v>
      </c>
      <c r="O150" s="333"/>
      <c r="P150" s="333"/>
      <c r="Q150" s="334"/>
      <c r="R150" s="106"/>
    </row>
    <row r="151" spans="1:18" s="105" customFormat="1" ht="56.45" hidden="1" customHeight="1" outlineLevel="1" thickBot="1" x14ac:dyDescent="0.3">
      <c r="A151" s="114">
        <f>+A175+0.1</f>
        <v>4.2000000000000011</v>
      </c>
      <c r="B151" s="109" t="s">
        <v>1162</v>
      </c>
      <c r="C151" s="109"/>
      <c r="D151" s="111"/>
      <c r="E151" s="111"/>
      <c r="F151" s="111" t="s">
        <v>1187</v>
      </c>
      <c r="G151" s="113"/>
      <c r="H151" s="112"/>
      <c r="I151" s="111"/>
      <c r="J151" s="108">
        <v>45995</v>
      </c>
      <c r="K151" s="109"/>
      <c r="L151" s="108"/>
      <c r="M151" s="107"/>
      <c r="N151" s="333" t="s">
        <v>1342</v>
      </c>
      <c r="O151" s="333"/>
      <c r="P151" s="333"/>
      <c r="Q151" s="334"/>
      <c r="R151" s="106"/>
    </row>
    <row r="152" spans="1:18" ht="16.5" hidden="1" collapsed="1" thickBot="1" x14ac:dyDescent="0.3">
      <c r="A152" s="126">
        <f>+A172+1</f>
        <v>4.2000000000000011</v>
      </c>
      <c r="B152" s="126" t="s">
        <v>1343</v>
      </c>
      <c r="C152" s="127" t="s">
        <v>1287</v>
      </c>
      <c r="D152" s="126" t="s">
        <v>237</v>
      </c>
      <c r="E152" s="126" t="s">
        <v>1288</v>
      </c>
      <c r="F152" s="133" t="s">
        <v>1187</v>
      </c>
      <c r="G152" s="137"/>
      <c r="H152" s="146" t="s">
        <v>1250</v>
      </c>
      <c r="I152" s="145" t="s">
        <v>1251</v>
      </c>
      <c r="J152" s="124"/>
      <c r="K152" s="125"/>
      <c r="L152" s="124"/>
      <c r="M152" s="133" t="s">
        <v>1238</v>
      </c>
      <c r="N152" s="144"/>
      <c r="O152" s="143"/>
      <c r="P152" s="143"/>
      <c r="Q152" s="142"/>
    </row>
    <row r="153" spans="1:18" s="105" customFormat="1" ht="45" hidden="1" customHeight="1" outlineLevel="1" thickBot="1" x14ac:dyDescent="0.3">
      <c r="A153" s="114">
        <f>+A177+0.1</f>
        <v>2.3100000000000009</v>
      </c>
      <c r="B153" s="109" t="s">
        <v>1162</v>
      </c>
      <c r="C153" s="109"/>
      <c r="D153" s="111"/>
      <c r="E153" s="111"/>
      <c r="F153" s="111" t="s">
        <v>1187</v>
      </c>
      <c r="G153" s="113"/>
      <c r="H153" s="112"/>
      <c r="I153" s="111"/>
      <c r="J153" s="108"/>
      <c r="K153" s="109"/>
      <c r="L153" s="108"/>
      <c r="M153" s="107"/>
      <c r="N153" s="333" t="s">
        <v>1307</v>
      </c>
      <c r="O153" s="333"/>
      <c r="P153" s="333"/>
      <c r="Q153" s="334"/>
      <c r="R153" s="106"/>
    </row>
    <row r="154" spans="1:18" ht="16.5" hidden="1" collapsed="1" thickBot="1" x14ac:dyDescent="0.3">
      <c r="A154" s="126">
        <f>+A177+1</f>
        <v>3.2100000000000009</v>
      </c>
      <c r="B154" s="126" t="s">
        <v>148</v>
      </c>
      <c r="C154" s="127" t="s">
        <v>1287</v>
      </c>
      <c r="D154" s="126" t="s">
        <v>237</v>
      </c>
      <c r="E154" s="126" t="s">
        <v>1288</v>
      </c>
      <c r="F154" s="133" t="s">
        <v>1187</v>
      </c>
      <c r="G154" s="123" t="s">
        <v>1270</v>
      </c>
      <c r="H154" s="99" t="s">
        <v>1169</v>
      </c>
      <c r="I154" s="155" t="s">
        <v>1271</v>
      </c>
      <c r="J154" s="138">
        <v>46056</v>
      </c>
      <c r="K154" s="125"/>
      <c r="L154" s="138">
        <v>46077</v>
      </c>
      <c r="M154" s="133"/>
      <c r="N154" s="97"/>
      <c r="O154" s="96"/>
      <c r="P154" s="96"/>
      <c r="Q154" s="95"/>
    </row>
    <row r="155" spans="1:18" s="105" customFormat="1" ht="45" hidden="1" customHeight="1" outlineLevel="1" thickBot="1" x14ac:dyDescent="0.3">
      <c r="A155" s="114">
        <f>+A179+0.1</f>
        <v>4.1100000000000003</v>
      </c>
      <c r="B155" s="109" t="s">
        <v>1162</v>
      </c>
      <c r="C155" s="109"/>
      <c r="D155" s="111"/>
      <c r="E155" s="111"/>
      <c r="F155" s="111" t="s">
        <v>1190</v>
      </c>
      <c r="G155" s="113"/>
      <c r="H155" s="112"/>
      <c r="I155" s="111"/>
      <c r="J155" s="108">
        <v>46058</v>
      </c>
      <c r="K155" s="109"/>
      <c r="L155" s="108"/>
      <c r="M155" s="107"/>
      <c r="N155" s="333" t="s">
        <v>1344</v>
      </c>
      <c r="O155" s="333"/>
      <c r="P155" s="333"/>
      <c r="Q155" s="334"/>
      <c r="R155" s="106"/>
    </row>
    <row r="156" spans="1:18" ht="16.5" collapsed="1" thickBot="1" x14ac:dyDescent="0.3">
      <c r="A156" s="126">
        <f>+A179+1</f>
        <v>5.0100000000000007</v>
      </c>
      <c r="B156" s="126" t="s">
        <v>1345</v>
      </c>
      <c r="C156" s="127" t="s">
        <v>1287</v>
      </c>
      <c r="D156" s="126" t="s">
        <v>237</v>
      </c>
      <c r="E156" s="126" t="s">
        <v>1288</v>
      </c>
      <c r="F156" s="133" t="s">
        <v>1187</v>
      </c>
      <c r="G156" s="137"/>
      <c r="H156" s="117" t="s">
        <v>1159</v>
      </c>
      <c r="I156" s="156" t="s">
        <v>1346</v>
      </c>
      <c r="J156" s="124"/>
      <c r="K156" s="125"/>
      <c r="L156" s="124"/>
      <c r="M156" s="133" t="s">
        <v>1238</v>
      </c>
      <c r="N156" s="115"/>
      <c r="O156" s="102"/>
      <c r="P156" s="102"/>
      <c r="Q156" s="101"/>
    </row>
    <row r="157" spans="1:18" s="105" customFormat="1" ht="45" hidden="1" customHeight="1" outlineLevel="1" x14ac:dyDescent="0.3">
      <c r="A157" s="114">
        <f>+A181+0.1</f>
        <v>3.2100000000000009</v>
      </c>
      <c r="B157" s="109" t="s">
        <v>1162</v>
      </c>
      <c r="C157" s="109"/>
      <c r="D157" s="111"/>
      <c r="E157" s="111"/>
      <c r="F157" s="111" t="s">
        <v>1187</v>
      </c>
      <c r="G157" s="113"/>
      <c r="H157" s="112"/>
      <c r="I157" s="111"/>
      <c r="J157" s="108">
        <v>45945</v>
      </c>
      <c r="K157" s="109"/>
      <c r="L157" s="108"/>
      <c r="M157" s="107"/>
      <c r="N157" s="333" t="s">
        <v>1347</v>
      </c>
      <c r="O157" s="333"/>
      <c r="P157" s="333"/>
      <c r="Q157" s="334"/>
      <c r="R157" s="106"/>
    </row>
    <row r="158" spans="1:18" s="105" customFormat="1" ht="45" hidden="1" customHeight="1" outlineLevel="1" x14ac:dyDescent="0.3">
      <c r="A158" s="114">
        <f>+A182+0.1</f>
        <v>4.1100000000000003</v>
      </c>
      <c r="B158" s="109" t="s">
        <v>1162</v>
      </c>
      <c r="C158" s="109"/>
      <c r="D158" s="111"/>
      <c r="E158" s="111"/>
      <c r="F158" s="111" t="s">
        <v>1187</v>
      </c>
      <c r="G158" s="113"/>
      <c r="H158" s="112"/>
      <c r="I158" s="111"/>
      <c r="J158" s="108">
        <v>45952</v>
      </c>
      <c r="K158" s="109"/>
      <c r="L158" s="108"/>
      <c r="M158" s="107"/>
      <c r="N158" s="333" t="s">
        <v>1275</v>
      </c>
      <c r="O158" s="333"/>
      <c r="P158" s="333"/>
      <c r="Q158" s="334"/>
      <c r="R158" s="106"/>
    </row>
    <row r="159" spans="1:18" s="105" customFormat="1" ht="56.45" hidden="1" customHeight="1" outlineLevel="1" thickBot="1" x14ac:dyDescent="0.3">
      <c r="A159" s="114">
        <f>+A183+0.1</f>
        <v>8.7999999999999989</v>
      </c>
      <c r="B159" s="109" t="s">
        <v>1162</v>
      </c>
      <c r="C159" s="109"/>
      <c r="D159" s="111"/>
      <c r="E159" s="111"/>
      <c r="F159" s="111" t="s">
        <v>1187</v>
      </c>
      <c r="G159" s="113"/>
      <c r="H159" s="112"/>
      <c r="I159" s="111"/>
      <c r="J159" s="108">
        <v>46120</v>
      </c>
      <c r="K159" s="109"/>
      <c r="L159" s="108"/>
      <c r="M159" s="107"/>
      <c r="N159" s="333" t="s">
        <v>1318</v>
      </c>
      <c r="O159" s="333"/>
      <c r="P159" s="333"/>
      <c r="Q159" s="334"/>
      <c r="R159" s="106"/>
    </row>
    <row r="160" spans="1:18" ht="16.5" collapsed="1" thickBot="1" x14ac:dyDescent="0.3">
      <c r="A160" s="126">
        <f>+A181+1</f>
        <v>4.1100000000000012</v>
      </c>
      <c r="B160" s="126" t="s">
        <v>138</v>
      </c>
      <c r="C160" s="127" t="s">
        <v>1287</v>
      </c>
      <c r="D160" s="126" t="s">
        <v>237</v>
      </c>
      <c r="E160" s="126" t="s">
        <v>1288</v>
      </c>
      <c r="F160" s="133" t="s">
        <v>1348</v>
      </c>
      <c r="G160" s="170" t="s">
        <v>1349</v>
      </c>
      <c r="H160" s="169" t="s">
        <v>1159</v>
      </c>
      <c r="I160" s="168" t="s">
        <v>1350</v>
      </c>
      <c r="J160" s="124"/>
      <c r="K160" s="125"/>
      <c r="L160" s="138">
        <v>46141</v>
      </c>
      <c r="M160" s="133" t="s">
        <v>1238</v>
      </c>
      <c r="N160" s="115"/>
      <c r="O160" s="102"/>
      <c r="P160" s="102"/>
      <c r="Q160" s="101"/>
    </row>
    <row r="161" spans="1:18" s="105" customFormat="1" ht="45" hidden="1" customHeight="1" outlineLevel="1" x14ac:dyDescent="0.3">
      <c r="A161" s="114">
        <f t="shared" ref="A161:A166" si="8">+A185+0.1</f>
        <v>4.2</v>
      </c>
      <c r="B161" s="109" t="s">
        <v>1162</v>
      </c>
      <c r="C161" s="109"/>
      <c r="D161" s="111"/>
      <c r="E161" s="111"/>
      <c r="F161" s="111" t="s">
        <v>1158</v>
      </c>
      <c r="G161" s="113"/>
      <c r="H161" s="112"/>
      <c r="I161" s="111"/>
      <c r="J161" s="108">
        <v>45945</v>
      </c>
      <c r="K161" s="109"/>
      <c r="L161" s="108"/>
      <c r="M161" s="107"/>
      <c r="N161" s="333" t="s">
        <v>1317</v>
      </c>
      <c r="O161" s="333"/>
      <c r="P161" s="333"/>
      <c r="Q161" s="334"/>
      <c r="R161" s="106"/>
    </row>
    <row r="162" spans="1:18" s="105" customFormat="1" ht="45" hidden="1" customHeight="1" outlineLevel="1" x14ac:dyDescent="0.3">
      <c r="A162" s="114">
        <f t="shared" si="8"/>
        <v>4.1100000000000003</v>
      </c>
      <c r="B162" s="109" t="s">
        <v>1162</v>
      </c>
      <c r="C162" s="109"/>
      <c r="D162" s="111"/>
      <c r="E162" s="111"/>
      <c r="F162" s="111" t="s">
        <v>1158</v>
      </c>
      <c r="G162" s="113"/>
      <c r="H162" s="112"/>
      <c r="I162" s="111"/>
      <c r="J162" s="108">
        <v>45952</v>
      </c>
      <c r="K162" s="109"/>
      <c r="L162" s="108"/>
      <c r="M162" s="107"/>
      <c r="N162" s="333" t="s">
        <v>1275</v>
      </c>
      <c r="O162" s="333"/>
      <c r="P162" s="333"/>
      <c r="Q162" s="334"/>
      <c r="R162" s="106"/>
    </row>
    <row r="163" spans="1:18" s="105" customFormat="1" ht="56.45" hidden="1" customHeight="1" outlineLevel="1" x14ac:dyDescent="0.3">
      <c r="A163" s="114">
        <f t="shared" si="8"/>
        <v>5.0999999999999996</v>
      </c>
      <c r="B163" s="109" t="s">
        <v>1162</v>
      </c>
      <c r="C163" s="109"/>
      <c r="D163" s="111"/>
      <c r="E163" s="111"/>
      <c r="F163" s="111" t="s">
        <v>1158</v>
      </c>
      <c r="G163" s="113"/>
      <c r="H163" s="112"/>
      <c r="I163" s="111"/>
      <c r="J163" s="108">
        <v>46107</v>
      </c>
      <c r="K163" s="109"/>
      <c r="L163" s="108"/>
      <c r="M163" s="107"/>
      <c r="N163" s="333" t="s">
        <v>1351</v>
      </c>
      <c r="O163" s="333"/>
      <c r="P163" s="333"/>
      <c r="Q163" s="334"/>
      <c r="R163" s="106"/>
    </row>
    <row r="164" spans="1:18" s="105" customFormat="1" ht="56.45" hidden="1" customHeight="1" outlineLevel="1" x14ac:dyDescent="0.3">
      <c r="A164" s="114">
        <f t="shared" si="8"/>
        <v>6.8999999999999968</v>
      </c>
      <c r="B164" s="109" t="s">
        <v>1162</v>
      </c>
      <c r="C164" s="109"/>
      <c r="D164" s="111"/>
      <c r="E164" s="111"/>
      <c r="F164" s="111" t="s">
        <v>1158</v>
      </c>
      <c r="G164" s="113"/>
      <c r="H164" s="112"/>
      <c r="I164" s="111"/>
      <c r="J164" s="108">
        <v>46120</v>
      </c>
      <c r="K164" s="109"/>
      <c r="L164" s="108"/>
      <c r="M164" s="107"/>
      <c r="N164" s="333" t="s">
        <v>1352</v>
      </c>
      <c r="O164" s="333"/>
      <c r="P164" s="333"/>
      <c r="Q164" s="334"/>
      <c r="R164" s="106"/>
    </row>
    <row r="165" spans="1:18" s="105" customFormat="1" ht="56.45" hidden="1" customHeight="1" outlineLevel="1" x14ac:dyDescent="0.3">
      <c r="A165" s="114">
        <f t="shared" si="8"/>
        <v>7.7999999999999972</v>
      </c>
      <c r="B165" s="109" t="s">
        <v>1162</v>
      </c>
      <c r="C165" s="109"/>
      <c r="D165" s="111"/>
      <c r="E165" s="111"/>
      <c r="F165" s="111" t="s">
        <v>1158</v>
      </c>
      <c r="G165" s="113"/>
      <c r="H165" s="112"/>
      <c r="I165" s="111"/>
      <c r="J165" s="108">
        <v>46128</v>
      </c>
      <c r="K165" s="109"/>
      <c r="L165" s="108"/>
      <c r="M165" s="107"/>
      <c r="N165" s="333" t="s">
        <v>1353</v>
      </c>
      <c r="O165" s="333"/>
      <c r="P165" s="333"/>
      <c r="Q165" s="334"/>
      <c r="R165" s="106"/>
    </row>
    <row r="166" spans="1:18" s="105" customFormat="1" ht="56.45" hidden="1" customHeight="1" outlineLevel="1" thickBot="1" x14ac:dyDescent="0.3">
      <c r="A166" s="114">
        <f t="shared" si="8"/>
        <v>6</v>
      </c>
      <c r="B166" s="109" t="s">
        <v>1162</v>
      </c>
      <c r="C166" s="109"/>
      <c r="D166" s="111"/>
      <c r="E166" s="111"/>
      <c r="F166" s="111" t="s">
        <v>1158</v>
      </c>
      <c r="G166" s="113"/>
      <c r="H166" s="112"/>
      <c r="I166" s="111"/>
      <c r="J166" s="108">
        <v>46141</v>
      </c>
      <c r="K166" s="109"/>
      <c r="L166" s="108"/>
      <c r="M166" s="107"/>
      <c r="N166" s="333" t="s">
        <v>1354</v>
      </c>
      <c r="O166" s="333"/>
      <c r="P166" s="333"/>
      <c r="Q166" s="334"/>
      <c r="R166" s="106"/>
    </row>
    <row r="167" spans="1:18" ht="16.5" collapsed="1" thickBot="1" x14ac:dyDescent="0.3">
      <c r="A167" s="126">
        <f>+A185+1</f>
        <v>5.1000000000000005</v>
      </c>
      <c r="B167" s="126" t="s">
        <v>504</v>
      </c>
      <c r="C167" s="127" t="s">
        <v>1287</v>
      </c>
      <c r="D167" s="126" t="s">
        <v>237</v>
      </c>
      <c r="E167" s="126" t="s">
        <v>1288</v>
      </c>
      <c r="F167" s="133" t="s">
        <v>1289</v>
      </c>
      <c r="G167" s="123"/>
      <c r="H167" s="117" t="s">
        <v>1159</v>
      </c>
      <c r="I167" s="156" t="s">
        <v>1332</v>
      </c>
      <c r="J167" s="138">
        <v>45908</v>
      </c>
      <c r="K167" s="125"/>
      <c r="L167" s="124"/>
      <c r="M167" s="133" t="s">
        <v>1238</v>
      </c>
      <c r="N167" s="115"/>
      <c r="O167" s="102"/>
      <c r="P167" s="102"/>
      <c r="Q167" s="101"/>
    </row>
    <row r="168" spans="1:18" s="105" customFormat="1" ht="45" hidden="1" customHeight="1" outlineLevel="1" x14ac:dyDescent="0.3">
      <c r="A168" s="114">
        <f>+A192+0.1</f>
        <v>3.2000000000000011</v>
      </c>
      <c r="B168" s="109" t="s">
        <v>1162</v>
      </c>
      <c r="C168" s="109"/>
      <c r="D168" s="111"/>
      <c r="E168" s="111"/>
      <c r="F168" s="111" t="s">
        <v>1180</v>
      </c>
      <c r="G168" s="113"/>
      <c r="H168" s="112"/>
      <c r="I168" s="111"/>
      <c r="J168" s="108">
        <v>45945</v>
      </c>
      <c r="K168" s="109"/>
      <c r="L168" s="108"/>
      <c r="M168" s="107"/>
      <c r="N168" s="333" t="s">
        <v>1347</v>
      </c>
      <c r="O168" s="333"/>
      <c r="P168" s="333"/>
      <c r="Q168" s="334"/>
      <c r="R168" s="106"/>
    </row>
    <row r="169" spans="1:18" s="105" customFormat="1" ht="45" hidden="1" customHeight="1" outlineLevel="1" x14ac:dyDescent="0.3">
      <c r="A169" s="114">
        <f>+A193+0.1</f>
        <v>5.0999999999999996</v>
      </c>
      <c r="B169" s="109" t="s">
        <v>1162</v>
      </c>
      <c r="C169" s="109"/>
      <c r="D169" s="111"/>
      <c r="E169" s="111"/>
      <c r="F169" s="111" t="s">
        <v>1180</v>
      </c>
      <c r="G169" s="113"/>
      <c r="H169" s="112"/>
      <c r="I169" s="111"/>
      <c r="J169" s="108">
        <v>45952</v>
      </c>
      <c r="K169" s="109"/>
      <c r="L169" s="108"/>
      <c r="M169" s="107"/>
      <c r="N169" s="333" t="s">
        <v>1275</v>
      </c>
      <c r="O169" s="333"/>
      <c r="P169" s="333"/>
      <c r="Q169" s="334"/>
      <c r="R169" s="106"/>
    </row>
    <row r="170" spans="1:18" s="105" customFormat="1" ht="56.45" hidden="1" customHeight="1" outlineLevel="1" thickBot="1" x14ac:dyDescent="0.3">
      <c r="A170" s="114">
        <f>+A194+0.1</f>
        <v>3.2000000000000006</v>
      </c>
      <c r="B170" s="109" t="s">
        <v>1162</v>
      </c>
      <c r="C170" s="109"/>
      <c r="D170" s="111"/>
      <c r="E170" s="111"/>
      <c r="F170" s="111" t="s">
        <v>1180</v>
      </c>
      <c r="G170" s="113"/>
      <c r="H170" s="112"/>
      <c r="I170" s="111"/>
      <c r="J170" s="108">
        <v>46128</v>
      </c>
      <c r="K170" s="109"/>
      <c r="L170" s="108"/>
      <c r="M170" s="107"/>
      <c r="N170" s="333" t="s">
        <v>1318</v>
      </c>
      <c r="O170" s="333"/>
      <c r="P170" s="333"/>
      <c r="Q170" s="334"/>
      <c r="R170" s="106"/>
    </row>
    <row r="171" spans="1:18" ht="16.5" collapsed="1" thickBot="1" x14ac:dyDescent="0.3">
      <c r="A171" s="126">
        <f>+A192+1</f>
        <v>4.1000000000000014</v>
      </c>
      <c r="B171" s="126" t="s">
        <v>1355</v>
      </c>
      <c r="C171" s="127" t="s">
        <v>1287</v>
      </c>
      <c r="D171" s="126" t="s">
        <v>237</v>
      </c>
      <c r="E171" s="126" t="s">
        <v>1288</v>
      </c>
      <c r="F171" s="133" t="s">
        <v>1158</v>
      </c>
      <c r="G171" s="137"/>
      <c r="H171" s="117" t="s">
        <v>1159</v>
      </c>
      <c r="I171" s="156" t="s">
        <v>1316</v>
      </c>
      <c r="J171" s="124"/>
      <c r="K171" s="125"/>
      <c r="L171" s="124"/>
      <c r="M171" s="133" t="s">
        <v>1238</v>
      </c>
      <c r="N171" s="115"/>
      <c r="O171" s="102"/>
      <c r="P171" s="102"/>
      <c r="Q171" s="101"/>
    </row>
    <row r="172" spans="1:18" s="105" customFormat="1" ht="45" hidden="1" customHeight="1" outlineLevel="1" x14ac:dyDescent="0.3">
      <c r="A172" s="114">
        <f>+A196+0.1</f>
        <v>3.2000000000000011</v>
      </c>
      <c r="B172" s="109" t="s">
        <v>1162</v>
      </c>
      <c r="C172" s="109"/>
      <c r="D172" s="111"/>
      <c r="E172" s="111"/>
      <c r="F172" s="111" t="s">
        <v>1158</v>
      </c>
      <c r="G172" s="113"/>
      <c r="H172" s="112"/>
      <c r="I172" s="111"/>
      <c r="J172" s="108">
        <v>45945</v>
      </c>
      <c r="K172" s="109"/>
      <c r="L172" s="108"/>
      <c r="M172" s="107"/>
      <c r="N172" s="333" t="s">
        <v>1317</v>
      </c>
      <c r="O172" s="333"/>
      <c r="P172" s="333"/>
      <c r="Q172" s="334"/>
      <c r="R172" s="106"/>
    </row>
    <row r="173" spans="1:18" s="105" customFormat="1" ht="45" hidden="1" customHeight="1" outlineLevel="1" x14ac:dyDescent="0.3">
      <c r="A173" s="114">
        <f>+A197+0.1</f>
        <v>3.2000000000000011</v>
      </c>
      <c r="B173" s="109" t="s">
        <v>1162</v>
      </c>
      <c r="C173" s="109"/>
      <c r="D173" s="111"/>
      <c r="E173" s="111"/>
      <c r="F173" s="111" t="s">
        <v>1158</v>
      </c>
      <c r="G173" s="113"/>
      <c r="H173" s="112"/>
      <c r="I173" s="111"/>
      <c r="J173" s="108">
        <v>45952</v>
      </c>
      <c r="K173" s="109"/>
      <c r="L173" s="108"/>
      <c r="M173" s="107"/>
      <c r="N173" s="333" t="s">
        <v>1275</v>
      </c>
      <c r="O173" s="333"/>
      <c r="P173" s="333"/>
      <c r="Q173" s="334"/>
      <c r="R173" s="106"/>
    </row>
    <row r="174" spans="1:18" s="105" customFormat="1" ht="56.45" hidden="1" customHeight="1" outlineLevel="1" thickBot="1" x14ac:dyDescent="0.3">
      <c r="A174" s="114">
        <f>+A198+0.1</f>
        <v>4.0999999999999996</v>
      </c>
      <c r="B174" s="109" t="s">
        <v>1162</v>
      </c>
      <c r="C174" s="109"/>
      <c r="D174" s="111"/>
      <c r="E174" s="111"/>
      <c r="F174" s="111" t="s">
        <v>1158</v>
      </c>
      <c r="G174" s="113"/>
      <c r="H174" s="112"/>
      <c r="I174" s="111"/>
      <c r="J174" s="108">
        <v>46128</v>
      </c>
      <c r="K174" s="109"/>
      <c r="L174" s="108"/>
      <c r="M174" s="107"/>
      <c r="N174" s="333" t="s">
        <v>1318</v>
      </c>
      <c r="O174" s="333"/>
      <c r="P174" s="333"/>
      <c r="Q174" s="334"/>
      <c r="R174" s="106"/>
    </row>
    <row r="175" spans="1:18" ht="16.5" collapsed="1" thickBot="1" x14ac:dyDescent="0.3">
      <c r="A175" s="126">
        <f>+A196+1</f>
        <v>4.1000000000000014</v>
      </c>
      <c r="B175" s="126" t="s">
        <v>1356</v>
      </c>
      <c r="C175" s="127" t="s">
        <v>1287</v>
      </c>
      <c r="D175" s="126" t="s">
        <v>237</v>
      </c>
      <c r="E175" s="126" t="s">
        <v>1288</v>
      </c>
      <c r="F175" s="133" t="s">
        <v>1187</v>
      </c>
      <c r="G175" s="123"/>
      <c r="H175" s="117" t="s">
        <v>1159</v>
      </c>
      <c r="I175" s="156" t="s">
        <v>1357</v>
      </c>
      <c r="J175" s="124"/>
      <c r="K175" s="139">
        <v>45946</v>
      </c>
      <c r="L175" s="124"/>
      <c r="M175" s="133" t="s">
        <v>1272</v>
      </c>
      <c r="N175" s="115"/>
      <c r="O175" s="102"/>
      <c r="P175" s="102"/>
      <c r="Q175" s="101"/>
    </row>
    <row r="176" spans="1:18" s="105" customFormat="1" ht="45" hidden="1" customHeight="1" outlineLevel="1" x14ac:dyDescent="0.3">
      <c r="A176" s="114">
        <f t="shared" ref="A176:A182" si="9">+A200+0.1</f>
        <v>7.8</v>
      </c>
      <c r="B176" s="109" t="s">
        <v>1162</v>
      </c>
      <c r="C176" s="109"/>
      <c r="D176" s="111"/>
      <c r="E176" s="111"/>
      <c r="F176" s="111" t="s">
        <v>1187</v>
      </c>
      <c r="G176" s="113"/>
      <c r="H176" s="112"/>
      <c r="I176" s="111"/>
      <c r="J176" s="108">
        <v>45952</v>
      </c>
      <c r="K176" s="109"/>
      <c r="L176" s="108"/>
      <c r="M176" s="107"/>
      <c r="N176" s="333" t="s">
        <v>1358</v>
      </c>
      <c r="O176" s="333"/>
      <c r="P176" s="333"/>
      <c r="Q176" s="334"/>
      <c r="R176" s="106"/>
    </row>
    <row r="177" spans="1:18" s="105" customFormat="1" ht="45" hidden="1" customHeight="1" outlineLevel="1" x14ac:dyDescent="0.3">
      <c r="A177" s="114">
        <f t="shared" si="9"/>
        <v>2.2100000000000009</v>
      </c>
      <c r="B177" s="109" t="s">
        <v>1162</v>
      </c>
      <c r="C177" s="109"/>
      <c r="D177" s="111"/>
      <c r="E177" s="111"/>
      <c r="F177" s="111" t="s">
        <v>1187</v>
      </c>
      <c r="G177" s="113"/>
      <c r="H177" s="112"/>
      <c r="I177" s="111"/>
      <c r="J177" s="108">
        <v>45980</v>
      </c>
      <c r="K177" s="109"/>
      <c r="L177" s="108"/>
      <c r="M177" s="107"/>
      <c r="N177" s="333" t="s">
        <v>1359</v>
      </c>
      <c r="O177" s="333"/>
      <c r="P177" s="333"/>
      <c r="Q177" s="334"/>
      <c r="R177" s="106"/>
    </row>
    <row r="178" spans="1:18" s="105" customFormat="1" ht="56.45" hidden="1" customHeight="1" outlineLevel="1" x14ac:dyDescent="0.3">
      <c r="A178" s="114">
        <f t="shared" si="9"/>
        <v>3.1100000000000008</v>
      </c>
      <c r="B178" s="109" t="s">
        <v>1162</v>
      </c>
      <c r="C178" s="109"/>
      <c r="D178" s="111"/>
      <c r="E178" s="111"/>
      <c r="F178" s="111" t="s">
        <v>1187</v>
      </c>
      <c r="G178" s="113"/>
      <c r="H178" s="112"/>
      <c r="I178" s="111"/>
      <c r="J178" s="108">
        <v>45987</v>
      </c>
      <c r="K178" s="109"/>
      <c r="L178" s="108"/>
      <c r="M178" s="107"/>
      <c r="N178" s="333" t="s">
        <v>1360</v>
      </c>
      <c r="O178" s="333"/>
      <c r="P178" s="333"/>
      <c r="Q178" s="334"/>
      <c r="R178" s="106"/>
    </row>
    <row r="179" spans="1:18" s="105" customFormat="1" ht="56.45" hidden="1" customHeight="1" outlineLevel="1" x14ac:dyDescent="0.3">
      <c r="A179" s="114">
        <f t="shared" si="9"/>
        <v>4.0100000000000007</v>
      </c>
      <c r="B179" s="109" t="s">
        <v>1162</v>
      </c>
      <c r="C179" s="109"/>
      <c r="D179" s="111"/>
      <c r="E179" s="111"/>
      <c r="F179" s="111" t="s">
        <v>1187</v>
      </c>
      <c r="G179" s="113"/>
      <c r="H179" s="112"/>
      <c r="I179" s="111"/>
      <c r="J179" s="108">
        <v>46107</v>
      </c>
      <c r="K179" s="109"/>
      <c r="L179" s="108"/>
      <c r="M179" s="107"/>
      <c r="N179" s="333" t="s">
        <v>1361</v>
      </c>
      <c r="O179" s="333"/>
      <c r="P179" s="333"/>
      <c r="Q179" s="334"/>
      <c r="R179" s="106"/>
    </row>
    <row r="180" spans="1:18" s="105" customFormat="1" ht="56.45" hidden="1" customHeight="1" outlineLevel="1" x14ac:dyDescent="0.3">
      <c r="A180" s="114">
        <f t="shared" si="9"/>
        <v>3.2000000000000011</v>
      </c>
      <c r="B180" s="109" t="s">
        <v>1162</v>
      </c>
      <c r="C180" s="109"/>
      <c r="D180" s="111"/>
      <c r="E180" s="111"/>
      <c r="F180" s="111" t="s">
        <v>1187</v>
      </c>
      <c r="G180" s="113"/>
      <c r="H180" s="112"/>
      <c r="I180" s="111"/>
      <c r="J180" s="108">
        <v>46120</v>
      </c>
      <c r="K180" s="109"/>
      <c r="L180" s="108"/>
      <c r="M180" s="107"/>
      <c r="N180" s="333" t="s">
        <v>1362</v>
      </c>
      <c r="O180" s="333"/>
      <c r="P180" s="333"/>
      <c r="Q180" s="334"/>
      <c r="R180" s="106"/>
    </row>
    <row r="181" spans="1:18" s="105" customFormat="1" ht="56.45" hidden="1" customHeight="1" outlineLevel="1" x14ac:dyDescent="0.3">
      <c r="A181" s="114">
        <f t="shared" si="9"/>
        <v>3.1100000000000008</v>
      </c>
      <c r="B181" s="109" t="s">
        <v>1162</v>
      </c>
      <c r="C181" s="109"/>
      <c r="D181" s="111"/>
      <c r="E181" s="111"/>
      <c r="F181" s="111" t="s">
        <v>1187</v>
      </c>
      <c r="G181" s="113"/>
      <c r="H181" s="112"/>
      <c r="I181" s="111"/>
      <c r="J181" s="108">
        <v>46128</v>
      </c>
      <c r="K181" s="109"/>
      <c r="L181" s="108"/>
      <c r="M181" s="107"/>
      <c r="N181" s="333" t="s">
        <v>1363</v>
      </c>
      <c r="O181" s="333"/>
      <c r="P181" s="333"/>
      <c r="Q181" s="334"/>
      <c r="R181" s="106"/>
    </row>
    <row r="182" spans="1:18" s="105" customFormat="1" ht="56.45" hidden="1" customHeight="1" outlineLevel="1" thickBot="1" x14ac:dyDescent="0.3">
      <c r="A182" s="114">
        <f t="shared" si="9"/>
        <v>4.0100000000000007</v>
      </c>
      <c r="B182" s="109" t="s">
        <v>1162</v>
      </c>
      <c r="C182" s="109"/>
      <c r="D182" s="111"/>
      <c r="E182" s="111"/>
      <c r="F182" s="111" t="s">
        <v>1187</v>
      </c>
      <c r="G182" s="113"/>
      <c r="H182" s="112"/>
      <c r="I182" s="111"/>
      <c r="J182" s="108">
        <v>46134</v>
      </c>
      <c r="K182" s="109"/>
      <c r="L182" s="108"/>
      <c r="M182" s="107"/>
      <c r="N182" s="333" t="s">
        <v>1364</v>
      </c>
      <c r="O182" s="333"/>
      <c r="P182" s="333"/>
      <c r="Q182" s="334"/>
      <c r="R182" s="106"/>
    </row>
    <row r="183" spans="1:18" ht="16.5" hidden="1" collapsed="1" thickBot="1" x14ac:dyDescent="0.3">
      <c r="A183" s="126">
        <f>+A200+1</f>
        <v>8.6999999999999993</v>
      </c>
      <c r="B183" s="126" t="s">
        <v>470</v>
      </c>
      <c r="C183" s="127" t="s">
        <v>1287</v>
      </c>
      <c r="D183" s="126" t="s">
        <v>237</v>
      </c>
      <c r="E183" s="126" t="s">
        <v>1288</v>
      </c>
      <c r="F183" s="133" t="s">
        <v>1247</v>
      </c>
      <c r="G183" s="158" t="s">
        <v>1365</v>
      </c>
      <c r="H183" s="99" t="s">
        <v>1169</v>
      </c>
      <c r="I183" s="125"/>
      <c r="J183" s="138">
        <v>45993</v>
      </c>
      <c r="K183" s="139"/>
      <c r="L183" s="138">
        <v>45995</v>
      </c>
      <c r="M183" s="133" t="s">
        <v>1189</v>
      </c>
      <c r="N183" s="97"/>
      <c r="O183" s="96"/>
      <c r="P183" s="96"/>
      <c r="Q183" s="95"/>
    </row>
    <row r="184" spans="1:18" s="105" customFormat="1" ht="45" hidden="1" customHeight="1" outlineLevel="1" x14ac:dyDescent="0.3">
      <c r="A184" s="114">
        <f>+A208+0.1</f>
        <v>3.1100000000000008</v>
      </c>
      <c r="B184" s="109" t="s">
        <v>1162</v>
      </c>
      <c r="C184" s="109"/>
      <c r="D184" s="111"/>
      <c r="E184" s="111"/>
      <c r="F184" s="111" t="s">
        <v>1180</v>
      </c>
      <c r="G184" s="113"/>
      <c r="H184" s="112"/>
      <c r="I184" s="111"/>
      <c r="J184" s="108">
        <v>45945</v>
      </c>
      <c r="K184" s="109"/>
      <c r="L184" s="108"/>
      <c r="M184" s="107"/>
      <c r="N184" s="333" t="s">
        <v>1366</v>
      </c>
      <c r="O184" s="333"/>
      <c r="P184" s="333"/>
      <c r="Q184" s="334"/>
      <c r="R184" s="106"/>
    </row>
    <row r="185" spans="1:18" s="105" customFormat="1" ht="45" hidden="1" customHeight="1" outlineLevel="1" thickBot="1" x14ac:dyDescent="0.3">
      <c r="A185" s="114">
        <f>+A209+0.1</f>
        <v>4.1000000000000005</v>
      </c>
      <c r="B185" s="109" t="s">
        <v>1162</v>
      </c>
      <c r="C185" s="109"/>
      <c r="D185" s="111"/>
      <c r="E185" s="111"/>
      <c r="F185" s="111" t="s">
        <v>1180</v>
      </c>
      <c r="G185" s="113"/>
      <c r="H185" s="112"/>
      <c r="I185" s="111"/>
      <c r="J185" s="108">
        <v>45995</v>
      </c>
      <c r="K185" s="109"/>
      <c r="L185" s="108"/>
      <c r="M185" s="107"/>
      <c r="N185" s="333" t="s">
        <v>1367</v>
      </c>
      <c r="O185" s="333"/>
      <c r="P185" s="333"/>
      <c r="Q185" s="334"/>
      <c r="R185" s="106"/>
    </row>
    <row r="186" spans="1:18" ht="16.5" collapsed="1" thickBot="1" x14ac:dyDescent="0.3">
      <c r="A186" s="126">
        <f>+A208+1</f>
        <v>4.0100000000000007</v>
      </c>
      <c r="B186" s="126" t="s">
        <v>508</v>
      </c>
      <c r="C186" s="127" t="s">
        <v>1287</v>
      </c>
      <c r="D186" s="126" t="s">
        <v>237</v>
      </c>
      <c r="E186" s="126" t="s">
        <v>1288</v>
      </c>
      <c r="F186" s="133" t="s">
        <v>1187</v>
      </c>
      <c r="G186" s="137"/>
      <c r="H186" s="117" t="s">
        <v>1159</v>
      </c>
      <c r="I186" s="156" t="s">
        <v>354</v>
      </c>
      <c r="J186" s="124"/>
      <c r="K186" s="125"/>
      <c r="L186" s="124"/>
      <c r="M186" s="133" t="s">
        <v>1238</v>
      </c>
      <c r="N186" s="115"/>
      <c r="O186" s="102"/>
      <c r="P186" s="102"/>
      <c r="Q186" s="101"/>
    </row>
    <row r="187" spans="1:18" s="105" customFormat="1" ht="45" hidden="1" customHeight="1" outlineLevel="1" x14ac:dyDescent="0.3">
      <c r="A187" s="114">
        <f>+A211+0.1</f>
        <v>5</v>
      </c>
      <c r="B187" s="109" t="s">
        <v>1162</v>
      </c>
      <c r="C187" s="109"/>
      <c r="D187" s="111"/>
      <c r="E187" s="111"/>
      <c r="F187" s="111" t="s">
        <v>1187</v>
      </c>
      <c r="G187" s="113"/>
      <c r="H187" s="112"/>
      <c r="I187" s="111"/>
      <c r="J187" s="108">
        <v>45945</v>
      </c>
      <c r="K187" s="109"/>
      <c r="L187" s="108"/>
      <c r="M187" s="107"/>
      <c r="N187" s="333" t="s">
        <v>1347</v>
      </c>
      <c r="O187" s="333"/>
      <c r="P187" s="333"/>
      <c r="Q187" s="334"/>
      <c r="R187" s="106"/>
    </row>
    <row r="188" spans="1:18" s="105" customFormat="1" ht="45" hidden="1" customHeight="1" outlineLevel="1" x14ac:dyDescent="0.3">
      <c r="A188" s="114">
        <f>+A212+0.1</f>
        <v>6.7999999999999972</v>
      </c>
      <c r="B188" s="109" t="s">
        <v>1162</v>
      </c>
      <c r="C188" s="109"/>
      <c r="D188" s="111"/>
      <c r="E188" s="111"/>
      <c r="F188" s="111" t="s">
        <v>1187</v>
      </c>
      <c r="G188" s="113"/>
      <c r="H188" s="112"/>
      <c r="I188" s="111"/>
      <c r="J188" s="108">
        <v>45952</v>
      </c>
      <c r="K188" s="109"/>
      <c r="L188" s="108"/>
      <c r="M188" s="107"/>
      <c r="N188" s="333" t="s">
        <v>1275</v>
      </c>
      <c r="O188" s="333"/>
      <c r="P188" s="333"/>
      <c r="Q188" s="334"/>
      <c r="R188" s="106"/>
    </row>
    <row r="189" spans="1:18" s="105" customFormat="1" ht="56.45" hidden="1" customHeight="1" outlineLevel="1" thickBot="1" x14ac:dyDescent="0.3">
      <c r="A189" s="114">
        <f>+A213+0.1</f>
        <v>7.6999999999999975</v>
      </c>
      <c r="B189" s="109" t="s">
        <v>1162</v>
      </c>
      <c r="C189" s="109"/>
      <c r="D189" s="111"/>
      <c r="E189" s="111"/>
      <c r="F189" s="111" t="s">
        <v>1187</v>
      </c>
      <c r="G189" s="113"/>
      <c r="H189" s="112"/>
      <c r="I189" s="111"/>
      <c r="J189" s="108">
        <v>46128</v>
      </c>
      <c r="K189" s="109"/>
      <c r="L189" s="108"/>
      <c r="M189" s="107"/>
      <c r="N189" s="333" t="s">
        <v>1318</v>
      </c>
      <c r="O189" s="333"/>
      <c r="P189" s="333"/>
      <c r="Q189" s="334"/>
      <c r="R189" s="106"/>
    </row>
    <row r="190" spans="1:18" ht="16.5" hidden="1" collapsed="1" thickBot="1" x14ac:dyDescent="0.3">
      <c r="A190" s="126">
        <f>+A211+1</f>
        <v>5.9</v>
      </c>
      <c r="B190" s="126" t="s">
        <v>1368</v>
      </c>
      <c r="C190" s="127" t="s">
        <v>1287</v>
      </c>
      <c r="D190" s="126" t="s">
        <v>237</v>
      </c>
      <c r="E190" s="126" t="s">
        <v>1288</v>
      </c>
      <c r="F190" s="133" t="s">
        <v>1190</v>
      </c>
      <c r="G190" s="158" t="s">
        <v>1369</v>
      </c>
      <c r="H190" s="99" t="s">
        <v>1169</v>
      </c>
      <c r="I190" s="125"/>
      <c r="J190" s="138">
        <v>46007</v>
      </c>
      <c r="K190" s="139"/>
      <c r="L190" s="138">
        <v>46077</v>
      </c>
      <c r="M190" s="133" t="s">
        <v>1189</v>
      </c>
      <c r="N190" s="97"/>
      <c r="O190" s="96"/>
      <c r="P190" s="96"/>
      <c r="Q190" s="95"/>
    </row>
    <row r="191" spans="1:18" s="105" customFormat="1" ht="45" hidden="1" customHeight="1" outlineLevel="1" x14ac:dyDescent="0.3">
      <c r="A191" s="114">
        <f>+A215+0.1</f>
        <v>2.2000000000000006</v>
      </c>
      <c r="B191" s="109" t="s">
        <v>1162</v>
      </c>
      <c r="C191" s="109"/>
      <c r="D191" s="111"/>
      <c r="E191" s="111"/>
      <c r="F191" s="111" t="s">
        <v>1187</v>
      </c>
      <c r="G191" s="113"/>
      <c r="H191" s="112"/>
      <c r="I191" s="111"/>
      <c r="J191" s="108">
        <v>46008</v>
      </c>
      <c r="K191" s="109"/>
      <c r="L191" s="108"/>
      <c r="M191" s="107"/>
      <c r="N191" s="333" t="s">
        <v>1370</v>
      </c>
      <c r="O191" s="333"/>
      <c r="P191" s="333"/>
      <c r="Q191" s="334"/>
      <c r="R191" s="106"/>
    </row>
    <row r="192" spans="1:18" s="105" customFormat="1" ht="45" hidden="1" customHeight="1" outlineLevel="1" x14ac:dyDescent="0.3">
      <c r="A192" s="114">
        <f>+A216+0.1</f>
        <v>3.100000000000001</v>
      </c>
      <c r="B192" s="109" t="s">
        <v>1162</v>
      </c>
      <c r="C192" s="109"/>
      <c r="D192" s="111"/>
      <c r="E192" s="111"/>
      <c r="F192" s="111" t="s">
        <v>1187</v>
      </c>
      <c r="G192" s="113"/>
      <c r="H192" s="112"/>
      <c r="I192" s="111"/>
      <c r="J192" s="108">
        <v>46029</v>
      </c>
      <c r="K192" s="109"/>
      <c r="L192" s="108"/>
      <c r="M192" s="107"/>
      <c r="N192" s="333" t="s">
        <v>1371</v>
      </c>
      <c r="O192" s="333"/>
      <c r="P192" s="333"/>
      <c r="Q192" s="334"/>
      <c r="R192" s="106"/>
    </row>
    <row r="193" spans="1:18" s="105" customFormat="1" ht="45" hidden="1" customHeight="1" outlineLevel="1" thickBot="1" x14ac:dyDescent="0.3">
      <c r="A193" s="114">
        <f>+A217+0.1</f>
        <v>5</v>
      </c>
      <c r="B193" s="109" t="s">
        <v>1162</v>
      </c>
      <c r="C193" s="109"/>
      <c r="D193" s="111"/>
      <c r="E193" s="111"/>
      <c r="F193" s="111" t="s">
        <v>1187</v>
      </c>
      <c r="G193" s="113"/>
      <c r="H193" s="112"/>
      <c r="I193" s="111"/>
      <c r="J193" s="108">
        <v>46064</v>
      </c>
      <c r="K193" s="109"/>
      <c r="L193" s="108"/>
      <c r="M193" s="107"/>
      <c r="N193" s="333" t="s">
        <v>1344</v>
      </c>
      <c r="O193" s="333"/>
      <c r="P193" s="333"/>
      <c r="Q193" s="334"/>
      <c r="R193" s="106"/>
    </row>
    <row r="194" spans="1:18" ht="16.5" hidden="1" collapsed="1" thickBot="1" x14ac:dyDescent="0.3">
      <c r="A194" s="126">
        <f>+A215+1</f>
        <v>3.1000000000000005</v>
      </c>
      <c r="B194" s="126" t="s">
        <v>113</v>
      </c>
      <c r="C194" s="127" t="s">
        <v>1287</v>
      </c>
      <c r="D194" s="126" t="s">
        <v>237</v>
      </c>
      <c r="E194" s="126" t="s">
        <v>1288</v>
      </c>
      <c r="F194" s="133" t="s">
        <v>1190</v>
      </c>
      <c r="G194" s="158" t="s">
        <v>1372</v>
      </c>
      <c r="H194" s="99" t="s">
        <v>1169</v>
      </c>
      <c r="I194" s="125"/>
      <c r="J194" s="138">
        <v>45972</v>
      </c>
      <c r="K194" s="139"/>
      <c r="L194" s="138"/>
      <c r="M194" s="133" t="s">
        <v>1189</v>
      </c>
      <c r="N194" s="97"/>
      <c r="O194" s="96"/>
      <c r="P194" s="96"/>
      <c r="Q194" s="95"/>
    </row>
    <row r="195" spans="1:18" s="105" customFormat="1" ht="45" hidden="1" customHeight="1" outlineLevel="1" x14ac:dyDescent="0.3">
      <c r="A195" s="114">
        <f>+A219+0.1</f>
        <v>2.2000000000000011</v>
      </c>
      <c r="B195" s="109" t="s">
        <v>1162</v>
      </c>
      <c r="C195" s="109"/>
      <c r="D195" s="111"/>
      <c r="E195" s="111"/>
      <c r="F195" s="111" t="s">
        <v>1187</v>
      </c>
      <c r="G195" s="113"/>
      <c r="H195" s="112"/>
      <c r="I195" s="111"/>
      <c r="J195" s="108">
        <v>45995</v>
      </c>
      <c r="K195" s="109"/>
      <c r="L195" s="108"/>
      <c r="M195" s="107"/>
      <c r="N195" s="333" t="s">
        <v>1373</v>
      </c>
      <c r="O195" s="333"/>
      <c r="P195" s="333"/>
      <c r="Q195" s="334"/>
      <c r="R195" s="106"/>
    </row>
    <row r="196" spans="1:18" s="105" customFormat="1" ht="45" hidden="1" customHeight="1" outlineLevel="1" thickBot="1" x14ac:dyDescent="0.3">
      <c r="A196" s="114">
        <f>+A220+0.1</f>
        <v>3.100000000000001</v>
      </c>
      <c r="B196" s="109" t="s">
        <v>1162</v>
      </c>
      <c r="C196" s="109"/>
      <c r="D196" s="111"/>
      <c r="E196" s="111"/>
      <c r="F196" s="111" t="s">
        <v>1187</v>
      </c>
      <c r="G196" s="113"/>
      <c r="H196" s="112"/>
      <c r="I196" s="111"/>
      <c r="J196" s="108">
        <v>46008</v>
      </c>
      <c r="K196" s="109"/>
      <c r="L196" s="108"/>
      <c r="M196" s="107"/>
      <c r="N196" s="333" t="s">
        <v>1374</v>
      </c>
      <c r="O196" s="333"/>
      <c r="P196" s="333"/>
      <c r="Q196" s="334"/>
      <c r="R196" s="106"/>
    </row>
    <row r="197" spans="1:18" ht="16.5" hidden="1" collapsed="1" thickBot="1" x14ac:dyDescent="0.3">
      <c r="A197" s="126">
        <f>+A219+1</f>
        <v>3.100000000000001</v>
      </c>
      <c r="B197" s="126" t="s">
        <v>172</v>
      </c>
      <c r="C197" s="127" t="s">
        <v>1287</v>
      </c>
      <c r="D197" s="126" t="s">
        <v>237</v>
      </c>
      <c r="E197" s="126" t="s">
        <v>1288</v>
      </c>
      <c r="F197" s="133" t="s">
        <v>1190</v>
      </c>
      <c r="G197" s="128" t="s">
        <v>1375</v>
      </c>
      <c r="H197" s="99" t="s">
        <v>1169</v>
      </c>
      <c r="I197" s="125"/>
      <c r="J197" s="126"/>
      <c r="K197" s="127"/>
      <c r="L197" s="126"/>
      <c r="M197" s="133"/>
      <c r="N197" s="97"/>
      <c r="O197" s="96"/>
      <c r="P197" s="96"/>
      <c r="Q197" s="95"/>
    </row>
    <row r="198" spans="1:18" ht="16.5" hidden="1" thickBot="1" x14ac:dyDescent="0.3">
      <c r="A198" s="126">
        <f>+A222+1</f>
        <v>4</v>
      </c>
      <c r="B198" s="126" t="s">
        <v>1376</v>
      </c>
      <c r="C198" s="127" t="s">
        <v>1287</v>
      </c>
      <c r="D198" s="126" t="s">
        <v>237</v>
      </c>
      <c r="E198" s="126" t="s">
        <v>1377</v>
      </c>
      <c r="F198" s="133" t="s">
        <v>1178</v>
      </c>
      <c r="G198" s="158" t="s">
        <v>1378</v>
      </c>
      <c r="H198" s="99" t="s">
        <v>1169</v>
      </c>
      <c r="I198" s="125"/>
      <c r="J198" s="152">
        <v>46106</v>
      </c>
      <c r="K198" s="140"/>
      <c r="L198" s="152">
        <v>46126</v>
      </c>
      <c r="M198" s="133" t="s">
        <v>1272</v>
      </c>
      <c r="N198" s="97"/>
      <c r="O198" s="96"/>
      <c r="P198" s="96"/>
      <c r="Q198" s="95"/>
    </row>
    <row r="199" spans="1:18" s="105" customFormat="1" ht="45" hidden="1" customHeight="1" outlineLevel="1" x14ac:dyDescent="0.3">
      <c r="A199" s="114">
        <f>+A223+0.1</f>
        <v>3.0100000000000007</v>
      </c>
      <c r="B199" s="109" t="s">
        <v>1162</v>
      </c>
      <c r="C199" s="109"/>
      <c r="D199" s="111"/>
      <c r="E199" s="111"/>
      <c r="F199" s="111" t="s">
        <v>1180</v>
      </c>
      <c r="G199" s="113"/>
      <c r="H199" s="112"/>
      <c r="I199" s="111"/>
      <c r="J199" s="108">
        <v>46044</v>
      </c>
      <c r="K199" s="109"/>
      <c r="L199" s="108"/>
      <c r="M199" s="107"/>
      <c r="N199" s="333" t="s">
        <v>1379</v>
      </c>
      <c r="O199" s="333"/>
      <c r="P199" s="333"/>
      <c r="Q199" s="334"/>
      <c r="R199" s="106"/>
    </row>
    <row r="200" spans="1:18" s="105" customFormat="1" ht="45" hidden="1" customHeight="1" outlineLevel="1" x14ac:dyDescent="0.3">
      <c r="A200" s="114">
        <f>+A224+0.1</f>
        <v>7.7</v>
      </c>
      <c r="B200" s="109" t="s">
        <v>1162</v>
      </c>
      <c r="C200" s="109"/>
      <c r="D200" s="111"/>
      <c r="E200" s="111"/>
      <c r="F200" s="111" t="s">
        <v>1180</v>
      </c>
      <c r="G200" s="113"/>
      <c r="H200" s="112"/>
      <c r="I200" s="111"/>
      <c r="J200" s="108">
        <v>46064</v>
      </c>
      <c r="K200" s="109"/>
      <c r="L200" s="108"/>
      <c r="M200" s="107"/>
      <c r="N200" s="333" t="s">
        <v>1380</v>
      </c>
      <c r="O200" s="333"/>
      <c r="P200" s="333"/>
      <c r="Q200" s="334"/>
      <c r="R200" s="106"/>
    </row>
    <row r="201" spans="1:18" s="105" customFormat="1" ht="45" hidden="1" customHeight="1" outlineLevel="1" x14ac:dyDescent="0.3">
      <c r="A201" s="114">
        <f>+A225+0.1</f>
        <v>2.1100000000000008</v>
      </c>
      <c r="B201" s="109" t="s">
        <v>1162</v>
      </c>
      <c r="C201" s="109"/>
      <c r="D201" s="111"/>
      <c r="E201" s="111"/>
      <c r="F201" s="111" t="s">
        <v>1180</v>
      </c>
      <c r="G201" s="113"/>
      <c r="H201" s="112"/>
      <c r="I201" s="111"/>
      <c r="J201" s="108">
        <v>46072</v>
      </c>
      <c r="K201" s="109"/>
      <c r="L201" s="108"/>
      <c r="M201" s="107"/>
      <c r="N201" s="333" t="s">
        <v>1381</v>
      </c>
      <c r="O201" s="333"/>
      <c r="P201" s="333"/>
      <c r="Q201" s="334"/>
      <c r="R201" s="106"/>
    </row>
    <row r="202" spans="1:18" s="105" customFormat="1" ht="45" hidden="1" customHeight="1" outlineLevel="1" thickBot="1" x14ac:dyDescent="0.3">
      <c r="A202" s="114">
        <f>+A226+0.1</f>
        <v>3.0100000000000007</v>
      </c>
      <c r="B202" s="109" t="s">
        <v>1162</v>
      </c>
      <c r="C202" s="109"/>
      <c r="D202" s="111"/>
      <c r="E202" s="111"/>
      <c r="F202" s="111" t="s">
        <v>1180</v>
      </c>
      <c r="G202" s="113"/>
      <c r="H202" s="112"/>
      <c r="I202" s="111"/>
      <c r="J202" s="108">
        <v>46120</v>
      </c>
      <c r="K202" s="109"/>
      <c r="L202" s="108"/>
      <c r="M202" s="107"/>
      <c r="N202" s="333" t="s">
        <v>1382</v>
      </c>
      <c r="O202" s="333"/>
      <c r="P202" s="333"/>
      <c r="Q202" s="334"/>
      <c r="R202" s="106"/>
    </row>
    <row r="203" spans="1:18" ht="16.5" hidden="1" collapsed="1" thickBot="1" x14ac:dyDescent="0.3">
      <c r="A203" s="126">
        <f>+A223+1</f>
        <v>3.9100000000000006</v>
      </c>
      <c r="B203" s="128" t="s">
        <v>517</v>
      </c>
      <c r="C203" s="127" t="s">
        <v>1287</v>
      </c>
      <c r="D203" s="126" t="s">
        <v>237</v>
      </c>
      <c r="E203" s="126" t="s">
        <v>1377</v>
      </c>
      <c r="F203" s="154" t="s">
        <v>1167</v>
      </c>
      <c r="G203" s="137" t="s">
        <v>1383</v>
      </c>
      <c r="H203" s="99" t="s">
        <v>1169</v>
      </c>
      <c r="I203" s="165"/>
      <c r="J203" s="138">
        <v>45937</v>
      </c>
      <c r="K203" s="125"/>
      <c r="L203" s="124"/>
      <c r="M203" s="133" t="s">
        <v>1189</v>
      </c>
      <c r="N203" s="97"/>
      <c r="O203" s="96"/>
      <c r="P203" s="96"/>
      <c r="Q203" s="95"/>
    </row>
    <row r="204" spans="1:18" s="105" customFormat="1" ht="45" hidden="1" customHeight="1" outlineLevel="1" x14ac:dyDescent="0.3">
      <c r="A204" s="114">
        <f>+A228+0.1</f>
        <v>3.100000000000001</v>
      </c>
      <c r="B204" s="109" t="s">
        <v>1162</v>
      </c>
      <c r="C204" s="109"/>
      <c r="D204" s="111"/>
      <c r="E204" s="111"/>
      <c r="F204" s="111" t="s">
        <v>1187</v>
      </c>
      <c r="G204" s="113"/>
      <c r="H204" s="112"/>
      <c r="I204" s="111"/>
      <c r="J204" s="108">
        <v>45952</v>
      </c>
      <c r="K204" s="109"/>
      <c r="L204" s="108"/>
      <c r="M204" s="107"/>
      <c r="N204" s="333" t="s">
        <v>1384</v>
      </c>
      <c r="O204" s="333"/>
      <c r="P204" s="333"/>
      <c r="Q204" s="334"/>
      <c r="R204" s="106"/>
    </row>
    <row r="205" spans="1:18" s="105" customFormat="1" ht="45" hidden="1" customHeight="1" outlineLevel="1" x14ac:dyDescent="0.3">
      <c r="A205" s="114">
        <f>+A229+0.1</f>
        <v>3.0100000000000007</v>
      </c>
      <c r="B205" s="109" t="s">
        <v>1162</v>
      </c>
      <c r="C205" s="109"/>
      <c r="D205" s="111"/>
      <c r="E205" s="111"/>
      <c r="F205" s="111" t="s">
        <v>1187</v>
      </c>
      <c r="G205" s="113"/>
      <c r="H205" s="112"/>
      <c r="I205" s="111"/>
      <c r="J205" s="108">
        <v>46029</v>
      </c>
      <c r="K205" s="109"/>
      <c r="L205" s="108"/>
      <c r="M205" s="107"/>
      <c r="N205" s="333" t="s">
        <v>1385</v>
      </c>
      <c r="O205" s="333"/>
      <c r="P205" s="333"/>
      <c r="Q205" s="334"/>
      <c r="R205" s="106"/>
    </row>
    <row r="206" spans="1:18" s="105" customFormat="1" ht="56.45" hidden="1" customHeight="1" outlineLevel="1" x14ac:dyDescent="0.3">
      <c r="A206" s="114">
        <f>+A230+0.1</f>
        <v>3.9100000000000006</v>
      </c>
      <c r="B206" s="109" t="s">
        <v>1162</v>
      </c>
      <c r="C206" s="109"/>
      <c r="D206" s="111"/>
      <c r="E206" s="111"/>
      <c r="F206" s="111" t="s">
        <v>1187</v>
      </c>
      <c r="G206" s="113"/>
      <c r="H206" s="112"/>
      <c r="I206" s="111"/>
      <c r="J206" s="108">
        <v>46044</v>
      </c>
      <c r="K206" s="109"/>
      <c r="L206" s="108"/>
      <c r="M206" s="107"/>
      <c r="N206" s="333" t="s">
        <v>1386</v>
      </c>
      <c r="O206" s="333"/>
      <c r="P206" s="333"/>
      <c r="Q206" s="334"/>
      <c r="R206" s="106"/>
    </row>
    <row r="207" spans="1:18" s="105" customFormat="1" ht="56.45" hidden="1" customHeight="1" outlineLevel="1" x14ac:dyDescent="0.3">
      <c r="A207" s="114">
        <f>+A231+0.1</f>
        <v>4.8100000000000005</v>
      </c>
      <c r="B207" s="109" t="s">
        <v>1162</v>
      </c>
      <c r="C207" s="109"/>
      <c r="D207" s="111"/>
      <c r="E207" s="111"/>
      <c r="F207" s="111" t="s">
        <v>1187</v>
      </c>
      <c r="G207" s="113"/>
      <c r="H207" s="112"/>
      <c r="I207" s="111"/>
      <c r="J207" s="108">
        <v>46064</v>
      </c>
      <c r="K207" s="109"/>
      <c r="L207" s="108"/>
      <c r="M207" s="107"/>
      <c r="N207" s="333" t="s">
        <v>1387</v>
      </c>
      <c r="O207" s="333"/>
      <c r="P207" s="333"/>
      <c r="Q207" s="334"/>
      <c r="R207" s="106"/>
    </row>
    <row r="208" spans="1:18" s="105" customFormat="1" ht="56.45" hidden="1" customHeight="1" outlineLevel="1" thickBot="1" x14ac:dyDescent="0.3">
      <c r="A208" s="114">
        <f>+A232+0.1</f>
        <v>3.0100000000000007</v>
      </c>
      <c r="B208" s="109" t="s">
        <v>1162</v>
      </c>
      <c r="C208" s="109"/>
      <c r="D208" s="111"/>
      <c r="E208" s="111"/>
      <c r="F208" s="111" t="s">
        <v>1289</v>
      </c>
      <c r="G208" s="113"/>
      <c r="H208" s="112"/>
      <c r="I208" s="111"/>
      <c r="J208" s="108">
        <v>46128</v>
      </c>
      <c r="K208" s="109"/>
      <c r="L208" s="108"/>
      <c r="M208" s="107"/>
      <c r="N208" s="333" t="s">
        <v>1388</v>
      </c>
      <c r="O208" s="333"/>
      <c r="P208" s="333"/>
      <c r="Q208" s="334"/>
      <c r="R208" s="106"/>
    </row>
    <row r="209" spans="1:18" ht="16.5" hidden="1" collapsed="1" thickBot="1" x14ac:dyDescent="0.3">
      <c r="A209" s="126">
        <f>+A228+1</f>
        <v>4.0000000000000009</v>
      </c>
      <c r="B209" s="126" t="s">
        <v>449</v>
      </c>
      <c r="C209" s="127" t="s">
        <v>1287</v>
      </c>
      <c r="D209" s="126" t="s">
        <v>237</v>
      </c>
      <c r="E209" s="126" t="s">
        <v>1306</v>
      </c>
      <c r="F209" s="133" t="s">
        <v>1178</v>
      </c>
      <c r="G209" s="158" t="s">
        <v>1389</v>
      </c>
      <c r="H209" s="99" t="s">
        <v>1169</v>
      </c>
      <c r="I209" s="165"/>
      <c r="J209" s="138">
        <v>46105</v>
      </c>
      <c r="K209" s="139"/>
      <c r="L209" s="138">
        <v>46127</v>
      </c>
      <c r="M209" s="133" t="s">
        <v>1189</v>
      </c>
      <c r="N209" s="97"/>
      <c r="O209" s="96"/>
      <c r="P209" s="96"/>
      <c r="Q209" s="95"/>
    </row>
    <row r="210" spans="1:18" s="105" customFormat="1" ht="45" hidden="1" customHeight="1" outlineLevel="1" x14ac:dyDescent="0.3">
      <c r="A210" s="114">
        <f t="shared" ref="A210:A216" si="10">+A234+0.1</f>
        <v>4.0000000000000009</v>
      </c>
      <c r="B210" s="109" t="s">
        <v>1162</v>
      </c>
      <c r="C210" s="109"/>
      <c r="D210" s="111"/>
      <c r="E210" s="111"/>
      <c r="F210" s="111" t="s">
        <v>1180</v>
      </c>
      <c r="G210" s="113"/>
      <c r="H210" s="112"/>
      <c r="I210" s="111"/>
      <c r="J210" s="108">
        <v>45945</v>
      </c>
      <c r="K210" s="109"/>
      <c r="L210" s="108"/>
      <c r="M210" s="107"/>
      <c r="N210" s="333" t="s">
        <v>1390</v>
      </c>
      <c r="O210" s="333"/>
      <c r="P210" s="333"/>
      <c r="Q210" s="334"/>
      <c r="R210" s="106"/>
    </row>
    <row r="211" spans="1:18" s="105" customFormat="1" ht="45" hidden="1" customHeight="1" outlineLevel="1" x14ac:dyDescent="0.3">
      <c r="A211" s="114">
        <f t="shared" si="10"/>
        <v>4.9000000000000004</v>
      </c>
      <c r="B211" s="109" t="s">
        <v>1162</v>
      </c>
      <c r="C211" s="109"/>
      <c r="D211" s="111"/>
      <c r="E211" s="111"/>
      <c r="F211" s="111" t="s">
        <v>1180</v>
      </c>
      <c r="G211" s="113"/>
      <c r="H211" s="112"/>
      <c r="I211" s="111"/>
      <c r="J211" s="108">
        <v>45945</v>
      </c>
      <c r="K211" s="109"/>
      <c r="L211" s="108"/>
      <c r="M211" s="107"/>
      <c r="N211" s="333" t="s">
        <v>1391</v>
      </c>
      <c r="O211" s="333"/>
      <c r="P211" s="333"/>
      <c r="Q211" s="334"/>
      <c r="R211" s="106"/>
    </row>
    <row r="212" spans="1:18" s="105" customFormat="1" ht="56.45" hidden="1" customHeight="1" outlineLevel="1" x14ac:dyDescent="0.3">
      <c r="A212" s="114">
        <f t="shared" si="10"/>
        <v>6.6999999999999975</v>
      </c>
      <c r="B212" s="109" t="s">
        <v>1162</v>
      </c>
      <c r="C212" s="109"/>
      <c r="D212" s="111"/>
      <c r="E212" s="111"/>
      <c r="F212" s="111" t="s">
        <v>1180</v>
      </c>
      <c r="G212" s="113"/>
      <c r="H212" s="112"/>
      <c r="I212" s="111"/>
      <c r="J212" s="108">
        <v>45952</v>
      </c>
      <c r="K212" s="109"/>
      <c r="L212" s="108"/>
      <c r="M212" s="107"/>
      <c r="N212" s="333" t="s">
        <v>1392</v>
      </c>
      <c r="O212" s="333"/>
      <c r="P212" s="333"/>
      <c r="Q212" s="334"/>
      <c r="R212" s="106"/>
    </row>
    <row r="213" spans="1:18" s="105" customFormat="1" ht="58.5" hidden="1" customHeight="1" outlineLevel="1" x14ac:dyDescent="0.3">
      <c r="A213" s="114">
        <f t="shared" si="10"/>
        <v>7.5999999999999979</v>
      </c>
      <c r="B213" s="109" t="s">
        <v>1162</v>
      </c>
      <c r="C213" s="109"/>
      <c r="D213" s="111"/>
      <c r="E213" s="111"/>
      <c r="F213" s="111" t="s">
        <v>1180</v>
      </c>
      <c r="G213" s="113"/>
      <c r="H213" s="112"/>
      <c r="I213" s="111"/>
      <c r="J213" s="108">
        <v>45959</v>
      </c>
      <c r="K213" s="109"/>
      <c r="L213" s="108"/>
      <c r="M213" s="107"/>
      <c r="N213" s="333" t="s">
        <v>1393</v>
      </c>
      <c r="O213" s="333"/>
      <c r="P213" s="333"/>
      <c r="Q213" s="334"/>
      <c r="R213" s="106"/>
    </row>
    <row r="214" spans="1:18" s="105" customFormat="1" ht="45" hidden="1" customHeight="1" outlineLevel="1" x14ac:dyDescent="0.3">
      <c r="A214" s="114">
        <f t="shared" si="10"/>
        <v>5.8</v>
      </c>
      <c r="B214" s="109" t="s">
        <v>1162</v>
      </c>
      <c r="C214" s="109"/>
      <c r="D214" s="111"/>
      <c r="E214" s="111"/>
      <c r="F214" s="111" t="s">
        <v>1180</v>
      </c>
      <c r="G214" s="113"/>
      <c r="H214" s="112"/>
      <c r="I214" s="111"/>
      <c r="J214" s="108">
        <v>45966</v>
      </c>
      <c r="K214" s="109"/>
      <c r="L214" s="108"/>
      <c r="M214" s="107"/>
      <c r="N214" s="333" t="s">
        <v>1394</v>
      </c>
      <c r="O214" s="333"/>
      <c r="P214" s="333"/>
      <c r="Q214" s="334"/>
      <c r="R214" s="106"/>
    </row>
    <row r="215" spans="1:18" s="105" customFormat="1" ht="45" hidden="1" customHeight="1" outlineLevel="1" x14ac:dyDescent="0.3">
      <c r="A215" s="114">
        <f t="shared" si="10"/>
        <v>2.1000000000000005</v>
      </c>
      <c r="B215" s="109" t="s">
        <v>1162</v>
      </c>
      <c r="C215" s="109"/>
      <c r="D215" s="111"/>
      <c r="E215" s="111"/>
      <c r="F215" s="111" t="s">
        <v>1180</v>
      </c>
      <c r="G215" s="113"/>
      <c r="H215" s="112"/>
      <c r="I215" s="111"/>
      <c r="J215" s="108">
        <v>46120</v>
      </c>
      <c r="K215" s="109"/>
      <c r="L215" s="108"/>
      <c r="M215" s="107"/>
      <c r="N215" s="333" t="s">
        <v>1395</v>
      </c>
      <c r="O215" s="333"/>
      <c r="P215" s="333"/>
      <c r="Q215" s="334"/>
      <c r="R215" s="106"/>
    </row>
    <row r="216" spans="1:18" s="105" customFormat="1" ht="45" hidden="1" customHeight="1" outlineLevel="1" thickBot="1" x14ac:dyDescent="0.3">
      <c r="A216" s="114">
        <f t="shared" si="10"/>
        <v>3.0000000000000009</v>
      </c>
      <c r="B216" s="109" t="s">
        <v>1162</v>
      </c>
      <c r="C216" s="109"/>
      <c r="D216" s="111"/>
      <c r="E216" s="111"/>
      <c r="F216" s="111" t="s">
        <v>1180</v>
      </c>
      <c r="G216" s="113"/>
      <c r="H216" s="112"/>
      <c r="I216" s="111"/>
      <c r="J216" s="108">
        <v>46128</v>
      </c>
      <c r="K216" s="109"/>
      <c r="L216" s="108"/>
      <c r="M216" s="107"/>
      <c r="N216" s="333" t="s">
        <v>1396</v>
      </c>
      <c r="O216" s="333"/>
      <c r="P216" s="333"/>
      <c r="Q216" s="334"/>
      <c r="R216" s="106"/>
    </row>
    <row r="217" spans="1:18" ht="16.5" collapsed="1" thickBot="1" x14ac:dyDescent="0.3">
      <c r="A217" s="126">
        <f>+A234+1</f>
        <v>4.9000000000000004</v>
      </c>
      <c r="B217" s="126" t="s">
        <v>141</v>
      </c>
      <c r="C217" s="127" t="s">
        <v>1287</v>
      </c>
      <c r="D217" s="126" t="s">
        <v>237</v>
      </c>
      <c r="E217" s="126" t="s">
        <v>1306</v>
      </c>
      <c r="F217" s="133" t="s">
        <v>1289</v>
      </c>
      <c r="G217" s="137" t="s">
        <v>1397</v>
      </c>
      <c r="H217" s="117" t="s">
        <v>1159</v>
      </c>
      <c r="I217" s="153" t="s">
        <v>729</v>
      </c>
      <c r="J217" s="138">
        <v>46127</v>
      </c>
      <c r="K217" s="139"/>
      <c r="L217" s="138">
        <v>46140</v>
      </c>
      <c r="M217" s="133" t="s">
        <v>1189</v>
      </c>
      <c r="N217" s="115"/>
      <c r="O217" s="102"/>
      <c r="P217" s="102"/>
      <c r="Q217" s="101"/>
    </row>
    <row r="218" spans="1:18" s="105" customFormat="1" ht="45" hidden="1" customHeight="1" outlineLevel="1" x14ac:dyDescent="0.3">
      <c r="A218" s="114">
        <f t="shared" ref="A218:A223" si="11">+A242+0.1</f>
        <v>6.7</v>
      </c>
      <c r="B218" s="109" t="s">
        <v>1162</v>
      </c>
      <c r="C218" s="109"/>
      <c r="D218" s="111"/>
      <c r="E218" s="111"/>
      <c r="F218" s="111" t="s">
        <v>1180</v>
      </c>
      <c r="G218" s="113"/>
      <c r="H218" s="112"/>
      <c r="I218" s="111"/>
      <c r="J218" s="108">
        <v>45952</v>
      </c>
      <c r="K218" s="109"/>
      <c r="L218" s="108"/>
      <c r="M218" s="107"/>
      <c r="N218" s="333" t="s">
        <v>1398</v>
      </c>
      <c r="O218" s="333"/>
      <c r="P218" s="333"/>
      <c r="Q218" s="334"/>
      <c r="R218" s="106"/>
    </row>
    <row r="219" spans="1:18" s="105" customFormat="1" ht="45" hidden="1" customHeight="1" outlineLevel="1" x14ac:dyDescent="0.3">
      <c r="A219" s="114">
        <f t="shared" si="11"/>
        <v>2.100000000000001</v>
      </c>
      <c r="B219" s="109" t="s">
        <v>1162</v>
      </c>
      <c r="C219" s="109"/>
      <c r="D219" s="111"/>
      <c r="E219" s="111"/>
      <c r="F219" s="111" t="s">
        <v>1180</v>
      </c>
      <c r="G219" s="113"/>
      <c r="H219" s="112"/>
      <c r="I219" s="111"/>
      <c r="J219" s="108">
        <v>45959</v>
      </c>
      <c r="K219" s="109"/>
      <c r="L219" s="108"/>
      <c r="M219" s="107"/>
      <c r="N219" s="333" t="s">
        <v>1399</v>
      </c>
      <c r="O219" s="333"/>
      <c r="P219" s="333"/>
      <c r="Q219" s="334"/>
      <c r="R219" s="106"/>
    </row>
    <row r="220" spans="1:18" s="105" customFormat="1" ht="56.45" hidden="1" customHeight="1" outlineLevel="1" x14ac:dyDescent="0.3">
      <c r="A220" s="114">
        <f t="shared" si="11"/>
        <v>3.0000000000000009</v>
      </c>
      <c r="B220" s="109" t="s">
        <v>1162</v>
      </c>
      <c r="C220" s="109"/>
      <c r="D220" s="111"/>
      <c r="E220" s="111"/>
      <c r="F220" s="111" t="s">
        <v>1180</v>
      </c>
      <c r="G220" s="113"/>
      <c r="H220" s="112"/>
      <c r="I220" s="111"/>
      <c r="J220" s="108">
        <v>45987</v>
      </c>
      <c r="K220" s="109"/>
      <c r="L220" s="108"/>
      <c r="M220" s="107"/>
      <c r="N220" s="333" t="s">
        <v>1400</v>
      </c>
      <c r="O220" s="333"/>
      <c r="P220" s="333"/>
      <c r="Q220" s="334"/>
      <c r="R220" s="106"/>
    </row>
    <row r="221" spans="1:18" s="105" customFormat="1" ht="56.45" hidden="1" customHeight="1" outlineLevel="1" x14ac:dyDescent="0.3">
      <c r="A221" s="114">
        <f t="shared" si="11"/>
        <v>3.9000000000000004</v>
      </c>
      <c r="B221" s="109" t="s">
        <v>1162</v>
      </c>
      <c r="C221" s="109"/>
      <c r="D221" s="111"/>
      <c r="E221" s="111"/>
      <c r="F221" s="111" t="s">
        <v>1180</v>
      </c>
      <c r="G221" s="113"/>
      <c r="H221" s="112"/>
      <c r="I221" s="111"/>
      <c r="J221" s="108">
        <v>46128</v>
      </c>
      <c r="K221" s="109"/>
      <c r="L221" s="108"/>
      <c r="M221" s="107"/>
      <c r="N221" s="333" t="s">
        <v>1401</v>
      </c>
      <c r="O221" s="333"/>
      <c r="P221" s="333"/>
      <c r="Q221" s="334"/>
      <c r="R221" s="106"/>
    </row>
    <row r="222" spans="1:18" s="105" customFormat="1" ht="56.45" hidden="1" customHeight="1" outlineLevel="1" x14ac:dyDescent="0.3">
      <c r="A222" s="114">
        <f t="shared" si="11"/>
        <v>3.0000000000000004</v>
      </c>
      <c r="B222" s="109" t="s">
        <v>1162</v>
      </c>
      <c r="C222" s="109"/>
      <c r="D222" s="111"/>
      <c r="E222" s="111"/>
      <c r="F222" s="111" t="s">
        <v>1180</v>
      </c>
      <c r="G222" s="113"/>
      <c r="H222" s="112"/>
      <c r="I222" s="111"/>
      <c r="J222" s="108">
        <v>46134</v>
      </c>
      <c r="K222" s="109"/>
      <c r="L222" s="108"/>
      <c r="M222" s="107"/>
      <c r="N222" s="333" t="s">
        <v>1402</v>
      </c>
      <c r="O222" s="333"/>
      <c r="P222" s="333"/>
      <c r="Q222" s="334"/>
      <c r="R222" s="106"/>
    </row>
    <row r="223" spans="1:18" s="105" customFormat="1" ht="56.45" hidden="1" customHeight="1" outlineLevel="1" thickBot="1" x14ac:dyDescent="0.3">
      <c r="A223" s="114">
        <f t="shared" si="11"/>
        <v>2.9100000000000006</v>
      </c>
      <c r="B223" s="109" t="s">
        <v>1162</v>
      </c>
      <c r="C223" s="109"/>
      <c r="D223" s="111"/>
      <c r="E223" s="111"/>
      <c r="F223" s="111" t="s">
        <v>1180</v>
      </c>
      <c r="G223" s="113"/>
      <c r="H223" s="112"/>
      <c r="I223" s="111"/>
      <c r="J223" s="108">
        <v>46141</v>
      </c>
      <c r="K223" s="109"/>
      <c r="L223" s="108"/>
      <c r="M223" s="107"/>
      <c r="N223" s="333" t="s">
        <v>1403</v>
      </c>
      <c r="O223" s="333"/>
      <c r="P223" s="333"/>
      <c r="Q223" s="334"/>
      <c r="R223" s="106"/>
    </row>
    <row r="224" spans="1:18" ht="16.5" hidden="1" collapsed="1" thickBot="1" x14ac:dyDescent="0.3">
      <c r="A224" s="126">
        <f>+A242+1</f>
        <v>7.6000000000000005</v>
      </c>
      <c r="B224" s="128" t="s">
        <v>440</v>
      </c>
      <c r="C224" s="127" t="s">
        <v>1287</v>
      </c>
      <c r="D224" s="126" t="s">
        <v>237</v>
      </c>
      <c r="E224" s="126" t="s">
        <v>1306</v>
      </c>
      <c r="F224" s="133" t="s">
        <v>1167</v>
      </c>
      <c r="G224" s="137" t="s">
        <v>1404</v>
      </c>
      <c r="H224" s="99" t="s">
        <v>1169</v>
      </c>
      <c r="I224" s="165"/>
      <c r="J224" s="138">
        <v>46044</v>
      </c>
      <c r="K224" s="139"/>
      <c r="L224" s="138">
        <v>46058</v>
      </c>
      <c r="M224" s="133" t="s">
        <v>1170</v>
      </c>
      <c r="N224" s="97"/>
      <c r="O224" s="96"/>
      <c r="P224" s="96"/>
      <c r="Q224" s="95"/>
    </row>
    <row r="225" spans="1:18" s="105" customFormat="1" ht="45" hidden="1" customHeight="1" outlineLevel="1" x14ac:dyDescent="0.3">
      <c r="A225" s="114">
        <f>+A249+0.1</f>
        <v>2.0100000000000007</v>
      </c>
      <c r="B225" s="109" t="s">
        <v>1162</v>
      </c>
      <c r="C225" s="109"/>
      <c r="D225" s="111"/>
      <c r="E225" s="111"/>
      <c r="F225" s="111" t="s">
        <v>1180</v>
      </c>
      <c r="G225" s="113"/>
      <c r="H225" s="112"/>
      <c r="I225" s="111"/>
      <c r="J225" s="108">
        <v>45995</v>
      </c>
      <c r="K225" s="109"/>
      <c r="L225" s="108"/>
      <c r="M225" s="107"/>
      <c r="N225" s="333" t="s">
        <v>1405</v>
      </c>
      <c r="O225" s="333"/>
      <c r="P225" s="333"/>
      <c r="Q225" s="334"/>
      <c r="R225" s="106"/>
    </row>
    <row r="226" spans="1:18" s="105" customFormat="1" ht="45" hidden="1" customHeight="1" outlineLevel="1" x14ac:dyDescent="0.3">
      <c r="A226" s="114">
        <f>+A250+0.1</f>
        <v>2.9100000000000006</v>
      </c>
      <c r="B226" s="109" t="s">
        <v>1162</v>
      </c>
      <c r="C226" s="109"/>
      <c r="D226" s="111"/>
      <c r="E226" s="111"/>
      <c r="F226" s="111" t="s">
        <v>1180</v>
      </c>
      <c r="G226" s="113"/>
      <c r="H226" s="112"/>
      <c r="I226" s="111"/>
      <c r="J226" s="108">
        <v>46008</v>
      </c>
      <c r="K226" s="109"/>
      <c r="L226" s="108"/>
      <c r="M226" s="107"/>
      <c r="N226" s="333" t="s">
        <v>1406</v>
      </c>
      <c r="O226" s="333"/>
      <c r="P226" s="333"/>
      <c r="Q226" s="334"/>
      <c r="R226" s="106"/>
    </row>
    <row r="227" spans="1:18" s="105" customFormat="1" ht="45" hidden="1" customHeight="1" outlineLevel="1" x14ac:dyDescent="0.3">
      <c r="A227" s="114">
        <f>+A251+0.1</f>
        <v>3.8100000000000005</v>
      </c>
      <c r="B227" s="109" t="s">
        <v>1162</v>
      </c>
      <c r="C227" s="109"/>
      <c r="D227" s="111"/>
      <c r="E227" s="111"/>
      <c r="F227" s="111" t="s">
        <v>1180</v>
      </c>
      <c r="G227" s="113"/>
      <c r="H227" s="112"/>
      <c r="I227" s="111"/>
      <c r="J227" s="108">
        <v>46058</v>
      </c>
      <c r="K227" s="109"/>
      <c r="L227" s="108"/>
      <c r="M227" s="107"/>
      <c r="N227" s="333" t="s">
        <v>1407</v>
      </c>
      <c r="O227" s="333"/>
      <c r="P227" s="333"/>
      <c r="Q227" s="334"/>
      <c r="R227" s="106"/>
    </row>
    <row r="228" spans="1:18" s="105" customFormat="1" ht="45" hidden="1" customHeight="1" outlineLevel="1" thickBot="1" x14ac:dyDescent="0.3">
      <c r="A228" s="114">
        <f>+A252+0.1</f>
        <v>3.0000000000000009</v>
      </c>
      <c r="B228" s="109" t="s">
        <v>1162</v>
      </c>
      <c r="C228" s="109"/>
      <c r="D228" s="111"/>
      <c r="E228" s="111"/>
      <c r="F228" s="111" t="s">
        <v>1180</v>
      </c>
      <c r="G228" s="113"/>
      <c r="H228" s="112"/>
      <c r="I228" s="111"/>
      <c r="J228" s="108">
        <v>46064</v>
      </c>
      <c r="K228" s="109"/>
      <c r="L228" s="108"/>
      <c r="M228" s="107"/>
      <c r="N228" s="333" t="s">
        <v>1408</v>
      </c>
      <c r="O228" s="333"/>
      <c r="P228" s="333"/>
      <c r="Q228" s="334"/>
      <c r="R228" s="106"/>
    </row>
    <row r="229" spans="1:18" ht="16.5" hidden="1" collapsed="1" thickBot="1" x14ac:dyDescent="0.3">
      <c r="A229" s="126">
        <f>+A249+1</f>
        <v>2.9100000000000006</v>
      </c>
      <c r="B229" s="128" t="s">
        <v>410</v>
      </c>
      <c r="C229" s="127" t="s">
        <v>1287</v>
      </c>
      <c r="D229" s="126" t="s">
        <v>237</v>
      </c>
      <c r="E229" s="126" t="s">
        <v>1306</v>
      </c>
      <c r="F229" s="133" t="s">
        <v>1409</v>
      </c>
      <c r="G229" s="123" t="s">
        <v>1270</v>
      </c>
      <c r="H229" s="99" t="s">
        <v>1169</v>
      </c>
      <c r="I229" s="155" t="s">
        <v>1271</v>
      </c>
      <c r="J229" s="138">
        <v>45937</v>
      </c>
      <c r="K229" s="139"/>
      <c r="L229" s="138">
        <v>45974</v>
      </c>
      <c r="M229" s="133" t="s">
        <v>1238</v>
      </c>
      <c r="N229" s="97"/>
      <c r="O229" s="96"/>
      <c r="P229" s="96"/>
      <c r="Q229" s="95"/>
    </row>
    <row r="230" spans="1:18" s="105" customFormat="1" ht="45" hidden="1" customHeight="1" outlineLevel="1" thickBot="1" x14ac:dyDescent="0.3">
      <c r="A230" s="160">
        <f>+A254+0.1</f>
        <v>3.8100000000000005</v>
      </c>
      <c r="B230" s="109" t="s">
        <v>1162</v>
      </c>
      <c r="C230" s="109"/>
      <c r="D230" s="111"/>
      <c r="E230" s="111"/>
      <c r="F230" s="111" t="s">
        <v>1180</v>
      </c>
      <c r="G230" s="113"/>
      <c r="H230" s="112"/>
      <c r="I230" s="111"/>
      <c r="J230" s="108">
        <v>45973</v>
      </c>
      <c r="K230" s="109"/>
      <c r="L230" s="108"/>
      <c r="M230" s="107"/>
      <c r="N230" s="333" t="s">
        <v>1410</v>
      </c>
      <c r="O230" s="333"/>
      <c r="P230" s="333"/>
      <c r="Q230" s="334"/>
      <c r="R230" s="106"/>
    </row>
    <row r="231" spans="1:18" ht="16.5" hidden="1" collapsed="1" thickBot="1" x14ac:dyDescent="0.3">
      <c r="A231" s="126">
        <f>+A254+1</f>
        <v>4.7100000000000009</v>
      </c>
      <c r="B231" s="128" t="s">
        <v>415</v>
      </c>
      <c r="C231" s="127" t="s">
        <v>1287</v>
      </c>
      <c r="D231" s="126" t="s">
        <v>237</v>
      </c>
      <c r="E231" s="126" t="s">
        <v>1306</v>
      </c>
      <c r="F231" s="154" t="s">
        <v>1167</v>
      </c>
      <c r="G231" s="167" t="s">
        <v>1411</v>
      </c>
      <c r="H231" s="99" t="s">
        <v>1169</v>
      </c>
      <c r="I231" s="125"/>
      <c r="J231" s="138">
        <v>45986</v>
      </c>
      <c r="K231" s="139"/>
      <c r="L231" s="138">
        <v>45989</v>
      </c>
      <c r="M231" s="133" t="s">
        <v>1238</v>
      </c>
      <c r="N231" s="97"/>
      <c r="O231" s="96"/>
      <c r="P231" s="96"/>
      <c r="Q231" s="95"/>
    </row>
    <row r="232" spans="1:18" s="105" customFormat="1" ht="45" hidden="1" customHeight="1" outlineLevel="1" thickBot="1" x14ac:dyDescent="0.3">
      <c r="A232" s="160">
        <f>+A256+0.1</f>
        <v>2.9100000000000006</v>
      </c>
      <c r="B232" s="109" t="s">
        <v>1162</v>
      </c>
      <c r="C232" s="109"/>
      <c r="D232" s="111"/>
      <c r="E232" s="111"/>
      <c r="F232" s="111" t="s">
        <v>1180</v>
      </c>
      <c r="G232" s="113"/>
      <c r="H232" s="112"/>
      <c r="I232" s="111"/>
      <c r="J232" s="108">
        <v>45995</v>
      </c>
      <c r="K232" s="109"/>
      <c r="L232" s="108"/>
      <c r="M232" s="107"/>
      <c r="N232" s="333" t="s">
        <v>1412</v>
      </c>
      <c r="O232" s="333"/>
      <c r="P232" s="333"/>
      <c r="Q232" s="334"/>
      <c r="R232" s="106"/>
    </row>
    <row r="233" spans="1:18" ht="16.5" hidden="1" collapsed="1" thickBot="1" x14ac:dyDescent="0.3">
      <c r="A233" s="126">
        <f>+A256+1</f>
        <v>3.8100000000000005</v>
      </c>
      <c r="B233" s="126" t="s">
        <v>129</v>
      </c>
      <c r="C233" s="127" t="s">
        <v>1287</v>
      </c>
      <c r="D233" s="126" t="s">
        <v>237</v>
      </c>
      <c r="E233" s="126" t="s">
        <v>1288</v>
      </c>
      <c r="F233" s="133" t="s">
        <v>1190</v>
      </c>
      <c r="G233" s="158" t="s">
        <v>1413</v>
      </c>
      <c r="H233" s="99" t="s">
        <v>1169</v>
      </c>
      <c r="I233" s="125"/>
      <c r="J233" s="138">
        <v>46058</v>
      </c>
      <c r="K233" s="139"/>
      <c r="L233" s="138"/>
      <c r="M233" s="133" t="s">
        <v>1238</v>
      </c>
      <c r="N233" s="97"/>
      <c r="O233" s="96"/>
      <c r="P233" s="96"/>
      <c r="Q233" s="95"/>
    </row>
    <row r="234" spans="1:18" s="105" customFormat="1" ht="45" hidden="1" customHeight="1" outlineLevel="1" thickBot="1" x14ac:dyDescent="0.3">
      <c r="A234" s="160">
        <f>+A258+0.1</f>
        <v>3.9000000000000008</v>
      </c>
      <c r="B234" s="109" t="s">
        <v>1162</v>
      </c>
      <c r="C234" s="109"/>
      <c r="D234" s="111"/>
      <c r="E234" s="111"/>
      <c r="F234" s="111" t="s">
        <v>1187</v>
      </c>
      <c r="G234" s="113"/>
      <c r="H234" s="112"/>
      <c r="I234" s="111"/>
      <c r="J234" s="108">
        <v>46064</v>
      </c>
      <c r="K234" s="109"/>
      <c r="L234" s="108"/>
      <c r="M234" s="107"/>
      <c r="N234" s="333" t="s">
        <v>1414</v>
      </c>
      <c r="O234" s="333"/>
      <c r="P234" s="333"/>
      <c r="Q234" s="334"/>
      <c r="R234" s="106"/>
    </row>
    <row r="235" spans="1:18" ht="16.5" hidden="1" collapsed="1" thickBot="1" x14ac:dyDescent="0.3">
      <c r="A235" s="126">
        <f>+A258+1</f>
        <v>4.8000000000000007</v>
      </c>
      <c r="B235" s="126" t="s">
        <v>1415</v>
      </c>
      <c r="C235" s="127" t="s">
        <v>1287</v>
      </c>
      <c r="D235" s="126" t="s">
        <v>237</v>
      </c>
      <c r="E235" s="126" t="s">
        <v>1288</v>
      </c>
      <c r="F235" s="133" t="s">
        <v>1187</v>
      </c>
      <c r="G235" s="123" t="s">
        <v>1270</v>
      </c>
      <c r="H235" s="99" t="s">
        <v>1169</v>
      </c>
      <c r="I235" s="155" t="s">
        <v>1271</v>
      </c>
      <c r="J235" s="138">
        <v>46065</v>
      </c>
      <c r="K235" s="139"/>
      <c r="L235" s="138"/>
      <c r="M235" s="133" t="s">
        <v>1238</v>
      </c>
      <c r="N235" s="97"/>
      <c r="O235" s="96"/>
      <c r="P235" s="96"/>
      <c r="Q235" s="95"/>
    </row>
    <row r="236" spans="1:18" s="105" customFormat="1" ht="45" hidden="1" customHeight="1" outlineLevel="1" thickBot="1" x14ac:dyDescent="0.3">
      <c r="A236" s="160">
        <f>+A260+0.1</f>
        <v>6.5999999999999979</v>
      </c>
      <c r="B236" s="109" t="s">
        <v>1162</v>
      </c>
      <c r="C236" s="109"/>
      <c r="D236" s="111"/>
      <c r="E236" s="111"/>
      <c r="F236" s="111" t="s">
        <v>1187</v>
      </c>
      <c r="G236" s="113"/>
      <c r="H236" s="112"/>
      <c r="I236" s="111"/>
      <c r="J236" s="108">
        <v>46072</v>
      </c>
      <c r="K236" s="109"/>
      <c r="L236" s="108"/>
      <c r="M236" s="107"/>
      <c r="N236" s="333" t="s">
        <v>1414</v>
      </c>
      <c r="O236" s="333"/>
      <c r="P236" s="333"/>
      <c r="Q236" s="334"/>
      <c r="R236" s="106"/>
    </row>
    <row r="237" spans="1:18" ht="16.5" collapsed="1" thickBot="1" x14ac:dyDescent="0.3">
      <c r="A237" s="126">
        <f>+A260+1</f>
        <v>7.4999999999999982</v>
      </c>
      <c r="B237" s="126" t="s">
        <v>164</v>
      </c>
      <c r="C237" s="127" t="s">
        <v>1287</v>
      </c>
      <c r="D237" s="126" t="s">
        <v>237</v>
      </c>
      <c r="E237" s="126" t="s">
        <v>1288</v>
      </c>
      <c r="F237" s="133" t="s">
        <v>1289</v>
      </c>
      <c r="G237" s="123"/>
      <c r="H237" s="117" t="s">
        <v>1159</v>
      </c>
      <c r="I237" s="153" t="s">
        <v>1416</v>
      </c>
      <c r="J237" s="138">
        <v>46105</v>
      </c>
      <c r="K237" s="139"/>
      <c r="L237" s="138"/>
      <c r="M237" s="133" t="s">
        <v>1417</v>
      </c>
      <c r="N237" s="115"/>
      <c r="O237" s="102"/>
      <c r="P237" s="102"/>
      <c r="Q237" s="101"/>
    </row>
    <row r="238" spans="1:18" s="105" customFormat="1" ht="45" hidden="1" customHeight="1" outlineLevel="1" x14ac:dyDescent="0.3">
      <c r="A238" s="160">
        <f>+A262+0.1</f>
        <v>5.7</v>
      </c>
      <c r="B238" s="109" t="s">
        <v>1162</v>
      </c>
      <c r="C238" s="109"/>
      <c r="D238" s="111"/>
      <c r="E238" s="111"/>
      <c r="F238" s="111" t="s">
        <v>1289</v>
      </c>
      <c r="G238" s="113"/>
      <c r="H238" s="112"/>
      <c r="I238" s="112"/>
      <c r="J238" s="108">
        <v>46107</v>
      </c>
      <c r="K238" s="109"/>
      <c r="L238" s="108"/>
      <c r="M238" s="107"/>
      <c r="N238" s="333" t="s">
        <v>1418</v>
      </c>
      <c r="O238" s="333"/>
      <c r="P238" s="333"/>
      <c r="Q238" s="334"/>
      <c r="R238" s="106"/>
    </row>
    <row r="239" spans="1:18" s="105" customFormat="1" ht="45" hidden="1" customHeight="1" outlineLevel="1" x14ac:dyDescent="0.3">
      <c r="A239" s="160">
        <f>+A263+0.1</f>
        <v>2.0000000000000004</v>
      </c>
      <c r="B239" s="109" t="s">
        <v>1162</v>
      </c>
      <c r="C239" s="109"/>
      <c r="D239" s="111"/>
      <c r="E239" s="111"/>
      <c r="F239" s="111" t="s">
        <v>1289</v>
      </c>
      <c r="G239" s="113"/>
      <c r="H239" s="112"/>
      <c r="I239" s="112"/>
      <c r="J239" s="108">
        <v>46120</v>
      </c>
      <c r="K239" s="109"/>
      <c r="L239" s="108"/>
      <c r="M239" s="107"/>
      <c r="N239" s="333" t="s">
        <v>1419</v>
      </c>
      <c r="O239" s="333"/>
      <c r="P239" s="333"/>
      <c r="Q239" s="334"/>
      <c r="R239" s="106"/>
    </row>
    <row r="240" spans="1:18" s="105" customFormat="1" ht="45" hidden="1" customHeight="1" outlineLevel="1" x14ac:dyDescent="0.3">
      <c r="A240" s="160">
        <f>+A264+0.1</f>
        <v>2.9000000000000008</v>
      </c>
      <c r="B240" s="109" t="s">
        <v>1162</v>
      </c>
      <c r="C240" s="109"/>
      <c r="D240" s="111"/>
      <c r="E240" s="111"/>
      <c r="F240" s="111" t="s">
        <v>1289</v>
      </c>
      <c r="G240" s="113"/>
      <c r="H240" s="112"/>
      <c r="I240" s="112"/>
      <c r="J240" s="108">
        <v>46128</v>
      </c>
      <c r="K240" s="109"/>
      <c r="L240" s="108"/>
      <c r="M240" s="107"/>
      <c r="N240" s="333" t="s">
        <v>1420</v>
      </c>
      <c r="O240" s="333"/>
      <c r="P240" s="333"/>
      <c r="Q240" s="334"/>
      <c r="R240" s="106"/>
    </row>
    <row r="241" spans="1:18" s="105" customFormat="1" ht="45" hidden="1" customHeight="1" outlineLevel="1" thickBot="1" x14ac:dyDescent="0.3">
      <c r="A241" s="160">
        <f>+A265+0.1</f>
        <v>5.6999999999999993</v>
      </c>
      <c r="B241" s="109" t="s">
        <v>1162</v>
      </c>
      <c r="C241" s="109"/>
      <c r="D241" s="111"/>
      <c r="E241" s="111"/>
      <c r="F241" s="111" t="s">
        <v>1289</v>
      </c>
      <c r="G241" s="113"/>
      <c r="H241" s="112"/>
      <c r="I241" s="112"/>
      <c r="J241" s="108">
        <v>46134</v>
      </c>
      <c r="K241" s="109"/>
      <c r="L241" s="108"/>
      <c r="M241" s="107"/>
      <c r="N241" s="333" t="s">
        <v>1421</v>
      </c>
      <c r="O241" s="333"/>
      <c r="P241" s="333"/>
      <c r="Q241" s="334"/>
      <c r="R241" s="106"/>
    </row>
    <row r="242" spans="1:18" ht="16.5" hidden="1" collapsed="1" thickBot="1" x14ac:dyDescent="0.3">
      <c r="A242" s="126">
        <f>+A262+1</f>
        <v>6.6000000000000005</v>
      </c>
      <c r="B242" s="126" t="s">
        <v>737</v>
      </c>
      <c r="C242" s="127" t="s">
        <v>1287</v>
      </c>
      <c r="D242" s="126" t="s">
        <v>237</v>
      </c>
      <c r="E242" s="126" t="s">
        <v>1288</v>
      </c>
      <c r="F242" s="166" t="s">
        <v>1247</v>
      </c>
      <c r="G242" s="137" t="s">
        <v>1422</v>
      </c>
      <c r="H242" s="99" t="s">
        <v>1169</v>
      </c>
      <c r="I242" s="165"/>
      <c r="J242" s="138">
        <v>46104</v>
      </c>
      <c r="K242" s="139"/>
      <c r="L242" s="138"/>
      <c r="M242" s="133" t="s">
        <v>1238</v>
      </c>
      <c r="N242" s="97"/>
      <c r="O242" s="96"/>
      <c r="P242" s="96"/>
      <c r="Q242" s="95"/>
    </row>
    <row r="243" spans="1:18" s="105" customFormat="1" ht="45" hidden="1" customHeight="1" outlineLevel="1" x14ac:dyDescent="0.3">
      <c r="A243" s="160">
        <f>+A267+0.1</f>
        <v>2.0000000000000009</v>
      </c>
      <c r="B243" s="109" t="s">
        <v>1162</v>
      </c>
      <c r="C243" s="109"/>
      <c r="D243" s="111"/>
      <c r="E243" s="111"/>
      <c r="F243" s="111" t="s">
        <v>1289</v>
      </c>
      <c r="G243" s="113"/>
      <c r="H243" s="112"/>
      <c r="I243" s="111"/>
      <c r="J243" s="108">
        <v>46107</v>
      </c>
      <c r="K243" s="109"/>
      <c r="L243" s="108"/>
      <c r="M243" s="107"/>
      <c r="N243" s="333" t="s">
        <v>1423</v>
      </c>
      <c r="O243" s="333"/>
      <c r="P243" s="333"/>
      <c r="Q243" s="334"/>
      <c r="R243" s="106"/>
    </row>
    <row r="244" spans="1:18" s="105" customFormat="1" ht="45" hidden="1" customHeight="1" outlineLevel="1" x14ac:dyDescent="0.3">
      <c r="A244" s="160">
        <f>+A268+0.1</f>
        <v>2.9000000000000008</v>
      </c>
      <c r="B244" s="109" t="s">
        <v>1162</v>
      </c>
      <c r="C244" s="109"/>
      <c r="D244" s="111"/>
      <c r="E244" s="111"/>
      <c r="F244" s="111" t="s">
        <v>1289</v>
      </c>
      <c r="G244" s="113"/>
      <c r="H244" s="112"/>
      <c r="I244" s="112"/>
      <c r="J244" s="108">
        <v>46120</v>
      </c>
      <c r="K244" s="109"/>
      <c r="L244" s="108"/>
      <c r="M244" s="107"/>
      <c r="N244" s="333" t="s">
        <v>1424</v>
      </c>
      <c r="O244" s="333"/>
      <c r="P244" s="333"/>
      <c r="Q244" s="334"/>
      <c r="R244" s="106"/>
    </row>
    <row r="245" spans="1:18" s="105" customFormat="1" ht="45" hidden="1" customHeight="1" outlineLevel="1" x14ac:dyDescent="0.3">
      <c r="A245" s="160">
        <f>+A269+0.1</f>
        <v>3.8000000000000003</v>
      </c>
      <c r="B245" s="109" t="s">
        <v>1162</v>
      </c>
      <c r="C245" s="109"/>
      <c r="D245" s="111"/>
      <c r="E245" s="111"/>
      <c r="F245" s="111" t="s">
        <v>1289</v>
      </c>
      <c r="G245" s="113"/>
      <c r="H245" s="112"/>
      <c r="I245" s="112"/>
      <c r="J245" s="108">
        <v>46128</v>
      </c>
      <c r="K245" s="109"/>
      <c r="L245" s="108"/>
      <c r="M245" s="107"/>
      <c r="N245" s="333" t="s">
        <v>1425</v>
      </c>
      <c r="O245" s="333"/>
      <c r="P245" s="333"/>
      <c r="Q245" s="334"/>
      <c r="R245" s="106"/>
    </row>
    <row r="246" spans="1:18" s="105" customFormat="1" ht="81.95" hidden="1" customHeight="1" outlineLevel="1" x14ac:dyDescent="0.3">
      <c r="A246" s="160">
        <f>+A270+0.1</f>
        <v>2.9000000000000004</v>
      </c>
      <c r="B246" s="109" t="s">
        <v>1162</v>
      </c>
      <c r="C246" s="109"/>
      <c r="D246" s="111"/>
      <c r="E246" s="111"/>
      <c r="F246" s="111" t="s">
        <v>1289</v>
      </c>
      <c r="G246" s="113"/>
      <c r="H246" s="112"/>
      <c r="I246" s="112"/>
      <c r="J246" s="108">
        <v>46134</v>
      </c>
      <c r="K246" s="109"/>
      <c r="L246" s="108"/>
      <c r="M246" s="107"/>
      <c r="N246" s="333" t="s">
        <v>1426</v>
      </c>
      <c r="O246" s="333"/>
      <c r="P246" s="333"/>
      <c r="Q246" s="334"/>
      <c r="R246" s="106"/>
    </row>
    <row r="247" spans="1:18" s="105" customFormat="1" ht="39.950000000000003" hidden="1" customHeight="1" outlineLevel="1" thickBot="1" x14ac:dyDescent="0.3">
      <c r="A247" s="160">
        <f>+A271+0.1</f>
        <v>2.8100000000000005</v>
      </c>
      <c r="B247" s="109" t="s">
        <v>1162</v>
      </c>
      <c r="C247" s="109"/>
      <c r="D247" s="111"/>
      <c r="E247" s="111"/>
      <c r="F247" s="111" t="s">
        <v>1289</v>
      </c>
      <c r="G247" s="113"/>
      <c r="H247" s="112"/>
      <c r="I247" s="112"/>
      <c r="J247" s="108">
        <v>46141</v>
      </c>
      <c r="K247" s="109"/>
      <c r="L247" s="108"/>
      <c r="M247" s="107"/>
      <c r="N247" s="333" t="s">
        <v>1421</v>
      </c>
      <c r="O247" s="333"/>
      <c r="P247" s="333"/>
      <c r="Q247" s="334"/>
      <c r="R247" s="106"/>
    </row>
    <row r="248" spans="1:18" ht="16.5" hidden="1" collapsed="1" thickBot="1" x14ac:dyDescent="0.3">
      <c r="A248" s="126">
        <f>+A267+1</f>
        <v>2.9000000000000008</v>
      </c>
      <c r="B248" s="126" t="s">
        <v>801</v>
      </c>
      <c r="C248" s="127" t="s">
        <v>1427</v>
      </c>
      <c r="D248" s="126" t="s">
        <v>237</v>
      </c>
      <c r="E248" s="126" t="s">
        <v>1428</v>
      </c>
      <c r="F248" s="133" t="s">
        <v>1289</v>
      </c>
      <c r="G248" s="137" t="s">
        <v>1429</v>
      </c>
      <c r="H248" s="99" t="s">
        <v>1169</v>
      </c>
      <c r="I248" s="165"/>
      <c r="J248" s="138">
        <v>45995</v>
      </c>
      <c r="K248" s="139"/>
      <c r="L248" s="138">
        <v>46001</v>
      </c>
      <c r="M248" s="126" t="s">
        <v>1189</v>
      </c>
      <c r="N248" s="97"/>
      <c r="O248" s="96"/>
      <c r="P248" s="96"/>
      <c r="Q248" s="95"/>
    </row>
    <row r="249" spans="1:18" s="105" customFormat="1" ht="45" hidden="1" customHeight="1" outlineLevel="1" x14ac:dyDescent="0.3">
      <c r="A249" s="114">
        <f t="shared" ref="A249:A255" si="12">+A273+0.1</f>
        <v>1.9100000000000006</v>
      </c>
      <c r="B249" s="109" t="s">
        <v>1162</v>
      </c>
      <c r="C249" s="109"/>
      <c r="D249" s="111"/>
      <c r="E249" s="111"/>
      <c r="F249" s="111" t="s">
        <v>1289</v>
      </c>
      <c r="G249" s="113"/>
      <c r="H249" s="112"/>
      <c r="I249" s="111"/>
      <c r="J249" s="108">
        <v>45995</v>
      </c>
      <c r="K249" s="109"/>
      <c r="L249" s="108"/>
      <c r="M249" s="107"/>
      <c r="N249" s="333" t="s">
        <v>1430</v>
      </c>
      <c r="O249" s="333"/>
      <c r="P249" s="333"/>
      <c r="Q249" s="334"/>
      <c r="R249" s="106"/>
    </row>
    <row r="250" spans="1:18" s="105" customFormat="1" ht="45" hidden="1" customHeight="1" outlineLevel="1" x14ac:dyDescent="0.3">
      <c r="A250" s="114">
        <f t="shared" si="12"/>
        <v>2.8100000000000005</v>
      </c>
      <c r="B250" s="109" t="s">
        <v>1162</v>
      </c>
      <c r="C250" s="109"/>
      <c r="D250" s="111"/>
      <c r="E250" s="111"/>
      <c r="F250" s="111" t="s">
        <v>1289</v>
      </c>
      <c r="G250" s="113"/>
      <c r="H250" s="112"/>
      <c r="I250" s="111"/>
      <c r="J250" s="108">
        <v>46008</v>
      </c>
      <c r="K250" s="109"/>
      <c r="L250" s="108"/>
      <c r="M250" s="107"/>
      <c r="N250" s="333" t="s">
        <v>1431</v>
      </c>
      <c r="O250" s="333"/>
      <c r="P250" s="333"/>
      <c r="Q250" s="334"/>
      <c r="R250" s="106"/>
    </row>
    <row r="251" spans="1:18" s="105" customFormat="1" ht="45" hidden="1" customHeight="1" outlineLevel="1" x14ac:dyDescent="0.3">
      <c r="A251" s="114">
        <f t="shared" si="12"/>
        <v>3.7100000000000004</v>
      </c>
      <c r="B251" s="109" t="s">
        <v>1162</v>
      </c>
      <c r="C251" s="109"/>
      <c r="D251" s="111"/>
      <c r="E251" s="111"/>
      <c r="F251" s="111" t="s">
        <v>1289</v>
      </c>
      <c r="G251" s="113"/>
      <c r="H251" s="112"/>
      <c r="I251" s="111"/>
      <c r="J251" s="108">
        <v>46107</v>
      </c>
      <c r="K251" s="109"/>
      <c r="L251" s="108"/>
      <c r="M251" s="107"/>
      <c r="N251" s="333" t="s">
        <v>1432</v>
      </c>
      <c r="O251" s="333"/>
      <c r="P251" s="333"/>
      <c r="Q251" s="334"/>
      <c r="R251" s="106"/>
    </row>
    <row r="252" spans="1:18" s="105" customFormat="1" ht="45" hidden="1" customHeight="1" outlineLevel="1" x14ac:dyDescent="0.3">
      <c r="A252" s="114">
        <f t="shared" si="12"/>
        <v>2.9000000000000008</v>
      </c>
      <c r="B252" s="109" t="s">
        <v>1162</v>
      </c>
      <c r="C252" s="109"/>
      <c r="D252" s="111"/>
      <c r="E252" s="111"/>
      <c r="F252" s="111" t="s">
        <v>1289</v>
      </c>
      <c r="G252" s="113"/>
      <c r="H252" s="112"/>
      <c r="I252" s="111"/>
      <c r="J252" s="108">
        <v>46120</v>
      </c>
      <c r="K252" s="109"/>
      <c r="L252" s="108"/>
      <c r="M252" s="107"/>
      <c r="N252" s="333" t="s">
        <v>1433</v>
      </c>
      <c r="O252" s="333"/>
      <c r="P252" s="333"/>
      <c r="Q252" s="334"/>
      <c r="R252" s="106"/>
    </row>
    <row r="253" spans="1:18" s="105" customFormat="1" ht="45" hidden="1" customHeight="1" outlineLevel="1" x14ac:dyDescent="0.3">
      <c r="A253" s="114">
        <f t="shared" si="12"/>
        <v>4.6999999999999993</v>
      </c>
      <c r="B253" s="109" t="s">
        <v>1162</v>
      </c>
      <c r="C253" s="109"/>
      <c r="D253" s="111"/>
      <c r="E253" s="111"/>
      <c r="F253" s="111" t="s">
        <v>1289</v>
      </c>
      <c r="G253" s="113"/>
      <c r="H253" s="112"/>
      <c r="I253" s="111"/>
      <c r="J253" s="108">
        <v>46128</v>
      </c>
      <c r="K253" s="109"/>
      <c r="L253" s="108"/>
      <c r="M253" s="107"/>
      <c r="N253" s="333" t="s">
        <v>1434</v>
      </c>
      <c r="O253" s="333"/>
      <c r="P253" s="333"/>
      <c r="Q253" s="334"/>
      <c r="R253" s="106"/>
    </row>
    <row r="254" spans="1:18" s="105" customFormat="1" ht="45" hidden="1" customHeight="1" outlineLevel="1" x14ac:dyDescent="0.3">
      <c r="A254" s="114">
        <f t="shared" si="12"/>
        <v>3.7100000000000004</v>
      </c>
      <c r="B254" s="109" t="s">
        <v>1162</v>
      </c>
      <c r="C254" s="109"/>
      <c r="D254" s="111"/>
      <c r="E254" s="111"/>
      <c r="F254" s="111" t="s">
        <v>1289</v>
      </c>
      <c r="G254" s="113"/>
      <c r="H254" s="112"/>
      <c r="I254" s="111"/>
      <c r="J254" s="108">
        <v>46134</v>
      </c>
      <c r="K254" s="109"/>
      <c r="L254" s="108"/>
      <c r="M254" s="107"/>
      <c r="N254" s="333" t="s">
        <v>1435</v>
      </c>
      <c r="O254" s="333"/>
      <c r="P254" s="333"/>
      <c r="Q254" s="334"/>
      <c r="R254" s="106"/>
    </row>
    <row r="255" spans="1:18" s="105" customFormat="1" ht="56.45" hidden="1" customHeight="1" outlineLevel="1" thickBot="1" x14ac:dyDescent="0.3">
      <c r="A255" s="114">
        <f t="shared" si="12"/>
        <v>4.6999999999999975</v>
      </c>
      <c r="B255" s="109" t="s">
        <v>1162</v>
      </c>
      <c r="C255" s="109"/>
      <c r="D255" s="111"/>
      <c r="E255" s="111"/>
      <c r="F255" s="111" t="s">
        <v>1289</v>
      </c>
      <c r="G255" s="113"/>
      <c r="H255" s="112"/>
      <c r="I255" s="111"/>
      <c r="J255" s="108">
        <v>46141</v>
      </c>
      <c r="K255" s="109"/>
      <c r="L255" s="108"/>
      <c r="M255" s="107"/>
      <c r="N255" s="333" t="s">
        <v>1436</v>
      </c>
      <c r="O255" s="333"/>
      <c r="P255" s="333"/>
      <c r="Q255" s="334"/>
      <c r="R255" s="106"/>
    </row>
    <row r="256" spans="1:18" ht="16.5" collapsed="1" thickBot="1" x14ac:dyDescent="0.3">
      <c r="A256" s="133">
        <f>+A273+1</f>
        <v>2.8100000000000005</v>
      </c>
      <c r="B256" s="133" t="s">
        <v>1437</v>
      </c>
      <c r="C256" s="134" t="s">
        <v>1427</v>
      </c>
      <c r="D256" s="126" t="s">
        <v>237</v>
      </c>
      <c r="E256" s="133" t="s">
        <v>1315</v>
      </c>
      <c r="F256" s="133" t="s">
        <v>1187</v>
      </c>
      <c r="G256" s="158"/>
      <c r="H256" s="99" t="s">
        <v>1159</v>
      </c>
      <c r="I256" s="163" t="s">
        <v>1438</v>
      </c>
      <c r="J256" s="138">
        <v>45716</v>
      </c>
      <c r="K256" s="139"/>
      <c r="L256" s="138">
        <v>46002</v>
      </c>
      <c r="M256" s="133" t="s">
        <v>1439</v>
      </c>
      <c r="N256" s="115"/>
      <c r="O256" s="102"/>
      <c r="P256" s="102"/>
      <c r="Q256" s="101"/>
    </row>
    <row r="257" spans="1:18" s="105" customFormat="1" ht="45" hidden="1" customHeight="1" outlineLevel="1" x14ac:dyDescent="0.3">
      <c r="A257" s="114">
        <f>+A281+0.1</f>
        <v>5.5999999999999979</v>
      </c>
      <c r="B257" s="109" t="s">
        <v>1162</v>
      </c>
      <c r="C257" s="109"/>
      <c r="D257" s="111"/>
      <c r="E257" s="111"/>
      <c r="F257" s="111" t="s">
        <v>1187</v>
      </c>
      <c r="G257" s="113"/>
      <c r="H257" s="112"/>
      <c r="I257" s="111"/>
      <c r="J257" s="108">
        <v>45959</v>
      </c>
      <c r="K257" s="109"/>
      <c r="L257" s="108"/>
      <c r="M257" s="107"/>
      <c r="N257" s="333" t="s">
        <v>1440</v>
      </c>
      <c r="O257" s="333"/>
      <c r="P257" s="333"/>
      <c r="Q257" s="334"/>
      <c r="R257" s="106"/>
    </row>
    <row r="258" spans="1:18" s="105" customFormat="1" ht="45" hidden="1" customHeight="1" outlineLevel="1" x14ac:dyDescent="0.3">
      <c r="A258" s="114">
        <f>+A282+0.1</f>
        <v>3.8000000000000007</v>
      </c>
      <c r="B258" s="109" t="s">
        <v>1162</v>
      </c>
      <c r="C258" s="109"/>
      <c r="D258" s="111"/>
      <c r="E258" s="111"/>
      <c r="F258" s="111" t="s">
        <v>1187</v>
      </c>
      <c r="G258" s="113"/>
      <c r="H258" s="112"/>
      <c r="I258" s="111"/>
      <c r="J258" s="108">
        <v>45995</v>
      </c>
      <c r="K258" s="109"/>
      <c r="L258" s="108"/>
      <c r="M258" s="107"/>
      <c r="N258" s="333" t="s">
        <v>1440</v>
      </c>
      <c r="O258" s="333"/>
      <c r="P258" s="333"/>
      <c r="Q258" s="334"/>
      <c r="R258" s="106"/>
    </row>
    <row r="259" spans="1:18" s="105" customFormat="1" ht="56.45" hidden="1" customHeight="1" outlineLevel="1" thickBot="1" x14ac:dyDescent="0.3">
      <c r="A259" s="114">
        <f>+A283+0.1</f>
        <v>5.6</v>
      </c>
      <c r="B259" s="109" t="s">
        <v>1162</v>
      </c>
      <c r="C259" s="109"/>
      <c r="D259" s="111"/>
      <c r="E259" s="111"/>
      <c r="F259" s="111" t="s">
        <v>1187</v>
      </c>
      <c r="G259" s="113"/>
      <c r="H259" s="112"/>
      <c r="I259" s="111"/>
      <c r="J259" s="108">
        <v>46008</v>
      </c>
      <c r="K259" s="109"/>
      <c r="L259" s="108"/>
      <c r="M259" s="107"/>
      <c r="N259" s="333" t="s">
        <v>1441</v>
      </c>
      <c r="O259" s="333"/>
      <c r="P259" s="333"/>
      <c r="Q259" s="334"/>
      <c r="R259" s="106"/>
    </row>
    <row r="260" spans="1:18" ht="16.5" hidden="1" collapsed="1" thickBot="1" x14ac:dyDescent="0.3">
      <c r="A260" s="133">
        <f>+A281+1</f>
        <v>6.4999999999999982</v>
      </c>
      <c r="B260" s="133" t="s">
        <v>214</v>
      </c>
      <c r="C260" s="134" t="s">
        <v>1427</v>
      </c>
      <c r="D260" s="126" t="s">
        <v>237</v>
      </c>
      <c r="E260" s="133" t="s">
        <v>1315</v>
      </c>
      <c r="F260" s="133" t="s">
        <v>1187</v>
      </c>
      <c r="G260" s="137" t="s">
        <v>1442</v>
      </c>
      <c r="H260" s="99" t="s">
        <v>1169</v>
      </c>
      <c r="I260" s="165"/>
      <c r="J260" s="138">
        <v>45972</v>
      </c>
      <c r="K260" s="139"/>
      <c r="L260" s="138">
        <v>45974</v>
      </c>
      <c r="M260" s="133" t="s">
        <v>1301</v>
      </c>
      <c r="N260" s="97"/>
      <c r="O260" s="96"/>
      <c r="P260" s="96"/>
      <c r="Q260" s="95"/>
    </row>
    <row r="261" spans="1:18" s="105" customFormat="1" ht="45" hidden="1" customHeight="1" outlineLevel="1" thickBot="1" x14ac:dyDescent="0.3">
      <c r="A261" s="114">
        <f>+A285+0.1</f>
        <v>4.7</v>
      </c>
      <c r="B261" s="109" t="s">
        <v>1162</v>
      </c>
      <c r="C261" s="109"/>
      <c r="D261" s="111"/>
      <c r="E261" s="111"/>
      <c r="F261" s="111" t="s">
        <v>1190</v>
      </c>
      <c r="G261" s="113"/>
      <c r="H261" s="112"/>
      <c r="I261" s="111"/>
      <c r="J261" s="108">
        <v>45980</v>
      </c>
      <c r="K261" s="109"/>
      <c r="L261" s="108"/>
      <c r="M261" s="107"/>
      <c r="N261" s="333" t="s">
        <v>1443</v>
      </c>
      <c r="O261" s="333"/>
      <c r="P261" s="333"/>
      <c r="Q261" s="334"/>
      <c r="R261" s="106"/>
    </row>
    <row r="262" spans="1:18" ht="16.5" collapsed="1" thickBot="1" x14ac:dyDescent="0.3">
      <c r="A262" s="133">
        <f>+A285+1</f>
        <v>5.6000000000000005</v>
      </c>
      <c r="B262" s="133" t="s">
        <v>868</v>
      </c>
      <c r="C262" s="134" t="s">
        <v>1427</v>
      </c>
      <c r="D262" s="126" t="s">
        <v>237</v>
      </c>
      <c r="E262" s="133" t="s">
        <v>1444</v>
      </c>
      <c r="F262" s="133" t="s">
        <v>1289</v>
      </c>
      <c r="G262" s="137"/>
      <c r="H262" s="117" t="s">
        <v>1159</v>
      </c>
      <c r="I262" s="153" t="s">
        <v>1445</v>
      </c>
      <c r="J262" s="138">
        <v>46058</v>
      </c>
      <c r="K262" s="139"/>
      <c r="L262" s="138">
        <v>46063</v>
      </c>
      <c r="M262" s="133" t="s">
        <v>1170</v>
      </c>
      <c r="N262" s="115"/>
      <c r="O262" s="102"/>
      <c r="P262" s="102"/>
      <c r="Q262" s="101"/>
    </row>
    <row r="263" spans="1:18" s="105" customFormat="1" ht="45" hidden="1" customHeight="1" outlineLevel="1" x14ac:dyDescent="0.3">
      <c r="A263" s="114">
        <f t="shared" ref="A263:A269" si="13">+A287+0.1</f>
        <v>1.9000000000000004</v>
      </c>
      <c r="B263" s="109" t="s">
        <v>1162</v>
      </c>
      <c r="C263" s="109"/>
      <c r="D263" s="111"/>
      <c r="E263" s="111"/>
      <c r="F263" s="111" t="s">
        <v>1180</v>
      </c>
      <c r="G263" s="113"/>
      <c r="H263" s="112"/>
      <c r="I263" s="111"/>
      <c r="J263" s="108">
        <v>45945</v>
      </c>
      <c r="K263" s="109"/>
      <c r="L263" s="108"/>
      <c r="M263" s="107"/>
      <c r="N263" s="333" t="s">
        <v>1443</v>
      </c>
      <c r="O263" s="333"/>
      <c r="P263" s="333"/>
      <c r="Q263" s="334"/>
      <c r="R263" s="106"/>
    </row>
    <row r="264" spans="1:18" s="105" customFormat="1" ht="45" hidden="1" customHeight="1" outlineLevel="1" x14ac:dyDescent="0.3">
      <c r="A264" s="114">
        <f t="shared" si="13"/>
        <v>2.8000000000000007</v>
      </c>
      <c r="B264" s="109" t="s">
        <v>1162</v>
      </c>
      <c r="C264" s="109"/>
      <c r="D264" s="111"/>
      <c r="E264" s="111"/>
      <c r="F264" s="111" t="s">
        <v>1180</v>
      </c>
      <c r="G264" s="113"/>
      <c r="H264" s="112"/>
      <c r="I264" s="111"/>
      <c r="J264" s="108">
        <v>45952</v>
      </c>
      <c r="K264" s="109"/>
      <c r="L264" s="108"/>
      <c r="M264" s="107"/>
      <c r="N264" s="333" t="s">
        <v>1446</v>
      </c>
      <c r="O264" s="333"/>
      <c r="P264" s="333"/>
      <c r="Q264" s="334"/>
      <c r="R264" s="106"/>
    </row>
    <row r="265" spans="1:18" s="105" customFormat="1" ht="56.45" hidden="1" customHeight="1" outlineLevel="1" x14ac:dyDescent="0.3">
      <c r="A265" s="114">
        <f t="shared" si="13"/>
        <v>5.6</v>
      </c>
      <c r="B265" s="109" t="s">
        <v>1162</v>
      </c>
      <c r="C265" s="109"/>
      <c r="D265" s="111"/>
      <c r="E265" s="111"/>
      <c r="F265" s="111" t="s">
        <v>1180</v>
      </c>
      <c r="G265" s="113"/>
      <c r="H265" s="112"/>
      <c r="I265" s="111"/>
      <c r="J265" s="108">
        <v>45959</v>
      </c>
      <c r="K265" s="109"/>
      <c r="L265" s="108"/>
      <c r="M265" s="107"/>
      <c r="N265" s="333" t="s">
        <v>1447</v>
      </c>
      <c r="O265" s="333"/>
      <c r="P265" s="333"/>
      <c r="Q265" s="334"/>
      <c r="R265" s="106"/>
    </row>
    <row r="266" spans="1:18" s="105" customFormat="1" ht="58.5" hidden="1" customHeight="1" outlineLevel="1" x14ac:dyDescent="0.3">
      <c r="A266" s="114">
        <f t="shared" si="13"/>
        <v>2.8000000000000003</v>
      </c>
      <c r="B266" s="109" t="s">
        <v>1162</v>
      </c>
      <c r="C266" s="109"/>
      <c r="D266" s="111"/>
      <c r="E266" s="111"/>
      <c r="F266" s="111" t="s">
        <v>1180</v>
      </c>
      <c r="G266" s="113"/>
      <c r="H266" s="112"/>
      <c r="I266" s="111"/>
      <c r="J266" s="108">
        <v>45980</v>
      </c>
      <c r="K266" s="109"/>
      <c r="L266" s="108"/>
      <c r="M266" s="107"/>
      <c r="N266" s="333" t="s">
        <v>1448</v>
      </c>
      <c r="O266" s="333"/>
      <c r="P266" s="333"/>
      <c r="Q266" s="334"/>
      <c r="R266" s="106"/>
    </row>
    <row r="267" spans="1:18" s="105" customFormat="1" ht="45" hidden="1" customHeight="1" outlineLevel="1" x14ac:dyDescent="0.3">
      <c r="A267" s="160">
        <f t="shared" si="13"/>
        <v>1.9000000000000008</v>
      </c>
      <c r="B267" s="109" t="s">
        <v>1162</v>
      </c>
      <c r="C267" s="109"/>
      <c r="D267" s="111"/>
      <c r="E267" s="111"/>
      <c r="F267" s="111" t="s">
        <v>1158</v>
      </c>
      <c r="G267" s="113"/>
      <c r="H267" s="112"/>
      <c r="I267" s="111"/>
      <c r="J267" s="108">
        <v>46008</v>
      </c>
      <c r="K267" s="109"/>
      <c r="L267" s="108"/>
      <c r="M267" s="107"/>
      <c r="N267" s="333" t="s">
        <v>1441</v>
      </c>
      <c r="O267" s="333"/>
      <c r="P267" s="333"/>
      <c r="Q267" s="334"/>
      <c r="R267" s="106"/>
    </row>
    <row r="268" spans="1:18" s="105" customFormat="1" ht="45" hidden="1" customHeight="1" outlineLevel="1" x14ac:dyDescent="0.3">
      <c r="A268" s="160">
        <f t="shared" si="13"/>
        <v>2.8000000000000007</v>
      </c>
      <c r="B268" s="109" t="s">
        <v>1162</v>
      </c>
      <c r="C268" s="109"/>
      <c r="D268" s="111"/>
      <c r="E268" s="111"/>
      <c r="F268" s="111" t="s">
        <v>1158</v>
      </c>
      <c r="G268" s="113"/>
      <c r="H268" s="112"/>
      <c r="I268" s="111"/>
      <c r="J268" s="108">
        <v>46058</v>
      </c>
      <c r="K268" s="109"/>
      <c r="L268" s="108"/>
      <c r="M268" s="107"/>
      <c r="N268" s="333" t="s">
        <v>1449</v>
      </c>
      <c r="O268" s="333"/>
      <c r="P268" s="333"/>
      <c r="Q268" s="334"/>
      <c r="R268" s="106"/>
    </row>
    <row r="269" spans="1:18" s="105" customFormat="1" ht="45" hidden="1" customHeight="1" outlineLevel="1" thickBot="1" x14ac:dyDescent="0.3">
      <c r="A269" s="160">
        <f t="shared" si="13"/>
        <v>3.7</v>
      </c>
      <c r="B269" s="109" t="s">
        <v>1162</v>
      </c>
      <c r="C269" s="109"/>
      <c r="D269" s="111"/>
      <c r="E269" s="111"/>
      <c r="F269" s="111" t="s">
        <v>1158</v>
      </c>
      <c r="G269" s="113"/>
      <c r="H269" s="112"/>
      <c r="I269" s="111"/>
      <c r="J269" s="108">
        <v>46064</v>
      </c>
      <c r="K269" s="109"/>
      <c r="L269" s="108"/>
      <c r="M269" s="107"/>
      <c r="N269" s="333" t="s">
        <v>1450</v>
      </c>
      <c r="O269" s="333"/>
      <c r="P269" s="333"/>
      <c r="Q269" s="334"/>
      <c r="R269" s="106"/>
    </row>
    <row r="270" spans="1:18" ht="16.5" hidden="1" collapsed="1" thickBot="1" x14ac:dyDescent="0.3">
      <c r="A270" s="126">
        <f>+A287+1</f>
        <v>2.8000000000000003</v>
      </c>
      <c r="B270" s="128" t="s">
        <v>1451</v>
      </c>
      <c r="C270" s="127" t="s">
        <v>1452</v>
      </c>
      <c r="D270" s="126" t="s">
        <v>237</v>
      </c>
      <c r="E270" s="126" t="s">
        <v>1453</v>
      </c>
      <c r="F270" s="164" t="s">
        <v>1190</v>
      </c>
      <c r="G270" s="158" t="s">
        <v>1454</v>
      </c>
      <c r="H270" s="99" t="s">
        <v>1169</v>
      </c>
      <c r="I270" s="125"/>
      <c r="J270" s="138">
        <v>46127</v>
      </c>
      <c r="K270" s="125"/>
      <c r="L270" s="124"/>
      <c r="M270" s="126" t="s">
        <v>1238</v>
      </c>
      <c r="N270" s="97"/>
      <c r="O270" s="96"/>
      <c r="P270" s="96"/>
      <c r="Q270" s="95"/>
    </row>
    <row r="271" spans="1:18" s="105" customFormat="1" ht="45" hidden="1" customHeight="1" outlineLevel="1" x14ac:dyDescent="0.3">
      <c r="A271" s="114">
        <f t="shared" ref="A271:A277" si="14">+A295+0.1</f>
        <v>2.7100000000000004</v>
      </c>
      <c r="B271" s="109" t="s">
        <v>1162</v>
      </c>
      <c r="C271" s="109"/>
      <c r="D271" s="111"/>
      <c r="E271" s="111"/>
      <c r="F271" s="111" t="s">
        <v>1158</v>
      </c>
      <c r="G271" s="113"/>
      <c r="H271" s="112"/>
      <c r="I271" s="111"/>
      <c r="J271" s="108">
        <v>46058</v>
      </c>
      <c r="K271" s="109"/>
      <c r="L271" s="108"/>
      <c r="M271" s="107"/>
      <c r="N271" s="333" t="s">
        <v>1455</v>
      </c>
      <c r="O271" s="333"/>
      <c r="P271" s="333"/>
      <c r="Q271" s="334"/>
      <c r="R271" s="106"/>
    </row>
    <row r="272" spans="1:18" s="105" customFormat="1" ht="45" hidden="1" customHeight="1" outlineLevel="1" x14ac:dyDescent="0.3">
      <c r="A272" s="114">
        <f t="shared" si="14"/>
        <v>3.61</v>
      </c>
      <c r="B272" s="109" t="s">
        <v>1162</v>
      </c>
      <c r="C272" s="109"/>
      <c r="D272" s="111"/>
      <c r="E272" s="111"/>
      <c r="F272" s="111" t="s">
        <v>1158</v>
      </c>
      <c r="G272" s="113"/>
      <c r="H272" s="112"/>
      <c r="I272" s="111"/>
      <c r="J272" s="108">
        <v>46064</v>
      </c>
      <c r="K272" s="109"/>
      <c r="L272" s="108"/>
      <c r="M272" s="107"/>
      <c r="N272" s="333" t="s">
        <v>1456</v>
      </c>
      <c r="O272" s="333"/>
      <c r="P272" s="333"/>
      <c r="Q272" s="334"/>
      <c r="R272" s="106"/>
    </row>
    <row r="273" spans="1:18" s="105" customFormat="1" ht="45" hidden="1" customHeight="1" outlineLevel="1" x14ac:dyDescent="0.3">
      <c r="A273" s="114">
        <f t="shared" si="14"/>
        <v>1.8100000000000005</v>
      </c>
      <c r="B273" s="109" t="s">
        <v>1162</v>
      </c>
      <c r="C273" s="109"/>
      <c r="D273" s="111"/>
      <c r="E273" s="111"/>
      <c r="F273" s="111" t="s">
        <v>1158</v>
      </c>
      <c r="G273" s="113"/>
      <c r="H273" s="112"/>
      <c r="I273" s="111"/>
      <c r="J273" s="108">
        <v>46107</v>
      </c>
      <c r="K273" s="109"/>
      <c r="L273" s="108"/>
      <c r="M273" s="107"/>
      <c r="N273" s="333" t="s">
        <v>1457</v>
      </c>
      <c r="O273" s="333"/>
      <c r="P273" s="333"/>
      <c r="Q273" s="334"/>
      <c r="R273" s="106"/>
    </row>
    <row r="274" spans="1:18" s="105" customFormat="1" ht="45" hidden="1" customHeight="1" outlineLevel="1" x14ac:dyDescent="0.3">
      <c r="A274" s="114">
        <f t="shared" si="14"/>
        <v>2.7100000000000004</v>
      </c>
      <c r="B274" s="109" t="s">
        <v>1162</v>
      </c>
      <c r="C274" s="109"/>
      <c r="D274" s="111"/>
      <c r="E274" s="111"/>
      <c r="F274" s="111" t="s">
        <v>1158</v>
      </c>
      <c r="G274" s="113"/>
      <c r="H274" s="112"/>
      <c r="I274" s="111"/>
      <c r="J274" s="108">
        <v>46120</v>
      </c>
      <c r="K274" s="109"/>
      <c r="L274" s="108"/>
      <c r="M274" s="107"/>
      <c r="N274" s="333" t="s">
        <v>1458</v>
      </c>
      <c r="O274" s="333"/>
      <c r="P274" s="333"/>
      <c r="Q274" s="334"/>
      <c r="R274" s="106"/>
    </row>
    <row r="275" spans="1:18" s="105" customFormat="1" ht="45" hidden="1" customHeight="1" outlineLevel="1" x14ac:dyDescent="0.3">
      <c r="A275" s="114">
        <f t="shared" si="14"/>
        <v>3.6100000000000003</v>
      </c>
      <c r="B275" s="109" t="s">
        <v>1162</v>
      </c>
      <c r="C275" s="109"/>
      <c r="D275" s="111"/>
      <c r="E275" s="111"/>
      <c r="F275" s="111" t="s">
        <v>1158</v>
      </c>
      <c r="G275" s="113"/>
      <c r="H275" s="112"/>
      <c r="I275" s="111"/>
      <c r="J275" s="108">
        <v>46128</v>
      </c>
      <c r="K275" s="109"/>
      <c r="L275" s="108"/>
      <c r="M275" s="107"/>
      <c r="N275" s="333" t="s">
        <v>1459</v>
      </c>
      <c r="O275" s="333"/>
      <c r="P275" s="333"/>
      <c r="Q275" s="334"/>
      <c r="R275" s="106"/>
    </row>
    <row r="276" spans="1:18" s="105" customFormat="1" ht="45" hidden="1" customHeight="1" outlineLevel="1" x14ac:dyDescent="0.3">
      <c r="A276" s="114">
        <f t="shared" si="14"/>
        <v>2.8000000000000007</v>
      </c>
      <c r="B276" s="109" t="s">
        <v>1162</v>
      </c>
      <c r="C276" s="109"/>
      <c r="D276" s="111"/>
      <c r="E276" s="111"/>
      <c r="F276" s="111" t="s">
        <v>1158</v>
      </c>
      <c r="G276" s="113"/>
      <c r="H276" s="112"/>
      <c r="I276" s="111"/>
      <c r="J276" s="108">
        <v>46134</v>
      </c>
      <c r="K276" s="109"/>
      <c r="L276" s="108"/>
      <c r="M276" s="107"/>
      <c r="N276" s="333" t="s">
        <v>1460</v>
      </c>
      <c r="O276" s="333"/>
      <c r="P276" s="333"/>
      <c r="Q276" s="334"/>
      <c r="R276" s="106"/>
    </row>
    <row r="277" spans="1:18" s="105" customFormat="1" ht="45" hidden="1" customHeight="1" outlineLevel="1" thickBot="1" x14ac:dyDescent="0.3">
      <c r="A277" s="114">
        <f t="shared" si="14"/>
        <v>4.5999999999999996</v>
      </c>
      <c r="B277" s="109" t="s">
        <v>1162</v>
      </c>
      <c r="C277" s="109"/>
      <c r="D277" s="111"/>
      <c r="E277" s="111"/>
      <c r="F277" s="111" t="s">
        <v>1158</v>
      </c>
      <c r="G277" s="113"/>
      <c r="H277" s="112"/>
      <c r="I277" s="111"/>
      <c r="J277" s="108">
        <v>46141</v>
      </c>
      <c r="K277" s="109"/>
      <c r="L277" s="108"/>
      <c r="M277" s="107"/>
      <c r="N277" s="333" t="s">
        <v>1461</v>
      </c>
      <c r="O277" s="333"/>
      <c r="P277" s="333"/>
      <c r="Q277" s="334"/>
      <c r="R277" s="106"/>
    </row>
    <row r="278" spans="1:18" ht="16.5" hidden="1" collapsed="1" thickBot="1" x14ac:dyDescent="0.3">
      <c r="A278" s="133">
        <f>+A295+1</f>
        <v>3.6100000000000003</v>
      </c>
      <c r="B278" s="128" t="s">
        <v>492</v>
      </c>
      <c r="C278" s="127" t="s">
        <v>1452</v>
      </c>
      <c r="D278" s="126" t="s">
        <v>237</v>
      </c>
      <c r="E278" s="133" t="s">
        <v>1453</v>
      </c>
      <c r="F278" s="154" t="s">
        <v>1167</v>
      </c>
      <c r="G278" s="137" t="s">
        <v>1462</v>
      </c>
      <c r="H278" s="99" t="s">
        <v>1169</v>
      </c>
      <c r="I278" s="125"/>
      <c r="J278" s="138">
        <v>46043</v>
      </c>
      <c r="K278" s="125"/>
      <c r="L278" s="138">
        <v>46049</v>
      </c>
      <c r="M278" s="133" t="s">
        <v>1189</v>
      </c>
      <c r="N278" s="97"/>
      <c r="O278" s="96"/>
      <c r="P278" s="96"/>
      <c r="Q278" s="95"/>
    </row>
    <row r="279" spans="1:18" s="105" customFormat="1" ht="45" hidden="1" customHeight="1" outlineLevel="1" x14ac:dyDescent="0.3">
      <c r="A279" s="114">
        <f>+A303+0.1</f>
        <v>4.5999999999999979</v>
      </c>
      <c r="B279" s="109" t="s">
        <v>1162</v>
      </c>
      <c r="C279" s="109"/>
      <c r="D279" s="111"/>
      <c r="E279" s="111"/>
      <c r="F279" s="111" t="s">
        <v>1180</v>
      </c>
      <c r="G279" s="113"/>
      <c r="H279" s="112"/>
      <c r="I279" s="111"/>
      <c r="J279" s="108">
        <v>46044</v>
      </c>
      <c r="K279" s="109"/>
      <c r="L279" s="108"/>
      <c r="M279" s="107"/>
      <c r="N279" s="333" t="s">
        <v>1463</v>
      </c>
      <c r="O279" s="333"/>
      <c r="P279" s="333"/>
      <c r="Q279" s="334"/>
      <c r="R279" s="106"/>
    </row>
    <row r="280" spans="1:18" s="105" customFormat="1" ht="45" hidden="1" customHeight="1" outlineLevel="1" thickBot="1" x14ac:dyDescent="0.3">
      <c r="A280" s="114">
        <f>+A304+0.1</f>
        <v>1.9000000000000006</v>
      </c>
      <c r="B280" s="109" t="s">
        <v>1162</v>
      </c>
      <c r="C280" s="109"/>
      <c r="D280" s="111"/>
      <c r="E280" s="111"/>
      <c r="F280" s="111" t="s">
        <v>1180</v>
      </c>
      <c r="G280" s="113"/>
      <c r="H280" s="112"/>
      <c r="I280" s="111"/>
      <c r="J280" s="108">
        <v>46051</v>
      </c>
      <c r="K280" s="109"/>
      <c r="L280" s="108"/>
      <c r="M280" s="107"/>
      <c r="N280" s="335" t="s">
        <v>1464</v>
      </c>
      <c r="O280" s="335"/>
      <c r="P280" s="335"/>
      <c r="Q280" s="336"/>
      <c r="R280" s="106"/>
    </row>
    <row r="281" spans="1:18" ht="16.5" collapsed="1" thickBot="1" x14ac:dyDescent="0.3">
      <c r="A281" s="133">
        <f>+A303+1</f>
        <v>5.4999999999999982</v>
      </c>
      <c r="B281" s="126" t="s">
        <v>752</v>
      </c>
      <c r="C281" s="127" t="s">
        <v>1452</v>
      </c>
      <c r="D281" s="126" t="s">
        <v>237</v>
      </c>
      <c r="E281" s="133" t="s">
        <v>1465</v>
      </c>
      <c r="F281" s="47" t="s">
        <v>1187</v>
      </c>
      <c r="G281" s="158"/>
      <c r="H281" s="99" t="s">
        <v>1159</v>
      </c>
      <c r="I281" s="163" t="s">
        <v>1466</v>
      </c>
      <c r="J281" s="138">
        <v>46125</v>
      </c>
      <c r="K281" s="139"/>
      <c r="L281" s="138">
        <v>46128</v>
      </c>
      <c r="M281" s="133" t="s">
        <v>1189</v>
      </c>
      <c r="N281" s="115"/>
      <c r="O281" s="102"/>
      <c r="P281" s="102"/>
      <c r="Q281" s="101"/>
    </row>
    <row r="282" spans="1:18" s="105" customFormat="1" ht="45" hidden="1" customHeight="1" outlineLevel="1" x14ac:dyDescent="0.3">
      <c r="A282" s="114">
        <f>+A306+0.1</f>
        <v>3.7000000000000006</v>
      </c>
      <c r="B282" s="109" t="s">
        <v>1162</v>
      </c>
      <c r="C282" s="109"/>
      <c r="D282" s="111"/>
      <c r="E282" s="111"/>
      <c r="F282" s="111" t="s">
        <v>1180</v>
      </c>
      <c r="G282" s="113"/>
      <c r="H282" s="112"/>
      <c r="I282" s="111"/>
      <c r="J282" s="108">
        <v>45995</v>
      </c>
      <c r="K282" s="109"/>
      <c r="L282" s="108"/>
      <c r="M282" s="107"/>
      <c r="N282" s="333" t="s">
        <v>1467</v>
      </c>
      <c r="O282" s="333"/>
      <c r="P282" s="333"/>
      <c r="Q282" s="334"/>
      <c r="R282" s="106"/>
    </row>
    <row r="283" spans="1:18" s="105" customFormat="1" ht="45" hidden="1" customHeight="1" outlineLevel="1" x14ac:dyDescent="0.3">
      <c r="A283" s="114">
        <f>+A307+0.1</f>
        <v>5.5</v>
      </c>
      <c r="B283" s="109" t="s">
        <v>1162</v>
      </c>
      <c r="C283" s="109"/>
      <c r="D283" s="111"/>
      <c r="E283" s="111"/>
      <c r="F283" s="111" t="s">
        <v>1180</v>
      </c>
      <c r="G283" s="113"/>
      <c r="H283" s="112"/>
      <c r="I283" s="111"/>
      <c r="J283" s="108">
        <v>46044</v>
      </c>
      <c r="K283" s="109"/>
      <c r="L283" s="108"/>
      <c r="M283" s="107"/>
      <c r="N283" s="333" t="s">
        <v>1468</v>
      </c>
      <c r="O283" s="333"/>
      <c r="P283" s="333"/>
      <c r="Q283" s="333"/>
      <c r="R283" s="106"/>
    </row>
    <row r="284" spans="1:18" s="105" customFormat="1" ht="45" hidden="1" customHeight="1" outlineLevel="1" thickBot="1" x14ac:dyDescent="0.3">
      <c r="A284" s="114">
        <f>+A308+0.1</f>
        <v>4.5999999999999996</v>
      </c>
      <c r="B284" s="109" t="s">
        <v>1162</v>
      </c>
      <c r="C284" s="109"/>
      <c r="D284" s="111"/>
      <c r="E284" s="111"/>
      <c r="F284" s="111" t="s">
        <v>1187</v>
      </c>
      <c r="G284" s="113"/>
      <c r="H284" s="112"/>
      <c r="I284" s="111"/>
      <c r="J284" s="108">
        <v>46128</v>
      </c>
      <c r="K284" s="109"/>
      <c r="L284" s="108"/>
      <c r="M284" s="107"/>
      <c r="N284" s="333" t="s">
        <v>1469</v>
      </c>
      <c r="O284" s="333"/>
      <c r="P284" s="333"/>
      <c r="Q284" s="333"/>
      <c r="R284" s="106"/>
    </row>
    <row r="285" spans="1:18" ht="16.5" hidden="1" collapsed="1" thickBot="1" x14ac:dyDescent="0.3">
      <c r="A285" s="133">
        <f>+A306+1</f>
        <v>4.6000000000000005</v>
      </c>
      <c r="B285" s="126" t="s">
        <v>107</v>
      </c>
      <c r="C285" s="127" t="s">
        <v>1452</v>
      </c>
      <c r="D285" s="126" t="s">
        <v>237</v>
      </c>
      <c r="E285" s="133" t="s">
        <v>1470</v>
      </c>
      <c r="F285" s="133" t="s">
        <v>1348</v>
      </c>
      <c r="G285" s="158" t="s">
        <v>1471</v>
      </c>
      <c r="H285" s="99" t="s">
        <v>1169</v>
      </c>
      <c r="I285" s="125"/>
      <c r="J285" s="138">
        <v>46051</v>
      </c>
      <c r="K285" s="139"/>
      <c r="L285" s="138"/>
      <c r="M285" s="133" t="s">
        <v>1170</v>
      </c>
      <c r="N285" s="97"/>
      <c r="O285" s="96"/>
      <c r="P285" s="96"/>
      <c r="Q285" s="95"/>
    </row>
    <row r="286" spans="1:18" s="105" customFormat="1" ht="45" hidden="1" customHeight="1" outlineLevel="1" x14ac:dyDescent="0.3">
      <c r="A286" s="114">
        <f t="shared" ref="A286:A294" si="15">+A310+0.1</f>
        <v>1.8000000000000007</v>
      </c>
      <c r="B286" s="109" t="s">
        <v>1162</v>
      </c>
      <c r="C286" s="109"/>
      <c r="D286" s="111"/>
      <c r="E286" s="111"/>
      <c r="F286" s="111" t="s">
        <v>1158</v>
      </c>
      <c r="G286" s="113"/>
      <c r="H286" s="112"/>
      <c r="I286" s="111"/>
      <c r="J286" s="108">
        <v>45936</v>
      </c>
      <c r="K286" s="109"/>
      <c r="L286" s="108"/>
      <c r="M286" s="107"/>
      <c r="N286" s="333" t="s">
        <v>1273</v>
      </c>
      <c r="O286" s="333"/>
      <c r="P286" s="333"/>
      <c r="Q286" s="334"/>
      <c r="R286" s="106"/>
    </row>
    <row r="287" spans="1:18" s="105" customFormat="1" ht="45" hidden="1" customHeight="1" outlineLevel="1" x14ac:dyDescent="0.3">
      <c r="A287" s="114">
        <f t="shared" si="15"/>
        <v>1.8000000000000003</v>
      </c>
      <c r="B287" s="109" t="s">
        <v>1162</v>
      </c>
      <c r="C287" s="109"/>
      <c r="D287" s="111"/>
      <c r="E287" s="111"/>
      <c r="F287" s="111" t="s">
        <v>1158</v>
      </c>
      <c r="G287" s="113"/>
      <c r="H287" s="112"/>
      <c r="I287" s="111"/>
      <c r="J287" s="108">
        <v>45936</v>
      </c>
      <c r="K287" s="109"/>
      <c r="L287" s="108"/>
      <c r="M287" s="107"/>
      <c r="N287" s="333" t="s">
        <v>1472</v>
      </c>
      <c r="O287" s="333"/>
      <c r="P287" s="333"/>
      <c r="Q287" s="334"/>
      <c r="R287" s="106"/>
    </row>
    <row r="288" spans="1:18" s="105" customFormat="1" ht="56.45" hidden="1" customHeight="1" outlineLevel="1" x14ac:dyDescent="0.3">
      <c r="A288" s="114">
        <f t="shared" si="15"/>
        <v>2.7000000000000006</v>
      </c>
      <c r="B288" s="109" t="s">
        <v>1162</v>
      </c>
      <c r="C288" s="109"/>
      <c r="D288" s="111"/>
      <c r="E288" s="111"/>
      <c r="F288" s="111" t="s">
        <v>1158</v>
      </c>
      <c r="G288" s="113"/>
      <c r="H288" s="112"/>
      <c r="I288" s="111"/>
      <c r="J288" s="108">
        <v>45945</v>
      </c>
      <c r="K288" s="109"/>
      <c r="L288" s="108"/>
      <c r="M288" s="107"/>
      <c r="N288" s="333" t="s">
        <v>1473</v>
      </c>
      <c r="O288" s="333"/>
      <c r="P288" s="333"/>
      <c r="Q288" s="334"/>
      <c r="R288" s="106"/>
    </row>
    <row r="289" spans="1:18" s="105" customFormat="1" ht="58.5" hidden="1" customHeight="1" outlineLevel="1" x14ac:dyDescent="0.3">
      <c r="A289" s="114">
        <f t="shared" si="15"/>
        <v>5.5</v>
      </c>
      <c r="B289" s="109" t="s">
        <v>1162</v>
      </c>
      <c r="C289" s="109"/>
      <c r="D289" s="111"/>
      <c r="E289" s="111"/>
      <c r="F289" s="111" t="s">
        <v>1158</v>
      </c>
      <c r="G289" s="113"/>
      <c r="H289" s="112"/>
      <c r="I289" s="111"/>
      <c r="J289" s="108">
        <v>45952</v>
      </c>
      <c r="K289" s="109"/>
      <c r="L289" s="108"/>
      <c r="M289" s="107"/>
      <c r="N289" s="333" t="s">
        <v>1474</v>
      </c>
      <c r="O289" s="333"/>
      <c r="P289" s="333"/>
      <c r="Q289" s="334"/>
      <c r="R289" s="106"/>
    </row>
    <row r="290" spans="1:18" s="105" customFormat="1" ht="45" hidden="1" customHeight="1" outlineLevel="1" x14ac:dyDescent="0.3">
      <c r="A290" s="160">
        <f t="shared" si="15"/>
        <v>2.7</v>
      </c>
      <c r="B290" s="109" t="s">
        <v>1162</v>
      </c>
      <c r="C290" s="109"/>
      <c r="D290" s="111"/>
      <c r="E290" s="111"/>
      <c r="F290" s="111" t="s">
        <v>1158</v>
      </c>
      <c r="G290" s="113"/>
      <c r="H290" s="112"/>
      <c r="I290" s="111"/>
      <c r="J290" s="108">
        <v>45959</v>
      </c>
      <c r="K290" s="109"/>
      <c r="L290" s="108"/>
      <c r="M290" s="107"/>
      <c r="N290" s="333" t="s">
        <v>1475</v>
      </c>
      <c r="O290" s="333"/>
      <c r="P290" s="333"/>
      <c r="Q290" s="334"/>
      <c r="R290" s="106"/>
    </row>
    <row r="291" spans="1:18" s="105" customFormat="1" ht="56.45" hidden="1" customHeight="1" outlineLevel="1" x14ac:dyDescent="0.3">
      <c r="A291" s="114">
        <f t="shared" si="15"/>
        <v>1.8000000000000007</v>
      </c>
      <c r="B291" s="109" t="s">
        <v>1162</v>
      </c>
      <c r="C291" s="109"/>
      <c r="D291" s="111"/>
      <c r="E291" s="111"/>
      <c r="F291" s="111" t="s">
        <v>1158</v>
      </c>
      <c r="G291" s="113"/>
      <c r="H291" s="112"/>
      <c r="I291" s="111"/>
      <c r="J291" s="108">
        <v>45966</v>
      </c>
      <c r="K291" s="109"/>
      <c r="L291" s="108"/>
      <c r="M291" s="107"/>
      <c r="N291" s="333" t="s">
        <v>1476</v>
      </c>
      <c r="O291" s="333"/>
      <c r="P291" s="333"/>
      <c r="Q291" s="334"/>
      <c r="R291" s="106"/>
    </row>
    <row r="292" spans="1:18" s="105" customFormat="1" ht="58.5" hidden="1" customHeight="1" outlineLevel="1" x14ac:dyDescent="0.3">
      <c r="A292" s="114">
        <f t="shared" si="15"/>
        <v>2.7000000000000006</v>
      </c>
      <c r="B292" s="109" t="s">
        <v>1162</v>
      </c>
      <c r="C292" s="109"/>
      <c r="D292" s="111"/>
      <c r="E292" s="111"/>
      <c r="F292" s="111" t="s">
        <v>1158</v>
      </c>
      <c r="G292" s="113"/>
      <c r="H292" s="112"/>
      <c r="I292" s="111"/>
      <c r="J292" s="108">
        <v>46008</v>
      </c>
      <c r="K292" s="109"/>
      <c r="L292" s="108"/>
      <c r="M292" s="107"/>
      <c r="N292" s="333" t="s">
        <v>1477</v>
      </c>
      <c r="O292" s="333"/>
      <c r="P292" s="333"/>
      <c r="Q292" s="334"/>
      <c r="R292" s="106"/>
    </row>
    <row r="293" spans="1:18" s="105" customFormat="1" ht="58.5" hidden="1" customHeight="1" outlineLevel="1" x14ac:dyDescent="0.3">
      <c r="A293" s="114">
        <f t="shared" si="15"/>
        <v>3.6</v>
      </c>
      <c r="B293" s="109" t="s">
        <v>1162</v>
      </c>
      <c r="C293" s="109"/>
      <c r="D293" s="111"/>
      <c r="E293" s="111"/>
      <c r="F293" s="111" t="s">
        <v>1158</v>
      </c>
      <c r="G293" s="113"/>
      <c r="H293" s="112"/>
      <c r="I293" s="111"/>
      <c r="J293" s="108">
        <v>46058</v>
      </c>
      <c r="K293" s="109"/>
      <c r="L293" s="108"/>
      <c r="M293" s="107"/>
      <c r="N293" s="333" t="s">
        <v>1478</v>
      </c>
      <c r="O293" s="333"/>
      <c r="P293" s="333"/>
      <c r="Q293" s="334"/>
      <c r="R293" s="106"/>
    </row>
    <row r="294" spans="1:18" s="105" customFormat="1" ht="58.5" hidden="1" customHeight="1" outlineLevel="1" x14ac:dyDescent="0.3">
      <c r="A294" s="114">
        <f t="shared" si="15"/>
        <v>3.6</v>
      </c>
      <c r="B294" s="109" t="s">
        <v>1162</v>
      </c>
      <c r="C294" s="109"/>
      <c r="D294" s="111"/>
      <c r="E294" s="111"/>
      <c r="F294" s="111" t="s">
        <v>1158</v>
      </c>
      <c r="G294" s="113"/>
      <c r="H294" s="112"/>
      <c r="I294" s="111"/>
      <c r="J294" s="108">
        <v>46072</v>
      </c>
      <c r="K294" s="109"/>
      <c r="L294" s="108"/>
      <c r="M294" s="107"/>
      <c r="N294" s="333" t="s">
        <v>1479</v>
      </c>
      <c r="O294" s="333"/>
      <c r="P294" s="333"/>
      <c r="Q294" s="334"/>
      <c r="R294" s="106"/>
    </row>
    <row r="295" spans="1:18" s="105" customFormat="1" ht="58.5" hidden="1" customHeight="1" outlineLevel="1" x14ac:dyDescent="0.3">
      <c r="A295" s="114">
        <f>+A319+0.01</f>
        <v>2.6100000000000003</v>
      </c>
      <c r="B295" s="109" t="s">
        <v>1162</v>
      </c>
      <c r="C295" s="109"/>
      <c r="D295" s="111"/>
      <c r="E295" s="111"/>
      <c r="F295" s="111" t="s">
        <v>1289</v>
      </c>
      <c r="G295" s="113"/>
      <c r="H295" s="112"/>
      <c r="I295" s="111"/>
      <c r="J295" s="108">
        <v>46107</v>
      </c>
      <c r="K295" s="109"/>
      <c r="L295" s="108"/>
      <c r="M295" s="107"/>
      <c r="N295" s="333" t="s">
        <v>1480</v>
      </c>
      <c r="O295" s="333"/>
      <c r="P295" s="333"/>
      <c r="Q295" s="334"/>
      <c r="R295" s="106"/>
    </row>
    <row r="296" spans="1:18" s="105" customFormat="1" ht="58.5" hidden="1" customHeight="1" outlineLevel="1" x14ac:dyDescent="0.3">
      <c r="A296" s="114">
        <f>+A320+0.01</f>
        <v>3.51</v>
      </c>
      <c r="B296" s="109" t="s">
        <v>1162</v>
      </c>
      <c r="C296" s="109"/>
      <c r="D296" s="111"/>
      <c r="E296" s="111"/>
      <c r="F296" s="111" t="s">
        <v>1289</v>
      </c>
      <c r="G296" s="113"/>
      <c r="H296" s="112"/>
      <c r="I296" s="111"/>
      <c r="J296" s="108">
        <v>46120</v>
      </c>
      <c r="K296" s="109"/>
      <c r="L296" s="108"/>
      <c r="M296" s="107"/>
      <c r="N296" s="333" t="s">
        <v>1481</v>
      </c>
      <c r="O296" s="333"/>
      <c r="P296" s="333"/>
      <c r="Q296" s="334"/>
      <c r="R296" s="106"/>
    </row>
    <row r="297" spans="1:18" s="105" customFormat="1" ht="58.5" hidden="1" customHeight="1" outlineLevel="1" x14ac:dyDescent="0.3">
      <c r="A297" s="114">
        <f>+A321+0.01</f>
        <v>1.7100000000000004</v>
      </c>
      <c r="B297" s="109" t="s">
        <v>1162</v>
      </c>
      <c r="C297" s="109"/>
      <c r="D297" s="111"/>
      <c r="E297" s="111"/>
      <c r="F297" s="111" t="s">
        <v>1289</v>
      </c>
      <c r="G297" s="113"/>
      <c r="H297" s="112"/>
      <c r="I297" s="111"/>
      <c r="J297" s="108">
        <v>46128</v>
      </c>
      <c r="K297" s="109"/>
      <c r="L297" s="108"/>
      <c r="M297" s="107"/>
      <c r="N297" s="333" t="s">
        <v>1482</v>
      </c>
      <c r="O297" s="333"/>
      <c r="P297" s="333"/>
      <c r="Q297" s="334"/>
      <c r="R297" s="106"/>
    </row>
    <row r="298" spans="1:18" s="105" customFormat="1" ht="66.599999999999994" hidden="1" customHeight="1" outlineLevel="1" x14ac:dyDescent="0.3">
      <c r="A298" s="114">
        <f>+A322+0.01</f>
        <v>2.6100000000000003</v>
      </c>
      <c r="B298" s="109" t="s">
        <v>1162</v>
      </c>
      <c r="C298" s="109"/>
      <c r="D298" s="111"/>
      <c r="E298" s="111"/>
      <c r="F298" s="111" t="s">
        <v>1289</v>
      </c>
      <c r="G298" s="113"/>
      <c r="H298" s="112"/>
      <c r="I298" s="111"/>
      <c r="J298" s="108">
        <v>46134</v>
      </c>
      <c r="K298" s="109"/>
      <c r="L298" s="108"/>
      <c r="M298" s="107"/>
      <c r="N298" s="333" t="s">
        <v>1483</v>
      </c>
      <c r="O298" s="333"/>
      <c r="P298" s="333"/>
      <c r="Q298" s="334"/>
      <c r="R298" s="106"/>
    </row>
    <row r="299" spans="1:18" s="105" customFormat="1" ht="51.6" hidden="1" customHeight="1" outlineLevel="1" thickBot="1" x14ac:dyDescent="0.3">
      <c r="A299" s="114">
        <f>+A323+0.01</f>
        <v>3.5100000000000002</v>
      </c>
      <c r="B299" s="109" t="s">
        <v>1162</v>
      </c>
      <c r="C299" s="109"/>
      <c r="D299" s="111"/>
      <c r="E299" s="111"/>
      <c r="F299" s="111" t="s">
        <v>1289</v>
      </c>
      <c r="G299" s="113"/>
      <c r="H299" s="112"/>
      <c r="I299" s="111"/>
      <c r="J299" s="108">
        <v>46141</v>
      </c>
      <c r="K299" s="109"/>
      <c r="L299" s="108"/>
      <c r="M299" s="107"/>
      <c r="N299" s="333" t="s">
        <v>1484</v>
      </c>
      <c r="O299" s="333"/>
      <c r="P299" s="333"/>
      <c r="Q299" s="334"/>
      <c r="R299" s="106"/>
    </row>
    <row r="300" spans="1:18" ht="16.5" collapsed="1" thickBot="1" x14ac:dyDescent="0.3">
      <c r="A300" s="133">
        <f>+A310+1</f>
        <v>2.7000000000000006</v>
      </c>
      <c r="B300" s="126" t="s">
        <v>1485</v>
      </c>
      <c r="C300" s="127" t="s">
        <v>1452</v>
      </c>
      <c r="D300" s="126" t="s">
        <v>237</v>
      </c>
      <c r="E300" s="133" t="s">
        <v>1486</v>
      </c>
      <c r="F300" s="133" t="s">
        <v>1158</v>
      </c>
      <c r="G300" s="123"/>
      <c r="H300" s="117" t="s">
        <v>1159</v>
      </c>
      <c r="I300" s="156" t="s">
        <v>1487</v>
      </c>
      <c r="J300" s="124"/>
      <c r="K300" s="125"/>
      <c r="L300" s="124"/>
      <c r="M300" s="133" t="s">
        <v>1189</v>
      </c>
      <c r="N300" s="115"/>
      <c r="O300" s="102"/>
      <c r="P300" s="102"/>
      <c r="Q300" s="101"/>
    </row>
    <row r="301" spans="1:18" s="105" customFormat="1" ht="45" hidden="1" customHeight="1" outlineLevel="1" x14ac:dyDescent="0.3">
      <c r="A301" s="114">
        <f t="shared" ref="A301:A306" si="16">+A325+0.1</f>
        <v>4.5</v>
      </c>
      <c r="B301" s="109" t="s">
        <v>1162</v>
      </c>
      <c r="C301" s="109"/>
      <c r="D301" s="111"/>
      <c r="E301" s="111"/>
      <c r="F301" s="111" t="s">
        <v>1158</v>
      </c>
      <c r="G301" s="113"/>
      <c r="H301" s="112"/>
      <c r="I301" s="111"/>
      <c r="J301" s="108">
        <v>45945</v>
      </c>
      <c r="K301" s="109"/>
      <c r="L301" s="108"/>
      <c r="M301" s="107"/>
      <c r="N301" s="333" t="s">
        <v>1488</v>
      </c>
      <c r="O301" s="333"/>
      <c r="P301" s="333"/>
      <c r="Q301" s="334"/>
      <c r="R301" s="106"/>
    </row>
    <row r="302" spans="1:18" s="105" customFormat="1" ht="45" hidden="1" customHeight="1" outlineLevel="1" x14ac:dyDescent="0.3">
      <c r="A302" s="114">
        <f t="shared" si="16"/>
        <v>2.7000000000000006</v>
      </c>
      <c r="B302" s="109" t="s">
        <v>1162</v>
      </c>
      <c r="C302" s="109"/>
      <c r="D302" s="111"/>
      <c r="E302" s="111"/>
      <c r="F302" s="111" t="s">
        <v>1158</v>
      </c>
      <c r="G302" s="113"/>
      <c r="H302" s="112"/>
      <c r="I302" s="111"/>
      <c r="J302" s="108">
        <v>45952</v>
      </c>
      <c r="K302" s="109"/>
      <c r="L302" s="108"/>
      <c r="M302" s="107"/>
      <c r="N302" s="333" t="s">
        <v>1384</v>
      </c>
      <c r="O302" s="333"/>
      <c r="P302" s="333"/>
      <c r="Q302" s="334"/>
      <c r="R302" s="106"/>
    </row>
    <row r="303" spans="1:18" s="105" customFormat="1" ht="56.45" hidden="1" customHeight="1" outlineLevel="1" x14ac:dyDescent="0.3">
      <c r="A303" s="160">
        <f t="shared" si="16"/>
        <v>4.4999999999999982</v>
      </c>
      <c r="B303" s="109" t="s">
        <v>1162</v>
      </c>
      <c r="C303" s="109"/>
      <c r="D303" s="111"/>
      <c r="E303" s="111"/>
      <c r="F303" s="111" t="s">
        <v>1158</v>
      </c>
      <c r="G303" s="113"/>
      <c r="H303" s="112"/>
      <c r="I303" s="111"/>
      <c r="J303" s="108">
        <v>46120</v>
      </c>
      <c r="K303" s="109"/>
      <c r="L303" s="108"/>
      <c r="M303" s="107"/>
      <c r="N303" s="333" t="s">
        <v>1489</v>
      </c>
      <c r="O303" s="333"/>
      <c r="P303" s="333"/>
      <c r="Q303" s="334"/>
      <c r="R303" s="106"/>
    </row>
    <row r="304" spans="1:18" s="105" customFormat="1" ht="56.45" hidden="1" customHeight="1" outlineLevel="1" x14ac:dyDescent="0.3">
      <c r="A304" s="160">
        <f t="shared" si="16"/>
        <v>1.8000000000000005</v>
      </c>
      <c r="B304" s="109" t="s">
        <v>1162</v>
      </c>
      <c r="C304" s="109"/>
      <c r="D304" s="111"/>
      <c r="E304" s="111"/>
      <c r="F304" s="111" t="s">
        <v>1158</v>
      </c>
      <c r="G304" s="113"/>
      <c r="H304" s="112"/>
      <c r="I304" s="111"/>
      <c r="J304" s="108">
        <v>46128</v>
      </c>
      <c r="K304" s="109"/>
      <c r="L304" s="108"/>
      <c r="M304" s="107"/>
      <c r="N304" s="333" t="s">
        <v>1490</v>
      </c>
      <c r="O304" s="333"/>
      <c r="P304" s="333"/>
      <c r="Q304" s="334"/>
      <c r="R304" s="106"/>
    </row>
    <row r="305" spans="1:18" s="105" customFormat="1" ht="56.45" hidden="1" customHeight="1" outlineLevel="1" x14ac:dyDescent="0.3">
      <c r="A305" s="160">
        <f t="shared" si="16"/>
        <v>2.7000000000000006</v>
      </c>
      <c r="B305" s="109" t="s">
        <v>1162</v>
      </c>
      <c r="C305" s="109"/>
      <c r="D305" s="111"/>
      <c r="E305" s="111"/>
      <c r="F305" s="111" t="s">
        <v>1158</v>
      </c>
      <c r="G305" s="113"/>
      <c r="H305" s="112"/>
      <c r="I305" s="111"/>
      <c r="J305" s="108">
        <v>46134</v>
      </c>
      <c r="K305" s="109"/>
      <c r="L305" s="108"/>
      <c r="M305" s="107"/>
      <c r="N305" s="333" t="s">
        <v>1491</v>
      </c>
      <c r="O305" s="333"/>
      <c r="P305" s="333"/>
      <c r="Q305" s="334"/>
      <c r="R305" s="106"/>
    </row>
    <row r="306" spans="1:18" s="105" customFormat="1" ht="56.45" hidden="1" customHeight="1" outlineLevel="1" thickBot="1" x14ac:dyDescent="0.3">
      <c r="A306" s="160">
        <f t="shared" si="16"/>
        <v>3.6000000000000005</v>
      </c>
      <c r="B306" s="109" t="s">
        <v>1162</v>
      </c>
      <c r="C306" s="109"/>
      <c r="D306" s="111"/>
      <c r="E306" s="111"/>
      <c r="F306" s="111" t="s">
        <v>1158</v>
      </c>
      <c r="G306" s="113"/>
      <c r="H306" s="112"/>
      <c r="I306" s="111"/>
      <c r="J306" s="108">
        <v>46141</v>
      </c>
      <c r="K306" s="109"/>
      <c r="L306" s="108"/>
      <c r="M306" s="107"/>
      <c r="N306" s="333" t="s">
        <v>1492</v>
      </c>
      <c r="O306" s="333"/>
      <c r="P306" s="333"/>
      <c r="Q306" s="334"/>
      <c r="R306" s="106"/>
    </row>
    <row r="307" spans="1:18" ht="16.5" hidden="1" collapsed="1" thickBot="1" x14ac:dyDescent="0.3">
      <c r="A307" s="133">
        <f>+A325+1</f>
        <v>5.4</v>
      </c>
      <c r="B307" s="126" t="s">
        <v>1493</v>
      </c>
      <c r="C307" s="127" t="s">
        <v>1452</v>
      </c>
      <c r="D307" s="126" t="s">
        <v>237</v>
      </c>
      <c r="E307" s="133">
        <v>815</v>
      </c>
      <c r="F307" s="133" t="s">
        <v>1247</v>
      </c>
      <c r="G307" s="128" t="s">
        <v>1494</v>
      </c>
      <c r="H307" s="99" t="s">
        <v>1169</v>
      </c>
      <c r="I307" s="127"/>
      <c r="J307" s="126"/>
      <c r="K307" s="127"/>
      <c r="L307" s="126"/>
      <c r="M307" s="133" t="s">
        <v>1189</v>
      </c>
      <c r="N307" s="97"/>
      <c r="O307" s="96"/>
      <c r="P307" s="96"/>
      <c r="Q307" s="95"/>
    </row>
    <row r="308" spans="1:18" ht="16.5" hidden="1" thickBot="1" x14ac:dyDescent="0.3">
      <c r="A308" s="124">
        <f>+A332+1</f>
        <v>4.5</v>
      </c>
      <c r="B308" s="124" t="s">
        <v>1495</v>
      </c>
      <c r="C308" s="125" t="s">
        <v>1496</v>
      </c>
      <c r="D308" s="124" t="s">
        <v>237</v>
      </c>
      <c r="E308" s="124" t="s">
        <v>1497</v>
      </c>
      <c r="F308" s="133" t="s">
        <v>1285</v>
      </c>
      <c r="G308" s="123" t="s">
        <v>1270</v>
      </c>
      <c r="H308" s="99" t="s">
        <v>1169</v>
      </c>
      <c r="I308" s="155" t="s">
        <v>1271</v>
      </c>
      <c r="J308" s="124"/>
      <c r="K308" s="125"/>
      <c r="L308" s="124"/>
      <c r="M308" s="124"/>
      <c r="N308" s="97"/>
      <c r="O308" s="96"/>
      <c r="P308" s="96"/>
      <c r="Q308" s="95"/>
    </row>
    <row r="309" spans="1:18" ht="16.5" hidden="1" thickBot="1" x14ac:dyDescent="0.3">
      <c r="A309" s="126">
        <f>+A333+1</f>
        <v>1.7</v>
      </c>
      <c r="B309" s="128" t="s">
        <v>52</v>
      </c>
      <c r="C309" s="127" t="s">
        <v>1498</v>
      </c>
      <c r="D309" s="126" t="s">
        <v>237</v>
      </c>
      <c r="E309" s="126">
        <v>430</v>
      </c>
      <c r="F309" s="126" t="s">
        <v>1499</v>
      </c>
      <c r="G309" s="158" t="s">
        <v>1500</v>
      </c>
      <c r="H309" s="99" t="s">
        <v>1169</v>
      </c>
      <c r="I309" s="125"/>
      <c r="J309" s="138">
        <v>45931</v>
      </c>
      <c r="K309" s="139"/>
      <c r="L309" s="138">
        <v>45939</v>
      </c>
      <c r="M309" s="126" t="s">
        <v>1501</v>
      </c>
      <c r="N309" s="97"/>
      <c r="O309" s="96"/>
      <c r="P309" s="96"/>
      <c r="Q309" s="95"/>
    </row>
    <row r="310" spans="1:18" s="105" customFormat="1" ht="45" hidden="1" customHeight="1" outlineLevel="1" x14ac:dyDescent="0.3">
      <c r="A310" s="114">
        <f>+A334+0.1</f>
        <v>1.7000000000000006</v>
      </c>
      <c r="B310" s="109" t="s">
        <v>1162</v>
      </c>
      <c r="C310" s="109"/>
      <c r="D310" s="111"/>
      <c r="E310" s="111"/>
      <c r="F310" s="111" t="s">
        <v>1499</v>
      </c>
      <c r="G310" s="113"/>
      <c r="H310" s="112"/>
      <c r="I310" s="111"/>
      <c r="J310" s="108">
        <v>45938</v>
      </c>
      <c r="K310" s="109"/>
      <c r="L310" s="108"/>
      <c r="M310" s="107"/>
      <c r="N310" s="333" t="s">
        <v>1502</v>
      </c>
      <c r="O310" s="333"/>
      <c r="P310" s="333"/>
      <c r="Q310" s="334"/>
      <c r="R310" s="106"/>
    </row>
    <row r="311" spans="1:18" s="105" customFormat="1" ht="45" hidden="1" customHeight="1" outlineLevel="1" thickBot="1" x14ac:dyDescent="0.3">
      <c r="A311" s="114">
        <f>+A335+0.1</f>
        <v>1.7000000000000002</v>
      </c>
      <c r="B311" s="109" t="s">
        <v>1162</v>
      </c>
      <c r="C311" s="109"/>
      <c r="D311" s="111"/>
      <c r="E311" s="111"/>
      <c r="F311" s="111" t="s">
        <v>1499</v>
      </c>
      <c r="G311" s="113"/>
      <c r="H311" s="112"/>
      <c r="I311" s="111"/>
      <c r="J311" s="108">
        <v>45945</v>
      </c>
      <c r="K311" s="109"/>
      <c r="L311" s="108"/>
      <c r="M311" s="107"/>
      <c r="N311" s="333" t="s">
        <v>1503</v>
      </c>
      <c r="O311" s="333"/>
      <c r="P311" s="333"/>
      <c r="Q311" s="334"/>
      <c r="R311" s="106"/>
    </row>
    <row r="312" spans="1:18" ht="16.5" hidden="1" collapsed="1" thickBot="1" x14ac:dyDescent="0.3">
      <c r="A312" s="133">
        <f>+A334+1</f>
        <v>2.6000000000000005</v>
      </c>
      <c r="B312" s="135" t="s">
        <v>1504</v>
      </c>
      <c r="C312" s="127" t="s">
        <v>1498</v>
      </c>
      <c r="D312" s="133" t="s">
        <v>237</v>
      </c>
      <c r="E312" s="133">
        <v>430</v>
      </c>
      <c r="F312" s="133" t="s">
        <v>1505</v>
      </c>
      <c r="G312" s="128" t="s">
        <v>1506</v>
      </c>
      <c r="H312" s="99" t="s">
        <v>1169</v>
      </c>
      <c r="I312" s="125"/>
      <c r="J312" s="126"/>
      <c r="K312" s="127"/>
      <c r="L312" s="126"/>
      <c r="M312" s="133"/>
      <c r="N312" s="97"/>
      <c r="O312" s="96"/>
      <c r="P312" s="96"/>
      <c r="Q312" s="95"/>
    </row>
    <row r="313" spans="1:18" ht="16.5" hidden="1" thickBot="1" x14ac:dyDescent="0.3">
      <c r="A313" s="133">
        <f>+A337+1</f>
        <v>5.4</v>
      </c>
      <c r="B313" s="133" t="s">
        <v>1507</v>
      </c>
      <c r="C313" s="127" t="s">
        <v>1498</v>
      </c>
      <c r="D313" s="133" t="s">
        <v>1508</v>
      </c>
      <c r="E313" s="133">
        <v>580</v>
      </c>
      <c r="F313" s="133" t="s">
        <v>1158</v>
      </c>
      <c r="G313" s="123" t="s">
        <v>1270</v>
      </c>
      <c r="H313" s="99" t="s">
        <v>1169</v>
      </c>
      <c r="I313" s="155" t="s">
        <v>1271</v>
      </c>
      <c r="J313" s="152">
        <v>46013</v>
      </c>
      <c r="K313" s="162"/>
      <c r="L313" s="152"/>
      <c r="M313" s="133" t="s">
        <v>1238</v>
      </c>
      <c r="N313" s="97"/>
      <c r="O313" s="96"/>
      <c r="P313" s="96"/>
      <c r="Q313" s="95"/>
    </row>
    <row r="314" spans="1:18" s="105" customFormat="1" ht="45" hidden="1" customHeight="1" outlineLevel="1" x14ac:dyDescent="0.3">
      <c r="A314" s="114">
        <f t="shared" ref="A314:A319" si="17">+A338+0.1</f>
        <v>2.6</v>
      </c>
      <c r="B314" s="109" t="s">
        <v>1162</v>
      </c>
      <c r="C314" s="109"/>
      <c r="D314" s="111"/>
      <c r="E314" s="111"/>
      <c r="F314" s="111" t="s">
        <v>1158</v>
      </c>
      <c r="G314" s="113"/>
      <c r="H314" s="112"/>
      <c r="I314" s="111"/>
      <c r="J314" s="108">
        <v>45945</v>
      </c>
      <c r="K314" s="109"/>
      <c r="L314" s="108"/>
      <c r="M314" s="107"/>
      <c r="N314" s="333" t="s">
        <v>1509</v>
      </c>
      <c r="O314" s="333"/>
      <c r="P314" s="333"/>
      <c r="Q314" s="334"/>
      <c r="R314" s="106"/>
    </row>
    <row r="315" spans="1:18" s="105" customFormat="1" ht="45" hidden="1" customHeight="1" outlineLevel="1" x14ac:dyDescent="0.3">
      <c r="A315" s="114">
        <f t="shared" si="17"/>
        <v>1.7000000000000006</v>
      </c>
      <c r="B315" s="109" t="s">
        <v>1162</v>
      </c>
      <c r="C315" s="109"/>
      <c r="D315" s="111"/>
      <c r="E315" s="111"/>
      <c r="F315" s="111" t="s">
        <v>1158</v>
      </c>
      <c r="G315" s="113"/>
      <c r="H315" s="112"/>
      <c r="I315" s="111"/>
      <c r="J315" s="108">
        <v>45952</v>
      </c>
      <c r="K315" s="109"/>
      <c r="L315" s="108"/>
      <c r="M315" s="107"/>
      <c r="N315" s="333" t="s">
        <v>1510</v>
      </c>
      <c r="O315" s="333"/>
      <c r="P315" s="333"/>
      <c r="Q315" s="334"/>
      <c r="R315" s="106"/>
    </row>
    <row r="316" spans="1:18" s="105" customFormat="1" ht="56.45" hidden="1" customHeight="1" outlineLevel="1" x14ac:dyDescent="0.3">
      <c r="A316" s="160">
        <f t="shared" si="17"/>
        <v>2.6000000000000005</v>
      </c>
      <c r="B316" s="109" t="s">
        <v>1162</v>
      </c>
      <c r="C316" s="109"/>
      <c r="D316" s="111"/>
      <c r="E316" s="111"/>
      <c r="F316" s="111" t="s">
        <v>1158</v>
      </c>
      <c r="G316" s="113"/>
      <c r="H316" s="112"/>
      <c r="I316" s="111"/>
      <c r="J316" s="108">
        <v>46029</v>
      </c>
      <c r="K316" s="109"/>
      <c r="L316" s="108"/>
      <c r="M316" s="107"/>
      <c r="N316" s="333" t="s">
        <v>1511</v>
      </c>
      <c r="O316" s="333"/>
      <c r="P316" s="333"/>
      <c r="Q316" s="334"/>
      <c r="R316" s="106"/>
    </row>
    <row r="317" spans="1:18" s="105" customFormat="1" ht="56.45" hidden="1" customHeight="1" outlineLevel="1" x14ac:dyDescent="0.3">
      <c r="A317" s="160">
        <f t="shared" si="17"/>
        <v>3.5</v>
      </c>
      <c r="B317" s="109" t="s">
        <v>1162</v>
      </c>
      <c r="C317" s="109"/>
      <c r="D317" s="111"/>
      <c r="E317" s="111"/>
      <c r="F317" s="111" t="s">
        <v>1158</v>
      </c>
      <c r="G317" s="113"/>
      <c r="H317" s="112"/>
      <c r="I317" s="111"/>
      <c r="J317" s="108">
        <v>46120</v>
      </c>
      <c r="K317" s="109"/>
      <c r="L317" s="108"/>
      <c r="M317" s="107"/>
      <c r="N317" s="333" t="s">
        <v>1512</v>
      </c>
      <c r="O317" s="333"/>
      <c r="P317" s="333"/>
      <c r="Q317" s="334"/>
      <c r="R317" s="106"/>
    </row>
    <row r="318" spans="1:18" s="105" customFormat="1" ht="56.45" hidden="1" customHeight="1" outlineLevel="1" x14ac:dyDescent="0.3">
      <c r="A318" s="160">
        <f t="shared" si="17"/>
        <v>3.5</v>
      </c>
      <c r="B318" s="109" t="s">
        <v>1162</v>
      </c>
      <c r="C318" s="109"/>
      <c r="D318" s="111"/>
      <c r="E318" s="111"/>
      <c r="F318" s="111" t="s">
        <v>1158</v>
      </c>
      <c r="G318" s="113"/>
      <c r="H318" s="112"/>
      <c r="I318" s="111"/>
      <c r="J318" s="108">
        <v>46128</v>
      </c>
      <c r="K318" s="109"/>
      <c r="L318" s="108"/>
      <c r="M318" s="107"/>
      <c r="N318" s="333" t="s">
        <v>1513</v>
      </c>
      <c r="O318" s="333"/>
      <c r="P318" s="333"/>
      <c r="Q318" s="334"/>
      <c r="R318" s="106"/>
    </row>
    <row r="319" spans="1:18" s="105" customFormat="1" ht="56.45" hidden="1" customHeight="1" outlineLevel="1" thickBot="1" x14ac:dyDescent="0.3">
      <c r="A319" s="160">
        <f t="shared" si="17"/>
        <v>2.6000000000000005</v>
      </c>
      <c r="B319" s="109" t="s">
        <v>1162</v>
      </c>
      <c r="C319" s="109"/>
      <c r="D319" s="111"/>
      <c r="E319" s="111"/>
      <c r="F319" s="111" t="s">
        <v>1158</v>
      </c>
      <c r="G319" s="113"/>
      <c r="H319" s="112"/>
      <c r="I319" s="111"/>
      <c r="J319" s="108">
        <v>46134</v>
      </c>
      <c r="K319" s="109"/>
      <c r="L319" s="108"/>
      <c r="M319" s="107"/>
      <c r="N319" s="333" t="s">
        <v>1514</v>
      </c>
      <c r="O319" s="333"/>
      <c r="P319" s="333"/>
      <c r="Q319" s="334"/>
      <c r="R319" s="106"/>
    </row>
    <row r="320" spans="1:18" ht="16.5" hidden="1" collapsed="1" thickBot="1" x14ac:dyDescent="0.3">
      <c r="A320" s="126">
        <f>+A338+1</f>
        <v>3.5</v>
      </c>
      <c r="B320" s="128" t="s">
        <v>1515</v>
      </c>
      <c r="C320" s="127" t="s">
        <v>1516</v>
      </c>
      <c r="D320" s="126" t="s">
        <v>237</v>
      </c>
      <c r="E320" s="126" t="s">
        <v>1517</v>
      </c>
      <c r="F320" s="133" t="s">
        <v>1158</v>
      </c>
      <c r="G320" s="123" t="s">
        <v>1270</v>
      </c>
      <c r="H320" s="99" t="s">
        <v>1169</v>
      </c>
      <c r="I320" s="155" t="s">
        <v>1271</v>
      </c>
      <c r="J320" s="138">
        <v>46119</v>
      </c>
      <c r="K320" s="139"/>
      <c r="L320" s="138">
        <v>46141</v>
      </c>
      <c r="M320" s="126" t="s">
        <v>1272</v>
      </c>
      <c r="N320" s="97"/>
      <c r="O320" s="96"/>
      <c r="P320" s="96"/>
      <c r="Q320" s="95"/>
    </row>
    <row r="321" spans="1:18" s="105" customFormat="1" ht="45" hidden="1" customHeight="1" outlineLevel="1" x14ac:dyDescent="0.3">
      <c r="A321" s="114">
        <f t="shared" ref="A321:A328" si="18">+A345+0.1</f>
        <v>1.7000000000000004</v>
      </c>
      <c r="B321" s="109" t="s">
        <v>1162</v>
      </c>
      <c r="C321" s="109"/>
      <c r="D321" s="111"/>
      <c r="E321" s="111"/>
      <c r="F321" s="111" t="s">
        <v>1158</v>
      </c>
      <c r="G321" s="113"/>
      <c r="H321" s="112"/>
      <c r="I321" s="111"/>
      <c r="J321" s="108">
        <v>45945</v>
      </c>
      <c r="K321" s="109"/>
      <c r="L321" s="108"/>
      <c r="M321" s="107"/>
      <c r="N321" s="333" t="s">
        <v>1518</v>
      </c>
      <c r="O321" s="333"/>
      <c r="P321" s="333"/>
      <c r="Q321" s="334"/>
      <c r="R321" s="106"/>
    </row>
    <row r="322" spans="1:18" s="105" customFormat="1" ht="45" hidden="1" customHeight="1" outlineLevel="1" x14ac:dyDescent="0.3">
      <c r="A322" s="114">
        <f t="shared" si="18"/>
        <v>2.6000000000000005</v>
      </c>
      <c r="B322" s="109" t="s">
        <v>1162</v>
      </c>
      <c r="C322" s="109"/>
      <c r="D322" s="111"/>
      <c r="E322" s="111"/>
      <c r="F322" s="111" t="s">
        <v>1158</v>
      </c>
      <c r="G322" s="113"/>
      <c r="H322" s="112"/>
      <c r="I322" s="111"/>
      <c r="J322" s="108">
        <v>45945</v>
      </c>
      <c r="K322" s="109"/>
      <c r="L322" s="108"/>
      <c r="M322" s="107"/>
      <c r="N322" s="333" t="s">
        <v>1519</v>
      </c>
      <c r="O322" s="333"/>
      <c r="P322" s="333"/>
      <c r="Q322" s="334"/>
      <c r="R322" s="106"/>
    </row>
    <row r="323" spans="1:18" s="105" customFormat="1" ht="56.45" hidden="1" customHeight="1" outlineLevel="1" x14ac:dyDescent="0.3">
      <c r="A323" s="114">
        <f t="shared" si="18"/>
        <v>3.5000000000000004</v>
      </c>
      <c r="B323" s="109" t="s">
        <v>1162</v>
      </c>
      <c r="C323" s="109"/>
      <c r="D323" s="111"/>
      <c r="E323" s="111"/>
      <c r="F323" s="111" t="s">
        <v>1520</v>
      </c>
      <c r="G323" s="113"/>
      <c r="H323" s="112"/>
      <c r="I323" s="111"/>
      <c r="J323" s="108">
        <v>45952</v>
      </c>
      <c r="K323" s="109"/>
      <c r="L323" s="108"/>
      <c r="M323" s="107"/>
      <c r="N323" s="333" t="s">
        <v>1521</v>
      </c>
      <c r="O323" s="333"/>
      <c r="P323" s="333"/>
      <c r="Q323" s="334"/>
      <c r="R323" s="106"/>
    </row>
    <row r="324" spans="1:18" s="105" customFormat="1" ht="58.5" hidden="1" customHeight="1" outlineLevel="1" x14ac:dyDescent="0.3">
      <c r="A324" s="114">
        <f t="shared" si="18"/>
        <v>4.3999999999999995</v>
      </c>
      <c r="B324" s="109" t="s">
        <v>1162</v>
      </c>
      <c r="C324" s="109"/>
      <c r="D324" s="111"/>
      <c r="E324" s="111"/>
      <c r="F324" s="111" t="s">
        <v>1158</v>
      </c>
      <c r="G324" s="113"/>
      <c r="H324" s="112"/>
      <c r="I324" s="111"/>
      <c r="J324" s="108">
        <v>46029</v>
      </c>
      <c r="K324" s="109"/>
      <c r="L324" s="108"/>
      <c r="M324" s="107"/>
      <c r="N324" s="333" t="s">
        <v>1522</v>
      </c>
      <c r="O324" s="333"/>
      <c r="P324" s="333"/>
      <c r="Q324" s="334"/>
      <c r="R324" s="106"/>
    </row>
    <row r="325" spans="1:18" s="105" customFormat="1" ht="58.5" hidden="1" customHeight="1" outlineLevel="1" x14ac:dyDescent="0.3">
      <c r="A325" s="114">
        <f t="shared" si="18"/>
        <v>4.4000000000000004</v>
      </c>
      <c r="B325" s="109" t="s">
        <v>1162</v>
      </c>
      <c r="C325" s="109"/>
      <c r="D325" s="111"/>
      <c r="E325" s="111"/>
      <c r="F325" s="111" t="s">
        <v>1158</v>
      </c>
      <c r="G325" s="113"/>
      <c r="H325" s="112"/>
      <c r="I325" s="111"/>
      <c r="J325" s="108">
        <v>46120</v>
      </c>
      <c r="K325" s="109"/>
      <c r="L325" s="108"/>
      <c r="M325" s="107"/>
      <c r="N325" s="333" t="s">
        <v>1523</v>
      </c>
      <c r="O325" s="333"/>
      <c r="P325" s="333"/>
      <c r="Q325" s="334"/>
      <c r="R325" s="106"/>
    </row>
    <row r="326" spans="1:18" s="105" customFormat="1" ht="58.5" hidden="1" customHeight="1" outlineLevel="1" x14ac:dyDescent="0.3">
      <c r="A326" s="114">
        <f t="shared" si="18"/>
        <v>2.6000000000000005</v>
      </c>
      <c r="B326" s="109" t="s">
        <v>1162</v>
      </c>
      <c r="C326" s="109"/>
      <c r="D326" s="111"/>
      <c r="E326" s="111"/>
      <c r="F326" s="111" t="s">
        <v>1158</v>
      </c>
      <c r="G326" s="113"/>
      <c r="H326" s="112"/>
      <c r="I326" s="111"/>
      <c r="J326" s="108">
        <v>46128</v>
      </c>
      <c r="K326" s="109"/>
      <c r="L326" s="108"/>
      <c r="M326" s="107"/>
      <c r="N326" s="333" t="s">
        <v>1524</v>
      </c>
      <c r="O326" s="333"/>
      <c r="P326" s="333"/>
      <c r="Q326" s="334"/>
      <c r="R326" s="106"/>
    </row>
    <row r="327" spans="1:18" s="105" customFormat="1" ht="58.5" hidden="1" customHeight="1" outlineLevel="1" x14ac:dyDescent="0.3">
      <c r="A327" s="114">
        <f t="shared" si="18"/>
        <v>4.3999999999999986</v>
      </c>
      <c r="B327" s="109" t="s">
        <v>1162</v>
      </c>
      <c r="C327" s="109"/>
      <c r="D327" s="111"/>
      <c r="E327" s="111"/>
      <c r="F327" s="111" t="s">
        <v>1158</v>
      </c>
      <c r="G327" s="113"/>
      <c r="H327" s="112"/>
      <c r="I327" s="111"/>
      <c r="J327" s="108">
        <v>46134</v>
      </c>
      <c r="K327" s="109"/>
      <c r="L327" s="108"/>
      <c r="M327" s="107"/>
      <c r="N327" s="333" t="s">
        <v>1525</v>
      </c>
      <c r="O327" s="333"/>
      <c r="P327" s="333"/>
      <c r="Q327" s="334"/>
      <c r="R327" s="106"/>
    </row>
    <row r="328" spans="1:18" s="105" customFormat="1" ht="58.5" hidden="1" customHeight="1" outlineLevel="1" thickBot="1" x14ac:dyDescent="0.3">
      <c r="A328" s="114">
        <f t="shared" si="18"/>
        <v>1.7000000000000004</v>
      </c>
      <c r="B328" s="109" t="s">
        <v>1162</v>
      </c>
      <c r="C328" s="109"/>
      <c r="D328" s="111"/>
      <c r="E328" s="111"/>
      <c r="F328" s="111" t="s">
        <v>1158</v>
      </c>
      <c r="G328" s="113"/>
      <c r="H328" s="112"/>
      <c r="I328" s="111"/>
      <c r="J328" s="108">
        <v>46141</v>
      </c>
      <c r="K328" s="109"/>
      <c r="L328" s="108"/>
      <c r="M328" s="107"/>
      <c r="N328" s="333" t="s">
        <v>1525</v>
      </c>
      <c r="O328" s="333"/>
      <c r="P328" s="333"/>
      <c r="Q328" s="334"/>
      <c r="R328" s="106"/>
    </row>
    <row r="329" spans="1:18" ht="16.5" hidden="1" collapsed="1" thickBot="1" x14ac:dyDescent="0.3">
      <c r="A329" s="133">
        <f>+A345+1</f>
        <v>2.6000000000000005</v>
      </c>
      <c r="B329" s="128" t="s">
        <v>102</v>
      </c>
      <c r="C329" s="127" t="s">
        <v>1516</v>
      </c>
      <c r="D329" s="126" t="s">
        <v>237</v>
      </c>
      <c r="E329" s="133" t="s">
        <v>1526</v>
      </c>
      <c r="F329" s="133" t="s">
        <v>1180</v>
      </c>
      <c r="G329" s="158" t="s">
        <v>1527</v>
      </c>
      <c r="H329" s="99" t="s">
        <v>1169</v>
      </c>
      <c r="I329" s="125"/>
      <c r="J329" s="138">
        <v>46113</v>
      </c>
      <c r="K329" s="139"/>
      <c r="L329" s="138">
        <v>46135</v>
      </c>
      <c r="M329" s="133" t="s">
        <v>1333</v>
      </c>
      <c r="N329" s="97"/>
      <c r="O329" s="96"/>
      <c r="P329" s="96"/>
      <c r="Q329" s="95"/>
    </row>
    <row r="330" spans="1:18" s="105" customFormat="1" ht="45" hidden="1" customHeight="1" outlineLevel="1" x14ac:dyDescent="0.3">
      <c r="A330" s="114">
        <f t="shared" ref="A330:A336" si="19">+A354+0.1</f>
        <v>3.5000000000000004</v>
      </c>
      <c r="B330" s="109" t="s">
        <v>1162</v>
      </c>
      <c r="C330" s="109"/>
      <c r="D330" s="111"/>
      <c r="E330" s="111"/>
      <c r="F330" s="111" t="s">
        <v>1528</v>
      </c>
      <c r="G330" s="113"/>
      <c r="H330" s="112"/>
      <c r="I330" s="111"/>
      <c r="J330" s="108">
        <v>45938</v>
      </c>
      <c r="K330" s="109"/>
      <c r="L330" s="108"/>
      <c r="M330" s="107"/>
      <c r="N330" s="333" t="s">
        <v>1529</v>
      </c>
      <c r="O330" s="333"/>
      <c r="P330" s="333"/>
      <c r="Q330" s="334"/>
      <c r="R330" s="106"/>
    </row>
    <row r="331" spans="1:18" s="105" customFormat="1" ht="45" hidden="1" customHeight="1" outlineLevel="1" x14ac:dyDescent="0.3">
      <c r="A331" s="114">
        <f t="shared" si="19"/>
        <v>0.7</v>
      </c>
      <c r="B331" s="109" t="s">
        <v>1162</v>
      </c>
      <c r="C331" s="109"/>
      <c r="D331" s="111"/>
      <c r="E331" s="111"/>
      <c r="F331" s="111" t="s">
        <v>1528</v>
      </c>
      <c r="G331" s="113"/>
      <c r="H331" s="112"/>
      <c r="I331" s="111"/>
      <c r="J331" s="108">
        <v>45938</v>
      </c>
      <c r="K331" s="109"/>
      <c r="L331" s="108"/>
      <c r="M331" s="107"/>
      <c r="N331" s="333" t="s">
        <v>1530</v>
      </c>
      <c r="O331" s="333"/>
      <c r="P331" s="333"/>
      <c r="Q331" s="334"/>
      <c r="R331" s="106"/>
    </row>
    <row r="332" spans="1:18" s="105" customFormat="1" ht="56.45" hidden="1" customHeight="1" outlineLevel="1" x14ac:dyDescent="0.3">
      <c r="A332" s="114">
        <f t="shared" si="19"/>
        <v>3.5000000000000004</v>
      </c>
      <c r="B332" s="109" t="s">
        <v>1162</v>
      </c>
      <c r="C332" s="109"/>
      <c r="D332" s="111"/>
      <c r="E332" s="111"/>
      <c r="F332" s="111" t="s">
        <v>1528</v>
      </c>
      <c r="G332" s="113"/>
      <c r="H332" s="112"/>
      <c r="I332" s="111"/>
      <c r="J332" s="108">
        <v>45945</v>
      </c>
      <c r="K332" s="109"/>
      <c r="L332" s="108"/>
      <c r="M332" s="107"/>
      <c r="N332" s="333" t="s">
        <v>1531</v>
      </c>
      <c r="O332" s="333"/>
      <c r="P332" s="333"/>
      <c r="Q332" s="334"/>
      <c r="R332" s="106"/>
    </row>
    <row r="333" spans="1:18" s="105" customFormat="1" ht="58.5" hidden="1" customHeight="1" outlineLevel="1" x14ac:dyDescent="0.3">
      <c r="A333" s="114">
        <f t="shared" si="19"/>
        <v>0.7</v>
      </c>
      <c r="B333" s="109" t="s">
        <v>1162</v>
      </c>
      <c r="C333" s="109"/>
      <c r="D333" s="111"/>
      <c r="E333" s="111"/>
      <c r="F333" s="111" t="s">
        <v>1528</v>
      </c>
      <c r="G333" s="113"/>
      <c r="H333" s="112"/>
      <c r="I333" s="111"/>
      <c r="J333" s="108">
        <v>45952</v>
      </c>
      <c r="K333" s="109"/>
      <c r="L333" s="108"/>
      <c r="M333" s="107"/>
      <c r="N333" s="333" t="s">
        <v>1532</v>
      </c>
      <c r="O333" s="333"/>
      <c r="P333" s="333"/>
      <c r="Q333" s="334"/>
      <c r="R333" s="106"/>
    </row>
    <row r="334" spans="1:18" s="105" customFormat="1" ht="58.5" hidden="1" customHeight="1" outlineLevel="1" x14ac:dyDescent="0.3">
      <c r="A334" s="114">
        <f t="shared" si="19"/>
        <v>1.6000000000000005</v>
      </c>
      <c r="B334" s="109" t="s">
        <v>1162</v>
      </c>
      <c r="C334" s="109"/>
      <c r="D334" s="111"/>
      <c r="E334" s="111"/>
      <c r="F334" s="111" t="s">
        <v>1533</v>
      </c>
      <c r="G334" s="113"/>
      <c r="H334" s="112"/>
      <c r="I334" s="111"/>
      <c r="J334" s="108">
        <v>46120</v>
      </c>
      <c r="K334" s="109"/>
      <c r="L334" s="108"/>
      <c r="M334" s="107"/>
      <c r="N334" s="333" t="s">
        <v>1534</v>
      </c>
      <c r="O334" s="333"/>
      <c r="P334" s="333"/>
      <c r="Q334" s="334"/>
      <c r="R334" s="106"/>
    </row>
    <row r="335" spans="1:18" s="105" customFormat="1" ht="58.5" hidden="1" customHeight="1" outlineLevel="1" x14ac:dyDescent="0.3">
      <c r="A335" s="114">
        <f t="shared" si="19"/>
        <v>1.6</v>
      </c>
      <c r="B335" s="109" t="s">
        <v>1162</v>
      </c>
      <c r="C335" s="109"/>
      <c r="D335" s="111"/>
      <c r="E335" s="111"/>
      <c r="F335" s="111" t="s">
        <v>1533</v>
      </c>
      <c r="G335" s="113"/>
      <c r="H335" s="112"/>
      <c r="I335" s="111"/>
      <c r="J335" s="108">
        <v>46128</v>
      </c>
      <c r="K335" s="109"/>
      <c r="L335" s="108"/>
      <c r="M335" s="107"/>
      <c r="N335" s="333" t="s">
        <v>1535</v>
      </c>
      <c r="O335" s="333"/>
      <c r="P335" s="333"/>
      <c r="Q335" s="334"/>
      <c r="R335" s="106"/>
    </row>
    <row r="336" spans="1:18" s="105" customFormat="1" ht="58.5" hidden="1" customHeight="1" outlineLevel="1" thickBot="1" x14ac:dyDescent="0.3">
      <c r="A336" s="114">
        <f t="shared" si="19"/>
        <v>2.5000000000000004</v>
      </c>
      <c r="B336" s="109" t="s">
        <v>1162</v>
      </c>
      <c r="C336" s="109"/>
      <c r="D336" s="111"/>
      <c r="E336" s="111"/>
      <c r="F336" s="111" t="s">
        <v>1533</v>
      </c>
      <c r="G336" s="113"/>
      <c r="H336" s="112"/>
      <c r="I336" s="111"/>
      <c r="J336" s="108">
        <v>46134</v>
      </c>
      <c r="K336" s="109"/>
      <c r="L336" s="108"/>
      <c r="M336" s="107"/>
      <c r="N336" s="333" t="s">
        <v>1536</v>
      </c>
      <c r="O336" s="333"/>
      <c r="P336" s="333"/>
      <c r="Q336" s="334"/>
      <c r="R336" s="106"/>
    </row>
    <row r="337" spans="1:18" ht="16.5" collapsed="1" thickBot="1" x14ac:dyDescent="0.3">
      <c r="A337" s="133">
        <f>+A354+1</f>
        <v>4.4000000000000004</v>
      </c>
      <c r="B337" s="126" t="s">
        <v>627</v>
      </c>
      <c r="C337" s="127" t="s">
        <v>1516</v>
      </c>
      <c r="D337" s="126" t="s">
        <v>237</v>
      </c>
      <c r="E337" s="133" t="s">
        <v>1537</v>
      </c>
      <c r="F337" s="133" t="s">
        <v>1158</v>
      </c>
      <c r="G337" s="123" t="s">
        <v>1270</v>
      </c>
      <c r="H337" s="117" t="s">
        <v>1159</v>
      </c>
      <c r="I337" s="153" t="s">
        <v>1538</v>
      </c>
      <c r="J337" s="138">
        <v>46167</v>
      </c>
      <c r="K337" s="139"/>
      <c r="L337" s="138">
        <v>46003</v>
      </c>
      <c r="M337" s="133" t="s">
        <v>1501</v>
      </c>
      <c r="N337" s="115"/>
      <c r="O337" s="102"/>
      <c r="P337" s="102"/>
      <c r="Q337" s="101"/>
    </row>
    <row r="338" spans="1:18" s="105" customFormat="1" ht="45" hidden="1" customHeight="1" outlineLevel="1" x14ac:dyDescent="0.3">
      <c r="A338" s="114">
        <f>+A362+0.1</f>
        <v>2.5</v>
      </c>
      <c r="B338" s="109" t="s">
        <v>1162</v>
      </c>
      <c r="C338" s="109"/>
      <c r="D338" s="111"/>
      <c r="E338" s="111"/>
      <c r="F338" s="111" t="s">
        <v>1158</v>
      </c>
      <c r="G338" s="113"/>
      <c r="H338" s="112"/>
      <c r="I338" s="111"/>
      <c r="J338" s="108">
        <v>45945</v>
      </c>
      <c r="K338" s="109"/>
      <c r="L338" s="108"/>
      <c r="M338" s="107"/>
      <c r="N338" s="333" t="s">
        <v>1539</v>
      </c>
      <c r="O338" s="333"/>
      <c r="P338" s="333"/>
      <c r="Q338" s="334"/>
      <c r="R338" s="106"/>
    </row>
    <row r="339" spans="1:18" s="105" customFormat="1" ht="45" hidden="1" customHeight="1" outlineLevel="1" x14ac:dyDescent="0.3">
      <c r="A339" s="114">
        <f>+A363+0.1</f>
        <v>1.6000000000000005</v>
      </c>
      <c r="B339" s="109" t="s">
        <v>1162</v>
      </c>
      <c r="C339" s="109"/>
      <c r="D339" s="111"/>
      <c r="E339" s="111"/>
      <c r="F339" s="111" t="s">
        <v>1158</v>
      </c>
      <c r="G339" s="113"/>
      <c r="H339" s="112"/>
      <c r="I339" s="111"/>
      <c r="J339" s="108">
        <v>45952</v>
      </c>
      <c r="K339" s="109"/>
      <c r="L339" s="108"/>
      <c r="M339" s="107"/>
      <c r="N339" s="333" t="s">
        <v>1510</v>
      </c>
      <c r="O339" s="333"/>
      <c r="P339" s="333"/>
      <c r="Q339" s="334"/>
      <c r="R339" s="106"/>
    </row>
    <row r="340" spans="1:18" s="105" customFormat="1" ht="56.45" hidden="1" customHeight="1" outlineLevel="1" thickBot="1" x14ac:dyDescent="0.3">
      <c r="A340" s="114">
        <f>+A364+0.1</f>
        <v>2.5000000000000004</v>
      </c>
      <c r="B340" s="109" t="s">
        <v>1162</v>
      </c>
      <c r="C340" s="109"/>
      <c r="D340" s="111"/>
      <c r="E340" s="111"/>
      <c r="F340" s="111" t="s">
        <v>1158</v>
      </c>
      <c r="G340" s="113"/>
      <c r="H340" s="112"/>
      <c r="I340" s="111"/>
      <c r="J340" s="108">
        <v>46008</v>
      </c>
      <c r="K340" s="109"/>
      <c r="L340" s="108"/>
      <c r="M340" s="107"/>
      <c r="N340" s="333" t="s">
        <v>1540</v>
      </c>
      <c r="O340" s="333"/>
      <c r="P340" s="333"/>
      <c r="Q340" s="334"/>
      <c r="R340" s="106"/>
    </row>
    <row r="341" spans="1:18" ht="16.5" hidden="1" collapsed="1" thickBot="1" x14ac:dyDescent="0.3">
      <c r="A341" s="133">
        <f>+A362+1</f>
        <v>3.4</v>
      </c>
      <c r="B341" s="128" t="s">
        <v>400</v>
      </c>
      <c r="C341" s="127" t="s">
        <v>1516</v>
      </c>
      <c r="D341" s="126" t="s">
        <v>237</v>
      </c>
      <c r="E341" s="133" t="s">
        <v>1541</v>
      </c>
      <c r="F341" s="133" t="s">
        <v>1158</v>
      </c>
      <c r="G341" s="123" t="s">
        <v>1270</v>
      </c>
      <c r="H341" s="99" t="s">
        <v>1169</v>
      </c>
      <c r="I341" s="155" t="s">
        <v>1271</v>
      </c>
      <c r="J341" s="138">
        <v>46125</v>
      </c>
      <c r="K341" s="139"/>
      <c r="L341" s="138"/>
      <c r="M341" s="133" t="s">
        <v>1542</v>
      </c>
      <c r="N341" s="97"/>
      <c r="O341" s="96"/>
      <c r="P341" s="96"/>
      <c r="Q341" s="95"/>
    </row>
    <row r="342" spans="1:18" s="105" customFormat="1" ht="45" hidden="1" customHeight="1" outlineLevel="1" x14ac:dyDescent="0.3">
      <c r="A342" s="114">
        <f t="shared" ref="A342:A347" si="20">+A366+0.1</f>
        <v>3.4</v>
      </c>
      <c r="B342" s="109" t="s">
        <v>1162</v>
      </c>
      <c r="C342" s="109"/>
      <c r="D342" s="111"/>
      <c r="E342" s="111"/>
      <c r="F342" s="111" t="s">
        <v>1187</v>
      </c>
      <c r="G342" s="113"/>
      <c r="H342" s="112"/>
      <c r="I342" s="111"/>
      <c r="J342" s="108">
        <v>45952</v>
      </c>
      <c r="K342" s="109"/>
      <c r="L342" s="108"/>
      <c r="M342" s="107"/>
      <c r="N342" s="333" t="s">
        <v>1275</v>
      </c>
      <c r="O342" s="333"/>
      <c r="P342" s="333"/>
      <c r="Q342" s="334"/>
      <c r="R342" s="106"/>
    </row>
    <row r="343" spans="1:18" s="105" customFormat="1" ht="45" hidden="1" customHeight="1" outlineLevel="1" x14ac:dyDescent="0.3">
      <c r="A343" s="114">
        <f t="shared" si="20"/>
        <v>2.5000000000000004</v>
      </c>
      <c r="B343" s="109" t="s">
        <v>1162</v>
      </c>
      <c r="C343" s="109"/>
      <c r="D343" s="111"/>
      <c r="E343" s="111"/>
      <c r="F343" s="111" t="s">
        <v>1187</v>
      </c>
      <c r="G343" s="113"/>
      <c r="H343" s="112"/>
      <c r="I343" s="111"/>
      <c r="J343" s="108">
        <v>45995</v>
      </c>
      <c r="K343" s="109"/>
      <c r="L343" s="108"/>
      <c r="M343" s="107"/>
      <c r="N343" s="333" t="s">
        <v>1543</v>
      </c>
      <c r="O343" s="333"/>
      <c r="P343" s="333"/>
      <c r="Q343" s="334"/>
      <c r="R343" s="106"/>
    </row>
    <row r="344" spans="1:18" s="105" customFormat="1" ht="65.45" hidden="1" customHeight="1" outlineLevel="1" x14ac:dyDescent="0.3">
      <c r="A344" s="160">
        <f t="shared" si="20"/>
        <v>2.5000000000000004</v>
      </c>
      <c r="B344" s="109" t="s">
        <v>1162</v>
      </c>
      <c r="C344" s="109"/>
      <c r="D344" s="111"/>
      <c r="E344" s="111"/>
      <c r="F344" s="111" t="s">
        <v>1187</v>
      </c>
      <c r="G344" s="113"/>
      <c r="H344" s="112"/>
      <c r="I344" s="111"/>
      <c r="J344" s="108">
        <v>46044</v>
      </c>
      <c r="K344" s="109"/>
      <c r="L344" s="108"/>
      <c r="M344" s="107"/>
      <c r="N344" s="333" t="s">
        <v>1544</v>
      </c>
      <c r="O344" s="333"/>
      <c r="P344" s="333"/>
      <c r="Q344" s="334"/>
      <c r="R344" s="106"/>
    </row>
    <row r="345" spans="1:18" s="105" customFormat="1" ht="81" hidden="1" customHeight="1" outlineLevel="1" x14ac:dyDescent="0.3">
      <c r="A345" s="160">
        <f t="shared" si="20"/>
        <v>1.6000000000000003</v>
      </c>
      <c r="B345" s="109" t="s">
        <v>1162</v>
      </c>
      <c r="C345" s="109"/>
      <c r="D345" s="111"/>
      <c r="E345" s="111"/>
      <c r="F345" s="111" t="s">
        <v>1158</v>
      </c>
      <c r="G345" s="113"/>
      <c r="H345" s="112"/>
      <c r="I345" s="111"/>
      <c r="J345" s="108">
        <v>46128</v>
      </c>
      <c r="K345" s="109"/>
      <c r="L345" s="108"/>
      <c r="M345" s="107"/>
      <c r="N345" s="333" t="s">
        <v>1545</v>
      </c>
      <c r="O345" s="333"/>
      <c r="P345" s="333"/>
      <c r="Q345" s="334"/>
      <c r="R345" s="106"/>
    </row>
    <row r="346" spans="1:18" s="105" customFormat="1" ht="81" hidden="1" customHeight="1" outlineLevel="1" x14ac:dyDescent="0.3">
      <c r="A346" s="160">
        <f t="shared" si="20"/>
        <v>2.5000000000000004</v>
      </c>
      <c r="B346" s="109" t="s">
        <v>1162</v>
      </c>
      <c r="C346" s="109"/>
      <c r="D346" s="111"/>
      <c r="E346" s="111"/>
      <c r="F346" s="111" t="s">
        <v>1158</v>
      </c>
      <c r="G346" s="113"/>
      <c r="H346" s="112"/>
      <c r="I346" s="111"/>
      <c r="J346" s="108">
        <v>46134</v>
      </c>
      <c r="K346" s="109"/>
      <c r="L346" s="108"/>
      <c r="M346" s="107"/>
      <c r="N346" s="333" t="s">
        <v>1546</v>
      </c>
      <c r="O346" s="333"/>
      <c r="P346" s="333"/>
      <c r="Q346" s="334"/>
      <c r="R346" s="106"/>
    </row>
    <row r="347" spans="1:18" s="105" customFormat="1" ht="55.5" hidden="1" customHeight="1" outlineLevel="1" thickBot="1" x14ac:dyDescent="0.3">
      <c r="A347" s="160">
        <f t="shared" si="20"/>
        <v>3.4000000000000004</v>
      </c>
      <c r="B347" s="109" t="s">
        <v>1162</v>
      </c>
      <c r="C347" s="109"/>
      <c r="D347" s="111"/>
      <c r="E347" s="111"/>
      <c r="F347" s="111" t="s">
        <v>1158</v>
      </c>
      <c r="G347" s="113"/>
      <c r="H347" s="112"/>
      <c r="I347" s="111"/>
      <c r="J347" s="108">
        <v>46141</v>
      </c>
      <c r="K347" s="109"/>
      <c r="L347" s="108"/>
      <c r="M347" s="107"/>
      <c r="N347" s="333" t="s">
        <v>1547</v>
      </c>
      <c r="O347" s="333"/>
      <c r="P347" s="333"/>
      <c r="Q347" s="334"/>
      <c r="R347" s="106"/>
    </row>
    <row r="348" spans="1:18" ht="16.5" hidden="1" collapsed="1" thickBot="1" x14ac:dyDescent="0.3">
      <c r="A348" s="133">
        <f>+A366+1</f>
        <v>4.3</v>
      </c>
      <c r="B348" s="128" t="s">
        <v>1548</v>
      </c>
      <c r="C348" s="127" t="s">
        <v>1516</v>
      </c>
      <c r="D348" s="126" t="s">
        <v>237</v>
      </c>
      <c r="E348" s="133" t="s">
        <v>1549</v>
      </c>
      <c r="F348" s="133" t="s">
        <v>1285</v>
      </c>
      <c r="G348" s="158" t="s">
        <v>1550</v>
      </c>
      <c r="H348" s="99" t="s">
        <v>1169</v>
      </c>
      <c r="I348" s="125"/>
      <c r="J348" s="138"/>
      <c r="K348" s="139"/>
      <c r="L348" s="138"/>
      <c r="M348" s="133"/>
      <c r="N348" s="103"/>
      <c r="O348" s="102"/>
      <c r="P348" s="102"/>
      <c r="Q348" s="101"/>
    </row>
    <row r="349" spans="1:18" ht="16.5" hidden="1" thickBot="1" x14ac:dyDescent="0.3">
      <c r="A349" s="126">
        <f>+A373+1</f>
        <v>4.3000000000000007</v>
      </c>
      <c r="B349" s="126" t="s">
        <v>1551</v>
      </c>
      <c r="C349" s="127" t="s">
        <v>1552</v>
      </c>
      <c r="D349" s="126" t="s">
        <v>237</v>
      </c>
      <c r="E349" s="126" t="s">
        <v>1553</v>
      </c>
      <c r="F349" s="133" t="s">
        <v>1158</v>
      </c>
      <c r="G349" s="123" t="s">
        <v>1270</v>
      </c>
      <c r="H349" s="99" t="s">
        <v>1169</v>
      </c>
      <c r="I349" s="155" t="s">
        <v>1271</v>
      </c>
      <c r="J349" s="124"/>
      <c r="K349" s="125"/>
      <c r="L349" s="138">
        <v>46136</v>
      </c>
      <c r="M349" s="126" t="s">
        <v>1301</v>
      </c>
      <c r="N349" s="97"/>
      <c r="O349" s="96"/>
      <c r="P349" s="96"/>
      <c r="Q349" s="95"/>
    </row>
    <row r="350" spans="1:18" s="105" customFormat="1" ht="45" hidden="1" customHeight="1" outlineLevel="1" x14ac:dyDescent="0.3">
      <c r="A350" s="114">
        <f t="shared" ref="A350:A355" si="21">+A374+0.1</f>
        <v>2.5000000000000004</v>
      </c>
      <c r="B350" s="109" t="s">
        <v>1162</v>
      </c>
      <c r="C350" s="109"/>
      <c r="D350" s="111"/>
      <c r="E350" s="111"/>
      <c r="F350" s="111" t="s">
        <v>1554</v>
      </c>
      <c r="G350" s="113"/>
      <c r="H350" s="112"/>
      <c r="I350" s="111"/>
      <c r="J350" s="108">
        <v>45945</v>
      </c>
      <c r="K350" s="109"/>
      <c r="L350" s="108"/>
      <c r="M350" s="107"/>
      <c r="N350" s="333" t="s">
        <v>1555</v>
      </c>
      <c r="O350" s="333"/>
      <c r="P350" s="333"/>
      <c r="Q350" s="334"/>
      <c r="R350" s="106"/>
    </row>
    <row r="351" spans="1:18" s="105" customFormat="1" ht="45" hidden="1" customHeight="1" outlineLevel="1" x14ac:dyDescent="0.3">
      <c r="A351" s="114">
        <f t="shared" si="21"/>
        <v>4.2999999999999989</v>
      </c>
      <c r="B351" s="109" t="s">
        <v>1162</v>
      </c>
      <c r="C351" s="109"/>
      <c r="D351" s="111"/>
      <c r="E351" s="111"/>
      <c r="F351" s="111" t="s">
        <v>1520</v>
      </c>
      <c r="G351" s="113"/>
      <c r="H351" s="112"/>
      <c r="I351" s="111"/>
      <c r="J351" s="108">
        <v>45973</v>
      </c>
      <c r="K351" s="109"/>
      <c r="L351" s="108"/>
      <c r="M351" s="107"/>
      <c r="N351" s="333" t="s">
        <v>1556</v>
      </c>
      <c r="O351" s="333"/>
      <c r="P351" s="333"/>
      <c r="Q351" s="334"/>
      <c r="R351" s="106"/>
    </row>
    <row r="352" spans="1:18" s="105" customFormat="1" ht="45" hidden="1" customHeight="1" outlineLevel="1" x14ac:dyDescent="0.3">
      <c r="A352" s="114">
        <f t="shared" si="21"/>
        <v>1.6000000000000003</v>
      </c>
      <c r="B352" s="109" t="s">
        <v>1162</v>
      </c>
      <c r="C352" s="109"/>
      <c r="D352" s="111"/>
      <c r="E352" s="111"/>
      <c r="F352" s="111" t="s">
        <v>1158</v>
      </c>
      <c r="G352" s="113"/>
      <c r="H352" s="112"/>
      <c r="I352" s="111"/>
      <c r="J352" s="108">
        <v>46120</v>
      </c>
      <c r="K352" s="109"/>
      <c r="L352" s="108"/>
      <c r="M352" s="107"/>
      <c r="N352" s="333" t="s">
        <v>1557</v>
      </c>
      <c r="O352" s="333"/>
      <c r="P352" s="333"/>
      <c r="Q352" s="334"/>
      <c r="R352" s="106"/>
    </row>
    <row r="353" spans="1:18" s="105" customFormat="1" ht="45" hidden="1" customHeight="1" outlineLevel="1" x14ac:dyDescent="0.3">
      <c r="A353" s="114">
        <f t="shared" si="21"/>
        <v>4.3</v>
      </c>
      <c r="B353" s="109" t="s">
        <v>1162</v>
      </c>
      <c r="C353" s="109"/>
      <c r="D353" s="111"/>
      <c r="E353" s="111"/>
      <c r="F353" s="111" t="s">
        <v>1158</v>
      </c>
      <c r="G353" s="113"/>
      <c r="H353" s="112"/>
      <c r="I353" s="111"/>
      <c r="J353" s="108">
        <v>46128</v>
      </c>
      <c r="K353" s="109"/>
      <c r="L353" s="108"/>
      <c r="M353" s="107"/>
      <c r="N353" s="333" t="s">
        <v>1558</v>
      </c>
      <c r="O353" s="333"/>
      <c r="P353" s="333"/>
      <c r="Q353" s="334"/>
      <c r="R353" s="106"/>
    </row>
    <row r="354" spans="1:18" s="105" customFormat="1" ht="54" hidden="1" customHeight="1" outlineLevel="1" x14ac:dyDescent="0.3">
      <c r="A354" s="114">
        <f t="shared" si="21"/>
        <v>3.4000000000000004</v>
      </c>
      <c r="B354" s="109" t="s">
        <v>1162</v>
      </c>
      <c r="C354" s="109"/>
      <c r="D354" s="111"/>
      <c r="E354" s="111"/>
      <c r="F354" s="111" t="s">
        <v>1158</v>
      </c>
      <c r="G354" s="113"/>
      <c r="H354" s="112"/>
      <c r="I354" s="111"/>
      <c r="J354" s="108">
        <v>46134</v>
      </c>
      <c r="K354" s="109"/>
      <c r="L354" s="108"/>
      <c r="M354" s="107"/>
      <c r="N354" s="333" t="s">
        <v>1559</v>
      </c>
      <c r="O354" s="333"/>
      <c r="P354" s="333"/>
      <c r="Q354" s="334"/>
      <c r="R354" s="106"/>
    </row>
    <row r="355" spans="1:18" s="105" customFormat="1" ht="32.1" hidden="1" customHeight="1" outlineLevel="1" thickBot="1" x14ac:dyDescent="0.3">
      <c r="A355" s="114">
        <f t="shared" si="21"/>
        <v>0.6</v>
      </c>
      <c r="B355" s="109" t="s">
        <v>1162</v>
      </c>
      <c r="C355" s="109"/>
      <c r="D355" s="111"/>
      <c r="E355" s="111"/>
      <c r="F355" s="111" t="s">
        <v>1158</v>
      </c>
      <c r="G355" s="113"/>
      <c r="H355" s="112"/>
      <c r="I355" s="111"/>
      <c r="J355" s="108">
        <v>46141</v>
      </c>
      <c r="K355" s="109"/>
      <c r="L355" s="108"/>
      <c r="M355" s="107"/>
      <c r="N355" s="333" t="s">
        <v>1560</v>
      </c>
      <c r="O355" s="333"/>
      <c r="P355" s="333"/>
      <c r="Q355" s="334"/>
      <c r="R355" s="106"/>
    </row>
    <row r="356" spans="1:18" ht="16.5" hidden="1" collapsed="1" thickBot="1" x14ac:dyDescent="0.3">
      <c r="A356" s="133">
        <f>+A374+1</f>
        <v>3.4000000000000004</v>
      </c>
      <c r="B356" s="135" t="s">
        <v>1561</v>
      </c>
      <c r="C356" s="127" t="s">
        <v>1552</v>
      </c>
      <c r="D356" s="126" t="s">
        <v>237</v>
      </c>
      <c r="E356" s="133"/>
      <c r="F356" s="133" t="s">
        <v>1158</v>
      </c>
      <c r="G356" s="123" t="s">
        <v>1270</v>
      </c>
      <c r="H356" s="99" t="s">
        <v>1169</v>
      </c>
      <c r="I356" s="155" t="s">
        <v>1271</v>
      </c>
      <c r="J356" s="124"/>
      <c r="K356" s="125"/>
      <c r="L356" s="138">
        <v>45967</v>
      </c>
      <c r="M356" s="133" t="s">
        <v>1301</v>
      </c>
      <c r="N356" s="97"/>
      <c r="O356" s="96"/>
      <c r="P356" s="96"/>
      <c r="Q356" s="95"/>
    </row>
    <row r="357" spans="1:18" s="105" customFormat="1" ht="45" hidden="1" customHeight="1" outlineLevel="1" x14ac:dyDescent="0.3">
      <c r="A357" s="114">
        <f>+A381+0.1</f>
        <v>0.6</v>
      </c>
      <c r="B357" s="109" t="s">
        <v>1162</v>
      </c>
      <c r="C357" s="109"/>
      <c r="D357" s="111"/>
      <c r="E357" s="111"/>
      <c r="F357" s="111" t="s">
        <v>1528</v>
      </c>
      <c r="G357" s="113"/>
      <c r="H357" s="112"/>
      <c r="I357" s="111"/>
      <c r="J357" s="108">
        <v>45945</v>
      </c>
      <c r="K357" s="109"/>
      <c r="L357" s="108"/>
      <c r="M357" s="107"/>
      <c r="N357" s="333" t="s">
        <v>1555</v>
      </c>
      <c r="O357" s="333"/>
      <c r="P357" s="333"/>
      <c r="Q357" s="334"/>
      <c r="R357" s="106"/>
    </row>
    <row r="358" spans="1:18" s="105" customFormat="1" ht="45" hidden="1" customHeight="1" outlineLevel="1" thickBot="1" x14ac:dyDescent="0.3">
      <c r="A358" s="160">
        <f>+A382+0.1</f>
        <v>1.5000000000000004</v>
      </c>
      <c r="B358" s="109" t="s">
        <v>1162</v>
      </c>
      <c r="C358" s="109"/>
      <c r="D358" s="111"/>
      <c r="E358" s="111"/>
      <c r="F358" s="111" t="s">
        <v>1528</v>
      </c>
      <c r="G358" s="113"/>
      <c r="H358" s="112"/>
      <c r="I358" s="111"/>
      <c r="J358" s="108">
        <v>45973</v>
      </c>
      <c r="K358" s="109"/>
      <c r="L358" s="108"/>
      <c r="M358" s="107"/>
      <c r="N358" s="333" t="s">
        <v>1562</v>
      </c>
      <c r="O358" s="333"/>
      <c r="P358" s="333"/>
      <c r="Q358" s="334"/>
      <c r="R358" s="106"/>
    </row>
    <row r="359" spans="1:18" ht="16.5" hidden="1" collapsed="1" thickBot="1" x14ac:dyDescent="0.3">
      <c r="A359" s="133">
        <f>+A381+1</f>
        <v>1.5</v>
      </c>
      <c r="B359" s="135" t="s">
        <v>1563</v>
      </c>
      <c r="C359" s="127" t="s">
        <v>1552</v>
      </c>
      <c r="D359" s="126" t="s">
        <v>237</v>
      </c>
      <c r="E359" s="133" t="s">
        <v>1564</v>
      </c>
      <c r="F359" s="133" t="s">
        <v>1285</v>
      </c>
      <c r="G359" s="123" t="s">
        <v>1270</v>
      </c>
      <c r="H359" s="99" t="s">
        <v>1169</v>
      </c>
      <c r="I359" s="155" t="s">
        <v>1271</v>
      </c>
      <c r="J359" s="126"/>
      <c r="K359" s="127"/>
      <c r="L359" s="124"/>
      <c r="M359" s="124"/>
      <c r="N359" s="103"/>
      <c r="O359" s="102"/>
      <c r="P359" s="102"/>
      <c r="Q359" s="101"/>
    </row>
    <row r="360" spans="1:18" ht="16.5" hidden="1" thickBot="1" x14ac:dyDescent="0.3">
      <c r="A360" s="124">
        <f>+A384+1</f>
        <v>2.4000000000000004</v>
      </c>
      <c r="B360" s="124" t="s">
        <v>1565</v>
      </c>
      <c r="C360" s="125" t="s">
        <v>1566</v>
      </c>
      <c r="D360" s="124" t="s">
        <v>237</v>
      </c>
      <c r="E360" s="124"/>
      <c r="F360" s="133" t="s">
        <v>1158</v>
      </c>
      <c r="G360" s="123"/>
      <c r="H360" s="99" t="s">
        <v>1169</v>
      </c>
      <c r="I360" s="98" t="s">
        <v>1271</v>
      </c>
      <c r="J360" s="124"/>
      <c r="K360" s="125"/>
      <c r="L360" s="124"/>
      <c r="M360" s="124"/>
      <c r="N360" s="103"/>
      <c r="O360" s="102"/>
      <c r="P360" s="102"/>
      <c r="Q360" s="101"/>
    </row>
    <row r="361" spans="1:18" ht="16.5" hidden="1" thickBot="1" x14ac:dyDescent="0.3">
      <c r="A361" s="126">
        <f>+A385+1</f>
        <v>2.4000000000000004</v>
      </c>
      <c r="B361" s="126" t="s">
        <v>1567</v>
      </c>
      <c r="C361" s="127" t="s">
        <v>1568</v>
      </c>
      <c r="D361" s="126"/>
      <c r="E361" s="126" t="s">
        <v>1569</v>
      </c>
      <c r="F361" s="133" t="s">
        <v>1499</v>
      </c>
      <c r="G361" s="123" t="s">
        <v>1570</v>
      </c>
      <c r="H361" s="99" t="s">
        <v>1169</v>
      </c>
      <c r="I361" s="125"/>
      <c r="J361" s="138">
        <v>46126</v>
      </c>
      <c r="K361" s="139"/>
      <c r="L361" s="138">
        <v>46134</v>
      </c>
      <c r="M361" s="126" t="s">
        <v>1189</v>
      </c>
      <c r="N361" s="97"/>
      <c r="O361" s="96"/>
      <c r="P361" s="96"/>
      <c r="Q361" s="95"/>
    </row>
    <row r="362" spans="1:18" s="105" customFormat="1" ht="45" hidden="1" customHeight="1" outlineLevel="1" x14ac:dyDescent="0.3">
      <c r="A362" s="114">
        <f>+A386+0.1</f>
        <v>2.4</v>
      </c>
      <c r="B362" s="109" t="s">
        <v>1162</v>
      </c>
      <c r="C362" s="109"/>
      <c r="D362" s="111"/>
      <c r="E362" s="111"/>
      <c r="F362" s="111" t="s">
        <v>1520</v>
      </c>
      <c r="G362" s="113"/>
      <c r="H362" s="112"/>
      <c r="I362" s="111"/>
      <c r="J362" s="108">
        <v>45938</v>
      </c>
      <c r="K362" s="109"/>
      <c r="L362" s="108"/>
      <c r="M362" s="107"/>
      <c r="N362" s="333" t="s">
        <v>1571</v>
      </c>
      <c r="O362" s="333"/>
      <c r="P362" s="333"/>
      <c r="Q362" s="334"/>
      <c r="R362" s="106"/>
    </row>
    <row r="363" spans="1:18" s="105" customFormat="1" ht="45" hidden="1" customHeight="1" outlineLevel="1" x14ac:dyDescent="0.3">
      <c r="A363" s="160">
        <f>+A387+0.1</f>
        <v>1.5000000000000004</v>
      </c>
      <c r="B363" s="109" t="s">
        <v>1162</v>
      </c>
      <c r="C363" s="109"/>
      <c r="D363" s="111"/>
      <c r="E363" s="111"/>
      <c r="F363" s="111" t="s">
        <v>1520</v>
      </c>
      <c r="G363" s="113"/>
      <c r="H363" s="112"/>
      <c r="I363" s="111"/>
      <c r="J363" s="108">
        <v>45945</v>
      </c>
      <c r="K363" s="109"/>
      <c r="L363" s="108"/>
      <c r="M363" s="107"/>
      <c r="N363" s="333" t="s">
        <v>1572</v>
      </c>
      <c r="O363" s="333"/>
      <c r="P363" s="333"/>
      <c r="Q363" s="334"/>
      <c r="R363" s="106"/>
    </row>
    <row r="364" spans="1:18" s="105" customFormat="1" ht="45" hidden="1" customHeight="1" outlineLevel="1" x14ac:dyDescent="0.3">
      <c r="A364" s="160">
        <f>+A388+0.1</f>
        <v>2.4000000000000004</v>
      </c>
      <c r="B364" s="109" t="s">
        <v>1162</v>
      </c>
      <c r="C364" s="109"/>
      <c r="D364" s="111"/>
      <c r="E364" s="111"/>
      <c r="F364" s="111" t="s">
        <v>1158</v>
      </c>
      <c r="G364" s="113"/>
      <c r="H364" s="112"/>
      <c r="I364" s="111"/>
      <c r="J364" s="108">
        <v>46128</v>
      </c>
      <c r="K364" s="109"/>
      <c r="L364" s="108"/>
      <c r="M364" s="107"/>
      <c r="N364" s="333" t="s">
        <v>1573</v>
      </c>
      <c r="O364" s="333"/>
      <c r="P364" s="333"/>
      <c r="Q364" s="334"/>
      <c r="R364" s="106"/>
    </row>
    <row r="365" spans="1:18" s="105" customFormat="1" ht="45" hidden="1" customHeight="1" outlineLevel="1" thickBot="1" x14ac:dyDescent="0.3">
      <c r="A365" s="160">
        <f>+A389+0.1</f>
        <v>2.4000000000000004</v>
      </c>
      <c r="B365" s="109" t="s">
        <v>1162</v>
      </c>
      <c r="C365" s="109"/>
      <c r="D365" s="111"/>
      <c r="E365" s="111"/>
      <c r="F365" s="111" t="s">
        <v>1158</v>
      </c>
      <c r="G365" s="113"/>
      <c r="H365" s="112"/>
      <c r="I365" s="111"/>
      <c r="J365" s="108">
        <v>46134</v>
      </c>
      <c r="K365" s="109"/>
      <c r="L365" s="108"/>
      <c r="M365" s="107"/>
      <c r="N365" s="333" t="s">
        <v>1574</v>
      </c>
      <c r="O365" s="333"/>
      <c r="P365" s="333"/>
      <c r="Q365" s="334"/>
      <c r="R365" s="106"/>
    </row>
    <row r="366" spans="1:18" ht="16.5" hidden="1" collapsed="1" thickBot="1" x14ac:dyDescent="0.3">
      <c r="A366" s="133">
        <f>+A386+1</f>
        <v>3.3</v>
      </c>
      <c r="B366" s="128" t="s">
        <v>1575</v>
      </c>
      <c r="C366" s="127" t="s">
        <v>1568</v>
      </c>
      <c r="D366" s="133"/>
      <c r="E366" s="133" t="s">
        <v>1576</v>
      </c>
      <c r="F366" s="136" t="s">
        <v>1285</v>
      </c>
      <c r="G366" s="135" t="s">
        <v>1577</v>
      </c>
      <c r="H366" s="99" t="s">
        <v>1169</v>
      </c>
      <c r="I366" s="125"/>
      <c r="J366" s="124"/>
      <c r="K366" s="125"/>
      <c r="L366" s="138">
        <v>46056</v>
      </c>
      <c r="M366" s="133" t="s">
        <v>1189</v>
      </c>
      <c r="N366" s="97"/>
      <c r="O366" s="96"/>
      <c r="P366" s="96"/>
      <c r="Q366" s="95"/>
    </row>
    <row r="367" spans="1:18" s="105" customFormat="1" ht="45" hidden="1" customHeight="1" outlineLevel="1" x14ac:dyDescent="0.3">
      <c r="A367" s="114">
        <f>+A391+0.1</f>
        <v>2.4000000000000004</v>
      </c>
      <c r="B367" s="109" t="s">
        <v>1162</v>
      </c>
      <c r="C367" s="109"/>
      <c r="D367" s="111"/>
      <c r="E367" s="111"/>
      <c r="F367" s="111" t="s">
        <v>1158</v>
      </c>
      <c r="G367" s="113"/>
      <c r="H367" s="112"/>
      <c r="I367" s="111"/>
      <c r="J367" s="108">
        <v>45945</v>
      </c>
      <c r="K367" s="109"/>
      <c r="L367" s="108"/>
      <c r="M367" s="107"/>
      <c r="N367" s="333" t="s">
        <v>1578</v>
      </c>
      <c r="O367" s="333"/>
      <c r="P367" s="333"/>
      <c r="Q367" s="334"/>
      <c r="R367" s="106"/>
    </row>
    <row r="368" spans="1:18" s="105" customFormat="1" ht="45" hidden="1" customHeight="1" outlineLevel="1" x14ac:dyDescent="0.3">
      <c r="A368" s="114">
        <f>+A392+0.1</f>
        <v>2.4000000000000004</v>
      </c>
      <c r="B368" s="109" t="s">
        <v>1162</v>
      </c>
      <c r="C368" s="109"/>
      <c r="D368" s="111"/>
      <c r="E368" s="111"/>
      <c r="F368" s="111" t="s">
        <v>1158</v>
      </c>
      <c r="G368" s="113"/>
      <c r="H368" s="112"/>
      <c r="I368" s="111"/>
      <c r="J368" s="108">
        <v>45966</v>
      </c>
      <c r="K368" s="109"/>
      <c r="L368" s="108"/>
      <c r="M368" s="107"/>
      <c r="N368" s="333" t="s">
        <v>1579</v>
      </c>
      <c r="O368" s="333"/>
      <c r="P368" s="333"/>
      <c r="Q368" s="334"/>
      <c r="R368" s="106"/>
    </row>
    <row r="369" spans="1:18" s="105" customFormat="1" ht="56.45" hidden="1" customHeight="1" outlineLevel="1" x14ac:dyDescent="0.3">
      <c r="A369" s="160">
        <f>+A393+0.1</f>
        <v>1.5000000000000002</v>
      </c>
      <c r="B369" s="109" t="s">
        <v>1162</v>
      </c>
      <c r="C369" s="109"/>
      <c r="D369" s="111"/>
      <c r="E369" s="111"/>
      <c r="F369" s="111" t="s">
        <v>1158</v>
      </c>
      <c r="G369" s="113"/>
      <c r="H369" s="112"/>
      <c r="I369" s="111"/>
      <c r="J369" s="108">
        <v>45973</v>
      </c>
      <c r="K369" s="109"/>
      <c r="L369" s="108"/>
      <c r="M369" s="107"/>
      <c r="N369" s="333" t="s">
        <v>1560</v>
      </c>
      <c r="O369" s="333"/>
      <c r="P369" s="333"/>
      <c r="Q369" s="334"/>
      <c r="R369" s="106"/>
    </row>
    <row r="370" spans="1:18" s="105" customFormat="1" ht="56.45" hidden="1" customHeight="1" outlineLevel="1" x14ac:dyDescent="0.3">
      <c r="A370" s="160">
        <f>+A394+0.1</f>
        <v>2.4000000000000004</v>
      </c>
      <c r="B370" s="109" t="s">
        <v>1162</v>
      </c>
      <c r="C370" s="109"/>
      <c r="D370" s="111"/>
      <c r="E370" s="111"/>
      <c r="F370" s="111" t="s">
        <v>1158</v>
      </c>
      <c r="G370" s="113"/>
      <c r="H370" s="112"/>
      <c r="I370" s="111"/>
      <c r="J370" s="108">
        <v>46051</v>
      </c>
      <c r="K370" s="109"/>
      <c r="L370" s="108"/>
      <c r="M370" s="107"/>
      <c r="N370" s="333" t="s">
        <v>1580</v>
      </c>
      <c r="O370" s="333"/>
      <c r="P370" s="333"/>
      <c r="Q370" s="334"/>
      <c r="R370" s="106"/>
    </row>
    <row r="371" spans="1:18" s="105" customFormat="1" ht="56.45" hidden="1" customHeight="1" outlineLevel="1" thickBot="1" x14ac:dyDescent="0.3">
      <c r="A371" s="160">
        <f>+A395+0.1</f>
        <v>3.3000000000000003</v>
      </c>
      <c r="B371" s="109" t="s">
        <v>1162</v>
      </c>
      <c r="C371" s="109"/>
      <c r="D371" s="111"/>
      <c r="E371" s="111"/>
      <c r="F371" s="111" t="s">
        <v>1158</v>
      </c>
      <c r="G371" s="113"/>
      <c r="H371" s="112"/>
      <c r="I371" s="111"/>
      <c r="J371" s="108">
        <v>46058</v>
      </c>
      <c r="K371" s="109"/>
      <c r="L371" s="108"/>
      <c r="M371" s="107"/>
      <c r="N371" s="333" t="s">
        <v>1581</v>
      </c>
      <c r="O371" s="333"/>
      <c r="P371" s="333"/>
      <c r="Q371" s="334"/>
      <c r="R371" s="106"/>
    </row>
    <row r="372" spans="1:18" ht="16.5" hidden="1" collapsed="1" thickBot="1" x14ac:dyDescent="0.3">
      <c r="A372" s="133">
        <f>+A391+1</f>
        <v>3.3000000000000003</v>
      </c>
      <c r="B372" s="128" t="s">
        <v>1582</v>
      </c>
      <c r="C372" s="127" t="s">
        <v>1568</v>
      </c>
      <c r="D372" s="133"/>
      <c r="E372" s="133" t="s">
        <v>1583</v>
      </c>
      <c r="F372" s="136" t="s">
        <v>1285</v>
      </c>
      <c r="G372" s="135" t="s">
        <v>1584</v>
      </c>
      <c r="H372" s="99" t="s">
        <v>1169</v>
      </c>
      <c r="I372" s="125"/>
      <c r="J372" s="138">
        <v>46105</v>
      </c>
      <c r="K372" s="139"/>
      <c r="L372" s="138">
        <v>46125</v>
      </c>
      <c r="M372" s="133" t="s">
        <v>1272</v>
      </c>
      <c r="N372" s="97"/>
      <c r="O372" s="96"/>
      <c r="P372" s="96"/>
      <c r="Q372" s="95"/>
    </row>
    <row r="373" spans="1:18" s="105" customFormat="1" ht="45" hidden="1" customHeight="1" outlineLevel="1" x14ac:dyDescent="0.3">
      <c r="A373" s="114">
        <f>+A397+0.1</f>
        <v>3.3000000000000003</v>
      </c>
      <c r="B373" s="109" t="s">
        <v>1162</v>
      </c>
      <c r="C373" s="109"/>
      <c r="D373" s="111"/>
      <c r="E373" s="111"/>
      <c r="F373" s="111" t="s">
        <v>1585</v>
      </c>
      <c r="G373" s="113"/>
      <c r="H373" s="112"/>
      <c r="I373" s="111"/>
      <c r="J373" s="108">
        <v>45995</v>
      </c>
      <c r="K373" s="109"/>
      <c r="L373" s="108"/>
      <c r="M373" s="107"/>
      <c r="N373" s="333" t="s">
        <v>1586</v>
      </c>
      <c r="O373" s="333"/>
      <c r="P373" s="333"/>
      <c r="Q373" s="334"/>
      <c r="R373" s="106"/>
    </row>
    <row r="374" spans="1:18" s="105" customFormat="1" ht="45" hidden="1" customHeight="1" outlineLevel="1" x14ac:dyDescent="0.3">
      <c r="A374" s="114">
        <f>+A398+0.1</f>
        <v>2.4000000000000004</v>
      </c>
      <c r="B374" s="109" t="s">
        <v>1162</v>
      </c>
      <c r="C374" s="109"/>
      <c r="D374" s="111"/>
      <c r="E374" s="111"/>
      <c r="F374" s="111" t="s">
        <v>1158</v>
      </c>
      <c r="G374" s="113"/>
      <c r="H374" s="112"/>
      <c r="I374" s="111"/>
      <c r="J374" s="108">
        <v>46008</v>
      </c>
      <c r="K374" s="109"/>
      <c r="L374" s="108"/>
      <c r="M374" s="107"/>
      <c r="N374" s="333" t="s">
        <v>1441</v>
      </c>
      <c r="O374" s="333"/>
      <c r="P374" s="333"/>
      <c r="Q374" s="334"/>
      <c r="R374" s="106"/>
    </row>
    <row r="375" spans="1:18" s="105" customFormat="1" ht="45" hidden="1" customHeight="1" outlineLevel="1" x14ac:dyDescent="0.3">
      <c r="A375" s="114">
        <f>+A399+0.1</f>
        <v>4.1999999999999993</v>
      </c>
      <c r="B375" s="109" t="s">
        <v>1162</v>
      </c>
      <c r="C375" s="109"/>
      <c r="D375" s="111"/>
      <c r="E375" s="111"/>
      <c r="F375" s="111" t="s">
        <v>1158</v>
      </c>
      <c r="G375" s="113"/>
      <c r="H375" s="112"/>
      <c r="I375" s="111"/>
      <c r="J375" s="108">
        <v>46120</v>
      </c>
      <c r="K375" s="109"/>
      <c r="L375" s="108"/>
      <c r="M375" s="107"/>
      <c r="N375" s="333" t="s">
        <v>1587</v>
      </c>
      <c r="O375" s="333"/>
      <c r="P375" s="333"/>
      <c r="Q375" s="334"/>
      <c r="R375" s="106"/>
    </row>
    <row r="376" spans="1:18" s="105" customFormat="1" ht="45" hidden="1" customHeight="1" outlineLevel="1" thickBot="1" x14ac:dyDescent="0.3">
      <c r="A376" s="114">
        <f>+A400+0.1</f>
        <v>1.5000000000000002</v>
      </c>
      <c r="B376" s="109" t="s">
        <v>1162</v>
      </c>
      <c r="C376" s="109"/>
      <c r="D376" s="111"/>
      <c r="E376" s="111"/>
      <c r="F376" s="111" t="s">
        <v>1158</v>
      </c>
      <c r="G376" s="113"/>
      <c r="H376" s="112"/>
      <c r="I376" s="111"/>
      <c r="J376" s="108">
        <v>46128</v>
      </c>
      <c r="K376" s="109"/>
      <c r="L376" s="108"/>
      <c r="M376" s="107"/>
      <c r="N376" s="333" t="s">
        <v>1588</v>
      </c>
      <c r="O376" s="333"/>
      <c r="P376" s="333"/>
      <c r="Q376" s="334"/>
      <c r="R376" s="106"/>
    </row>
    <row r="377" spans="1:18" ht="16.5" hidden="1" collapsed="1" thickBot="1" x14ac:dyDescent="0.3">
      <c r="A377" s="136">
        <f>+A397+1</f>
        <v>4.2</v>
      </c>
      <c r="B377" s="137" t="s">
        <v>1589</v>
      </c>
      <c r="C377" s="125" t="s">
        <v>1568</v>
      </c>
      <c r="D377" s="136"/>
      <c r="E377" s="136" t="s">
        <v>1576</v>
      </c>
      <c r="F377" s="136" t="s">
        <v>1158</v>
      </c>
      <c r="G377" s="123" t="s">
        <v>1270</v>
      </c>
      <c r="H377" s="99" t="s">
        <v>1169</v>
      </c>
      <c r="I377" s="98" t="s">
        <v>1271</v>
      </c>
      <c r="J377" s="138">
        <v>45936</v>
      </c>
      <c r="K377" s="139"/>
      <c r="L377" s="138">
        <v>46064</v>
      </c>
      <c r="M377" s="136" t="s">
        <v>1170</v>
      </c>
      <c r="N377" s="97"/>
      <c r="O377" s="96"/>
      <c r="P377" s="96"/>
      <c r="Q377" s="95"/>
    </row>
    <row r="378" spans="1:18" s="105" customFormat="1" ht="45" hidden="1" customHeight="1" outlineLevel="1" x14ac:dyDescent="0.3">
      <c r="A378" s="114">
        <f>+A402+0.1</f>
        <v>3.3000000000000003</v>
      </c>
      <c r="B378" s="109" t="s">
        <v>1162</v>
      </c>
      <c r="C378" s="109"/>
      <c r="D378" s="111"/>
      <c r="E378" s="111"/>
      <c r="F378" s="111" t="s">
        <v>1520</v>
      </c>
      <c r="G378" s="113"/>
      <c r="H378" s="112"/>
      <c r="I378" s="111"/>
      <c r="J378" s="108">
        <v>45995</v>
      </c>
      <c r="K378" s="109"/>
      <c r="L378" s="108"/>
      <c r="M378" s="107"/>
      <c r="N378" s="333" t="s">
        <v>1590</v>
      </c>
      <c r="O378" s="333"/>
      <c r="P378" s="333"/>
      <c r="Q378" s="334"/>
      <c r="R378" s="106"/>
    </row>
    <row r="379" spans="1:18" s="105" customFormat="1" ht="45" hidden="1" customHeight="1" outlineLevel="1" x14ac:dyDescent="0.3">
      <c r="A379" s="114">
        <f>+A403+0.1</f>
        <v>0.5</v>
      </c>
      <c r="B379" s="109" t="s">
        <v>1162</v>
      </c>
      <c r="C379" s="109"/>
      <c r="D379" s="111"/>
      <c r="E379" s="111"/>
      <c r="F379" s="111" t="s">
        <v>1158</v>
      </c>
      <c r="G379" s="113"/>
      <c r="H379" s="112"/>
      <c r="I379" s="111"/>
      <c r="J379" s="108">
        <v>46008</v>
      </c>
      <c r="K379" s="109"/>
      <c r="L379" s="108"/>
      <c r="M379" s="107"/>
      <c r="N379" s="333" t="s">
        <v>1441</v>
      </c>
      <c r="O379" s="333"/>
      <c r="P379" s="333"/>
      <c r="Q379" s="334"/>
      <c r="R379" s="106"/>
    </row>
    <row r="380" spans="1:18" s="105" customFormat="1" ht="45" hidden="1" customHeight="1" outlineLevel="1" x14ac:dyDescent="0.3">
      <c r="A380" s="114">
        <f>+A404+0.1</f>
        <v>4.1999999999999993</v>
      </c>
      <c r="B380" s="109" t="s">
        <v>1162</v>
      </c>
      <c r="C380" s="109"/>
      <c r="D380" s="111"/>
      <c r="E380" s="111"/>
      <c r="F380" s="111" t="s">
        <v>1158</v>
      </c>
      <c r="G380" s="113"/>
      <c r="H380" s="112"/>
      <c r="I380" s="111"/>
      <c r="J380" s="108">
        <v>46051</v>
      </c>
      <c r="K380" s="109"/>
      <c r="L380" s="108"/>
      <c r="M380" s="107"/>
      <c r="N380" s="333" t="s">
        <v>1591</v>
      </c>
      <c r="O380" s="333"/>
      <c r="P380" s="333"/>
      <c r="Q380" s="334"/>
      <c r="R380" s="106"/>
    </row>
    <row r="381" spans="1:18" s="105" customFormat="1" ht="45" hidden="1" customHeight="1" outlineLevel="1" x14ac:dyDescent="0.3">
      <c r="A381" s="114">
        <f>+A405+0.1</f>
        <v>0.5</v>
      </c>
      <c r="B381" s="109" t="s">
        <v>1162</v>
      </c>
      <c r="C381" s="109"/>
      <c r="D381" s="111"/>
      <c r="E381" s="111"/>
      <c r="F381" s="111" t="s">
        <v>1158</v>
      </c>
      <c r="G381" s="113"/>
      <c r="H381" s="112"/>
      <c r="I381" s="111"/>
      <c r="J381" s="108">
        <v>46058</v>
      </c>
      <c r="K381" s="109"/>
      <c r="L381" s="108"/>
      <c r="M381" s="107"/>
      <c r="N381" s="333" t="s">
        <v>1592</v>
      </c>
      <c r="O381" s="333"/>
      <c r="P381" s="333"/>
      <c r="Q381" s="334"/>
      <c r="R381" s="106"/>
    </row>
    <row r="382" spans="1:18" s="105" customFormat="1" ht="45" hidden="1" customHeight="1" outlineLevel="1" thickBot="1" x14ac:dyDescent="0.3">
      <c r="A382" s="114">
        <f>+A406+0.1</f>
        <v>1.4000000000000004</v>
      </c>
      <c r="B382" s="109" t="s">
        <v>1162</v>
      </c>
      <c r="C382" s="109"/>
      <c r="D382" s="111"/>
      <c r="E382" s="111"/>
      <c r="F382" s="111" t="s">
        <v>1158</v>
      </c>
      <c r="G382" s="113"/>
      <c r="H382" s="112"/>
      <c r="I382" s="111"/>
      <c r="J382" s="108">
        <v>46064</v>
      </c>
      <c r="K382" s="109"/>
      <c r="L382" s="108"/>
      <c r="M382" s="107"/>
      <c r="N382" s="333" t="s">
        <v>1593</v>
      </c>
      <c r="O382" s="333"/>
      <c r="P382" s="333"/>
      <c r="Q382" s="334"/>
      <c r="R382" s="106"/>
    </row>
    <row r="383" spans="1:18" ht="16.5" hidden="1" collapsed="1" thickBot="1" x14ac:dyDescent="0.3">
      <c r="A383" s="126">
        <f>+A402+1</f>
        <v>4.2</v>
      </c>
      <c r="B383" s="126" t="s">
        <v>1594</v>
      </c>
      <c r="C383" s="127" t="s">
        <v>1595</v>
      </c>
      <c r="D383" s="126"/>
      <c r="E383" s="126" t="s">
        <v>1596</v>
      </c>
      <c r="F383" s="136" t="s">
        <v>1158</v>
      </c>
      <c r="G383" s="123" t="s">
        <v>1597</v>
      </c>
      <c r="H383" s="99" t="s">
        <v>1169</v>
      </c>
      <c r="I383" s="125"/>
      <c r="J383" s="124"/>
      <c r="K383" s="125"/>
      <c r="L383" s="124"/>
      <c r="M383" s="126" t="s">
        <v>1238</v>
      </c>
      <c r="N383" s="97"/>
      <c r="O383" s="96"/>
      <c r="P383" s="96"/>
      <c r="Q383" s="95"/>
    </row>
    <row r="384" spans="1:18" s="105" customFormat="1" ht="51.95" hidden="1" customHeight="1" outlineLevel="1" x14ac:dyDescent="0.3">
      <c r="A384" s="114">
        <f>+A408+0.1</f>
        <v>1.4000000000000001</v>
      </c>
      <c r="B384" s="109" t="s">
        <v>1162</v>
      </c>
      <c r="C384" s="109"/>
      <c r="D384" s="111"/>
      <c r="E384" s="111"/>
      <c r="F384" s="111" t="s">
        <v>1158</v>
      </c>
      <c r="G384" s="113"/>
      <c r="H384" s="112"/>
      <c r="I384" s="111"/>
      <c r="J384" s="108">
        <v>46120</v>
      </c>
      <c r="K384" s="109"/>
      <c r="L384" s="108"/>
      <c r="M384" s="107"/>
      <c r="N384" s="333" t="s">
        <v>1598</v>
      </c>
      <c r="O384" s="333"/>
      <c r="P384" s="333"/>
      <c r="Q384" s="334"/>
      <c r="R384" s="106"/>
    </row>
    <row r="385" spans="1:18" s="105" customFormat="1" ht="51.95" hidden="1" customHeight="1" outlineLevel="1" thickBot="1" x14ac:dyDescent="0.3">
      <c r="A385" s="114">
        <f>+A409+0.1</f>
        <v>1.4000000000000001</v>
      </c>
      <c r="B385" s="109" t="s">
        <v>1162</v>
      </c>
      <c r="C385" s="109"/>
      <c r="D385" s="111"/>
      <c r="E385" s="111"/>
      <c r="F385" s="111" t="s">
        <v>1158</v>
      </c>
      <c r="G385" s="113"/>
      <c r="H385" s="112"/>
      <c r="I385" s="111"/>
      <c r="J385" s="108">
        <v>46141</v>
      </c>
      <c r="K385" s="109"/>
      <c r="L385" s="108"/>
      <c r="M385" s="107"/>
      <c r="N385" s="333" t="s">
        <v>1599</v>
      </c>
      <c r="O385" s="333"/>
      <c r="P385" s="333"/>
      <c r="Q385" s="334"/>
      <c r="R385" s="106"/>
    </row>
    <row r="386" spans="1:18" ht="16.5" hidden="1" collapsed="1" thickBot="1" x14ac:dyDescent="0.3">
      <c r="A386" s="133">
        <f>+A408+1</f>
        <v>2.2999999999999998</v>
      </c>
      <c r="B386" s="128" t="s">
        <v>1600</v>
      </c>
      <c r="C386" s="127" t="s">
        <v>1595</v>
      </c>
      <c r="D386" s="133"/>
      <c r="E386" s="126" t="s">
        <v>1596</v>
      </c>
      <c r="F386" s="136" t="s">
        <v>1158</v>
      </c>
      <c r="G386" s="123" t="s">
        <v>1270</v>
      </c>
      <c r="H386" s="99" t="s">
        <v>1169</v>
      </c>
      <c r="I386" s="125" t="s">
        <v>1601</v>
      </c>
      <c r="J386" s="124"/>
      <c r="K386" s="125"/>
      <c r="L386" s="124"/>
      <c r="M386" s="133"/>
      <c r="N386" s="97"/>
      <c r="O386" s="96"/>
      <c r="P386" s="96"/>
      <c r="Q386" s="95"/>
    </row>
    <row r="387" spans="1:18" s="105" customFormat="1" ht="51.95" hidden="1" customHeight="1" outlineLevel="1" x14ac:dyDescent="0.3">
      <c r="A387" s="114">
        <f>+A411+0.1</f>
        <v>1.4000000000000004</v>
      </c>
      <c r="B387" s="109" t="s">
        <v>1162</v>
      </c>
      <c r="C387" s="109"/>
      <c r="D387" s="111"/>
      <c r="E387" s="111"/>
      <c r="F387" s="111" t="s">
        <v>1158</v>
      </c>
      <c r="G387" s="113"/>
      <c r="H387" s="112"/>
      <c r="I387" s="111"/>
      <c r="J387" s="108">
        <v>46120</v>
      </c>
      <c r="K387" s="109"/>
      <c r="L387" s="108"/>
      <c r="M387" s="107"/>
      <c r="N387" s="333" t="s">
        <v>1602</v>
      </c>
      <c r="O387" s="333"/>
      <c r="P387" s="333"/>
      <c r="Q387" s="334"/>
      <c r="R387" s="106"/>
    </row>
    <row r="388" spans="1:18" s="105" customFormat="1" ht="51.95" hidden="1" customHeight="1" outlineLevel="1" thickBot="1" x14ac:dyDescent="0.3">
      <c r="A388" s="114">
        <f>+A412+0.1</f>
        <v>2.3000000000000003</v>
      </c>
      <c r="B388" s="109" t="s">
        <v>1162</v>
      </c>
      <c r="C388" s="109"/>
      <c r="D388" s="111"/>
      <c r="E388" s="111"/>
      <c r="F388" s="111" t="s">
        <v>1158</v>
      </c>
      <c r="G388" s="113"/>
      <c r="H388" s="112"/>
      <c r="I388" s="111"/>
      <c r="J388" s="108">
        <v>46141</v>
      </c>
      <c r="K388" s="109"/>
      <c r="L388" s="108"/>
      <c r="M388" s="107"/>
      <c r="N388" s="333" t="s">
        <v>1603</v>
      </c>
      <c r="O388" s="333"/>
      <c r="P388" s="333"/>
      <c r="Q388" s="334"/>
      <c r="R388" s="106"/>
    </row>
    <row r="389" spans="1:18" ht="16.5" hidden="1" collapsed="1" thickBot="1" x14ac:dyDescent="0.3">
      <c r="A389" s="133">
        <f>+A411+1</f>
        <v>2.3000000000000003</v>
      </c>
      <c r="B389" s="128" t="s">
        <v>1604</v>
      </c>
      <c r="C389" s="127" t="s">
        <v>1595</v>
      </c>
      <c r="D389" s="133"/>
      <c r="E389" s="126" t="s">
        <v>1605</v>
      </c>
      <c r="F389" s="154" t="s">
        <v>1158</v>
      </c>
      <c r="G389" s="123"/>
      <c r="H389" s="99" t="s">
        <v>1169</v>
      </c>
      <c r="I389" s="98" t="s">
        <v>1271</v>
      </c>
      <c r="J389" s="138">
        <v>45957</v>
      </c>
      <c r="K389" s="125"/>
      <c r="L389" s="138">
        <v>46057</v>
      </c>
      <c r="M389" s="133" t="s">
        <v>1272</v>
      </c>
      <c r="N389" s="97"/>
      <c r="O389" s="96"/>
      <c r="P389" s="96"/>
      <c r="Q389" s="95"/>
    </row>
    <row r="390" spans="1:18" s="105" customFormat="1" ht="45" hidden="1" customHeight="1" outlineLevel="1" x14ac:dyDescent="0.3">
      <c r="A390" s="114">
        <f>+A414+0.1</f>
        <v>1.4000000000000004</v>
      </c>
      <c r="B390" s="109" t="s">
        <v>1162</v>
      </c>
      <c r="C390" s="109"/>
      <c r="D390" s="111"/>
      <c r="E390" s="111"/>
      <c r="F390" s="111" t="s">
        <v>1158</v>
      </c>
      <c r="G390" s="113"/>
      <c r="H390" s="112"/>
      <c r="I390" s="111"/>
      <c r="J390" s="108">
        <v>45980</v>
      </c>
      <c r="K390" s="109"/>
      <c r="L390" s="108"/>
      <c r="M390" s="107"/>
      <c r="N390" s="333" t="s">
        <v>1606</v>
      </c>
      <c r="O390" s="333"/>
      <c r="P390" s="333"/>
      <c r="Q390" s="334"/>
      <c r="R390" s="106"/>
    </row>
    <row r="391" spans="1:18" s="105" customFormat="1" ht="45" hidden="1" customHeight="1" outlineLevel="1" x14ac:dyDescent="0.3">
      <c r="A391" s="114">
        <f>+A415+0.1</f>
        <v>2.3000000000000003</v>
      </c>
      <c r="B391" s="109" t="s">
        <v>1162</v>
      </c>
      <c r="C391" s="109"/>
      <c r="D391" s="111"/>
      <c r="E391" s="111"/>
      <c r="F391" s="111" t="s">
        <v>1158</v>
      </c>
      <c r="G391" s="113"/>
      <c r="H391" s="112"/>
      <c r="I391" s="111"/>
      <c r="J391" s="108">
        <v>45987</v>
      </c>
      <c r="K391" s="109"/>
      <c r="L391" s="108"/>
      <c r="M391" s="107"/>
      <c r="N391" s="333" t="s">
        <v>1607</v>
      </c>
      <c r="O391" s="333"/>
      <c r="P391" s="333"/>
      <c r="Q391" s="334"/>
      <c r="R391" s="106"/>
    </row>
    <row r="392" spans="1:18" s="105" customFormat="1" ht="56.45" hidden="1" customHeight="1" outlineLevel="1" x14ac:dyDescent="0.3">
      <c r="A392" s="160">
        <f>+A416+0.1</f>
        <v>2.3000000000000003</v>
      </c>
      <c r="B392" s="109" t="s">
        <v>1162</v>
      </c>
      <c r="C392" s="109"/>
      <c r="D392" s="111"/>
      <c r="E392" s="111"/>
      <c r="F392" s="111" t="s">
        <v>1158</v>
      </c>
      <c r="G392" s="113"/>
      <c r="H392" s="112"/>
      <c r="I392" s="111"/>
      <c r="J392" s="108">
        <v>46044</v>
      </c>
      <c r="K392" s="109"/>
      <c r="L392" s="108"/>
      <c r="M392" s="107"/>
      <c r="N392" s="333" t="s">
        <v>1608</v>
      </c>
      <c r="O392" s="333"/>
      <c r="P392" s="333"/>
      <c r="Q392" s="334"/>
      <c r="R392" s="106"/>
    </row>
    <row r="393" spans="1:18" s="105" customFormat="1" ht="56.45" hidden="1" customHeight="1" outlineLevel="1" thickBot="1" x14ac:dyDescent="0.3">
      <c r="A393" s="160">
        <f>+A417+0.1</f>
        <v>1.4000000000000001</v>
      </c>
      <c r="B393" s="109" t="s">
        <v>1162</v>
      </c>
      <c r="C393" s="109"/>
      <c r="D393" s="111"/>
      <c r="E393" s="111"/>
      <c r="F393" s="111" t="s">
        <v>1158</v>
      </c>
      <c r="G393" s="113"/>
      <c r="H393" s="112"/>
      <c r="I393" s="111"/>
      <c r="J393" s="108">
        <v>46058</v>
      </c>
      <c r="K393" s="109"/>
      <c r="L393" s="108"/>
      <c r="M393" s="107"/>
      <c r="N393" s="333" t="s">
        <v>1609</v>
      </c>
      <c r="O393" s="333"/>
      <c r="P393" s="333"/>
      <c r="Q393" s="334"/>
      <c r="R393" s="106"/>
    </row>
    <row r="394" spans="1:18" ht="16.5" collapsed="1" thickBot="1" x14ac:dyDescent="0.3">
      <c r="A394" s="133">
        <f>+A414+1</f>
        <v>2.3000000000000003</v>
      </c>
      <c r="B394" s="126" t="s">
        <v>1610</v>
      </c>
      <c r="C394" s="127" t="s">
        <v>1595</v>
      </c>
      <c r="D394" s="133"/>
      <c r="E394" s="126" t="s">
        <v>1605</v>
      </c>
      <c r="F394" s="136" t="s">
        <v>1158</v>
      </c>
      <c r="G394" s="123"/>
      <c r="H394" s="117" t="s">
        <v>1159</v>
      </c>
      <c r="I394" s="153" t="s">
        <v>1601</v>
      </c>
      <c r="J394" s="124"/>
      <c r="K394" s="125"/>
      <c r="L394" s="124"/>
      <c r="M394" s="133" t="s">
        <v>1272</v>
      </c>
      <c r="N394" s="115"/>
      <c r="O394" s="161"/>
      <c r="P394" s="161"/>
      <c r="Q394" s="101"/>
    </row>
    <row r="395" spans="1:18" s="105" customFormat="1" ht="45" hidden="1" customHeight="1" outlineLevel="1" x14ac:dyDescent="0.3">
      <c r="A395" s="114">
        <f>+A419+0.1</f>
        <v>3.2</v>
      </c>
      <c r="B395" s="109" t="s">
        <v>1162</v>
      </c>
      <c r="C395" s="109"/>
      <c r="D395" s="111"/>
      <c r="E395" s="111"/>
      <c r="F395" s="111" t="s">
        <v>1158</v>
      </c>
      <c r="G395" s="113"/>
      <c r="H395" s="112"/>
      <c r="I395" s="111"/>
      <c r="J395" s="108">
        <v>45945</v>
      </c>
      <c r="K395" s="109"/>
      <c r="L395" s="108"/>
      <c r="M395" s="107"/>
      <c r="N395" s="333" t="s">
        <v>1611</v>
      </c>
      <c r="O395" s="333"/>
      <c r="P395" s="333"/>
      <c r="Q395" s="334"/>
      <c r="R395" s="106"/>
    </row>
    <row r="396" spans="1:18" s="105" customFormat="1" ht="45" hidden="1" customHeight="1" outlineLevel="1" x14ac:dyDescent="0.3">
      <c r="A396" s="114">
        <f>+A420+0.1</f>
        <v>3.2</v>
      </c>
      <c r="B396" s="109" t="s">
        <v>1162</v>
      </c>
      <c r="C396" s="109"/>
      <c r="D396" s="111"/>
      <c r="E396" s="111"/>
      <c r="F396" s="111" t="s">
        <v>1158</v>
      </c>
      <c r="G396" s="113"/>
      <c r="H396" s="112"/>
      <c r="I396" s="111"/>
      <c r="J396" s="108">
        <v>46058</v>
      </c>
      <c r="K396" s="109"/>
      <c r="L396" s="108"/>
      <c r="M396" s="107"/>
      <c r="N396" s="333" t="s">
        <v>1612</v>
      </c>
      <c r="O396" s="333"/>
      <c r="P396" s="333"/>
      <c r="Q396" s="334"/>
      <c r="R396" s="106"/>
    </row>
    <row r="397" spans="1:18" s="105" customFormat="1" ht="45" hidden="1" customHeight="1" outlineLevel="1" x14ac:dyDescent="0.3">
      <c r="A397" s="114">
        <f>+A421+0.1</f>
        <v>3.2</v>
      </c>
      <c r="B397" s="109" t="s">
        <v>1162</v>
      </c>
      <c r="C397" s="109"/>
      <c r="D397" s="111"/>
      <c r="E397" s="111"/>
      <c r="F397" s="111" t="s">
        <v>1158</v>
      </c>
      <c r="G397" s="113"/>
      <c r="H397" s="112"/>
      <c r="I397" s="111"/>
      <c r="J397" s="108">
        <v>46120</v>
      </c>
      <c r="K397" s="109"/>
      <c r="L397" s="108"/>
      <c r="M397" s="107"/>
      <c r="N397" s="333" t="s">
        <v>1613</v>
      </c>
      <c r="O397" s="333"/>
      <c r="P397" s="333"/>
      <c r="Q397" s="334"/>
      <c r="R397" s="106"/>
    </row>
    <row r="398" spans="1:18" s="105" customFormat="1" ht="45" hidden="1" customHeight="1" outlineLevel="1" thickBot="1" x14ac:dyDescent="0.3">
      <c r="A398" s="114">
        <f>+A422+0.1</f>
        <v>2.3000000000000003</v>
      </c>
      <c r="B398" s="109" t="s">
        <v>1162</v>
      </c>
      <c r="C398" s="109"/>
      <c r="D398" s="111"/>
      <c r="E398" s="111"/>
      <c r="F398" s="111" t="s">
        <v>1158</v>
      </c>
      <c r="G398" s="113"/>
      <c r="H398" s="112"/>
      <c r="I398" s="111"/>
      <c r="J398" s="108">
        <v>46141</v>
      </c>
      <c r="K398" s="109"/>
      <c r="L398" s="108"/>
      <c r="M398" s="107"/>
      <c r="N398" s="333" t="s">
        <v>1614</v>
      </c>
      <c r="O398" s="333"/>
      <c r="P398" s="333"/>
      <c r="Q398" s="334"/>
      <c r="R398" s="106"/>
    </row>
    <row r="399" spans="1:18" ht="16.5" collapsed="1" thickBot="1" x14ac:dyDescent="0.3">
      <c r="A399" s="133">
        <f>+A419+1</f>
        <v>4.0999999999999996</v>
      </c>
      <c r="B399" s="128" t="s">
        <v>1615</v>
      </c>
      <c r="C399" s="127" t="s">
        <v>1595</v>
      </c>
      <c r="D399" s="133"/>
      <c r="E399" s="126" t="s">
        <v>1616</v>
      </c>
      <c r="F399" s="136" t="s">
        <v>1158</v>
      </c>
      <c r="G399" s="135"/>
      <c r="H399" s="117" t="s">
        <v>1159</v>
      </c>
      <c r="I399" s="153" t="s">
        <v>1617</v>
      </c>
      <c r="J399" s="138">
        <v>45884</v>
      </c>
      <c r="K399" s="139"/>
      <c r="L399" s="138">
        <v>45953</v>
      </c>
      <c r="M399" s="133" t="s">
        <v>1238</v>
      </c>
      <c r="N399" s="115"/>
      <c r="O399" s="102"/>
      <c r="P399" s="102"/>
      <c r="Q399" s="101"/>
    </row>
    <row r="400" spans="1:18" s="105" customFormat="1" ht="72" hidden="1" customHeight="1" outlineLevel="1" thickBot="1" x14ac:dyDescent="0.3">
      <c r="A400" s="114">
        <f>+A424+0.1</f>
        <v>1.4000000000000001</v>
      </c>
      <c r="B400" s="109" t="s">
        <v>1162</v>
      </c>
      <c r="C400" s="109"/>
      <c r="D400" s="111"/>
      <c r="E400" s="111"/>
      <c r="F400" s="111" t="s">
        <v>1158</v>
      </c>
      <c r="G400" s="113"/>
      <c r="H400" s="112"/>
      <c r="I400" s="111"/>
      <c r="J400" s="108">
        <v>45945</v>
      </c>
      <c r="K400" s="109"/>
      <c r="L400" s="108"/>
      <c r="M400" s="107"/>
      <c r="N400" s="333" t="s">
        <v>1618</v>
      </c>
      <c r="O400" s="333"/>
      <c r="P400" s="333"/>
      <c r="Q400" s="334"/>
      <c r="R400" s="106"/>
    </row>
    <row r="401" spans="1:18" ht="16.5" collapsed="1" thickBot="1" x14ac:dyDescent="0.3">
      <c r="A401" s="133">
        <f>+A424+1</f>
        <v>2.2999999999999998</v>
      </c>
      <c r="B401" s="126" t="s">
        <v>1619</v>
      </c>
      <c r="C401" s="127" t="s">
        <v>1595</v>
      </c>
      <c r="D401" s="133"/>
      <c r="E401" s="126" t="s">
        <v>1616</v>
      </c>
      <c r="F401" s="136" t="s">
        <v>1409</v>
      </c>
      <c r="G401" s="158" t="s">
        <v>1620</v>
      </c>
      <c r="H401" s="117" t="s">
        <v>1159</v>
      </c>
      <c r="I401" s="153" t="s">
        <v>1621</v>
      </c>
      <c r="J401" s="138">
        <v>45912</v>
      </c>
      <c r="K401" s="139"/>
      <c r="L401" s="138">
        <v>45952</v>
      </c>
      <c r="M401" s="133" t="s">
        <v>1238</v>
      </c>
      <c r="N401" s="115"/>
      <c r="O401" s="102"/>
      <c r="P401" s="102"/>
      <c r="Q401" s="101"/>
    </row>
    <row r="402" spans="1:18" s="105" customFormat="1" ht="45" hidden="1" customHeight="1" outlineLevel="1" x14ac:dyDescent="0.3">
      <c r="A402" s="114">
        <f>+A426+0.1</f>
        <v>3.2</v>
      </c>
      <c r="B402" s="109" t="s">
        <v>1162</v>
      </c>
      <c r="C402" s="109"/>
      <c r="D402" s="111"/>
      <c r="E402" s="111"/>
      <c r="F402" s="111" t="s">
        <v>1158</v>
      </c>
      <c r="G402" s="113"/>
      <c r="H402" s="112"/>
      <c r="I402" s="111"/>
      <c r="J402" s="108">
        <v>45945</v>
      </c>
      <c r="K402" s="109"/>
      <c r="L402" s="108"/>
      <c r="M402" s="107"/>
      <c r="N402" s="333" t="s">
        <v>1622</v>
      </c>
      <c r="O402" s="333"/>
      <c r="P402" s="333"/>
      <c r="Q402" s="334"/>
      <c r="R402" s="106"/>
    </row>
    <row r="403" spans="1:18" s="105" customFormat="1" ht="45" hidden="1" customHeight="1" outlineLevel="1" thickBot="1" x14ac:dyDescent="0.3">
      <c r="A403" s="114">
        <f>+A427+0.1</f>
        <v>0.4</v>
      </c>
      <c r="B403" s="109" t="s">
        <v>1162</v>
      </c>
      <c r="C403" s="109"/>
      <c r="D403" s="111"/>
      <c r="E403" s="111"/>
      <c r="F403" s="111" t="s">
        <v>1158</v>
      </c>
      <c r="G403" s="113"/>
      <c r="H403" s="112"/>
      <c r="I403" s="111"/>
      <c r="J403" s="108">
        <v>45959</v>
      </c>
      <c r="K403" s="109"/>
      <c r="L403" s="108"/>
      <c r="M403" s="107"/>
      <c r="N403" s="333" t="s">
        <v>1623</v>
      </c>
      <c r="O403" s="333"/>
      <c r="P403" s="333"/>
      <c r="Q403" s="334"/>
      <c r="R403" s="106"/>
    </row>
    <row r="404" spans="1:18" ht="16.5" collapsed="1" thickBot="1" x14ac:dyDescent="0.3">
      <c r="A404" s="133">
        <f>+A426+1</f>
        <v>4.0999999999999996</v>
      </c>
      <c r="B404" s="126" t="s">
        <v>1624</v>
      </c>
      <c r="C404" s="127" t="s">
        <v>1595</v>
      </c>
      <c r="D404" s="133"/>
      <c r="E404" s="126" t="s">
        <v>1625</v>
      </c>
      <c r="F404" s="136" t="s">
        <v>1158</v>
      </c>
      <c r="G404" s="123"/>
      <c r="H404" s="117" t="s">
        <v>1159</v>
      </c>
      <c r="I404" s="153" t="s">
        <v>1626</v>
      </c>
      <c r="J404" s="124"/>
      <c r="K404" s="125"/>
      <c r="L404" s="124"/>
      <c r="M404" s="133" t="s">
        <v>1501</v>
      </c>
      <c r="N404" s="115"/>
      <c r="O404" s="102"/>
      <c r="P404" s="102"/>
      <c r="Q404" s="101"/>
    </row>
    <row r="405" spans="1:18" s="105" customFormat="1" ht="45" hidden="1" customHeight="1" outlineLevel="1" x14ac:dyDescent="0.3">
      <c r="A405" s="114">
        <f>+A429+0.1</f>
        <v>0.4</v>
      </c>
      <c r="B405" s="109" t="s">
        <v>1162</v>
      </c>
      <c r="C405" s="109"/>
      <c r="D405" s="111"/>
      <c r="E405" s="111"/>
      <c r="F405" s="111" t="s">
        <v>1158</v>
      </c>
      <c r="G405" s="113"/>
      <c r="H405" s="112"/>
      <c r="I405" s="111"/>
      <c r="J405" s="108">
        <v>45945</v>
      </c>
      <c r="K405" s="109"/>
      <c r="L405" s="108"/>
      <c r="M405" s="107"/>
      <c r="N405" s="333" t="s">
        <v>1627</v>
      </c>
      <c r="O405" s="333"/>
      <c r="P405" s="333"/>
      <c r="Q405" s="334"/>
      <c r="R405" s="106"/>
    </row>
    <row r="406" spans="1:18" s="105" customFormat="1" ht="45" hidden="1" customHeight="1" outlineLevel="1" x14ac:dyDescent="0.3">
      <c r="A406" s="114">
        <f>+A430+0.1</f>
        <v>1.3000000000000003</v>
      </c>
      <c r="B406" s="109" t="s">
        <v>1162</v>
      </c>
      <c r="C406" s="109"/>
      <c r="D406" s="111"/>
      <c r="E406" s="111"/>
      <c r="F406" s="111" t="s">
        <v>1158</v>
      </c>
      <c r="G406" s="113"/>
      <c r="H406" s="112"/>
      <c r="I406" s="111"/>
      <c r="J406" s="108">
        <v>45945</v>
      </c>
      <c r="K406" s="109"/>
      <c r="L406" s="108"/>
      <c r="M406" s="107"/>
      <c r="N406" s="333" t="s">
        <v>1628</v>
      </c>
      <c r="O406" s="333"/>
      <c r="P406" s="333"/>
      <c r="Q406" s="334"/>
      <c r="R406" s="106"/>
    </row>
    <row r="407" spans="1:18" s="105" customFormat="1" ht="56.45" hidden="1" customHeight="1" outlineLevel="1" thickBot="1" x14ac:dyDescent="0.3">
      <c r="A407" s="160">
        <f>+A431+0.1</f>
        <v>1.3000000000000003</v>
      </c>
      <c r="B407" s="109" t="s">
        <v>1162</v>
      </c>
      <c r="C407" s="109"/>
      <c r="D407" s="111"/>
      <c r="E407" s="111"/>
      <c r="F407" s="111" t="s">
        <v>1158</v>
      </c>
      <c r="G407" s="113"/>
      <c r="H407" s="112"/>
      <c r="I407" s="111"/>
      <c r="J407" s="108">
        <v>46120</v>
      </c>
      <c r="K407" s="109"/>
      <c r="L407" s="108"/>
      <c r="M407" s="107"/>
      <c r="N407" s="333" t="s">
        <v>1629</v>
      </c>
      <c r="O407" s="333"/>
      <c r="P407" s="333"/>
      <c r="Q407" s="334"/>
      <c r="R407" s="106"/>
    </row>
    <row r="408" spans="1:18" ht="16.5" hidden="1" collapsed="1" thickBot="1" x14ac:dyDescent="0.3">
      <c r="A408" s="133">
        <f>+A429+1</f>
        <v>1.3</v>
      </c>
      <c r="B408" s="126" t="s">
        <v>1630</v>
      </c>
      <c r="C408" s="127" t="s">
        <v>1595</v>
      </c>
      <c r="D408" s="133"/>
      <c r="E408" s="126" t="s">
        <v>1625</v>
      </c>
      <c r="F408" s="136" t="s">
        <v>1285</v>
      </c>
      <c r="G408" s="159" t="s">
        <v>1631</v>
      </c>
      <c r="H408" s="99" t="s">
        <v>1169</v>
      </c>
      <c r="I408" s="125"/>
      <c r="J408" s="124"/>
      <c r="K408" s="125"/>
      <c r="L408" s="124"/>
      <c r="M408" s="133" t="s">
        <v>1501</v>
      </c>
      <c r="N408" s="97"/>
      <c r="O408" s="96"/>
      <c r="P408" s="96"/>
      <c r="Q408" s="95"/>
    </row>
    <row r="409" spans="1:18" s="105" customFormat="1" ht="45" hidden="1" customHeight="1" outlineLevel="1" x14ac:dyDescent="0.3">
      <c r="A409" s="114">
        <f t="shared" ref="A409:A414" si="22">+A433+0.1</f>
        <v>1.3</v>
      </c>
      <c r="B409" s="109" t="s">
        <v>1162</v>
      </c>
      <c r="C409" s="109"/>
      <c r="D409" s="111"/>
      <c r="E409" s="111"/>
      <c r="F409" s="111" t="s">
        <v>1158</v>
      </c>
      <c r="G409" s="113"/>
      <c r="H409" s="112"/>
      <c r="I409" s="111"/>
      <c r="J409" s="108">
        <v>45966</v>
      </c>
      <c r="K409" s="109"/>
      <c r="L409" s="108"/>
      <c r="M409" s="107"/>
      <c r="N409" s="333" t="s">
        <v>1632</v>
      </c>
      <c r="O409" s="333"/>
      <c r="P409" s="333"/>
      <c r="Q409" s="334"/>
      <c r="R409" s="106"/>
    </row>
    <row r="410" spans="1:18" s="105" customFormat="1" ht="45" hidden="1" customHeight="1" outlineLevel="1" x14ac:dyDescent="0.3">
      <c r="A410" s="114">
        <f t="shared" si="22"/>
        <v>1.3000000000000003</v>
      </c>
      <c r="B410" s="109" t="s">
        <v>1162</v>
      </c>
      <c r="C410" s="109"/>
      <c r="D410" s="111"/>
      <c r="E410" s="111"/>
      <c r="F410" s="111" t="s">
        <v>1158</v>
      </c>
      <c r="G410" s="113"/>
      <c r="H410" s="112"/>
      <c r="I410" s="111"/>
      <c r="J410" s="108">
        <v>45995</v>
      </c>
      <c r="K410" s="109"/>
      <c r="L410" s="108"/>
      <c r="M410" s="107"/>
      <c r="N410" s="333" t="s">
        <v>1633</v>
      </c>
      <c r="O410" s="333"/>
      <c r="P410" s="333"/>
      <c r="Q410" s="334"/>
      <c r="R410" s="106"/>
    </row>
    <row r="411" spans="1:18" s="105" customFormat="1" ht="45" hidden="1" customHeight="1" outlineLevel="1" x14ac:dyDescent="0.3">
      <c r="A411" s="114">
        <f t="shared" si="22"/>
        <v>1.3000000000000003</v>
      </c>
      <c r="B411" s="109" t="s">
        <v>1162</v>
      </c>
      <c r="C411" s="109"/>
      <c r="D411" s="111"/>
      <c r="E411" s="111"/>
      <c r="F411" s="111" t="s">
        <v>1158</v>
      </c>
      <c r="G411" s="113"/>
      <c r="H411" s="112"/>
      <c r="I411" s="111"/>
      <c r="J411" s="108">
        <v>46120</v>
      </c>
      <c r="K411" s="109"/>
      <c r="L411" s="108"/>
      <c r="M411" s="107"/>
      <c r="N411" s="333" t="s">
        <v>1613</v>
      </c>
      <c r="O411" s="333"/>
      <c r="P411" s="333"/>
      <c r="Q411" s="334"/>
      <c r="R411" s="106"/>
    </row>
    <row r="412" spans="1:18" s="105" customFormat="1" ht="45" hidden="1" customHeight="1" outlineLevel="1" x14ac:dyDescent="0.3">
      <c r="A412" s="114">
        <f t="shared" si="22"/>
        <v>2.2000000000000002</v>
      </c>
      <c r="B412" s="109" t="s">
        <v>1162</v>
      </c>
      <c r="C412" s="109"/>
      <c r="D412" s="111"/>
      <c r="E412" s="111"/>
      <c r="F412" s="111" t="s">
        <v>1158</v>
      </c>
      <c r="G412" s="113"/>
      <c r="H412" s="112"/>
      <c r="I412" s="111"/>
      <c r="J412" s="108">
        <v>46128</v>
      </c>
      <c r="K412" s="109"/>
      <c r="L412" s="108"/>
      <c r="M412" s="107"/>
      <c r="N412" s="333" t="s">
        <v>1634</v>
      </c>
      <c r="O412" s="333"/>
      <c r="P412" s="333"/>
      <c r="Q412" s="334"/>
      <c r="R412" s="106"/>
    </row>
    <row r="413" spans="1:18" s="105" customFormat="1" ht="64.5" hidden="1" customHeight="1" outlineLevel="1" x14ac:dyDescent="0.3">
      <c r="A413" s="114">
        <f t="shared" si="22"/>
        <v>2.2000000000000002</v>
      </c>
      <c r="B413" s="109" t="s">
        <v>1162</v>
      </c>
      <c r="C413" s="109"/>
      <c r="D413" s="111"/>
      <c r="E413" s="111"/>
      <c r="F413" s="111" t="s">
        <v>1158</v>
      </c>
      <c r="G413" s="113"/>
      <c r="H413" s="112"/>
      <c r="I413" s="111"/>
      <c r="J413" s="108">
        <v>46134</v>
      </c>
      <c r="K413" s="109"/>
      <c r="L413" s="108"/>
      <c r="M413" s="107"/>
      <c r="N413" s="333" t="s">
        <v>1635</v>
      </c>
      <c r="O413" s="333"/>
      <c r="P413" s="333"/>
      <c r="Q413" s="334"/>
      <c r="R413" s="106"/>
    </row>
    <row r="414" spans="1:18" s="105" customFormat="1" ht="64.5" hidden="1" customHeight="1" outlineLevel="1" thickBot="1" x14ac:dyDescent="0.3">
      <c r="A414" s="114">
        <f t="shared" si="22"/>
        <v>1.3000000000000003</v>
      </c>
      <c r="B414" s="109" t="s">
        <v>1162</v>
      </c>
      <c r="C414" s="109"/>
      <c r="D414" s="111"/>
      <c r="E414" s="111"/>
      <c r="F414" s="111" t="s">
        <v>1158</v>
      </c>
      <c r="G414" s="113"/>
      <c r="H414" s="112"/>
      <c r="I414" s="111"/>
      <c r="J414" s="108">
        <v>46141</v>
      </c>
      <c r="K414" s="109"/>
      <c r="L414" s="108"/>
      <c r="M414" s="107"/>
      <c r="N414" s="333" t="s">
        <v>1636</v>
      </c>
      <c r="O414" s="333"/>
      <c r="P414" s="333"/>
      <c r="Q414" s="334"/>
      <c r="R414" s="106"/>
    </row>
    <row r="415" spans="1:18" ht="16.5" hidden="1" collapsed="1" thickBot="1" x14ac:dyDescent="0.3">
      <c r="A415" s="133">
        <f>+A433+1</f>
        <v>2.2000000000000002</v>
      </c>
      <c r="B415" s="128" t="s">
        <v>1637</v>
      </c>
      <c r="C415" s="127" t="s">
        <v>1595</v>
      </c>
      <c r="D415" s="133"/>
      <c r="E415" s="126" t="s">
        <v>1638</v>
      </c>
      <c r="F415" s="136" t="s">
        <v>1167</v>
      </c>
      <c r="G415" s="158" t="s">
        <v>1639</v>
      </c>
      <c r="H415" s="99" t="s">
        <v>1169</v>
      </c>
      <c r="I415" s="125"/>
      <c r="J415" s="124"/>
      <c r="K415" s="125"/>
      <c r="L415" s="138">
        <v>45968</v>
      </c>
      <c r="M415" s="133" t="s">
        <v>1238</v>
      </c>
      <c r="N415" s="97"/>
      <c r="O415" s="96"/>
      <c r="P415" s="96"/>
      <c r="Q415" s="95"/>
    </row>
    <row r="416" spans="1:18" s="105" customFormat="1" ht="45" hidden="1" customHeight="1" outlineLevel="1" x14ac:dyDescent="0.3">
      <c r="A416" s="114">
        <f>+A440+0.1</f>
        <v>2.2000000000000002</v>
      </c>
      <c r="B416" s="109" t="s">
        <v>1162</v>
      </c>
      <c r="C416" s="109"/>
      <c r="D416" s="111"/>
      <c r="E416" s="111"/>
      <c r="F416" s="111" t="s">
        <v>1158</v>
      </c>
      <c r="G416" s="113"/>
      <c r="H416" s="112"/>
      <c r="I416" s="111"/>
      <c r="J416" s="108">
        <v>45945</v>
      </c>
      <c r="K416" s="109"/>
      <c r="L416" s="108"/>
      <c r="M416" s="107"/>
      <c r="N416" s="333" t="s">
        <v>1640</v>
      </c>
      <c r="O416" s="333"/>
      <c r="P416" s="333"/>
      <c r="Q416" s="334"/>
      <c r="R416" s="106"/>
    </row>
    <row r="417" spans="1:18" s="105" customFormat="1" ht="45" hidden="1" customHeight="1" outlineLevel="1" x14ac:dyDescent="0.3">
      <c r="A417" s="114">
        <f>+A441+0.1</f>
        <v>1.3</v>
      </c>
      <c r="B417" s="109" t="s">
        <v>1162</v>
      </c>
      <c r="C417" s="109"/>
      <c r="D417" s="111"/>
      <c r="E417" s="111"/>
      <c r="F417" s="111" t="s">
        <v>1158</v>
      </c>
      <c r="G417" s="113"/>
      <c r="H417" s="112"/>
      <c r="I417" s="111"/>
      <c r="J417" s="108">
        <v>45973</v>
      </c>
      <c r="K417" s="109"/>
      <c r="L417" s="108"/>
      <c r="M417" s="107"/>
      <c r="N417" s="333" t="s">
        <v>1641</v>
      </c>
      <c r="O417" s="333"/>
      <c r="P417" s="333"/>
      <c r="Q417" s="334"/>
      <c r="R417" s="106"/>
    </row>
    <row r="418" spans="1:18" s="105" customFormat="1" ht="45" hidden="1" customHeight="1" outlineLevel="1" thickBot="1" x14ac:dyDescent="0.3">
      <c r="A418" s="114">
        <f>+A442+0.1</f>
        <v>2.2000000000000002</v>
      </c>
      <c r="B418" s="109" t="s">
        <v>1162</v>
      </c>
      <c r="C418" s="109"/>
      <c r="D418" s="111"/>
      <c r="E418" s="111"/>
      <c r="F418" s="111" t="s">
        <v>1158</v>
      </c>
      <c r="G418" s="113"/>
      <c r="H418" s="112"/>
      <c r="I418" s="111"/>
      <c r="J418" s="108">
        <v>46064</v>
      </c>
      <c r="K418" s="109"/>
      <c r="L418" s="108"/>
      <c r="M418" s="107"/>
      <c r="N418" s="333" t="s">
        <v>1642</v>
      </c>
      <c r="O418" s="333"/>
      <c r="P418" s="333"/>
      <c r="Q418" s="334"/>
      <c r="R418" s="106"/>
    </row>
    <row r="419" spans="1:18" ht="16.5" collapsed="1" thickBot="1" x14ac:dyDescent="0.3">
      <c r="A419" s="136">
        <f>+A440+1</f>
        <v>3.1</v>
      </c>
      <c r="B419" s="124" t="s">
        <v>1643</v>
      </c>
      <c r="C419" s="125" t="s">
        <v>1595</v>
      </c>
      <c r="D419" s="136"/>
      <c r="E419" s="124" t="s">
        <v>1638</v>
      </c>
      <c r="F419" s="136" t="s">
        <v>1158</v>
      </c>
      <c r="G419" s="141" t="s">
        <v>1597</v>
      </c>
      <c r="H419" s="117" t="s">
        <v>1159</v>
      </c>
      <c r="I419" s="156" t="s">
        <v>1316</v>
      </c>
      <c r="J419" s="124"/>
      <c r="K419" s="125"/>
      <c r="L419" s="124"/>
      <c r="M419" s="136"/>
      <c r="N419" s="115"/>
      <c r="O419" s="102"/>
      <c r="P419" s="102"/>
      <c r="Q419" s="101"/>
    </row>
    <row r="420" spans="1:18" ht="16.5" hidden="1" thickBot="1" x14ac:dyDescent="0.3">
      <c r="A420" s="126">
        <f t="shared" ref="A420:A426" si="23">+A444+1</f>
        <v>3.1</v>
      </c>
      <c r="B420" s="126" t="s">
        <v>1644</v>
      </c>
      <c r="C420" s="127" t="s">
        <v>1645</v>
      </c>
      <c r="D420" s="126"/>
      <c r="E420" s="126"/>
      <c r="F420" s="136" t="s">
        <v>1158</v>
      </c>
      <c r="G420" s="158" t="s">
        <v>1570</v>
      </c>
      <c r="H420" s="99" t="s">
        <v>1169</v>
      </c>
      <c r="I420" s="125"/>
      <c r="J420" s="126"/>
      <c r="K420" s="127"/>
      <c r="L420" s="126"/>
      <c r="M420" s="126"/>
      <c r="N420" s="97"/>
      <c r="O420" s="96"/>
      <c r="P420" s="96"/>
      <c r="Q420" s="95"/>
    </row>
    <row r="421" spans="1:18" ht="16.5" hidden="1" thickBot="1" x14ac:dyDescent="0.3">
      <c r="A421" s="126">
        <f t="shared" si="23"/>
        <v>3.1</v>
      </c>
      <c r="B421" s="126" t="s">
        <v>1646</v>
      </c>
      <c r="C421" s="127" t="s">
        <v>1647</v>
      </c>
      <c r="D421" s="126"/>
      <c r="E421" s="126"/>
      <c r="F421" s="126" t="s">
        <v>1187</v>
      </c>
      <c r="G421" s="123"/>
      <c r="H421" s="99" t="s">
        <v>1169</v>
      </c>
      <c r="I421" s="98" t="s">
        <v>1271</v>
      </c>
      <c r="J421" s="126"/>
      <c r="K421" s="127"/>
      <c r="L421" s="126"/>
      <c r="M421" s="126"/>
      <c r="N421" s="97"/>
      <c r="O421" s="96"/>
      <c r="P421" s="96"/>
      <c r="Q421" s="95"/>
    </row>
    <row r="422" spans="1:18" ht="16.5" hidden="1" thickBot="1" x14ac:dyDescent="0.3">
      <c r="A422" s="133">
        <f t="shared" si="23"/>
        <v>2.2000000000000002</v>
      </c>
      <c r="B422" s="133" t="s">
        <v>1648</v>
      </c>
      <c r="C422" s="134" t="s">
        <v>1649</v>
      </c>
      <c r="D422" s="133"/>
      <c r="E422" s="133" t="s">
        <v>1650</v>
      </c>
      <c r="F422" s="136" t="s">
        <v>1158</v>
      </c>
      <c r="G422" s="123" t="s">
        <v>1270</v>
      </c>
      <c r="H422" s="99" t="s">
        <v>1169</v>
      </c>
      <c r="I422" s="98" t="s">
        <v>1271</v>
      </c>
      <c r="J422" s="133"/>
      <c r="K422" s="134"/>
      <c r="L422" s="133"/>
      <c r="M422" s="133"/>
      <c r="N422" s="103"/>
      <c r="O422" s="102"/>
      <c r="P422" s="102"/>
      <c r="Q422" s="101"/>
    </row>
    <row r="423" spans="1:18" ht="16.5" thickBot="1" x14ac:dyDescent="0.3">
      <c r="A423" s="133">
        <f t="shared" si="23"/>
        <v>1.3</v>
      </c>
      <c r="B423" s="133" t="s">
        <v>1651</v>
      </c>
      <c r="C423" s="134" t="s">
        <v>1649</v>
      </c>
      <c r="D423" s="133"/>
      <c r="E423" s="133" t="s">
        <v>1650</v>
      </c>
      <c r="F423" s="126" t="s">
        <v>1187</v>
      </c>
      <c r="G423" s="123" t="s">
        <v>1270</v>
      </c>
      <c r="H423" s="117" t="s">
        <v>1159</v>
      </c>
      <c r="I423" s="157" t="s">
        <v>1652</v>
      </c>
      <c r="J423" s="133"/>
      <c r="K423" s="134"/>
      <c r="L423" s="133"/>
      <c r="M423" s="133"/>
      <c r="N423" s="115"/>
      <c r="O423" s="102"/>
      <c r="P423" s="102"/>
      <c r="Q423" s="101"/>
    </row>
    <row r="424" spans="1:18" ht="16.5" hidden="1" thickBot="1" x14ac:dyDescent="0.3">
      <c r="A424" s="136">
        <f t="shared" si="23"/>
        <v>1.3</v>
      </c>
      <c r="B424" s="136" t="s">
        <v>1653</v>
      </c>
      <c r="C424" s="140" t="s">
        <v>1649</v>
      </c>
      <c r="D424" s="136"/>
      <c r="E424" s="136" t="s">
        <v>1650</v>
      </c>
      <c r="F424" s="136" t="s">
        <v>1158</v>
      </c>
      <c r="G424" s="123" t="s">
        <v>1270</v>
      </c>
      <c r="H424" s="99" t="s">
        <v>1169</v>
      </c>
      <c r="I424" s="98" t="s">
        <v>1271</v>
      </c>
      <c r="J424" s="136"/>
      <c r="K424" s="140"/>
      <c r="L424" s="136"/>
      <c r="M424" s="136"/>
      <c r="N424" s="103"/>
      <c r="O424" s="102"/>
      <c r="P424" s="102"/>
      <c r="Q424" s="101"/>
    </row>
    <row r="425" spans="1:18" ht="16.5" hidden="1" thickBot="1" x14ac:dyDescent="0.3">
      <c r="A425" s="126">
        <f t="shared" si="23"/>
        <v>3.1</v>
      </c>
      <c r="B425" s="126" t="s">
        <v>1654</v>
      </c>
      <c r="C425" s="127" t="s">
        <v>1655</v>
      </c>
      <c r="D425" s="126"/>
      <c r="E425" s="126" t="s">
        <v>1656</v>
      </c>
      <c r="F425" s="136" t="s">
        <v>1158</v>
      </c>
      <c r="G425" s="128" t="s">
        <v>1657</v>
      </c>
      <c r="H425" s="99" t="s">
        <v>1169</v>
      </c>
      <c r="I425" s="127"/>
      <c r="J425" s="126"/>
      <c r="K425" s="127"/>
      <c r="L425" s="126"/>
      <c r="M425" s="126"/>
      <c r="N425" s="97"/>
      <c r="O425" s="96"/>
      <c r="P425" s="96"/>
      <c r="Q425" s="95"/>
    </row>
    <row r="426" spans="1:18" ht="16.5" thickBot="1" x14ac:dyDescent="0.3">
      <c r="A426" s="133">
        <f t="shared" si="23"/>
        <v>3.1</v>
      </c>
      <c r="B426" s="126" t="s">
        <v>1658</v>
      </c>
      <c r="C426" s="127" t="s">
        <v>1655</v>
      </c>
      <c r="D426" s="133" t="s">
        <v>1659</v>
      </c>
      <c r="E426" s="133"/>
      <c r="F426" s="136" t="s">
        <v>1158</v>
      </c>
      <c r="G426" s="135"/>
      <c r="H426" s="117" t="s">
        <v>1159</v>
      </c>
      <c r="I426" s="157" t="s">
        <v>1660</v>
      </c>
      <c r="J426" s="136"/>
      <c r="K426" s="140"/>
      <c r="L426" s="136"/>
      <c r="M426" s="133" t="s">
        <v>1272</v>
      </c>
      <c r="N426" s="115"/>
      <c r="O426" s="102"/>
      <c r="P426" s="102"/>
      <c r="Q426" s="101"/>
    </row>
    <row r="427" spans="1:18" s="105" customFormat="1" ht="45" hidden="1" customHeight="1" outlineLevel="1" x14ac:dyDescent="0.3">
      <c r="A427" s="114">
        <f t="shared" ref="A427:A432" si="24">+A451+0.1</f>
        <v>0.30000000000000004</v>
      </c>
      <c r="B427" s="109" t="s">
        <v>1162</v>
      </c>
      <c r="C427" s="109"/>
      <c r="D427" s="111"/>
      <c r="E427" s="111"/>
      <c r="F427" s="111" t="s">
        <v>1158</v>
      </c>
      <c r="G427" s="113"/>
      <c r="H427" s="112"/>
      <c r="I427" s="111"/>
      <c r="J427" s="108">
        <v>45945</v>
      </c>
      <c r="K427" s="109"/>
      <c r="L427" s="108"/>
      <c r="M427" s="107"/>
      <c r="N427" s="333" t="s">
        <v>1661</v>
      </c>
      <c r="O427" s="333"/>
      <c r="P427" s="333"/>
      <c r="Q427" s="334"/>
      <c r="R427" s="106"/>
    </row>
    <row r="428" spans="1:18" s="105" customFormat="1" ht="45" hidden="1" customHeight="1" outlineLevel="1" x14ac:dyDescent="0.3">
      <c r="A428" s="114">
        <f t="shared" si="24"/>
        <v>1.3</v>
      </c>
      <c r="B428" s="109" t="s">
        <v>1162</v>
      </c>
      <c r="C428" s="109"/>
      <c r="D428" s="111"/>
      <c r="E428" s="111"/>
      <c r="F428" s="111" t="s">
        <v>1158</v>
      </c>
      <c r="G428" s="113"/>
      <c r="H428" s="112"/>
      <c r="I428" s="111"/>
      <c r="J428" s="108">
        <v>46107</v>
      </c>
      <c r="K428" s="109"/>
      <c r="L428" s="108"/>
      <c r="M428" s="107"/>
      <c r="N428" s="333" t="s">
        <v>1662</v>
      </c>
      <c r="O428" s="333"/>
      <c r="P428" s="333"/>
      <c r="Q428" s="334"/>
      <c r="R428" s="106"/>
    </row>
    <row r="429" spans="1:18" s="105" customFormat="1" ht="45" hidden="1" customHeight="1" outlineLevel="1" x14ac:dyDescent="0.3">
      <c r="A429" s="114">
        <f t="shared" si="24"/>
        <v>0.30000000000000004</v>
      </c>
      <c r="B429" s="109" t="s">
        <v>1162</v>
      </c>
      <c r="C429" s="109"/>
      <c r="D429" s="111"/>
      <c r="E429" s="111"/>
      <c r="F429" s="111" t="s">
        <v>1158</v>
      </c>
      <c r="G429" s="113"/>
      <c r="H429" s="112"/>
      <c r="I429" s="111"/>
      <c r="J429" s="108">
        <v>46120</v>
      </c>
      <c r="K429" s="109"/>
      <c r="L429" s="108"/>
      <c r="M429" s="107"/>
      <c r="N429" s="333" t="s">
        <v>1663</v>
      </c>
      <c r="O429" s="333"/>
      <c r="P429" s="333"/>
      <c r="Q429" s="334"/>
      <c r="R429" s="106"/>
    </row>
    <row r="430" spans="1:18" s="105" customFormat="1" ht="45" hidden="1" customHeight="1" outlineLevel="1" x14ac:dyDescent="0.3">
      <c r="A430" s="114">
        <f t="shared" si="24"/>
        <v>1.2000000000000002</v>
      </c>
      <c r="B430" s="109" t="s">
        <v>1162</v>
      </c>
      <c r="C430" s="109"/>
      <c r="D430" s="111"/>
      <c r="E430" s="111"/>
      <c r="F430" s="111" t="s">
        <v>1158</v>
      </c>
      <c r="G430" s="113"/>
      <c r="H430" s="112"/>
      <c r="I430" s="111"/>
      <c r="J430" s="108">
        <v>46128</v>
      </c>
      <c r="K430" s="109"/>
      <c r="L430" s="108"/>
      <c r="M430" s="107"/>
      <c r="N430" s="333" t="s">
        <v>1664</v>
      </c>
      <c r="O430" s="333"/>
      <c r="P430" s="333"/>
      <c r="Q430" s="334"/>
      <c r="R430" s="106"/>
    </row>
    <row r="431" spans="1:18" s="105" customFormat="1" ht="45" hidden="1" customHeight="1" outlineLevel="1" x14ac:dyDescent="0.3">
      <c r="A431" s="114">
        <f t="shared" si="24"/>
        <v>1.2000000000000002</v>
      </c>
      <c r="B431" s="109" t="s">
        <v>1162</v>
      </c>
      <c r="C431" s="109"/>
      <c r="D431" s="111"/>
      <c r="E431" s="111"/>
      <c r="F431" s="111" t="s">
        <v>1158</v>
      </c>
      <c r="G431" s="113"/>
      <c r="H431" s="112"/>
      <c r="I431" s="111"/>
      <c r="J431" s="108">
        <v>46134</v>
      </c>
      <c r="K431" s="109"/>
      <c r="L431" s="108"/>
      <c r="M431" s="107"/>
      <c r="N431" s="333" t="s">
        <v>1665</v>
      </c>
      <c r="O431" s="333"/>
      <c r="P431" s="333"/>
      <c r="Q431" s="334"/>
      <c r="R431" s="106"/>
    </row>
    <row r="432" spans="1:18" s="105" customFormat="1" ht="45" hidden="1" customHeight="1" outlineLevel="1" thickBot="1" x14ac:dyDescent="0.3">
      <c r="A432" s="114">
        <f t="shared" si="24"/>
        <v>1.2000000000000002</v>
      </c>
      <c r="B432" s="109" t="s">
        <v>1162</v>
      </c>
      <c r="C432" s="109"/>
      <c r="D432" s="111"/>
      <c r="E432" s="111"/>
      <c r="F432" s="111" t="s">
        <v>1158</v>
      </c>
      <c r="G432" s="113"/>
      <c r="H432" s="112"/>
      <c r="I432" s="111"/>
      <c r="J432" s="108">
        <v>46141</v>
      </c>
      <c r="K432" s="109"/>
      <c r="L432" s="108"/>
      <c r="M432" s="107"/>
      <c r="N432" s="333" t="s">
        <v>1666</v>
      </c>
      <c r="O432" s="333"/>
      <c r="P432" s="333"/>
      <c r="Q432" s="334"/>
      <c r="R432" s="106"/>
    </row>
    <row r="433" spans="1:18" ht="16.5" collapsed="1" thickBot="1" x14ac:dyDescent="0.3">
      <c r="A433" s="133">
        <f>+A451+1</f>
        <v>1.2</v>
      </c>
      <c r="B433" s="126" t="s">
        <v>1667</v>
      </c>
      <c r="C433" s="127" t="s">
        <v>1655</v>
      </c>
      <c r="D433" s="133" t="s">
        <v>1668</v>
      </c>
      <c r="E433" s="133"/>
      <c r="F433" s="136" t="s">
        <v>1158</v>
      </c>
      <c r="G433" s="135"/>
      <c r="H433" s="117" t="s">
        <v>1159</v>
      </c>
      <c r="I433" s="156" t="s">
        <v>1316</v>
      </c>
      <c r="J433" s="124"/>
      <c r="K433" s="125"/>
      <c r="L433" s="124"/>
      <c r="M433" s="133" t="s">
        <v>1238</v>
      </c>
      <c r="N433" s="115"/>
      <c r="O433" s="102"/>
      <c r="P433" s="102"/>
      <c r="Q433" s="101"/>
    </row>
    <row r="434" spans="1:18" s="105" customFormat="1" ht="45" hidden="1" customHeight="1" outlineLevel="1" x14ac:dyDescent="0.3">
      <c r="A434" s="114">
        <f>+A458+0.1</f>
        <v>1.2000000000000002</v>
      </c>
      <c r="B434" s="109" t="s">
        <v>1162</v>
      </c>
      <c r="C434" s="109"/>
      <c r="D434" s="111"/>
      <c r="E434" s="111"/>
      <c r="F434" s="111" t="s">
        <v>1158</v>
      </c>
      <c r="G434" s="113"/>
      <c r="H434" s="112"/>
      <c r="I434" s="111"/>
      <c r="J434" s="108">
        <v>45945</v>
      </c>
      <c r="K434" s="109"/>
      <c r="L434" s="108"/>
      <c r="M434" s="107"/>
      <c r="N434" s="333" t="s">
        <v>1661</v>
      </c>
      <c r="O434" s="333"/>
      <c r="P434" s="333"/>
      <c r="Q434" s="334"/>
      <c r="R434" s="106"/>
    </row>
    <row r="435" spans="1:18" s="105" customFormat="1" ht="45" hidden="1" customHeight="1" outlineLevel="1" x14ac:dyDescent="0.3">
      <c r="A435" s="114">
        <f>+A459+0.1</f>
        <v>1.2000000000000002</v>
      </c>
      <c r="B435" s="109" t="s">
        <v>1162</v>
      </c>
      <c r="C435" s="109"/>
      <c r="D435" s="111"/>
      <c r="E435" s="111"/>
      <c r="F435" s="111" t="s">
        <v>1158</v>
      </c>
      <c r="G435" s="113"/>
      <c r="H435" s="112"/>
      <c r="I435" s="111"/>
      <c r="J435" s="108">
        <v>46120</v>
      </c>
      <c r="K435" s="109"/>
      <c r="L435" s="108"/>
      <c r="M435" s="107"/>
      <c r="N435" s="333" t="s">
        <v>1669</v>
      </c>
      <c r="O435" s="333"/>
      <c r="P435" s="333"/>
      <c r="Q435" s="334"/>
      <c r="R435" s="106"/>
    </row>
    <row r="436" spans="1:18" s="105" customFormat="1" ht="45" hidden="1" customHeight="1" outlineLevel="1" thickBot="1" x14ac:dyDescent="0.3">
      <c r="A436" s="114">
        <f>+A460+0.1</f>
        <v>2.1</v>
      </c>
      <c r="B436" s="109" t="s">
        <v>1162</v>
      </c>
      <c r="C436" s="109"/>
      <c r="D436" s="111"/>
      <c r="E436" s="111"/>
      <c r="F436" s="111" t="s">
        <v>1158</v>
      </c>
      <c r="G436" s="113"/>
      <c r="H436" s="112"/>
      <c r="I436" s="111"/>
      <c r="J436" s="108">
        <v>46141</v>
      </c>
      <c r="K436" s="109"/>
      <c r="L436" s="108"/>
      <c r="M436" s="107"/>
      <c r="N436" s="333" t="s">
        <v>1670</v>
      </c>
      <c r="O436" s="333"/>
      <c r="P436" s="333"/>
      <c r="Q436" s="334"/>
      <c r="R436" s="106"/>
    </row>
    <row r="437" spans="1:18" ht="16.5" hidden="1" collapsed="1" thickBot="1" x14ac:dyDescent="0.3">
      <c r="A437" s="133">
        <f>+A458+1</f>
        <v>2.1</v>
      </c>
      <c r="B437" s="128" t="s">
        <v>1671</v>
      </c>
      <c r="C437" s="127" t="s">
        <v>1655</v>
      </c>
      <c r="D437" s="133" t="s">
        <v>1672</v>
      </c>
      <c r="E437" s="133"/>
      <c r="F437" s="136" t="s">
        <v>1247</v>
      </c>
      <c r="G437" s="141" t="s">
        <v>1673</v>
      </c>
      <c r="H437" s="99" t="s">
        <v>1169</v>
      </c>
      <c r="I437" s="127"/>
      <c r="J437" s="124"/>
      <c r="K437" s="125"/>
      <c r="L437" s="124"/>
      <c r="M437" s="133" t="s">
        <v>1272</v>
      </c>
      <c r="N437" s="97"/>
      <c r="O437" s="96"/>
      <c r="P437" s="96"/>
      <c r="Q437" s="95"/>
    </row>
    <row r="438" spans="1:18" s="105" customFormat="1" ht="45" hidden="1" customHeight="1" outlineLevel="1" x14ac:dyDescent="0.3">
      <c r="A438" s="114">
        <f>+A462+0.1</f>
        <v>1.2000000000000002</v>
      </c>
      <c r="B438" s="109" t="s">
        <v>1162</v>
      </c>
      <c r="C438" s="109"/>
      <c r="D438" s="111"/>
      <c r="E438" s="111"/>
      <c r="F438" s="111" t="s">
        <v>1158</v>
      </c>
      <c r="G438" s="113"/>
      <c r="H438" s="112"/>
      <c r="I438" s="111"/>
      <c r="J438" s="108">
        <v>46120</v>
      </c>
      <c r="K438" s="109"/>
      <c r="L438" s="108"/>
      <c r="M438" s="107"/>
      <c r="N438" s="333" t="s">
        <v>1674</v>
      </c>
      <c r="O438" s="333"/>
      <c r="P438" s="333"/>
      <c r="Q438" s="334"/>
      <c r="R438" s="106"/>
    </row>
    <row r="439" spans="1:18" s="105" customFormat="1" ht="45" hidden="1" customHeight="1" outlineLevel="1" thickBot="1" x14ac:dyDescent="0.3">
      <c r="A439" s="114">
        <f>+A463+0.1</f>
        <v>0.30000000000000004</v>
      </c>
      <c r="B439" s="109" t="s">
        <v>1162</v>
      </c>
      <c r="C439" s="109"/>
      <c r="D439" s="111"/>
      <c r="E439" s="111"/>
      <c r="F439" s="111" t="s">
        <v>1158</v>
      </c>
      <c r="G439" s="113"/>
      <c r="H439" s="112"/>
      <c r="I439" s="111"/>
      <c r="J439" s="108">
        <v>46128</v>
      </c>
      <c r="K439" s="109"/>
      <c r="L439" s="108"/>
      <c r="M439" s="107"/>
      <c r="N439" s="333" t="s">
        <v>1388</v>
      </c>
      <c r="O439" s="333"/>
      <c r="P439" s="333"/>
      <c r="Q439" s="334"/>
      <c r="R439" s="106"/>
    </row>
    <row r="440" spans="1:18" ht="16.5" hidden="1" collapsed="1" thickBot="1" x14ac:dyDescent="0.3">
      <c r="A440" s="136">
        <f>+A462+1</f>
        <v>2.1</v>
      </c>
      <c r="B440" s="124" t="s">
        <v>1675</v>
      </c>
      <c r="C440" s="125" t="s">
        <v>1655</v>
      </c>
      <c r="D440" s="136" t="s">
        <v>1676</v>
      </c>
      <c r="E440" s="136"/>
      <c r="F440" s="136" t="s">
        <v>1158</v>
      </c>
      <c r="G440" s="123" t="s">
        <v>1270</v>
      </c>
      <c r="H440" s="99" t="s">
        <v>1169</v>
      </c>
      <c r="I440" s="155" t="s">
        <v>1271</v>
      </c>
      <c r="J440" s="124"/>
      <c r="K440" s="125"/>
      <c r="L440" s="124"/>
      <c r="M440" s="136"/>
      <c r="N440" s="97"/>
      <c r="O440" s="96"/>
      <c r="P440" s="96"/>
      <c r="Q440" s="95"/>
    </row>
    <row r="441" spans="1:18" ht="16.5" hidden="1" thickBot="1" x14ac:dyDescent="0.3">
      <c r="A441" s="136">
        <f t="shared" ref="A441:A446" si="25">+A465+1</f>
        <v>1.2</v>
      </c>
      <c r="B441" s="137" t="s">
        <v>1677</v>
      </c>
      <c r="C441" s="125" t="s">
        <v>1655</v>
      </c>
      <c r="D441" s="136" t="s">
        <v>1678</v>
      </c>
      <c r="E441" s="136"/>
      <c r="F441" s="136" t="s">
        <v>1158</v>
      </c>
      <c r="G441" s="123" t="s">
        <v>1270</v>
      </c>
      <c r="H441" s="99" t="s">
        <v>1169</v>
      </c>
      <c r="I441" s="98" t="s">
        <v>1271</v>
      </c>
      <c r="J441" s="136"/>
      <c r="K441" s="140"/>
      <c r="L441" s="136"/>
      <c r="M441" s="136"/>
      <c r="N441" s="103"/>
      <c r="O441" s="102"/>
      <c r="P441" s="102"/>
      <c r="Q441" s="101"/>
    </row>
    <row r="442" spans="1:18" ht="16.5" hidden="1" thickBot="1" x14ac:dyDescent="0.3">
      <c r="A442" s="126">
        <f t="shared" si="25"/>
        <v>2.1</v>
      </c>
      <c r="B442" s="128" t="s">
        <v>888</v>
      </c>
      <c r="C442" s="127" t="s">
        <v>1679</v>
      </c>
      <c r="D442" s="126" t="s">
        <v>1678</v>
      </c>
      <c r="E442" s="126"/>
      <c r="F442" s="154" t="s">
        <v>1167</v>
      </c>
      <c r="G442" s="128" t="s">
        <v>1680</v>
      </c>
      <c r="H442" s="99" t="s">
        <v>1169</v>
      </c>
      <c r="I442" s="127"/>
      <c r="J442" s="126"/>
      <c r="K442" s="127"/>
      <c r="L442" s="126"/>
      <c r="M442" s="126"/>
      <c r="N442" s="103"/>
      <c r="O442" s="102"/>
      <c r="P442" s="102"/>
      <c r="Q442" s="101"/>
    </row>
    <row r="443" spans="1:18" ht="16.5" hidden="1" thickBot="1" x14ac:dyDescent="0.3">
      <c r="A443" s="133">
        <f t="shared" si="25"/>
        <v>2.1</v>
      </c>
      <c r="B443" s="126" t="s">
        <v>1681</v>
      </c>
      <c r="C443" s="127" t="s">
        <v>1679</v>
      </c>
      <c r="D443" s="133" t="s">
        <v>1682</v>
      </c>
      <c r="E443" s="133"/>
      <c r="F443" s="133" t="s">
        <v>1683</v>
      </c>
      <c r="G443" s="123"/>
      <c r="H443" s="99" t="s">
        <v>1169</v>
      </c>
      <c r="I443" s="134" t="s">
        <v>1684</v>
      </c>
      <c r="J443" s="133"/>
      <c r="K443" s="134"/>
      <c r="L443" s="133"/>
      <c r="M443" s="133"/>
      <c r="N443" s="103"/>
      <c r="O443" s="102"/>
      <c r="P443" s="102"/>
      <c r="Q443" s="101"/>
    </row>
    <row r="444" spans="1:18" ht="16.5" hidden="1" thickBot="1" x14ac:dyDescent="0.3">
      <c r="A444" s="133">
        <f t="shared" si="25"/>
        <v>2.1</v>
      </c>
      <c r="B444" s="128" t="s">
        <v>53</v>
      </c>
      <c r="C444" s="127" t="s">
        <v>1679</v>
      </c>
      <c r="D444" s="133" t="s">
        <v>1685</v>
      </c>
      <c r="E444" s="133"/>
      <c r="F444" s="136" t="s">
        <v>1247</v>
      </c>
      <c r="G444" s="135" t="s">
        <v>1686</v>
      </c>
      <c r="H444" s="99" t="s">
        <v>1169</v>
      </c>
      <c r="I444" s="134"/>
      <c r="J444" s="133"/>
      <c r="K444" s="134"/>
      <c r="L444" s="133"/>
      <c r="M444" s="133"/>
      <c r="N444" s="97"/>
      <c r="O444" s="96"/>
      <c r="P444" s="96"/>
      <c r="Q444" s="95"/>
    </row>
    <row r="445" spans="1:18" ht="16.5" thickBot="1" x14ac:dyDescent="0.3">
      <c r="A445" s="136">
        <f t="shared" si="25"/>
        <v>2.1</v>
      </c>
      <c r="B445" s="124" t="s">
        <v>1687</v>
      </c>
      <c r="C445" s="125" t="s">
        <v>1679</v>
      </c>
      <c r="D445" s="136" t="s">
        <v>1685</v>
      </c>
      <c r="E445" s="136"/>
      <c r="F445" s="136" t="s">
        <v>1158</v>
      </c>
      <c r="G445" s="128"/>
      <c r="H445" s="117" t="s">
        <v>1159</v>
      </c>
      <c r="I445" s="153" t="s">
        <v>1688</v>
      </c>
      <c r="J445" s="136"/>
      <c r="K445" s="140"/>
      <c r="L445" s="136"/>
      <c r="M445" s="136"/>
      <c r="N445" s="115"/>
      <c r="O445" s="102"/>
      <c r="P445" s="102"/>
      <c r="Q445" s="101"/>
    </row>
    <row r="446" spans="1:18" ht="16.5" hidden="1" thickBot="1" x14ac:dyDescent="0.3">
      <c r="A446" s="136">
        <f t="shared" si="25"/>
        <v>1.2</v>
      </c>
      <c r="B446" s="137" t="s">
        <v>1689</v>
      </c>
      <c r="C446" s="125" t="s">
        <v>1679</v>
      </c>
      <c r="D446" s="133" t="s">
        <v>1682</v>
      </c>
      <c r="E446" s="136"/>
      <c r="F446" s="126" t="s">
        <v>1190</v>
      </c>
      <c r="G446" s="128" t="s">
        <v>1690</v>
      </c>
      <c r="H446" s="99" t="s">
        <v>1169</v>
      </c>
      <c r="I446" s="140"/>
      <c r="J446" s="152">
        <v>46104</v>
      </c>
      <c r="K446" s="140"/>
      <c r="L446" s="152">
        <v>46140</v>
      </c>
      <c r="M446" s="136" t="s">
        <v>1272</v>
      </c>
      <c r="N446" s="97"/>
      <c r="O446" s="96"/>
      <c r="P446" s="96"/>
      <c r="Q446" s="95"/>
    </row>
    <row r="447" spans="1:18" s="105" customFormat="1" ht="45" hidden="1" customHeight="1" outlineLevel="1" x14ac:dyDescent="0.3">
      <c r="A447" s="114">
        <f>+A471+0.1</f>
        <v>0.30000000000000004</v>
      </c>
      <c r="B447" s="109" t="s">
        <v>1162</v>
      </c>
      <c r="C447" s="109"/>
      <c r="D447" s="111"/>
      <c r="E447" s="111"/>
      <c r="F447" s="111" t="s">
        <v>1158</v>
      </c>
      <c r="G447" s="113"/>
      <c r="H447" s="112"/>
      <c r="I447" s="111"/>
      <c r="J447" s="108">
        <v>46107</v>
      </c>
      <c r="K447" s="109"/>
      <c r="L447" s="108"/>
      <c r="M447" s="107"/>
      <c r="N447" s="333" t="s">
        <v>1691</v>
      </c>
      <c r="O447" s="333"/>
      <c r="P447" s="333"/>
      <c r="Q447" s="334"/>
      <c r="R447" s="106"/>
    </row>
    <row r="448" spans="1:18" s="105" customFormat="1" ht="45" hidden="1" customHeight="1" outlineLevel="1" x14ac:dyDescent="0.3">
      <c r="A448" s="114">
        <f>+A472+0.1</f>
        <v>0.30000000000000004</v>
      </c>
      <c r="B448" s="109" t="s">
        <v>1162</v>
      </c>
      <c r="C448" s="109"/>
      <c r="D448" s="111"/>
      <c r="E448" s="111"/>
      <c r="F448" s="111" t="s">
        <v>1158</v>
      </c>
      <c r="G448" s="113"/>
      <c r="H448" s="112"/>
      <c r="I448" s="111"/>
      <c r="J448" s="108">
        <v>46120</v>
      </c>
      <c r="K448" s="109"/>
      <c r="L448" s="108"/>
      <c r="M448" s="107"/>
      <c r="N448" s="333" t="s">
        <v>1692</v>
      </c>
      <c r="O448" s="333"/>
      <c r="P448" s="333"/>
      <c r="Q448" s="334"/>
      <c r="R448" s="106"/>
    </row>
    <row r="449" spans="1:18" s="105" customFormat="1" ht="62.45" hidden="1" customHeight="1" outlineLevel="1" x14ac:dyDescent="0.3">
      <c r="A449" s="114">
        <f>+A473+0.1</f>
        <v>2.1</v>
      </c>
      <c r="B449" s="109" t="s">
        <v>1162</v>
      </c>
      <c r="C449" s="109"/>
      <c r="D449" s="111"/>
      <c r="E449" s="111"/>
      <c r="F449" s="111" t="s">
        <v>1158</v>
      </c>
      <c r="G449" s="113"/>
      <c r="H449" s="112"/>
      <c r="I449" s="111"/>
      <c r="J449" s="108">
        <v>46128</v>
      </c>
      <c r="K449" s="109"/>
      <c r="L449" s="108"/>
      <c r="M449" s="107"/>
      <c r="N449" s="333" t="s">
        <v>1693</v>
      </c>
      <c r="O449" s="333"/>
      <c r="P449" s="333"/>
      <c r="Q449" s="334"/>
      <c r="R449" s="106"/>
    </row>
    <row r="450" spans="1:18" s="105" customFormat="1" ht="78.95" hidden="1" customHeight="1" outlineLevel="1" x14ac:dyDescent="0.3">
      <c r="A450" s="114">
        <f>+A474+0.1</f>
        <v>2.1</v>
      </c>
      <c r="B450" s="109" t="s">
        <v>1162</v>
      </c>
      <c r="C450" s="109"/>
      <c r="D450" s="111"/>
      <c r="E450" s="111"/>
      <c r="F450" s="111" t="s">
        <v>1158</v>
      </c>
      <c r="G450" s="113"/>
      <c r="H450" s="112"/>
      <c r="I450" s="111"/>
      <c r="J450" s="108">
        <v>46134</v>
      </c>
      <c r="K450" s="109"/>
      <c r="L450" s="108"/>
      <c r="M450" s="107"/>
      <c r="N450" s="333" t="s">
        <v>1694</v>
      </c>
      <c r="O450" s="333"/>
      <c r="P450" s="333"/>
      <c r="Q450" s="334"/>
      <c r="R450" s="106"/>
    </row>
    <row r="451" spans="1:18" s="105" customFormat="1" ht="30.95" hidden="1" customHeight="1" outlineLevel="1" thickBot="1" x14ac:dyDescent="0.3">
      <c r="A451" s="114">
        <f>+A475+0.1</f>
        <v>0.2</v>
      </c>
      <c r="B451" s="109" t="s">
        <v>1162</v>
      </c>
      <c r="C451" s="109"/>
      <c r="D451" s="111"/>
      <c r="E451" s="111"/>
      <c r="F451" s="111" t="s">
        <v>1158</v>
      </c>
      <c r="G451" s="113"/>
      <c r="H451" s="112"/>
      <c r="I451" s="111"/>
      <c r="J451" s="108">
        <v>46141</v>
      </c>
      <c r="K451" s="109"/>
      <c r="L451" s="108"/>
      <c r="M451" s="107"/>
      <c r="N451" s="333" t="s">
        <v>1695</v>
      </c>
      <c r="O451" s="333"/>
      <c r="P451" s="333"/>
      <c r="Q451" s="334"/>
      <c r="R451" s="106"/>
    </row>
    <row r="452" spans="1:18" ht="16.5" hidden="1" collapsed="1" thickBot="1" x14ac:dyDescent="0.3">
      <c r="A452" s="136">
        <f>+A471+1</f>
        <v>1.2</v>
      </c>
      <c r="B452" s="137" t="s">
        <v>1696</v>
      </c>
      <c r="C452" s="125" t="s">
        <v>1679</v>
      </c>
      <c r="D452" s="133" t="s">
        <v>1682</v>
      </c>
      <c r="E452" s="136"/>
      <c r="F452" s="126" t="s">
        <v>1158</v>
      </c>
      <c r="G452" s="123" t="s">
        <v>1270</v>
      </c>
      <c r="H452" s="99" t="s">
        <v>1169</v>
      </c>
      <c r="I452" s="98" t="s">
        <v>1271</v>
      </c>
      <c r="J452" s="138">
        <v>46104</v>
      </c>
      <c r="K452" s="125"/>
      <c r="L452" s="124"/>
      <c r="M452" s="136" t="s">
        <v>1272</v>
      </c>
      <c r="N452" s="97"/>
      <c r="O452" s="96"/>
      <c r="P452" s="96"/>
      <c r="Q452" s="95"/>
    </row>
    <row r="453" spans="1:18" s="105" customFormat="1" ht="45" hidden="1" customHeight="1" outlineLevel="1" x14ac:dyDescent="0.3">
      <c r="A453" s="114">
        <f>+A477+0.1</f>
        <v>0.2</v>
      </c>
      <c r="B453" s="109" t="s">
        <v>1162</v>
      </c>
      <c r="C453" s="109"/>
      <c r="D453" s="111"/>
      <c r="E453" s="111"/>
      <c r="F453" s="111" t="s">
        <v>1158</v>
      </c>
      <c r="G453" s="113"/>
      <c r="H453" s="112"/>
      <c r="I453" s="111"/>
      <c r="J453" s="108">
        <v>46120</v>
      </c>
      <c r="K453" s="109"/>
      <c r="L453" s="108"/>
      <c r="M453" s="107"/>
      <c r="N453" s="333" t="s">
        <v>1697</v>
      </c>
      <c r="O453" s="333"/>
      <c r="P453" s="333"/>
      <c r="Q453" s="334"/>
      <c r="R453" s="106"/>
    </row>
    <row r="454" spans="1:18" s="105" customFormat="1" ht="45" hidden="1" customHeight="1" outlineLevel="1" thickBot="1" x14ac:dyDescent="0.3">
      <c r="A454" s="114">
        <f>+A478+0.1</f>
        <v>1.1000000000000001</v>
      </c>
      <c r="B454" s="109" t="s">
        <v>1162</v>
      </c>
      <c r="C454" s="109"/>
      <c r="D454" s="111"/>
      <c r="E454" s="111"/>
      <c r="F454" s="111" t="s">
        <v>1158</v>
      </c>
      <c r="G454" s="113"/>
      <c r="H454" s="112"/>
      <c r="I454" s="111"/>
      <c r="J454" s="108">
        <v>46134</v>
      </c>
      <c r="K454" s="109"/>
      <c r="L454" s="108"/>
      <c r="M454" s="107"/>
      <c r="N454" s="333" t="s">
        <v>1698</v>
      </c>
      <c r="O454" s="333"/>
      <c r="P454" s="333"/>
      <c r="Q454" s="334"/>
      <c r="R454" s="106"/>
    </row>
    <row r="455" spans="1:18" s="105" customFormat="1" ht="32.25" hidden="1" collapsed="1" thickBot="1" x14ac:dyDescent="0.3">
      <c r="A455" s="147">
        <f>+A477+1</f>
        <v>1.1000000000000001</v>
      </c>
      <c r="B455" s="147" t="s">
        <v>1699</v>
      </c>
      <c r="C455" s="151" t="s">
        <v>1700</v>
      </c>
      <c r="D455" s="147" t="s">
        <v>1701</v>
      </c>
      <c r="E455" s="150" t="s">
        <v>1702</v>
      </c>
      <c r="F455" s="118" t="s">
        <v>1158</v>
      </c>
      <c r="G455" s="100" t="s">
        <v>1703</v>
      </c>
      <c r="H455" s="149" t="s">
        <v>1169</v>
      </c>
      <c r="I455" s="148" t="s">
        <v>1271</v>
      </c>
      <c r="J455" s="132"/>
      <c r="K455" s="131"/>
      <c r="L455" s="132"/>
      <c r="M455" s="147" t="s">
        <v>1272</v>
      </c>
      <c r="N455" s="97"/>
      <c r="O455" s="96"/>
      <c r="P455" s="96"/>
      <c r="Q455" s="95"/>
      <c r="R455" s="106"/>
    </row>
    <row r="456" spans="1:18" s="105" customFormat="1" ht="45" hidden="1" customHeight="1" outlineLevel="1" x14ac:dyDescent="0.3">
      <c r="A456" s="114">
        <f>+A480+0.1</f>
        <v>1.1000000000000001</v>
      </c>
      <c r="B456" s="109" t="s">
        <v>1162</v>
      </c>
      <c r="C456" s="109"/>
      <c r="D456" s="111"/>
      <c r="E456" s="111"/>
      <c r="F456" s="111" t="s">
        <v>1158</v>
      </c>
      <c r="G456" s="113"/>
      <c r="H456" s="112"/>
      <c r="I456" s="111"/>
      <c r="J456" s="108">
        <v>46107</v>
      </c>
      <c r="K456" s="109"/>
      <c r="L456" s="108"/>
      <c r="M456" s="107"/>
      <c r="N456" s="333" t="s">
        <v>1704</v>
      </c>
      <c r="O456" s="333"/>
      <c r="P456" s="333"/>
      <c r="Q456" s="334"/>
      <c r="R456" s="106"/>
    </row>
    <row r="457" spans="1:18" s="105" customFormat="1" ht="45" hidden="1" customHeight="1" outlineLevel="1" x14ac:dyDescent="0.3">
      <c r="A457" s="114">
        <f>+A481+0.1</f>
        <v>1.1000000000000001</v>
      </c>
      <c r="B457" s="109" t="s">
        <v>1162</v>
      </c>
      <c r="C457" s="109"/>
      <c r="D457" s="111"/>
      <c r="E457" s="111"/>
      <c r="F457" s="111" t="s">
        <v>1158</v>
      </c>
      <c r="G457" s="113"/>
      <c r="H457" s="112"/>
      <c r="I457" s="111"/>
      <c r="J457" s="108">
        <v>46120</v>
      </c>
      <c r="K457" s="109"/>
      <c r="L457" s="108"/>
      <c r="M457" s="107"/>
      <c r="N457" s="333" t="s">
        <v>1705</v>
      </c>
      <c r="O457" s="333"/>
      <c r="P457" s="333"/>
      <c r="Q457" s="334"/>
      <c r="R457" s="106"/>
    </row>
    <row r="458" spans="1:18" s="105" customFormat="1" ht="45" hidden="1" customHeight="1" outlineLevel="1" x14ac:dyDescent="0.3">
      <c r="A458" s="114">
        <f>+A482+0.1</f>
        <v>1.1000000000000001</v>
      </c>
      <c r="B458" s="109" t="s">
        <v>1162</v>
      </c>
      <c r="C458" s="109"/>
      <c r="D458" s="111"/>
      <c r="E458" s="111"/>
      <c r="F458" s="111" t="s">
        <v>1158</v>
      </c>
      <c r="G458" s="113"/>
      <c r="H458" s="112"/>
      <c r="I458" s="111"/>
      <c r="J458" s="108">
        <v>46128</v>
      </c>
      <c r="K458" s="109"/>
      <c r="L458" s="108"/>
      <c r="M458" s="107"/>
      <c r="N458" s="333" t="s">
        <v>1706</v>
      </c>
      <c r="O458" s="333"/>
      <c r="P458" s="333"/>
      <c r="Q458" s="334"/>
      <c r="R458" s="106"/>
    </row>
    <row r="459" spans="1:18" s="105" customFormat="1" ht="53.1" hidden="1" customHeight="1" outlineLevel="1" thickBot="1" x14ac:dyDescent="0.3">
      <c r="A459" s="114">
        <f>+A483+0.1</f>
        <v>1.1000000000000001</v>
      </c>
      <c r="B459" s="109" t="s">
        <v>1162</v>
      </c>
      <c r="C459" s="109"/>
      <c r="D459" s="111"/>
      <c r="E459" s="111"/>
      <c r="F459" s="111" t="s">
        <v>1158</v>
      </c>
      <c r="G459" s="113"/>
      <c r="H459" s="112"/>
      <c r="I459" s="111"/>
      <c r="J459" s="108">
        <v>46134</v>
      </c>
      <c r="K459" s="109"/>
      <c r="L459" s="108"/>
      <c r="M459" s="107"/>
      <c r="N459" s="333" t="s">
        <v>1707</v>
      </c>
      <c r="O459" s="333"/>
      <c r="P459" s="333"/>
      <c r="Q459" s="334"/>
      <c r="R459" s="106"/>
    </row>
    <row r="460" spans="1:18" ht="16.5" hidden="1" collapsed="1" thickBot="1" x14ac:dyDescent="0.3">
      <c r="A460" s="136">
        <f>+A480+1</f>
        <v>2</v>
      </c>
      <c r="B460" s="136" t="s">
        <v>1708</v>
      </c>
      <c r="C460" s="140" t="s">
        <v>1709</v>
      </c>
      <c r="D460" s="136">
        <v>35</v>
      </c>
      <c r="E460" s="136" t="s">
        <v>1710</v>
      </c>
      <c r="F460" s="118" t="s">
        <v>1158</v>
      </c>
      <c r="G460" s="141" t="s">
        <v>1703</v>
      </c>
      <c r="H460" s="99" t="s">
        <v>1169</v>
      </c>
      <c r="I460" s="125" t="s">
        <v>1711</v>
      </c>
      <c r="J460" s="124"/>
      <c r="K460" s="125"/>
      <c r="L460" s="124"/>
      <c r="M460" s="136"/>
      <c r="N460" s="103"/>
      <c r="O460" s="102"/>
      <c r="P460" s="102"/>
      <c r="Q460" s="101"/>
    </row>
    <row r="461" spans="1:18" s="105" customFormat="1" ht="45" hidden="1" customHeight="1" outlineLevel="1" thickBot="1" x14ac:dyDescent="0.3">
      <c r="A461" s="114">
        <f>+A485+0.1</f>
        <v>0.2</v>
      </c>
      <c r="B461" s="109" t="s">
        <v>1162</v>
      </c>
      <c r="C461" s="109"/>
      <c r="D461" s="111"/>
      <c r="E461" s="111"/>
      <c r="F461" s="111" t="s">
        <v>1158</v>
      </c>
      <c r="G461" s="113"/>
      <c r="H461" s="112"/>
      <c r="I461" s="111"/>
      <c r="J461" s="108">
        <v>46141</v>
      </c>
      <c r="K461" s="109"/>
      <c r="L461" s="108"/>
      <c r="M461" s="107"/>
      <c r="N461" s="333" t="s">
        <v>1712</v>
      </c>
      <c r="O461" s="333"/>
      <c r="P461" s="333"/>
      <c r="Q461" s="334"/>
      <c r="R461" s="106"/>
    </row>
    <row r="462" spans="1:18" ht="16.5" hidden="1" collapsed="1" thickBot="1" x14ac:dyDescent="0.3">
      <c r="A462" s="124">
        <f>+A485+1</f>
        <v>1.1000000000000001</v>
      </c>
      <c r="B462" s="137" t="s">
        <v>1713</v>
      </c>
      <c r="C462" s="125" t="s">
        <v>1714</v>
      </c>
      <c r="D462" s="124" t="s">
        <v>1715</v>
      </c>
      <c r="E462" s="124"/>
      <c r="F462" s="118" t="s">
        <v>1716</v>
      </c>
      <c r="G462" s="137" t="s">
        <v>1717</v>
      </c>
      <c r="H462" s="99" t="s">
        <v>1169</v>
      </c>
      <c r="I462" s="98" t="s">
        <v>1271</v>
      </c>
      <c r="J462" s="138">
        <v>46076</v>
      </c>
      <c r="K462" s="125"/>
      <c r="L462" s="124"/>
      <c r="M462" s="124" t="s">
        <v>1272</v>
      </c>
      <c r="N462" s="97"/>
      <c r="O462" s="96"/>
      <c r="P462" s="96"/>
      <c r="Q462" s="95"/>
    </row>
    <row r="463" spans="1:18" s="105" customFormat="1" ht="45" hidden="1" customHeight="1" outlineLevel="1" x14ac:dyDescent="0.3">
      <c r="A463" s="114">
        <f>+A487+0.1</f>
        <v>0.2</v>
      </c>
      <c r="B463" s="109" t="s">
        <v>1162</v>
      </c>
      <c r="C463" s="109"/>
      <c r="D463" s="111"/>
      <c r="E463" s="111"/>
      <c r="F463" s="111" t="s">
        <v>1158</v>
      </c>
      <c r="G463" s="113"/>
      <c r="H463" s="112"/>
      <c r="I463" s="111"/>
      <c r="J463" s="108">
        <v>46107</v>
      </c>
      <c r="K463" s="109"/>
      <c r="L463" s="108"/>
      <c r="M463" s="107"/>
      <c r="N463" s="333" t="s">
        <v>1718</v>
      </c>
      <c r="O463" s="333"/>
      <c r="P463" s="333"/>
      <c r="Q463" s="334"/>
      <c r="R463" s="106"/>
    </row>
    <row r="464" spans="1:18" s="105" customFormat="1" ht="45" hidden="1" customHeight="1" outlineLevel="1" x14ac:dyDescent="0.3">
      <c r="A464" s="114">
        <f>+A488+0.1</f>
        <v>0.2</v>
      </c>
      <c r="B464" s="109" t="s">
        <v>1162</v>
      </c>
      <c r="C464" s="109"/>
      <c r="D464" s="111"/>
      <c r="E464" s="111"/>
      <c r="F464" s="111" t="s">
        <v>1158</v>
      </c>
      <c r="G464" s="113"/>
      <c r="H464" s="112"/>
      <c r="I464" s="111"/>
      <c r="J464" s="108">
        <v>46120</v>
      </c>
      <c r="K464" s="109"/>
      <c r="L464" s="108"/>
      <c r="M464" s="107"/>
      <c r="N464" s="333" t="s">
        <v>1719</v>
      </c>
      <c r="O464" s="333"/>
      <c r="P464" s="333"/>
      <c r="Q464" s="334"/>
      <c r="R464" s="106"/>
    </row>
    <row r="465" spans="1:18" s="105" customFormat="1" ht="45" hidden="1" customHeight="1" outlineLevel="1" x14ac:dyDescent="0.3">
      <c r="A465" s="114">
        <f>+A489+0.1</f>
        <v>0.2</v>
      </c>
      <c r="B465" s="109" t="s">
        <v>1162</v>
      </c>
      <c r="C465" s="109"/>
      <c r="D465" s="111"/>
      <c r="E465" s="111"/>
      <c r="F465" s="111" t="s">
        <v>1158</v>
      </c>
      <c r="G465" s="113"/>
      <c r="H465" s="112"/>
      <c r="I465" s="111"/>
      <c r="J465" s="108">
        <v>46128</v>
      </c>
      <c r="K465" s="109"/>
      <c r="L465" s="108"/>
      <c r="M465" s="107"/>
      <c r="N465" s="333" t="s">
        <v>1720</v>
      </c>
      <c r="O465" s="333"/>
      <c r="P465" s="333"/>
      <c r="Q465" s="334"/>
      <c r="R465" s="106"/>
    </row>
    <row r="466" spans="1:18" s="105" customFormat="1" ht="45" hidden="1" customHeight="1" outlineLevel="1" thickBot="1" x14ac:dyDescent="0.3">
      <c r="A466" s="114">
        <f>+A490+0.1</f>
        <v>1.1000000000000001</v>
      </c>
      <c r="B466" s="109" t="s">
        <v>1162</v>
      </c>
      <c r="C466" s="109"/>
      <c r="D466" s="111"/>
      <c r="E466" s="111"/>
      <c r="F466" s="111" t="s">
        <v>1158</v>
      </c>
      <c r="G466" s="113"/>
      <c r="H466" s="112"/>
      <c r="I466" s="111"/>
      <c r="J466" s="108">
        <v>46134</v>
      </c>
      <c r="K466" s="109"/>
      <c r="L466" s="108"/>
      <c r="M466" s="107"/>
      <c r="N466" s="333" t="s">
        <v>1721</v>
      </c>
      <c r="O466" s="333"/>
      <c r="P466" s="333"/>
      <c r="Q466" s="334"/>
      <c r="R466" s="106"/>
    </row>
    <row r="467" spans="1:18" ht="16.5" hidden="1" collapsed="1" thickBot="1" x14ac:dyDescent="0.3">
      <c r="A467" s="124">
        <f>+A487+1</f>
        <v>1.1000000000000001</v>
      </c>
      <c r="B467" s="124" t="s">
        <v>1722</v>
      </c>
      <c r="C467" s="125" t="s">
        <v>1723</v>
      </c>
      <c r="D467" s="124"/>
      <c r="E467" s="124"/>
      <c r="F467" s="118" t="s">
        <v>1158</v>
      </c>
      <c r="G467" s="123" t="s">
        <v>1270</v>
      </c>
      <c r="H467" s="146" t="s">
        <v>1250</v>
      </c>
      <c r="I467" s="145" t="s">
        <v>1251</v>
      </c>
      <c r="J467" s="138">
        <v>45902</v>
      </c>
      <c r="K467" s="125"/>
      <c r="L467" s="124"/>
      <c r="M467" s="124" t="s">
        <v>1272</v>
      </c>
      <c r="N467" s="144"/>
      <c r="O467" s="143"/>
      <c r="P467" s="143"/>
      <c r="Q467" s="142"/>
    </row>
    <row r="468" spans="1:18" s="105" customFormat="1" ht="45" hidden="1" customHeight="1" outlineLevel="1" x14ac:dyDescent="0.3">
      <c r="A468" s="114">
        <f>+A492+0.1</f>
        <v>1.1000000000000001</v>
      </c>
      <c r="B468" s="109" t="s">
        <v>1162</v>
      </c>
      <c r="C468" s="109"/>
      <c r="D468" s="111"/>
      <c r="E468" s="111"/>
      <c r="F468" s="111" t="s">
        <v>1158</v>
      </c>
      <c r="G468" s="113"/>
      <c r="H468" s="112"/>
      <c r="I468" s="111"/>
      <c r="J468" s="108">
        <v>45945</v>
      </c>
      <c r="K468" s="109"/>
      <c r="L468" s="108"/>
      <c r="M468" s="107"/>
      <c r="N468" s="333" t="s">
        <v>1724</v>
      </c>
      <c r="O468" s="333"/>
      <c r="P468" s="333"/>
      <c r="Q468" s="334"/>
      <c r="R468" s="106"/>
    </row>
    <row r="469" spans="1:18" s="105" customFormat="1" ht="45" hidden="1" customHeight="1" outlineLevel="1" x14ac:dyDescent="0.3">
      <c r="A469" s="114">
        <f>+A493+0.1</f>
        <v>1.1000000000000001</v>
      </c>
      <c r="B469" s="109" t="s">
        <v>1162</v>
      </c>
      <c r="C469" s="109"/>
      <c r="D469" s="111"/>
      <c r="E469" s="111"/>
      <c r="F469" s="111" t="s">
        <v>1158</v>
      </c>
      <c r="G469" s="113"/>
      <c r="H469" s="112"/>
      <c r="I469" s="111"/>
      <c r="J469" s="108">
        <v>46064</v>
      </c>
      <c r="K469" s="109"/>
      <c r="L469" s="108"/>
      <c r="M469" s="107"/>
      <c r="N469" s="333" t="s">
        <v>1725</v>
      </c>
      <c r="O469" s="333"/>
      <c r="P469" s="333"/>
      <c r="Q469" s="334"/>
      <c r="R469" s="106"/>
    </row>
    <row r="470" spans="1:18" s="105" customFormat="1" ht="45" hidden="1" customHeight="1" outlineLevel="1" x14ac:dyDescent="0.3">
      <c r="A470" s="114">
        <f>+A494+0.1</f>
        <v>0.2</v>
      </c>
      <c r="B470" s="109" t="s">
        <v>1162</v>
      </c>
      <c r="C470" s="109"/>
      <c r="D470" s="111"/>
      <c r="E470" s="111"/>
      <c r="F470" s="111" t="s">
        <v>1158</v>
      </c>
      <c r="G470" s="113"/>
      <c r="H470" s="112"/>
      <c r="I470" s="111"/>
      <c r="J470" s="108">
        <v>46107</v>
      </c>
      <c r="K470" s="109"/>
      <c r="L470" s="108"/>
      <c r="M470" s="107"/>
      <c r="N470" s="333" t="s">
        <v>1726</v>
      </c>
      <c r="O470" s="333"/>
      <c r="P470" s="333"/>
      <c r="Q470" s="334"/>
      <c r="R470" s="106"/>
    </row>
    <row r="471" spans="1:18" s="105" customFormat="1" ht="45" hidden="1" customHeight="1" outlineLevel="1" x14ac:dyDescent="0.3">
      <c r="A471" s="114">
        <f>+A495+0.1</f>
        <v>0.2</v>
      </c>
      <c r="B471" s="109" t="s">
        <v>1162</v>
      </c>
      <c r="C471" s="109"/>
      <c r="D471" s="111"/>
      <c r="E471" s="111"/>
      <c r="F471" s="111" t="s">
        <v>1158</v>
      </c>
      <c r="G471" s="113"/>
      <c r="H471" s="112"/>
      <c r="I471" s="111"/>
      <c r="J471" s="108">
        <v>46120</v>
      </c>
      <c r="K471" s="109"/>
      <c r="L471" s="108"/>
      <c r="M471" s="107"/>
      <c r="N471" s="333" t="s">
        <v>1727</v>
      </c>
      <c r="O471" s="333"/>
      <c r="P471" s="333"/>
      <c r="Q471" s="334"/>
      <c r="R471" s="106"/>
    </row>
    <row r="472" spans="1:18" s="105" customFormat="1" ht="45" hidden="1" customHeight="1" outlineLevel="1" thickBot="1" x14ac:dyDescent="0.3">
      <c r="A472" s="114">
        <f>+A496+0.1</f>
        <v>0.2</v>
      </c>
      <c r="B472" s="109" t="s">
        <v>1162</v>
      </c>
      <c r="C472" s="109"/>
      <c r="D472" s="111"/>
      <c r="E472" s="111"/>
      <c r="F472" s="111" t="s">
        <v>1158</v>
      </c>
      <c r="G472" s="113"/>
      <c r="H472" s="112"/>
      <c r="I472" s="111"/>
      <c r="J472" s="108">
        <v>46128</v>
      </c>
      <c r="K472" s="109"/>
      <c r="L472" s="108"/>
      <c r="M472" s="107"/>
      <c r="N472" s="333" t="s">
        <v>1728</v>
      </c>
      <c r="O472" s="333"/>
      <c r="P472" s="333"/>
      <c r="Q472" s="334"/>
      <c r="R472" s="106"/>
    </row>
    <row r="473" spans="1:18" ht="16.5" hidden="1" collapsed="1" thickBot="1" x14ac:dyDescent="0.3">
      <c r="A473" s="126">
        <f>+A492+1</f>
        <v>2</v>
      </c>
      <c r="B473" s="128" t="s">
        <v>1729</v>
      </c>
      <c r="C473" s="127" t="s">
        <v>1730</v>
      </c>
      <c r="D473" s="126" t="s">
        <v>1731</v>
      </c>
      <c r="E473" s="126" t="s">
        <v>1732</v>
      </c>
      <c r="F473" s="136" t="s">
        <v>1247</v>
      </c>
      <c r="G473" s="128"/>
      <c r="H473" s="99" t="s">
        <v>1169</v>
      </c>
      <c r="I473" s="127"/>
      <c r="J473" s="126"/>
      <c r="K473" s="127"/>
      <c r="L473" s="126"/>
      <c r="M473" s="126"/>
      <c r="N473" s="97"/>
      <c r="O473" s="96"/>
      <c r="P473" s="96"/>
      <c r="Q473" s="95"/>
    </row>
    <row r="474" spans="1:18" ht="16.5" thickBot="1" x14ac:dyDescent="0.3">
      <c r="A474" s="133">
        <f>+A498+1</f>
        <v>2</v>
      </c>
      <c r="B474" s="126" t="s">
        <v>1733</v>
      </c>
      <c r="C474" s="127" t="s">
        <v>1730</v>
      </c>
      <c r="D474" s="133" t="s">
        <v>1734</v>
      </c>
      <c r="E474" s="133" t="s">
        <v>1735</v>
      </c>
      <c r="F474" s="133" t="s">
        <v>1158</v>
      </c>
      <c r="G474" s="141"/>
      <c r="H474" s="117" t="s">
        <v>1159</v>
      </c>
      <c r="I474" s="122" t="s">
        <v>1736</v>
      </c>
      <c r="J474" s="136"/>
      <c r="K474" s="140"/>
      <c r="L474" s="136"/>
      <c r="M474" s="133" t="s">
        <v>1238</v>
      </c>
      <c r="N474" s="115"/>
      <c r="O474" s="102"/>
      <c r="P474" s="102"/>
      <c r="Q474" s="101"/>
    </row>
    <row r="475" spans="1:18" s="105" customFormat="1" ht="66.599999999999994" hidden="1" customHeight="1" outlineLevel="1" x14ac:dyDescent="0.3">
      <c r="A475" s="114">
        <f>+A499+0.1</f>
        <v>0.1</v>
      </c>
      <c r="B475" s="109" t="s">
        <v>1162</v>
      </c>
      <c r="C475" s="109"/>
      <c r="D475" s="111"/>
      <c r="E475" s="111"/>
      <c r="F475" s="111" t="s">
        <v>1187</v>
      </c>
      <c r="G475" s="113"/>
      <c r="H475" s="112"/>
      <c r="I475" s="111"/>
      <c r="J475" s="108">
        <v>45945</v>
      </c>
      <c r="K475" s="109"/>
      <c r="L475" s="108"/>
      <c r="M475" s="107"/>
      <c r="N475" s="333" t="s">
        <v>1737</v>
      </c>
      <c r="O475" s="333"/>
      <c r="P475" s="333"/>
      <c r="Q475" s="334"/>
      <c r="R475" s="106"/>
    </row>
    <row r="476" spans="1:18" s="105" customFormat="1" ht="45" hidden="1" customHeight="1" outlineLevel="1" x14ac:dyDescent="0.3">
      <c r="A476" s="114">
        <f>+A500+0.1</f>
        <v>0.1</v>
      </c>
      <c r="B476" s="109" t="s">
        <v>1162</v>
      </c>
      <c r="C476" s="109"/>
      <c r="D476" s="111"/>
      <c r="E476" s="111"/>
      <c r="F476" s="111" t="s">
        <v>1187</v>
      </c>
      <c r="G476" s="113"/>
      <c r="H476" s="112"/>
      <c r="I476" s="111"/>
      <c r="J476" s="108">
        <v>46128</v>
      </c>
      <c r="K476" s="109"/>
      <c r="L476" s="108"/>
      <c r="M476" s="107"/>
      <c r="N476" s="333" t="s">
        <v>1264</v>
      </c>
      <c r="O476" s="333"/>
      <c r="P476" s="333"/>
      <c r="Q476" s="334"/>
      <c r="R476" s="106"/>
    </row>
    <row r="477" spans="1:18" s="105" customFormat="1" ht="45" hidden="1" customHeight="1" outlineLevel="1" thickBot="1" x14ac:dyDescent="0.3">
      <c r="A477" s="114">
        <f>+A501+0.1</f>
        <v>0.1</v>
      </c>
      <c r="B477" s="109" t="s">
        <v>1162</v>
      </c>
      <c r="C477" s="109"/>
      <c r="D477" s="111"/>
      <c r="E477" s="111"/>
      <c r="F477" s="111" t="s">
        <v>1158</v>
      </c>
      <c r="G477" s="113"/>
      <c r="H477" s="112"/>
      <c r="I477" s="111"/>
      <c r="J477" s="108">
        <v>46141</v>
      </c>
      <c r="K477" s="109"/>
      <c r="L477" s="108"/>
      <c r="M477" s="107"/>
      <c r="N477" s="333" t="s">
        <v>1738</v>
      </c>
      <c r="O477" s="333"/>
      <c r="P477" s="333"/>
      <c r="Q477" s="334"/>
      <c r="R477" s="106"/>
    </row>
    <row r="478" spans="1:18" ht="16.5" hidden="1" collapsed="1" thickBot="1" x14ac:dyDescent="0.3">
      <c r="A478" s="133">
        <f>+A499+1</f>
        <v>1</v>
      </c>
      <c r="B478" s="126" t="s">
        <v>1739</v>
      </c>
      <c r="C478" s="127" t="s">
        <v>1740</v>
      </c>
      <c r="D478" s="133" t="s">
        <v>1734</v>
      </c>
      <c r="E478" s="133" t="s">
        <v>1732</v>
      </c>
      <c r="F478" s="118" t="s">
        <v>1158</v>
      </c>
      <c r="G478" s="137"/>
      <c r="H478" s="99" t="s">
        <v>1169</v>
      </c>
      <c r="I478" s="98" t="s">
        <v>1271</v>
      </c>
      <c r="J478" s="138">
        <v>45932</v>
      </c>
      <c r="K478" s="139"/>
      <c r="L478" s="138">
        <v>45952</v>
      </c>
      <c r="M478" s="133" t="s">
        <v>1238</v>
      </c>
      <c r="N478" s="97"/>
      <c r="O478" s="96"/>
      <c r="P478" s="96"/>
      <c r="Q478" s="95"/>
    </row>
    <row r="479" spans="1:18" s="105" customFormat="1" ht="45" hidden="1" customHeight="1" outlineLevel="1" thickBot="1" x14ac:dyDescent="0.3">
      <c r="A479" s="114">
        <f>+A503+0.1</f>
        <v>0.1</v>
      </c>
      <c r="B479" s="109" t="s">
        <v>1162</v>
      </c>
      <c r="C479" s="109"/>
      <c r="D479" s="111"/>
      <c r="E479" s="111"/>
      <c r="F479" s="111" t="s">
        <v>1158</v>
      </c>
      <c r="G479" s="113"/>
      <c r="H479" s="112"/>
      <c r="I479" s="111"/>
      <c r="J479" s="108">
        <v>45945</v>
      </c>
      <c r="K479" s="109"/>
      <c r="L479" s="108"/>
      <c r="M479" s="107"/>
      <c r="N479" s="333" t="s">
        <v>1741</v>
      </c>
      <c r="O479" s="333"/>
      <c r="P479" s="333"/>
      <c r="Q479" s="334"/>
      <c r="R479" s="106"/>
    </row>
    <row r="480" spans="1:18" ht="16.5" hidden="1" collapsed="1" thickBot="1" x14ac:dyDescent="0.3">
      <c r="A480" s="136">
        <f>+A503+1</f>
        <v>1</v>
      </c>
      <c r="B480" s="137" t="s">
        <v>1742</v>
      </c>
      <c r="C480" s="125" t="s">
        <v>1730</v>
      </c>
      <c r="D480" s="136" t="s">
        <v>1734</v>
      </c>
      <c r="E480" s="136" t="s">
        <v>1743</v>
      </c>
      <c r="F480" s="118" t="s">
        <v>1158</v>
      </c>
      <c r="G480" s="137"/>
      <c r="H480" s="99" t="s">
        <v>1169</v>
      </c>
      <c r="I480" s="98" t="s">
        <v>1271</v>
      </c>
      <c r="J480" s="124"/>
      <c r="K480" s="125"/>
      <c r="L480" s="124"/>
      <c r="M480" s="136"/>
      <c r="N480" s="103"/>
      <c r="O480" s="102"/>
      <c r="P480" s="102"/>
      <c r="Q480" s="101"/>
    </row>
    <row r="481" spans="1:18" ht="16.5" hidden="1" thickBot="1" x14ac:dyDescent="0.3">
      <c r="A481" s="126">
        <f>+A505+1</f>
        <v>1</v>
      </c>
      <c r="B481" s="126" t="s">
        <v>1744</v>
      </c>
      <c r="C481" s="127" t="s">
        <v>1745</v>
      </c>
      <c r="D481" s="126" t="s">
        <v>1746</v>
      </c>
      <c r="E481" s="126"/>
      <c r="F481" s="118" t="s">
        <v>1158</v>
      </c>
      <c r="G481" s="128"/>
      <c r="H481" s="99" t="s">
        <v>1169</v>
      </c>
      <c r="I481" s="127"/>
      <c r="J481" s="126"/>
      <c r="K481" s="127"/>
      <c r="L481" s="126"/>
      <c r="M481" s="126"/>
      <c r="N481" s="103"/>
      <c r="O481" s="102"/>
      <c r="P481" s="102"/>
      <c r="Q481" s="101"/>
    </row>
    <row r="482" spans="1:18" ht="16.5" hidden="1" thickBot="1" x14ac:dyDescent="0.3">
      <c r="A482" s="133">
        <f>+A506+1</f>
        <v>1</v>
      </c>
      <c r="B482" s="126" t="s">
        <v>1747</v>
      </c>
      <c r="C482" s="127" t="s">
        <v>1745</v>
      </c>
      <c r="D482" s="133" t="s">
        <v>1748</v>
      </c>
      <c r="E482" s="133" t="s">
        <v>1749</v>
      </c>
      <c r="F482" s="118" t="s">
        <v>1158</v>
      </c>
      <c r="G482" s="135"/>
      <c r="H482" s="99" t="s">
        <v>1169</v>
      </c>
      <c r="I482" s="134"/>
      <c r="J482" s="133"/>
      <c r="K482" s="134"/>
      <c r="L482" s="133"/>
      <c r="M482" s="133"/>
      <c r="N482" s="103"/>
      <c r="O482" s="102"/>
      <c r="P482" s="102"/>
      <c r="Q482" s="101"/>
    </row>
    <row r="483" spans="1:18" ht="16.5" hidden="1" thickBot="1" x14ac:dyDescent="0.3">
      <c r="A483" s="133">
        <f>+A507+1</f>
        <v>1</v>
      </c>
      <c r="B483" s="126" t="s">
        <v>1750</v>
      </c>
      <c r="C483" s="127" t="s">
        <v>1745</v>
      </c>
      <c r="D483" s="133" t="s">
        <v>1701</v>
      </c>
      <c r="E483" s="133"/>
      <c r="F483" s="118" t="s">
        <v>1158</v>
      </c>
      <c r="G483" s="135"/>
      <c r="H483" s="99" t="s">
        <v>1169</v>
      </c>
      <c r="I483" s="134"/>
      <c r="J483" s="133"/>
      <c r="K483" s="134"/>
      <c r="L483" s="133"/>
      <c r="M483" s="133"/>
      <c r="N483" s="103"/>
      <c r="O483" s="102"/>
      <c r="P483" s="102"/>
      <c r="Q483" s="101"/>
    </row>
    <row r="484" spans="1:18" s="105" customFormat="1" ht="32.25" thickBot="1" x14ac:dyDescent="0.3">
      <c r="A484" s="118">
        <f>+A508+1</f>
        <v>1</v>
      </c>
      <c r="B484" s="132" t="s">
        <v>1751</v>
      </c>
      <c r="C484" s="131" t="s">
        <v>1745</v>
      </c>
      <c r="D484" s="118" t="s">
        <v>1752</v>
      </c>
      <c r="E484" s="118" t="s">
        <v>1753</v>
      </c>
      <c r="F484" s="118" t="s">
        <v>1158</v>
      </c>
      <c r="G484" s="130"/>
      <c r="H484" s="117" t="s">
        <v>1159</v>
      </c>
      <c r="I484" s="116" t="s">
        <v>1754</v>
      </c>
      <c r="J484" s="118"/>
      <c r="K484" s="129"/>
      <c r="L484" s="118"/>
      <c r="M484" s="118" t="s">
        <v>1501</v>
      </c>
      <c r="N484" s="121"/>
      <c r="O484" s="120"/>
      <c r="P484" s="120"/>
      <c r="Q484" s="119"/>
      <c r="R484" s="106"/>
    </row>
    <row r="485" spans="1:18" s="105" customFormat="1" ht="45" hidden="1" customHeight="1" outlineLevel="1" x14ac:dyDescent="0.3">
      <c r="A485" s="114">
        <f>+A509+0.1</f>
        <v>0.1</v>
      </c>
      <c r="B485" s="109" t="s">
        <v>1162</v>
      </c>
      <c r="C485" s="109"/>
      <c r="D485" s="111"/>
      <c r="E485" s="111"/>
      <c r="F485" s="111" t="s">
        <v>1158</v>
      </c>
      <c r="G485" s="113"/>
      <c r="H485" s="112"/>
      <c r="I485" s="111"/>
      <c r="J485" s="108">
        <v>45945</v>
      </c>
      <c r="K485" s="109"/>
      <c r="L485" s="108"/>
      <c r="M485" s="107"/>
      <c r="N485" s="333" t="s">
        <v>1755</v>
      </c>
      <c r="O485" s="333"/>
      <c r="P485" s="333"/>
      <c r="Q485" s="334"/>
      <c r="R485" s="106"/>
    </row>
    <row r="486" spans="1:18" s="105" customFormat="1" ht="45" hidden="1" customHeight="1" outlineLevel="1" x14ac:dyDescent="0.3">
      <c r="A486" s="114">
        <f>+A510+0.1</f>
        <v>0.1</v>
      </c>
      <c r="B486" s="109" t="s">
        <v>1162</v>
      </c>
      <c r="C486" s="109"/>
      <c r="D486" s="111"/>
      <c r="E486" s="111"/>
      <c r="F486" s="111" t="s">
        <v>1158</v>
      </c>
      <c r="G486" s="113"/>
      <c r="H486" s="112"/>
      <c r="I486" s="111"/>
      <c r="J486" s="110">
        <v>46120</v>
      </c>
      <c r="K486" s="109"/>
      <c r="L486" s="108"/>
      <c r="M486" s="107"/>
      <c r="N486" s="333" t="s">
        <v>1756</v>
      </c>
      <c r="O486" s="333"/>
      <c r="P486" s="333"/>
      <c r="Q486" s="334"/>
      <c r="R486" s="106"/>
    </row>
    <row r="487" spans="1:18" s="105" customFormat="1" ht="66.95" hidden="1" customHeight="1" outlineLevel="1" x14ac:dyDescent="0.3">
      <c r="A487" s="114">
        <f>+A511+0.1</f>
        <v>0.1</v>
      </c>
      <c r="B487" s="109" t="s">
        <v>1162</v>
      </c>
      <c r="C487" s="109"/>
      <c r="D487" s="111"/>
      <c r="E487" s="111"/>
      <c r="F487" s="111" t="s">
        <v>1158</v>
      </c>
      <c r="G487" s="113"/>
      <c r="H487" s="112"/>
      <c r="I487" s="111"/>
      <c r="J487" s="110">
        <v>46128</v>
      </c>
      <c r="K487" s="109"/>
      <c r="L487" s="108"/>
      <c r="M487" s="107"/>
      <c r="N487" s="333" t="s">
        <v>1757</v>
      </c>
      <c r="O487" s="333"/>
      <c r="P487" s="333"/>
      <c r="Q487" s="334"/>
      <c r="R487" s="106"/>
    </row>
    <row r="488" spans="1:18" s="105" customFormat="1" ht="50.1" hidden="1" customHeight="1" outlineLevel="1" x14ac:dyDescent="0.3">
      <c r="A488" s="114">
        <f>+A512+0.1</f>
        <v>0.1</v>
      </c>
      <c r="B488" s="109" t="s">
        <v>1162</v>
      </c>
      <c r="C488" s="109"/>
      <c r="D488" s="111"/>
      <c r="E488" s="111"/>
      <c r="F488" s="111" t="s">
        <v>1158</v>
      </c>
      <c r="G488" s="113"/>
      <c r="H488" s="112"/>
      <c r="I488" s="111"/>
      <c r="J488" s="110">
        <v>46134</v>
      </c>
      <c r="K488" s="109"/>
      <c r="L488" s="108"/>
      <c r="M488" s="107"/>
      <c r="N488" s="333" t="s">
        <v>1758</v>
      </c>
      <c r="O488" s="333"/>
      <c r="P488" s="333"/>
      <c r="Q488" s="334"/>
      <c r="R488" s="106"/>
    </row>
    <row r="489" spans="1:18" s="105" customFormat="1" ht="48.6" hidden="1" customHeight="1" outlineLevel="1" thickBot="1" x14ac:dyDescent="0.3">
      <c r="A489" s="114">
        <f>+A513+0.1</f>
        <v>0.1</v>
      </c>
      <c r="B489" s="109" t="s">
        <v>1162</v>
      </c>
      <c r="C489" s="109"/>
      <c r="D489" s="111"/>
      <c r="E489" s="111"/>
      <c r="F489" s="111" t="s">
        <v>1158</v>
      </c>
      <c r="G489" s="113"/>
      <c r="H489" s="112"/>
      <c r="I489" s="111"/>
      <c r="J489" s="110">
        <v>46141</v>
      </c>
      <c r="K489" s="109"/>
      <c r="L489" s="108"/>
      <c r="M489" s="107"/>
      <c r="N489" s="333" t="s">
        <v>1759</v>
      </c>
      <c r="O489" s="333"/>
      <c r="P489" s="333"/>
      <c r="Q489" s="334"/>
      <c r="R489" s="106"/>
    </row>
    <row r="490" spans="1:18" ht="16.5" hidden="1" collapsed="1" thickBot="1" x14ac:dyDescent="0.3">
      <c r="A490" s="126">
        <f>+A509+1</f>
        <v>1</v>
      </c>
      <c r="B490" s="128" t="s">
        <v>1760</v>
      </c>
      <c r="C490" s="127" t="s">
        <v>1761</v>
      </c>
      <c r="D490" s="126" t="s">
        <v>237</v>
      </c>
      <c r="E490" s="126" t="s">
        <v>1762</v>
      </c>
      <c r="F490" s="126" t="s">
        <v>1499</v>
      </c>
      <c r="G490" s="128" t="s">
        <v>1763</v>
      </c>
      <c r="H490" s="99" t="s">
        <v>1169</v>
      </c>
      <c r="I490" s="127"/>
      <c r="J490" s="126"/>
      <c r="K490" s="127"/>
      <c r="L490" s="126"/>
      <c r="M490" s="126"/>
      <c r="N490" s="103"/>
      <c r="O490" s="102"/>
      <c r="P490" s="102"/>
      <c r="Q490" s="101"/>
    </row>
    <row r="491" spans="1:18" ht="16.5" hidden="1" thickBot="1" x14ac:dyDescent="0.3">
      <c r="A491" s="47">
        <f>+A515+1</f>
        <v>1</v>
      </c>
      <c r="B491" s="47" t="s">
        <v>1764</v>
      </c>
      <c r="C491" s="125" t="s">
        <v>1761</v>
      </c>
      <c r="D491" s="124" t="s">
        <v>237</v>
      </c>
      <c r="E491" s="124" t="s">
        <v>1762</v>
      </c>
      <c r="F491" s="47" t="s">
        <v>1190</v>
      </c>
      <c r="G491" s="123" t="s">
        <v>1270</v>
      </c>
      <c r="H491" s="99" t="s">
        <v>1169</v>
      </c>
      <c r="N491" s="97"/>
      <c r="O491" s="96"/>
      <c r="P491" s="96"/>
      <c r="Q491" s="95"/>
    </row>
    <row r="492" spans="1:18" ht="16.5" thickBot="1" x14ac:dyDescent="0.3">
      <c r="A492" s="47">
        <f>+A516+1</f>
        <v>1</v>
      </c>
      <c r="B492" s="47" t="s">
        <v>1765</v>
      </c>
      <c r="C492" s="125" t="s">
        <v>1761</v>
      </c>
      <c r="D492" s="124" t="s">
        <v>237</v>
      </c>
      <c r="E492" s="124" t="s">
        <v>1762</v>
      </c>
      <c r="F492" s="118" t="s">
        <v>1158</v>
      </c>
      <c r="G492" s="123" t="s">
        <v>1270</v>
      </c>
      <c r="H492" s="117" t="s">
        <v>1159</v>
      </c>
      <c r="I492" s="122" t="s">
        <v>1766</v>
      </c>
      <c r="N492" s="121"/>
      <c r="O492" s="120"/>
      <c r="P492" s="120"/>
      <c r="Q492" s="119"/>
    </row>
    <row r="493" spans="1:18" s="105" customFormat="1" ht="48" thickBot="1" x14ac:dyDescent="0.3">
      <c r="A493" s="107">
        <f>+A517+1</f>
        <v>1</v>
      </c>
      <c r="B493" s="107" t="s">
        <v>1767</v>
      </c>
      <c r="C493" s="105" t="s">
        <v>1768</v>
      </c>
      <c r="D493" s="107" t="s">
        <v>1710</v>
      </c>
      <c r="E493" s="107">
        <v>650</v>
      </c>
      <c r="F493" s="118" t="s">
        <v>1158</v>
      </c>
      <c r="G493" s="100" t="s">
        <v>1270</v>
      </c>
      <c r="H493" s="117" t="s">
        <v>1159</v>
      </c>
      <c r="I493" s="116" t="s">
        <v>1769</v>
      </c>
      <c r="J493" s="107"/>
      <c r="L493" s="107"/>
      <c r="M493" s="107" t="s">
        <v>1238</v>
      </c>
      <c r="N493" s="115"/>
      <c r="O493" s="102"/>
      <c r="P493" s="102"/>
      <c r="Q493" s="101"/>
      <c r="R493" s="106"/>
    </row>
    <row r="494" spans="1:18" s="105" customFormat="1" ht="45" hidden="1" customHeight="1" outlineLevel="1" x14ac:dyDescent="0.25">
      <c r="A494" s="114">
        <f>+A518+0.1</f>
        <v>0.1</v>
      </c>
      <c r="B494" s="109" t="s">
        <v>1162</v>
      </c>
      <c r="C494" s="109"/>
      <c r="D494" s="111"/>
      <c r="E494" s="111"/>
      <c r="F494" s="111" t="s">
        <v>1158</v>
      </c>
      <c r="G494" s="113"/>
      <c r="H494" s="112"/>
      <c r="I494" s="111"/>
      <c r="J494" s="108">
        <v>45945</v>
      </c>
      <c r="K494" s="109"/>
      <c r="L494" s="108"/>
      <c r="M494" s="107"/>
      <c r="N494" s="333" t="s">
        <v>1770</v>
      </c>
      <c r="O494" s="333"/>
      <c r="P494" s="333"/>
      <c r="Q494" s="334"/>
      <c r="R494" s="106"/>
    </row>
    <row r="495" spans="1:18" s="105" customFormat="1" ht="45" hidden="1" customHeight="1" outlineLevel="1" x14ac:dyDescent="0.25">
      <c r="A495" s="114">
        <f>+A519+0.1</f>
        <v>0.1</v>
      </c>
      <c r="B495" s="109" t="s">
        <v>1162</v>
      </c>
      <c r="C495" s="109"/>
      <c r="D495" s="111"/>
      <c r="E495" s="111"/>
      <c r="F495" s="111" t="s">
        <v>1158</v>
      </c>
      <c r="G495" s="113"/>
      <c r="H495" s="112"/>
      <c r="I495" s="111"/>
      <c r="J495" s="110">
        <v>46128</v>
      </c>
      <c r="K495" s="109"/>
      <c r="L495" s="108"/>
      <c r="M495" s="107"/>
      <c r="N495" s="333" t="s">
        <v>1264</v>
      </c>
      <c r="O495" s="333"/>
      <c r="P495" s="333"/>
      <c r="Q495" s="334"/>
      <c r="R495" s="106"/>
    </row>
    <row r="496" spans="1:18" s="105" customFormat="1" ht="45" hidden="1" customHeight="1" outlineLevel="1" thickBot="1" x14ac:dyDescent="0.25">
      <c r="A496" s="114">
        <f>+A520+0.1</f>
        <v>0.1</v>
      </c>
      <c r="B496" s="109" t="s">
        <v>1162</v>
      </c>
      <c r="C496" s="109"/>
      <c r="D496" s="111"/>
      <c r="E496" s="111"/>
      <c r="F496" s="111" t="s">
        <v>1158</v>
      </c>
      <c r="G496" s="113"/>
      <c r="H496" s="112"/>
      <c r="I496" s="111"/>
      <c r="J496" s="110">
        <v>46141</v>
      </c>
      <c r="K496" s="109"/>
      <c r="L496" s="108"/>
      <c r="M496" s="107"/>
      <c r="N496" s="333" t="s">
        <v>1771</v>
      </c>
      <c r="O496" s="333"/>
      <c r="P496" s="333"/>
      <c r="Q496" s="334"/>
      <c r="R496" s="106"/>
    </row>
    <row r="497" spans="1:19" ht="16.5" hidden="1" collapsed="1" thickBot="1" x14ac:dyDescent="0.3">
      <c r="A497" s="47">
        <f>+A518+1</f>
        <v>1</v>
      </c>
      <c r="B497" s="47" t="s">
        <v>1772</v>
      </c>
      <c r="C497" s="45" t="s">
        <v>1773</v>
      </c>
      <c r="D497" s="47" t="s">
        <v>1774</v>
      </c>
      <c r="E497" s="47" t="s">
        <v>1775</v>
      </c>
      <c r="F497" s="47" t="s">
        <v>1158</v>
      </c>
      <c r="G497" s="104" t="s">
        <v>1776</v>
      </c>
      <c r="H497" s="99" t="s">
        <v>1169</v>
      </c>
      <c r="N497" s="103"/>
      <c r="O497" s="102"/>
      <c r="P497" s="102"/>
      <c r="Q497" s="101"/>
    </row>
    <row r="498" spans="1:19" ht="16.5" hidden="1" thickBot="1" x14ac:dyDescent="0.3">
      <c r="A498" s="47">
        <f>+A522+1</f>
        <v>1</v>
      </c>
      <c r="B498" s="47" t="s">
        <v>1777</v>
      </c>
      <c r="C498" s="45" t="s">
        <v>1778</v>
      </c>
      <c r="D498" s="47" t="s">
        <v>1779</v>
      </c>
      <c r="E498" s="47" t="s">
        <v>1780</v>
      </c>
      <c r="F498" s="47" t="s">
        <v>1187</v>
      </c>
      <c r="G498" s="100" t="s">
        <v>1270</v>
      </c>
      <c r="H498" s="99" t="s">
        <v>1169</v>
      </c>
      <c r="I498" s="98" t="s">
        <v>1271</v>
      </c>
      <c r="N498" s="97"/>
      <c r="O498" s="96"/>
      <c r="P498" s="96"/>
      <c r="Q498" s="95"/>
    </row>
    <row r="499" spans="1:19" ht="5.0999999999999996" customHeight="1" x14ac:dyDescent="0.25"/>
    <row r="500" spans="1:19" s="59" customFormat="1" x14ac:dyDescent="0.25">
      <c r="A500" s="94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52"/>
      <c r="S500" s="52"/>
    </row>
    <row r="501" spans="1:19" s="46" customFormat="1" x14ac:dyDescent="0.25">
      <c r="A501" s="48"/>
      <c r="B501" s="48"/>
      <c r="D501" s="48"/>
      <c r="E501" s="48"/>
      <c r="F501" s="48"/>
      <c r="G501" s="48"/>
      <c r="J501" s="48"/>
      <c r="L501" s="48"/>
      <c r="M501" s="48"/>
    </row>
    <row r="502" spans="1:19" s="46" customFormat="1" x14ac:dyDescent="0.25">
      <c r="A502" s="48"/>
      <c r="B502" s="48"/>
      <c r="D502" s="48"/>
      <c r="E502" s="48"/>
      <c r="G502" s="48"/>
      <c r="J502" s="48"/>
      <c r="L502" s="48"/>
      <c r="M502" s="48"/>
    </row>
    <row r="503" spans="1:19" s="46" customFormat="1" ht="16.5" thickBot="1" x14ac:dyDescent="0.3">
      <c r="A503" s="48"/>
      <c r="B503" s="48"/>
      <c r="D503" s="48"/>
      <c r="E503" s="48"/>
      <c r="F503" s="48"/>
      <c r="G503" s="48"/>
      <c r="J503" s="48"/>
      <c r="L503" s="48"/>
      <c r="M503" s="48"/>
    </row>
    <row r="504" spans="1:19" s="46" customFormat="1" x14ac:dyDescent="0.25">
      <c r="A504" s="48"/>
      <c r="B504" s="48"/>
      <c r="C504" s="341" t="s">
        <v>1781</v>
      </c>
      <c r="D504" s="342"/>
      <c r="E504" s="342"/>
      <c r="F504" s="342"/>
      <c r="G504" s="342"/>
      <c r="H504" s="343"/>
      <c r="J504" s="48"/>
      <c r="L504" s="48"/>
      <c r="M504" s="48"/>
    </row>
    <row r="505" spans="1:19" s="46" customFormat="1" ht="16.5" thickBot="1" x14ac:dyDescent="0.3">
      <c r="A505" s="48"/>
      <c r="B505" s="48"/>
      <c r="C505" s="344"/>
      <c r="D505" s="345"/>
      <c r="E505" s="345"/>
      <c r="F505" s="345"/>
      <c r="G505" s="345"/>
      <c r="H505" s="346"/>
      <c r="J505" s="48"/>
      <c r="L505" s="48"/>
      <c r="M505" s="48"/>
    </row>
    <row r="506" spans="1:19" s="46" customFormat="1" ht="16.5" thickBot="1" x14ac:dyDescent="0.3">
      <c r="A506" s="48"/>
      <c r="B506" s="48"/>
      <c r="C506" s="92"/>
      <c r="D506" s="51"/>
      <c r="E506" s="51"/>
      <c r="F506" s="51"/>
      <c r="G506" s="52"/>
      <c r="H506" s="51"/>
      <c r="J506" s="48"/>
      <c r="L506" s="48"/>
      <c r="M506" s="48"/>
    </row>
    <row r="507" spans="1:19" s="46" customFormat="1" ht="16.5" thickBot="1" x14ac:dyDescent="0.3">
      <c r="A507" s="48"/>
      <c r="B507" s="48"/>
      <c r="C507" s="88" t="s">
        <v>1782</v>
      </c>
      <c r="D507" s="91" t="s">
        <v>54</v>
      </c>
      <c r="E507" s="90" t="s">
        <v>1169</v>
      </c>
      <c r="F507" s="89" t="s">
        <v>1159</v>
      </c>
      <c r="G507" s="88" t="s">
        <v>1783</v>
      </c>
      <c r="H507" s="88" t="s">
        <v>1784</v>
      </c>
      <c r="J507" s="48"/>
      <c r="L507" s="48"/>
      <c r="M507" s="48"/>
    </row>
    <row r="508" spans="1:19" s="46" customFormat="1" x14ac:dyDescent="0.25">
      <c r="A508" s="48"/>
      <c r="B508" s="48"/>
      <c r="C508" s="87" t="s">
        <v>1785</v>
      </c>
      <c r="D508" s="86">
        <v>12</v>
      </c>
      <c r="E508" s="84">
        <v>7</v>
      </c>
      <c r="F508" s="85">
        <f t="shared" ref="F508:F532" si="26">+D533-E533</f>
        <v>46118</v>
      </c>
      <c r="G508" s="84">
        <v>7</v>
      </c>
      <c r="H508" s="83">
        <f t="shared" ref="H508:H526" si="27">+D533-G533</f>
        <v>46106</v>
      </c>
      <c r="J508" s="48"/>
      <c r="L508" s="48"/>
      <c r="M508" s="48"/>
    </row>
    <row r="509" spans="1:19" s="46" customFormat="1" x14ac:dyDescent="0.25">
      <c r="A509" s="48"/>
      <c r="B509" s="48"/>
      <c r="C509" s="80" t="s">
        <v>1257</v>
      </c>
      <c r="D509" s="79">
        <v>6</v>
      </c>
      <c r="E509" s="81">
        <v>3</v>
      </c>
      <c r="F509" s="82">
        <f t="shared" si="26"/>
        <v>0</v>
      </c>
      <c r="G509" s="81">
        <v>2</v>
      </c>
      <c r="H509" s="69">
        <f t="shared" si="27"/>
        <v>0</v>
      </c>
      <c r="J509" s="48"/>
      <c r="L509" s="48"/>
      <c r="M509" s="48"/>
    </row>
    <row r="510" spans="1:19" s="46" customFormat="1" x14ac:dyDescent="0.25">
      <c r="A510" s="48"/>
      <c r="B510" s="48"/>
      <c r="C510" s="80" t="s">
        <v>1287</v>
      </c>
      <c r="D510" s="79">
        <v>30</v>
      </c>
      <c r="E510" s="81">
        <v>18</v>
      </c>
      <c r="F510" s="82">
        <f t="shared" si="26"/>
        <v>-2</v>
      </c>
      <c r="G510" s="81">
        <v>13</v>
      </c>
      <c r="H510" s="69">
        <f t="shared" si="27"/>
        <v>-14</v>
      </c>
      <c r="J510" s="48"/>
      <c r="L510" s="48"/>
      <c r="M510" s="48"/>
    </row>
    <row r="511" spans="1:19" s="46" customFormat="1" x14ac:dyDescent="0.25">
      <c r="A511" s="48"/>
      <c r="B511" s="48"/>
      <c r="C511" s="80" t="s">
        <v>1427</v>
      </c>
      <c r="D511" s="79">
        <v>4</v>
      </c>
      <c r="E511" s="81">
        <v>2</v>
      </c>
      <c r="F511" s="82" t="e">
        <f t="shared" si="26"/>
        <v>#VALUE!</v>
      </c>
      <c r="G511" s="81">
        <v>3</v>
      </c>
      <c r="H511" s="69" t="e">
        <f t="shared" si="27"/>
        <v>#VALUE!</v>
      </c>
      <c r="J511" s="48"/>
      <c r="L511" s="48"/>
      <c r="M511" s="48"/>
    </row>
    <row r="512" spans="1:19" s="46" customFormat="1" x14ac:dyDescent="0.25">
      <c r="A512" s="48"/>
      <c r="B512" s="48"/>
      <c r="C512" s="80" t="s">
        <v>1452</v>
      </c>
      <c r="D512" s="79">
        <v>6</v>
      </c>
      <c r="E512" s="81">
        <v>4</v>
      </c>
      <c r="F512" s="82">
        <f t="shared" si="26"/>
        <v>0</v>
      </c>
      <c r="G512" s="81">
        <v>4</v>
      </c>
      <c r="H512" s="69">
        <f t="shared" si="27"/>
        <v>0</v>
      </c>
      <c r="J512" s="48"/>
      <c r="L512" s="48"/>
      <c r="M512" s="48"/>
    </row>
    <row r="513" spans="1:13" s="46" customFormat="1" x14ac:dyDescent="0.25">
      <c r="A513" s="48"/>
      <c r="B513" s="48"/>
      <c r="C513" s="80" t="s">
        <v>1496</v>
      </c>
      <c r="D513" s="79">
        <v>1</v>
      </c>
      <c r="E513" s="81">
        <v>1</v>
      </c>
      <c r="F513" s="82">
        <f t="shared" si="26"/>
        <v>0</v>
      </c>
      <c r="G513" s="81">
        <v>0</v>
      </c>
      <c r="H513" s="69">
        <f t="shared" si="27"/>
        <v>0</v>
      </c>
      <c r="J513" s="48"/>
      <c r="L513" s="48"/>
      <c r="M513" s="48"/>
    </row>
    <row r="514" spans="1:13" s="46" customFormat="1" x14ac:dyDescent="0.25">
      <c r="A514" s="48"/>
      <c r="B514" s="48"/>
      <c r="C514" s="80" t="s">
        <v>1498</v>
      </c>
      <c r="D514" s="79">
        <v>3</v>
      </c>
      <c r="E514" s="81">
        <v>3</v>
      </c>
      <c r="F514" s="82">
        <f t="shared" si="26"/>
        <v>0</v>
      </c>
      <c r="G514" s="81">
        <v>2</v>
      </c>
      <c r="H514" s="69">
        <f t="shared" si="27"/>
        <v>0</v>
      </c>
      <c r="J514" s="48"/>
      <c r="L514" s="48"/>
      <c r="M514" s="48"/>
    </row>
    <row r="515" spans="1:13" s="46" customFormat="1" x14ac:dyDescent="0.25">
      <c r="A515" s="48"/>
      <c r="B515" s="48"/>
      <c r="C515" s="80" t="s">
        <v>1516</v>
      </c>
      <c r="D515" s="79">
        <v>5</v>
      </c>
      <c r="E515" s="81">
        <v>4</v>
      </c>
      <c r="F515" s="82">
        <f t="shared" si="26"/>
        <v>0</v>
      </c>
      <c r="G515" s="81">
        <v>2</v>
      </c>
      <c r="H515" s="69">
        <f t="shared" si="27"/>
        <v>0</v>
      </c>
      <c r="J515" s="48"/>
      <c r="L515" s="48"/>
      <c r="M515" s="48"/>
    </row>
    <row r="516" spans="1:13" s="46" customFormat="1" x14ac:dyDescent="0.25">
      <c r="A516" s="48"/>
      <c r="B516" s="48"/>
      <c r="C516" s="80" t="s">
        <v>1552</v>
      </c>
      <c r="D516" s="79">
        <v>3</v>
      </c>
      <c r="E516" s="81">
        <v>3</v>
      </c>
      <c r="F516" s="82">
        <f t="shared" si="26"/>
        <v>0</v>
      </c>
      <c r="G516" s="81">
        <v>0</v>
      </c>
      <c r="H516" s="69">
        <f t="shared" si="27"/>
        <v>0</v>
      </c>
      <c r="J516" s="48"/>
      <c r="L516" s="48"/>
      <c r="M516" s="48"/>
    </row>
    <row r="517" spans="1:13" s="46" customFormat="1" x14ac:dyDescent="0.25">
      <c r="A517" s="48"/>
      <c r="B517" s="48"/>
      <c r="C517" s="80" t="s">
        <v>1566</v>
      </c>
      <c r="D517" s="79">
        <v>1</v>
      </c>
      <c r="E517" s="81">
        <v>1</v>
      </c>
      <c r="F517" s="82">
        <f t="shared" si="26"/>
        <v>0</v>
      </c>
      <c r="G517" s="81">
        <v>0</v>
      </c>
      <c r="H517" s="69">
        <f t="shared" si="27"/>
        <v>0</v>
      </c>
      <c r="J517" s="48"/>
      <c r="L517" s="48"/>
      <c r="M517" s="48"/>
    </row>
    <row r="518" spans="1:13" s="46" customFormat="1" x14ac:dyDescent="0.25">
      <c r="A518" s="48"/>
      <c r="B518" s="48"/>
      <c r="C518" s="80" t="s">
        <v>1568</v>
      </c>
      <c r="D518" s="79">
        <v>4</v>
      </c>
      <c r="E518" s="81">
        <v>4</v>
      </c>
      <c r="F518" s="82">
        <f t="shared" si="26"/>
        <v>0</v>
      </c>
      <c r="G518" s="81">
        <v>1</v>
      </c>
      <c r="H518" s="69">
        <f t="shared" si="27"/>
        <v>0</v>
      </c>
      <c r="J518" s="48"/>
      <c r="L518" s="48"/>
      <c r="M518" s="48"/>
    </row>
    <row r="519" spans="1:13" s="46" customFormat="1" x14ac:dyDescent="0.25">
      <c r="A519" s="48"/>
      <c r="B519" s="48"/>
      <c r="C519" s="80" t="s">
        <v>1595</v>
      </c>
      <c r="D519" s="79">
        <v>10</v>
      </c>
      <c r="E519" s="81">
        <v>5</v>
      </c>
      <c r="F519" s="82">
        <f t="shared" si="26"/>
        <v>0</v>
      </c>
      <c r="G519" s="81">
        <v>3</v>
      </c>
      <c r="H519" s="69">
        <f t="shared" si="27"/>
        <v>0</v>
      </c>
      <c r="J519" s="48"/>
      <c r="L519" s="48"/>
      <c r="M519" s="48"/>
    </row>
    <row r="520" spans="1:13" s="46" customFormat="1" x14ac:dyDescent="0.25">
      <c r="A520" s="48"/>
      <c r="B520" s="48"/>
      <c r="C520" s="80" t="s">
        <v>1645</v>
      </c>
      <c r="D520" s="79">
        <v>1</v>
      </c>
      <c r="E520" s="81">
        <v>1</v>
      </c>
      <c r="F520" s="82" t="e">
        <f t="shared" si="26"/>
        <v>#VALUE!</v>
      </c>
      <c r="G520" s="81">
        <v>0</v>
      </c>
      <c r="H520" s="69" t="e">
        <f t="shared" si="27"/>
        <v>#VALUE!</v>
      </c>
      <c r="J520" s="48"/>
      <c r="L520" s="48"/>
      <c r="M520" s="48"/>
    </row>
    <row r="521" spans="1:13" s="46" customFormat="1" x14ac:dyDescent="0.25">
      <c r="A521" s="48"/>
      <c r="B521" s="48"/>
      <c r="C521" s="80" t="s">
        <v>1786</v>
      </c>
      <c r="D521" s="79">
        <v>1</v>
      </c>
      <c r="E521" s="81">
        <v>1</v>
      </c>
      <c r="F521" s="82">
        <f t="shared" si="26"/>
        <v>0</v>
      </c>
      <c r="G521" s="81">
        <v>0</v>
      </c>
      <c r="H521" s="69">
        <f t="shared" si="27"/>
        <v>0</v>
      </c>
      <c r="J521" s="48"/>
      <c r="L521" s="48"/>
      <c r="M521" s="48"/>
    </row>
    <row r="522" spans="1:13" s="46" customFormat="1" x14ac:dyDescent="0.25">
      <c r="A522" s="48"/>
      <c r="B522" s="48"/>
      <c r="C522" s="80" t="s">
        <v>1787</v>
      </c>
      <c r="D522" s="79">
        <v>3</v>
      </c>
      <c r="E522" s="81">
        <v>2</v>
      </c>
      <c r="F522" s="82">
        <f t="shared" si="26"/>
        <v>0</v>
      </c>
      <c r="G522" s="81">
        <v>0</v>
      </c>
      <c r="H522" s="69">
        <f t="shared" si="27"/>
        <v>0</v>
      </c>
      <c r="J522" s="48"/>
      <c r="L522" s="48"/>
      <c r="M522" s="48"/>
    </row>
    <row r="523" spans="1:13" s="46" customFormat="1" x14ac:dyDescent="0.25">
      <c r="A523" s="48"/>
      <c r="B523" s="48"/>
      <c r="C523" s="80" t="s">
        <v>1655</v>
      </c>
      <c r="D523" s="79">
        <v>6</v>
      </c>
      <c r="E523" s="81">
        <v>4</v>
      </c>
      <c r="F523" s="82">
        <f t="shared" si="26"/>
        <v>0</v>
      </c>
      <c r="G523" s="81">
        <v>2</v>
      </c>
      <c r="H523" s="69">
        <f t="shared" si="27"/>
        <v>0</v>
      </c>
      <c r="J523" s="48"/>
      <c r="L523" s="48"/>
      <c r="M523" s="48"/>
    </row>
    <row r="524" spans="1:13" s="46" customFormat="1" x14ac:dyDescent="0.25">
      <c r="A524" s="48"/>
      <c r="B524" s="48"/>
      <c r="C524" s="80" t="s">
        <v>1679</v>
      </c>
      <c r="D524" s="79">
        <v>6</v>
      </c>
      <c r="E524" s="81">
        <v>5</v>
      </c>
      <c r="F524" s="82">
        <f t="shared" si="26"/>
        <v>0</v>
      </c>
      <c r="G524" s="81">
        <v>3</v>
      </c>
      <c r="H524" s="69">
        <f t="shared" si="27"/>
        <v>0</v>
      </c>
      <c r="J524" s="48"/>
      <c r="L524" s="48"/>
      <c r="M524" s="48"/>
    </row>
    <row r="525" spans="1:13" s="46" customFormat="1" x14ac:dyDescent="0.25">
      <c r="A525" s="48"/>
      <c r="B525" s="48"/>
      <c r="C525" s="80" t="s">
        <v>1700</v>
      </c>
      <c r="D525" s="79">
        <v>2</v>
      </c>
      <c r="E525" s="77">
        <v>2</v>
      </c>
      <c r="F525" s="78">
        <f t="shared" si="26"/>
        <v>0</v>
      </c>
      <c r="G525" s="77">
        <v>1</v>
      </c>
      <c r="H525" s="69">
        <f t="shared" si="27"/>
        <v>0</v>
      </c>
      <c r="J525" s="48"/>
      <c r="L525" s="48"/>
      <c r="M525" s="48"/>
    </row>
    <row r="526" spans="1:13" s="46" customFormat="1" x14ac:dyDescent="0.25">
      <c r="A526" s="48"/>
      <c r="B526" s="48"/>
      <c r="C526" s="80" t="s">
        <v>1714</v>
      </c>
      <c r="D526" s="79">
        <v>1</v>
      </c>
      <c r="E526" s="77">
        <v>1</v>
      </c>
      <c r="F526" s="78">
        <f t="shared" si="26"/>
        <v>0</v>
      </c>
      <c r="G526" s="77">
        <v>1</v>
      </c>
      <c r="H526" s="69">
        <f t="shared" si="27"/>
        <v>0</v>
      </c>
      <c r="J526" s="48"/>
      <c r="L526" s="48"/>
      <c r="M526" s="48"/>
    </row>
    <row r="527" spans="1:13" s="46" customFormat="1" x14ac:dyDescent="0.25">
      <c r="A527" s="48"/>
      <c r="B527" s="48"/>
      <c r="C527" s="80" t="s">
        <v>1730</v>
      </c>
      <c r="D527" s="79">
        <v>4</v>
      </c>
      <c r="E527" s="77">
        <v>3</v>
      </c>
      <c r="F527" s="78">
        <f t="shared" si="26"/>
        <v>46120</v>
      </c>
      <c r="G527" s="77"/>
      <c r="H527" s="69"/>
      <c r="J527" s="48"/>
      <c r="L527" s="48"/>
      <c r="M527" s="48"/>
    </row>
    <row r="528" spans="1:13" s="46" customFormat="1" x14ac:dyDescent="0.25">
      <c r="A528" s="48"/>
      <c r="B528" s="48"/>
      <c r="C528" s="80" t="s">
        <v>1745</v>
      </c>
      <c r="D528" s="79">
        <v>4</v>
      </c>
      <c r="E528" s="77">
        <v>3</v>
      </c>
      <c r="F528" s="78">
        <f t="shared" si="26"/>
        <v>0</v>
      </c>
      <c r="G528" s="77"/>
      <c r="H528" s="69"/>
      <c r="J528" s="48"/>
      <c r="L528" s="48"/>
      <c r="M528" s="48"/>
    </row>
    <row r="529" spans="1:13" s="46" customFormat="1" x14ac:dyDescent="0.25">
      <c r="A529" s="48"/>
      <c r="B529" s="48"/>
      <c r="C529" s="80" t="s">
        <v>1761</v>
      </c>
      <c r="D529" s="79">
        <v>3</v>
      </c>
      <c r="E529" s="77">
        <v>2</v>
      </c>
      <c r="F529" s="78">
        <f t="shared" si="26"/>
        <v>0</v>
      </c>
      <c r="G529" s="77">
        <v>1</v>
      </c>
      <c r="H529" s="76">
        <f>+D554-G554</f>
        <v>0</v>
      </c>
      <c r="J529" s="48"/>
      <c r="L529" s="48"/>
      <c r="M529" s="48"/>
    </row>
    <row r="530" spans="1:13" s="46" customFormat="1" x14ac:dyDescent="0.25">
      <c r="A530" s="48"/>
      <c r="B530" s="48"/>
      <c r="C530" s="75" t="s">
        <v>1768</v>
      </c>
      <c r="D530" s="74">
        <v>1</v>
      </c>
      <c r="E530" s="70">
        <v>0</v>
      </c>
      <c r="F530" s="71">
        <f t="shared" si="26"/>
        <v>0</v>
      </c>
      <c r="G530" s="70">
        <v>0</v>
      </c>
      <c r="H530" s="69">
        <f>+D555-G555</f>
        <v>0</v>
      </c>
      <c r="J530" s="48"/>
      <c r="L530" s="48"/>
      <c r="M530" s="48"/>
    </row>
    <row r="531" spans="1:13" s="46" customFormat="1" x14ac:dyDescent="0.25">
      <c r="A531" s="48"/>
      <c r="B531" s="48"/>
      <c r="C531" s="73" t="s">
        <v>1773</v>
      </c>
      <c r="D531" s="72">
        <v>1</v>
      </c>
      <c r="E531" s="70">
        <v>1</v>
      </c>
      <c r="F531" s="71">
        <f t="shared" si="26"/>
        <v>0</v>
      </c>
      <c r="G531" s="70">
        <v>1</v>
      </c>
      <c r="H531" s="69">
        <f>+D556-G556</f>
        <v>0</v>
      </c>
      <c r="J531" s="48"/>
      <c r="L531" s="48"/>
      <c r="M531" s="48"/>
    </row>
    <row r="532" spans="1:13" s="46" customFormat="1" ht="16.5" thickBot="1" x14ac:dyDescent="0.3">
      <c r="A532" s="48"/>
      <c r="B532" s="48"/>
      <c r="C532" s="68" t="s">
        <v>1778</v>
      </c>
      <c r="D532" s="67">
        <v>1</v>
      </c>
      <c r="E532" s="65">
        <v>1</v>
      </c>
      <c r="F532" s="66">
        <f t="shared" si="26"/>
        <v>0</v>
      </c>
      <c r="G532" s="65">
        <v>0</v>
      </c>
      <c r="H532" s="64">
        <f>+D557-G557</f>
        <v>0</v>
      </c>
      <c r="J532" s="48"/>
      <c r="L532" s="48"/>
      <c r="M532" s="48"/>
    </row>
    <row r="533" spans="1:13" s="46" customFormat="1" ht="16.5" thickBot="1" x14ac:dyDescent="0.3">
      <c r="A533" s="48"/>
      <c r="B533" s="48"/>
      <c r="C533" s="52"/>
      <c r="D533" s="63">
        <f>SUM(D534:D557)</f>
        <v>46120</v>
      </c>
      <c r="E533" s="62">
        <f>SUM(E534:E557)</f>
        <v>2</v>
      </c>
      <c r="F533" s="61">
        <f>SUM(F534:F557)</f>
        <v>5</v>
      </c>
      <c r="G533" s="60">
        <f>SUBTOTAL(9,G534:G557)</f>
        <v>14</v>
      </c>
      <c r="H533" s="60">
        <f>SUBTOTAL(9,H534:H557)</f>
        <v>32</v>
      </c>
      <c r="J533" s="48"/>
      <c r="L533" s="48"/>
      <c r="M533" s="48"/>
    </row>
    <row r="534" spans="1:13" s="46" customFormat="1" x14ac:dyDescent="0.25">
      <c r="A534" s="48"/>
      <c r="B534" s="48"/>
      <c r="C534" s="52"/>
      <c r="D534" s="52"/>
      <c r="E534" s="52"/>
      <c r="F534" s="51"/>
      <c r="G534" s="59"/>
      <c r="H534" s="58"/>
      <c r="J534" s="48"/>
      <c r="L534" s="48"/>
      <c r="M534" s="48"/>
    </row>
    <row r="535" spans="1:13" s="46" customFormat="1" x14ac:dyDescent="0.25">
      <c r="A535" s="48"/>
      <c r="B535" s="48"/>
      <c r="C535" s="52"/>
      <c r="D535" s="52"/>
      <c r="E535" s="57">
        <v>2</v>
      </c>
      <c r="F535" s="56">
        <v>5</v>
      </c>
      <c r="G535" s="55">
        <v>14</v>
      </c>
      <c r="H535" s="54">
        <v>32</v>
      </c>
      <c r="J535" s="48"/>
      <c r="L535" s="48"/>
      <c r="M535" s="48"/>
    </row>
    <row r="536" spans="1:13" s="46" customFormat="1" x14ac:dyDescent="0.25">
      <c r="A536" s="48"/>
      <c r="B536" s="48"/>
      <c r="C536" s="52"/>
      <c r="D536" s="52"/>
      <c r="E536" s="51" t="s">
        <v>1788</v>
      </c>
      <c r="F536" s="51" t="s">
        <v>1250</v>
      </c>
      <c r="G536" s="51" t="s">
        <v>1789</v>
      </c>
      <c r="H536" s="51" t="s">
        <v>1790</v>
      </c>
      <c r="J536" s="48"/>
      <c r="L536" s="48"/>
      <c r="M536" s="48"/>
    </row>
    <row r="537" spans="1:13" s="46" customFormat="1" x14ac:dyDescent="0.25">
      <c r="A537" s="48"/>
      <c r="B537" s="48"/>
      <c r="D537" s="48"/>
      <c r="E537" s="48"/>
      <c r="F537" s="48"/>
      <c r="G537" s="48"/>
      <c r="J537" s="48"/>
      <c r="L537" s="48"/>
      <c r="M537" s="48"/>
    </row>
    <row r="538" spans="1:13" s="46" customFormat="1" x14ac:dyDescent="0.25">
      <c r="A538" s="48"/>
      <c r="B538" s="48"/>
      <c r="D538" s="48"/>
      <c r="E538" s="48"/>
      <c r="F538" s="48"/>
      <c r="G538" s="48"/>
      <c r="J538" s="48"/>
      <c r="L538" s="48"/>
      <c r="M538" s="48"/>
    </row>
    <row r="539" spans="1:13" s="46" customFormat="1" x14ac:dyDescent="0.25">
      <c r="A539" s="48"/>
      <c r="B539" s="48"/>
      <c r="D539" s="48"/>
      <c r="E539" s="48"/>
      <c r="F539" s="48"/>
      <c r="G539" s="48"/>
      <c r="J539" s="48"/>
      <c r="L539" s="48"/>
      <c r="M539" s="48"/>
    </row>
    <row r="540" spans="1:13" s="46" customFormat="1" ht="16.5" thickBot="1" x14ac:dyDescent="0.3">
      <c r="A540" s="48"/>
      <c r="B540" s="48"/>
      <c r="D540" s="48"/>
      <c r="E540" s="48"/>
      <c r="F540" s="48"/>
      <c r="G540" s="48"/>
      <c r="J540" s="48"/>
      <c r="L540" s="48"/>
      <c r="M540" s="48"/>
    </row>
    <row r="541" spans="1:13" s="46" customFormat="1" x14ac:dyDescent="0.25">
      <c r="A541" s="48"/>
      <c r="B541" s="48"/>
      <c r="C541" s="347" t="s">
        <v>1791</v>
      </c>
      <c r="D541" s="348"/>
      <c r="E541" s="348"/>
      <c r="F541" s="348"/>
      <c r="G541" s="348"/>
      <c r="H541" s="349"/>
      <c r="J541" s="48"/>
      <c r="L541" s="48"/>
      <c r="M541" s="48"/>
    </row>
    <row r="542" spans="1:13" s="46" customFormat="1" ht="16.5" thickBot="1" x14ac:dyDescent="0.3">
      <c r="A542" s="48"/>
      <c r="B542" s="48"/>
      <c r="C542" s="350"/>
      <c r="D542" s="351"/>
      <c r="E542" s="351"/>
      <c r="F542" s="351"/>
      <c r="G542" s="351"/>
      <c r="H542" s="352"/>
      <c r="J542" s="48"/>
      <c r="L542" s="48"/>
      <c r="M542" s="48"/>
    </row>
    <row r="543" spans="1:13" s="46" customFormat="1" x14ac:dyDescent="0.25">
      <c r="A543" s="48"/>
      <c r="B543" s="48"/>
      <c r="C543" s="53"/>
      <c r="D543" s="53"/>
      <c r="E543" s="53"/>
      <c r="F543" s="53"/>
      <c r="G543" s="52"/>
      <c r="H543" s="51"/>
      <c r="J543" s="48"/>
      <c r="L543" s="48"/>
      <c r="M543" s="48"/>
    </row>
    <row r="544" spans="1:13" s="46" customFormat="1" x14ac:dyDescent="0.25">
      <c r="A544" s="48"/>
      <c r="B544" s="48"/>
      <c r="C544" s="53"/>
      <c r="D544" s="53"/>
      <c r="E544" s="53"/>
      <c r="F544" s="53"/>
      <c r="G544" s="52"/>
      <c r="H544" s="51"/>
      <c r="J544" s="48"/>
      <c r="L544" s="48"/>
      <c r="M544" s="48"/>
    </row>
    <row r="545" spans="1:13" s="46" customFormat="1" x14ac:dyDescent="0.25">
      <c r="A545" s="48"/>
      <c r="B545" s="48"/>
      <c r="C545" s="288" t="s">
        <v>1792</v>
      </c>
      <c r="D545" s="353" t="s">
        <v>1793</v>
      </c>
      <c r="E545" s="353"/>
      <c r="F545" s="353"/>
      <c r="G545" s="353" t="s">
        <v>1794</v>
      </c>
      <c r="H545" s="353"/>
      <c r="J545" s="48"/>
      <c r="L545" s="48"/>
      <c r="M545" s="48"/>
    </row>
    <row r="546" spans="1:13" s="46" customFormat="1" x14ac:dyDescent="0.25">
      <c r="A546" s="48"/>
      <c r="B546" s="48"/>
      <c r="C546" s="51"/>
      <c r="D546" s="51"/>
      <c r="E546" s="51"/>
      <c r="F546" s="51"/>
      <c r="G546" s="52"/>
      <c r="H546" s="51"/>
      <c r="J546" s="48"/>
      <c r="L546" s="48"/>
      <c r="M546" s="48"/>
    </row>
    <row r="547" spans="1:13" s="46" customFormat="1" x14ac:dyDescent="0.25">
      <c r="A547" s="48"/>
      <c r="B547" s="48"/>
      <c r="C547" s="51"/>
      <c r="D547" s="51"/>
      <c r="E547" s="51"/>
      <c r="F547" s="51"/>
      <c r="G547" s="52"/>
      <c r="H547" s="51"/>
      <c r="J547" s="48"/>
      <c r="L547" s="48"/>
      <c r="M547" s="48"/>
    </row>
    <row r="548" spans="1:13" s="46" customFormat="1" x14ac:dyDescent="0.25">
      <c r="A548" s="48"/>
      <c r="B548" s="48"/>
      <c r="C548" s="51"/>
      <c r="D548" s="51"/>
      <c r="E548" s="51"/>
      <c r="F548" s="51"/>
      <c r="G548" s="52"/>
      <c r="H548" s="51"/>
      <c r="J548" s="48"/>
      <c r="L548" s="48"/>
      <c r="M548" s="48"/>
    </row>
    <row r="549" spans="1:13" s="46" customFormat="1" x14ac:dyDescent="0.25">
      <c r="A549" s="48"/>
      <c r="B549" s="48"/>
      <c r="C549" s="51"/>
      <c r="D549" s="51"/>
      <c r="E549" s="51"/>
      <c r="F549" s="51"/>
      <c r="G549" s="52"/>
      <c r="H549" s="51"/>
      <c r="J549" s="48"/>
      <c r="L549" s="48"/>
      <c r="M549" s="48"/>
    </row>
    <row r="550" spans="1:13" s="46" customFormat="1" x14ac:dyDescent="0.25">
      <c r="A550" s="48"/>
      <c r="B550" s="48"/>
      <c r="C550" s="51"/>
      <c r="D550" s="51"/>
      <c r="E550" s="51"/>
      <c r="F550" s="51"/>
      <c r="G550" s="52"/>
      <c r="H550" s="51"/>
      <c r="J550" s="48"/>
      <c r="L550" s="48"/>
      <c r="M550" s="48"/>
    </row>
    <row r="551" spans="1:13" s="46" customFormat="1" x14ac:dyDescent="0.25">
      <c r="A551" s="48"/>
      <c r="B551" s="48"/>
      <c r="C551" s="51"/>
      <c r="D551" s="51"/>
      <c r="E551" s="51"/>
      <c r="F551" s="51"/>
      <c r="G551" s="52"/>
      <c r="H551" s="51"/>
      <c r="J551" s="48"/>
      <c r="L551" s="48"/>
      <c r="M551" s="48"/>
    </row>
    <row r="552" spans="1:13" s="46" customFormat="1" x14ac:dyDescent="0.25">
      <c r="A552" s="48"/>
      <c r="B552" s="48"/>
      <c r="C552" s="51">
        <f>+E13</f>
        <v>0</v>
      </c>
      <c r="D552" s="340">
        <f>+J13</f>
        <v>46120</v>
      </c>
      <c r="E552" s="340"/>
      <c r="F552" s="340"/>
      <c r="G552" s="50"/>
      <c r="H552" s="49"/>
      <c r="J552" s="48"/>
      <c r="L552" s="48"/>
      <c r="M552" s="48"/>
    </row>
    <row r="553" spans="1:13" s="46" customFormat="1" x14ac:dyDescent="0.25">
      <c r="A553" s="48"/>
      <c r="B553" s="48"/>
      <c r="C553" s="51"/>
      <c r="D553" s="51"/>
      <c r="E553" s="51"/>
      <c r="F553" s="51"/>
      <c r="G553" s="52"/>
      <c r="H553" s="51"/>
      <c r="J553" s="48"/>
      <c r="L553" s="48"/>
      <c r="M553" s="48"/>
    </row>
    <row r="554" spans="1:13" s="46" customFormat="1" x14ac:dyDescent="0.25">
      <c r="A554" s="48"/>
      <c r="B554" s="48"/>
      <c r="C554" s="51"/>
      <c r="D554" s="51"/>
      <c r="E554" s="51"/>
      <c r="F554" s="51"/>
      <c r="G554" s="52"/>
      <c r="H554" s="51"/>
      <c r="J554" s="48"/>
      <c r="L554" s="48"/>
      <c r="M554" s="48"/>
    </row>
    <row r="555" spans="1:13" s="46" customFormat="1" x14ac:dyDescent="0.25">
      <c r="A555" s="48"/>
      <c r="B555" s="48"/>
      <c r="C555" s="51"/>
      <c r="D555" s="51"/>
      <c r="E555" s="51"/>
      <c r="F555" s="51"/>
      <c r="G555" s="52"/>
      <c r="H555" s="51"/>
      <c r="J555" s="48"/>
      <c r="L555" s="48"/>
      <c r="M555" s="48"/>
    </row>
    <row r="556" spans="1:13" s="46" customFormat="1" x14ac:dyDescent="0.25">
      <c r="A556" s="48"/>
      <c r="B556" s="48"/>
      <c r="C556" s="51"/>
      <c r="D556" s="51"/>
      <c r="E556" s="51"/>
      <c r="F556" s="51"/>
      <c r="G556" s="52"/>
      <c r="H556" s="51"/>
      <c r="J556" s="48"/>
      <c r="L556" s="48"/>
      <c r="M556" s="48"/>
    </row>
    <row r="557" spans="1:13" s="46" customFormat="1" x14ac:dyDescent="0.25">
      <c r="A557" s="48"/>
      <c r="B557" s="48"/>
      <c r="C557" s="51"/>
      <c r="D557" s="51"/>
      <c r="E557" s="51"/>
      <c r="F557" s="51"/>
      <c r="G557" s="52"/>
      <c r="H557" s="51"/>
      <c r="J557" s="48"/>
      <c r="L557" s="48"/>
      <c r="M557" s="48"/>
    </row>
    <row r="558" spans="1:13" s="46" customFormat="1" x14ac:dyDescent="0.25">
      <c r="A558" s="48"/>
      <c r="B558" s="48"/>
      <c r="C558" s="51"/>
      <c r="D558" s="51"/>
      <c r="E558" s="51"/>
      <c r="F558" s="51"/>
      <c r="G558" s="52"/>
      <c r="H558" s="51"/>
      <c r="J558" s="48"/>
      <c r="L558" s="48"/>
      <c r="M558" s="48"/>
    </row>
    <row r="559" spans="1:13" s="46" customFormat="1" x14ac:dyDescent="0.25">
      <c r="A559" s="48"/>
      <c r="B559" s="48"/>
      <c r="C559" s="51">
        <f>+E14</f>
        <v>0</v>
      </c>
      <c r="D559" s="340">
        <f>+J14</f>
        <v>46128</v>
      </c>
      <c r="E559" s="340"/>
      <c r="F559" s="340"/>
      <c r="G559" s="50"/>
      <c r="H559" s="49"/>
      <c r="J559" s="48"/>
      <c r="L559" s="48"/>
      <c r="M559" s="48"/>
    </row>
    <row r="560" spans="1:13" s="46" customFormat="1" x14ac:dyDescent="0.25">
      <c r="A560" s="48"/>
      <c r="B560" s="48"/>
      <c r="C560" s="51"/>
      <c r="D560" s="51"/>
      <c r="E560" s="51"/>
      <c r="F560" s="51"/>
      <c r="G560" s="52"/>
      <c r="H560" s="51"/>
      <c r="J560" s="48"/>
      <c r="L560" s="48"/>
      <c r="M560" s="48"/>
    </row>
    <row r="561" spans="1:13" s="46" customFormat="1" x14ac:dyDescent="0.25">
      <c r="A561" s="48"/>
      <c r="B561" s="48"/>
      <c r="C561" s="51"/>
      <c r="D561" s="51"/>
      <c r="E561" s="51"/>
      <c r="F561" s="51"/>
      <c r="G561" s="52"/>
      <c r="H561" s="51"/>
      <c r="J561" s="48"/>
      <c r="L561" s="48"/>
      <c r="M561" s="48"/>
    </row>
    <row r="562" spans="1:13" s="46" customFormat="1" x14ac:dyDescent="0.25">
      <c r="A562" s="48"/>
      <c r="B562" s="48"/>
      <c r="C562" s="51"/>
      <c r="D562" s="51"/>
      <c r="E562" s="51"/>
      <c r="F562" s="51"/>
      <c r="G562" s="52"/>
      <c r="H562" s="51"/>
      <c r="J562" s="48"/>
      <c r="L562" s="48"/>
      <c r="M562" s="48"/>
    </row>
    <row r="563" spans="1:13" s="46" customFormat="1" x14ac:dyDescent="0.25">
      <c r="A563" s="48"/>
      <c r="B563" s="48"/>
      <c r="C563" s="51"/>
      <c r="D563" s="51"/>
      <c r="E563" s="51"/>
      <c r="F563" s="51"/>
      <c r="G563" s="52"/>
      <c r="H563" s="51"/>
      <c r="J563" s="48"/>
      <c r="L563" s="48"/>
      <c r="M563" s="48"/>
    </row>
    <row r="564" spans="1:13" s="46" customFormat="1" x14ac:dyDescent="0.25">
      <c r="A564" s="48"/>
      <c r="B564" s="48"/>
      <c r="C564" s="51"/>
      <c r="D564" s="51"/>
      <c r="E564" s="51"/>
      <c r="F564" s="51"/>
      <c r="G564" s="52"/>
      <c r="H564" s="51"/>
      <c r="J564" s="48"/>
      <c r="L564" s="48"/>
      <c r="M564" s="48"/>
    </row>
    <row r="565" spans="1:13" s="46" customFormat="1" x14ac:dyDescent="0.25">
      <c r="A565" s="48"/>
      <c r="B565" s="48"/>
      <c r="C565" s="51"/>
      <c r="D565" s="51"/>
      <c r="E565" s="51"/>
      <c r="F565" s="51"/>
      <c r="G565" s="51"/>
      <c r="H565" s="51"/>
      <c r="J565" s="48"/>
      <c r="L565" s="48"/>
      <c r="M565" s="48"/>
    </row>
    <row r="566" spans="1:13" s="46" customFormat="1" x14ac:dyDescent="0.25">
      <c r="A566" s="48"/>
      <c r="B566" s="48"/>
      <c r="C566" s="51">
        <f>+E15</f>
        <v>0</v>
      </c>
      <c r="D566" s="340">
        <f>+J15</f>
        <v>46134</v>
      </c>
      <c r="E566" s="340"/>
      <c r="F566" s="340"/>
      <c r="G566" s="50"/>
      <c r="H566" s="49"/>
      <c r="J566" s="48"/>
      <c r="L566" s="48"/>
      <c r="M566" s="48"/>
    </row>
    <row r="567" spans="1:13" s="46" customFormat="1" x14ac:dyDescent="0.25">
      <c r="A567" s="48"/>
      <c r="B567" s="48"/>
      <c r="C567" s="51"/>
      <c r="D567" s="51"/>
      <c r="E567" s="51"/>
      <c r="F567" s="51"/>
      <c r="G567" s="52"/>
      <c r="H567" s="51"/>
      <c r="J567" s="48"/>
      <c r="L567" s="48"/>
      <c r="M567" s="48"/>
    </row>
    <row r="568" spans="1:13" s="46" customFormat="1" x14ac:dyDescent="0.25">
      <c r="A568" s="48"/>
      <c r="B568" s="48"/>
      <c r="C568" s="51"/>
      <c r="D568" s="51"/>
      <c r="E568" s="51"/>
      <c r="F568" s="51"/>
      <c r="G568" s="52"/>
      <c r="H568" s="51"/>
      <c r="J568" s="48"/>
      <c r="L568" s="48"/>
      <c r="M568" s="48"/>
    </row>
    <row r="569" spans="1:13" s="46" customFormat="1" x14ac:dyDescent="0.25">
      <c r="A569" s="48"/>
      <c r="B569" s="48"/>
      <c r="C569" s="51"/>
      <c r="D569" s="51"/>
      <c r="E569" s="51"/>
      <c r="F569" s="51"/>
      <c r="G569" s="52"/>
      <c r="H569" s="51"/>
      <c r="J569" s="48"/>
      <c r="L569" s="48"/>
      <c r="M569" s="48"/>
    </row>
    <row r="570" spans="1:13" s="46" customFormat="1" x14ac:dyDescent="0.25">
      <c r="A570" s="48"/>
      <c r="B570" s="48"/>
      <c r="C570" s="51"/>
      <c r="D570" s="51"/>
      <c r="E570" s="51"/>
      <c r="F570" s="51"/>
      <c r="G570" s="52"/>
      <c r="H570" s="51"/>
      <c r="J570" s="48"/>
      <c r="L570" s="48"/>
      <c r="M570" s="48"/>
    </row>
    <row r="571" spans="1:13" s="46" customFormat="1" x14ac:dyDescent="0.25">
      <c r="A571" s="48"/>
      <c r="B571" s="48"/>
      <c r="C571" s="51"/>
      <c r="D571" s="51"/>
      <c r="E571" s="51"/>
      <c r="F571" s="51"/>
      <c r="G571" s="52"/>
      <c r="H571" s="51"/>
      <c r="J571" s="48"/>
      <c r="L571" s="48"/>
      <c r="M571" s="48"/>
    </row>
    <row r="572" spans="1:13" s="46" customFormat="1" x14ac:dyDescent="0.25">
      <c r="A572" s="48"/>
      <c r="B572" s="48"/>
      <c r="C572" s="51"/>
      <c r="D572" s="51"/>
      <c r="E572" s="51"/>
      <c r="F572" s="51"/>
      <c r="G572" s="51"/>
      <c r="H572" s="51"/>
      <c r="J572" s="48"/>
      <c r="L572" s="48"/>
      <c r="M572" s="48"/>
    </row>
    <row r="573" spans="1:13" s="46" customFormat="1" x14ac:dyDescent="0.25">
      <c r="A573" s="48"/>
      <c r="B573" s="48"/>
      <c r="C573" s="51" t="str">
        <f>+E16</f>
        <v>D9T</v>
      </c>
      <c r="D573" s="340">
        <f>+J16</f>
        <v>46057</v>
      </c>
      <c r="E573" s="340"/>
      <c r="F573" s="340"/>
      <c r="G573" s="50"/>
      <c r="H573" s="49"/>
      <c r="J573" s="48"/>
      <c r="L573" s="48"/>
      <c r="M573" s="48"/>
    </row>
    <row r="574" spans="1:13" s="46" customFormat="1" x14ac:dyDescent="0.25">
      <c r="A574" s="48"/>
      <c r="B574" s="48"/>
      <c r="C574" s="51"/>
      <c r="D574" s="51"/>
      <c r="E574" s="51"/>
      <c r="F574" s="51"/>
      <c r="G574" s="52"/>
      <c r="H574" s="51"/>
      <c r="J574" s="48"/>
      <c r="L574" s="48"/>
      <c r="M574" s="48"/>
    </row>
    <row r="575" spans="1:13" s="46" customFormat="1" x14ac:dyDescent="0.25">
      <c r="A575" s="48"/>
      <c r="B575" s="48"/>
      <c r="C575" s="51"/>
      <c r="D575" s="51"/>
      <c r="E575" s="51"/>
      <c r="F575" s="51"/>
      <c r="G575" s="52"/>
      <c r="H575" s="51"/>
      <c r="J575" s="48"/>
      <c r="L575" s="48"/>
      <c r="M575" s="48"/>
    </row>
    <row r="576" spans="1:13" s="46" customFormat="1" x14ac:dyDescent="0.25">
      <c r="A576" s="48"/>
      <c r="B576" s="48"/>
      <c r="C576" s="51"/>
      <c r="D576" s="51"/>
      <c r="E576" s="51"/>
      <c r="F576" s="51"/>
      <c r="G576" s="52"/>
      <c r="H576" s="51"/>
      <c r="J576" s="48"/>
      <c r="L576" s="48"/>
      <c r="M576" s="48"/>
    </row>
    <row r="577" spans="1:13" s="46" customFormat="1" x14ac:dyDescent="0.25">
      <c r="A577" s="48"/>
      <c r="B577" s="48"/>
      <c r="C577" s="51"/>
      <c r="D577" s="51"/>
      <c r="E577" s="51"/>
      <c r="F577" s="51"/>
      <c r="G577" s="52"/>
      <c r="H577" s="51"/>
      <c r="J577" s="48"/>
      <c r="L577" s="48"/>
      <c r="M577" s="48"/>
    </row>
    <row r="578" spans="1:13" s="46" customFormat="1" x14ac:dyDescent="0.25">
      <c r="A578" s="48"/>
      <c r="B578" s="48"/>
      <c r="C578" s="51"/>
      <c r="D578" s="51"/>
      <c r="E578" s="51"/>
      <c r="F578" s="51"/>
      <c r="G578" s="52"/>
      <c r="H578" s="51"/>
      <c r="J578" s="48"/>
      <c r="L578" s="48"/>
      <c r="M578" s="48"/>
    </row>
    <row r="579" spans="1:13" s="46" customFormat="1" x14ac:dyDescent="0.25">
      <c r="A579" s="48"/>
      <c r="B579" s="48"/>
      <c r="C579" s="51"/>
      <c r="D579" s="51"/>
      <c r="E579" s="51"/>
      <c r="F579" s="51"/>
      <c r="G579" s="52"/>
      <c r="H579" s="51"/>
      <c r="J579" s="48"/>
      <c r="L579" s="48"/>
      <c r="M579" s="48"/>
    </row>
    <row r="580" spans="1:13" s="46" customFormat="1" x14ac:dyDescent="0.25">
      <c r="A580" s="48"/>
      <c r="B580" s="48"/>
      <c r="C580" s="51">
        <f>+E17</f>
        <v>0</v>
      </c>
      <c r="D580" s="340">
        <f>+J17</f>
        <v>45945</v>
      </c>
      <c r="E580" s="340"/>
      <c r="F580" s="340"/>
      <c r="G580" s="50"/>
      <c r="H580" s="49"/>
      <c r="J580" s="48"/>
      <c r="L580" s="48"/>
      <c r="M580" s="48"/>
    </row>
    <row r="581" spans="1:13" s="46" customFormat="1" x14ac:dyDescent="0.25">
      <c r="A581" s="48"/>
      <c r="B581" s="48"/>
      <c r="C581" s="51"/>
      <c r="D581" s="51"/>
      <c r="E581" s="51"/>
      <c r="F581" s="51"/>
      <c r="G581" s="52"/>
      <c r="H581" s="51"/>
      <c r="J581" s="48"/>
      <c r="L581" s="48"/>
      <c r="M581" s="48"/>
    </row>
    <row r="582" spans="1:13" s="46" customFormat="1" x14ac:dyDescent="0.25">
      <c r="A582" s="48"/>
      <c r="B582" s="48"/>
      <c r="C582" s="51"/>
      <c r="D582" s="51"/>
      <c r="E582" s="51"/>
      <c r="F582" s="51"/>
      <c r="G582" s="52"/>
      <c r="H582" s="51"/>
      <c r="J582" s="48"/>
      <c r="L582" s="48"/>
      <c r="M582" s="48"/>
    </row>
    <row r="583" spans="1:13" s="46" customFormat="1" x14ac:dyDescent="0.25">
      <c r="A583" s="48"/>
      <c r="B583" s="48"/>
      <c r="C583" s="51"/>
      <c r="D583" s="51"/>
      <c r="E583" s="51"/>
      <c r="F583" s="51"/>
      <c r="G583" s="52"/>
      <c r="H583" s="51"/>
      <c r="J583" s="48"/>
      <c r="L583" s="48"/>
      <c r="M583" s="48"/>
    </row>
    <row r="584" spans="1:13" s="46" customFormat="1" x14ac:dyDescent="0.25">
      <c r="A584" s="48"/>
      <c r="B584" s="48"/>
      <c r="C584" s="51"/>
      <c r="D584" s="51"/>
      <c r="E584" s="51"/>
      <c r="F584" s="51"/>
      <c r="G584" s="52"/>
      <c r="H584" s="51"/>
      <c r="J584" s="48"/>
      <c r="L584" s="48"/>
      <c r="M584" s="48"/>
    </row>
    <row r="585" spans="1:13" s="46" customFormat="1" x14ac:dyDescent="0.25">
      <c r="A585" s="48"/>
      <c r="B585" s="48"/>
      <c r="C585" s="51"/>
      <c r="D585" s="51"/>
      <c r="E585" s="51"/>
      <c r="F585" s="51"/>
      <c r="G585" s="52"/>
      <c r="H585" s="51"/>
      <c r="J585" s="48"/>
      <c r="L585" s="48"/>
      <c r="M585" s="48"/>
    </row>
    <row r="586" spans="1:13" s="46" customFormat="1" x14ac:dyDescent="0.25">
      <c r="A586" s="48"/>
      <c r="B586" s="48"/>
      <c r="C586" s="51"/>
      <c r="D586" s="51"/>
      <c r="E586" s="51"/>
      <c r="F586" s="51"/>
      <c r="G586" s="52"/>
      <c r="H586" s="51"/>
      <c r="J586" s="48"/>
      <c r="L586" s="48"/>
      <c r="M586" s="48"/>
    </row>
    <row r="587" spans="1:13" s="46" customFormat="1" x14ac:dyDescent="0.25">
      <c r="A587" s="48"/>
      <c r="B587" s="48"/>
      <c r="C587" s="51">
        <f>+E18</f>
        <v>0</v>
      </c>
      <c r="D587" s="340">
        <f>+J18</f>
        <v>45952</v>
      </c>
      <c r="E587" s="340"/>
      <c r="F587" s="340"/>
      <c r="G587" s="50"/>
      <c r="H587" s="49"/>
      <c r="J587" s="48"/>
      <c r="L587" s="48"/>
      <c r="M587" s="48"/>
    </row>
    <row r="588" spans="1:13" s="46" customFormat="1" x14ac:dyDescent="0.25">
      <c r="A588" s="48"/>
      <c r="B588" s="48"/>
      <c r="C588" s="51"/>
      <c r="D588" s="51"/>
      <c r="E588" s="51"/>
      <c r="F588" s="51"/>
      <c r="G588" s="52"/>
      <c r="H588" s="51"/>
      <c r="J588" s="48"/>
      <c r="L588" s="48"/>
      <c r="M588" s="48"/>
    </row>
    <row r="589" spans="1:13" s="46" customFormat="1" x14ac:dyDescent="0.25">
      <c r="A589" s="48"/>
      <c r="B589" s="48"/>
      <c r="C589" s="51"/>
      <c r="D589" s="51"/>
      <c r="E589" s="51"/>
      <c r="F589" s="51"/>
      <c r="G589" s="52"/>
      <c r="H589" s="51"/>
      <c r="J589" s="48"/>
      <c r="L589" s="48"/>
      <c r="M589" s="48"/>
    </row>
    <row r="590" spans="1:13" s="46" customFormat="1" x14ac:dyDescent="0.25">
      <c r="A590" s="48"/>
      <c r="B590" s="48"/>
      <c r="C590" s="51"/>
      <c r="D590" s="51"/>
      <c r="E590" s="51"/>
      <c r="F590" s="51"/>
      <c r="G590" s="52"/>
      <c r="H590" s="51"/>
      <c r="J590" s="48"/>
      <c r="L590" s="48"/>
      <c r="M590" s="48"/>
    </row>
    <row r="591" spans="1:13" s="46" customFormat="1" x14ac:dyDescent="0.25">
      <c r="A591" s="48"/>
      <c r="B591" s="48"/>
      <c r="C591" s="51"/>
      <c r="D591" s="51"/>
      <c r="E591" s="51"/>
      <c r="F591" s="51"/>
      <c r="G591" s="52"/>
      <c r="H591" s="51"/>
      <c r="J591" s="48"/>
      <c r="L591" s="48"/>
      <c r="M591" s="48"/>
    </row>
    <row r="592" spans="1:13" s="46" customFormat="1" x14ac:dyDescent="0.25">
      <c r="A592" s="48"/>
      <c r="B592" s="48"/>
      <c r="C592" s="51"/>
      <c r="D592" s="51"/>
      <c r="E592" s="51"/>
      <c r="F592" s="51"/>
      <c r="G592" s="52"/>
      <c r="H592" s="51"/>
      <c r="J592" s="48"/>
      <c r="L592" s="48"/>
      <c r="M592" s="48"/>
    </row>
    <row r="593" spans="1:13" s="46" customFormat="1" x14ac:dyDescent="0.25">
      <c r="A593" s="48"/>
      <c r="B593" s="48"/>
      <c r="C593" s="51"/>
      <c r="D593" s="51"/>
      <c r="E593" s="51"/>
      <c r="F593" s="51"/>
      <c r="G593" s="52"/>
      <c r="H593" s="51"/>
      <c r="J593" s="48"/>
      <c r="L593" s="48"/>
      <c r="M593" s="48"/>
    </row>
    <row r="594" spans="1:13" s="46" customFormat="1" x14ac:dyDescent="0.25">
      <c r="A594" s="48"/>
      <c r="B594" s="48"/>
      <c r="C594" s="51" t="s">
        <v>1795</v>
      </c>
      <c r="D594" s="340" t="s">
        <v>1796</v>
      </c>
      <c r="E594" s="340"/>
      <c r="F594" s="340"/>
      <c r="G594" s="50"/>
      <c r="H594" s="49"/>
      <c r="J594" s="48"/>
      <c r="L594" s="48"/>
      <c r="M594" s="48"/>
    </row>
    <row r="595" spans="1:13" s="46" customFormat="1" x14ac:dyDescent="0.25">
      <c r="A595" s="48"/>
      <c r="B595" s="48"/>
      <c r="C595" s="51"/>
      <c r="D595" s="51"/>
      <c r="E595" s="51"/>
      <c r="F595" s="51"/>
      <c r="G595" s="52"/>
      <c r="H595" s="51"/>
      <c r="J595" s="48"/>
      <c r="L595" s="48"/>
      <c r="M595" s="48"/>
    </row>
    <row r="596" spans="1:13" s="46" customFormat="1" x14ac:dyDescent="0.25">
      <c r="A596" s="48"/>
      <c r="B596" s="48"/>
      <c r="C596" s="51"/>
      <c r="D596" s="51"/>
      <c r="E596" s="51"/>
      <c r="F596" s="51"/>
      <c r="G596" s="52"/>
      <c r="H596" s="51"/>
      <c r="J596" s="48"/>
      <c r="L596" s="48"/>
      <c r="M596" s="48"/>
    </row>
    <row r="597" spans="1:13" s="46" customFormat="1" x14ac:dyDescent="0.25">
      <c r="A597" s="48"/>
      <c r="B597" s="48"/>
      <c r="C597" s="51"/>
      <c r="D597" s="51"/>
      <c r="E597" s="51"/>
      <c r="F597" s="51"/>
      <c r="G597" s="52"/>
      <c r="H597" s="51"/>
      <c r="J597" s="48"/>
      <c r="L597" s="48"/>
      <c r="M597" s="48"/>
    </row>
    <row r="598" spans="1:13" s="46" customFormat="1" x14ac:dyDescent="0.25">
      <c r="A598" s="48"/>
      <c r="B598" s="48"/>
      <c r="C598" s="51"/>
      <c r="D598" s="51"/>
      <c r="E598" s="51"/>
      <c r="F598" s="51"/>
      <c r="G598" s="52"/>
      <c r="H598" s="51"/>
      <c r="J598" s="48"/>
      <c r="L598" s="48"/>
      <c r="M598" s="48"/>
    </row>
    <row r="599" spans="1:13" s="46" customFormat="1" x14ac:dyDescent="0.25">
      <c r="A599" s="48"/>
      <c r="B599" s="48"/>
      <c r="C599" s="51"/>
      <c r="D599" s="51"/>
      <c r="E599" s="51"/>
      <c r="F599" s="51"/>
      <c r="G599" s="52"/>
      <c r="H599" s="51"/>
      <c r="J599" s="48"/>
      <c r="L599" s="48"/>
      <c r="M599" s="48"/>
    </row>
    <row r="600" spans="1:13" s="46" customFormat="1" x14ac:dyDescent="0.25">
      <c r="A600" s="48"/>
      <c r="B600" s="48"/>
      <c r="C600" s="51"/>
      <c r="D600" s="51"/>
      <c r="E600" s="51"/>
      <c r="F600" s="51"/>
      <c r="G600" s="52"/>
      <c r="H600" s="51"/>
      <c r="J600" s="48"/>
      <c r="L600" s="48"/>
      <c r="M600" s="48"/>
    </row>
    <row r="601" spans="1:13" s="46" customFormat="1" x14ac:dyDescent="0.25">
      <c r="A601" s="48"/>
      <c r="B601" s="48"/>
      <c r="C601" s="51">
        <f>+E20</f>
        <v>0</v>
      </c>
      <c r="D601" s="340">
        <f>+J20</f>
        <v>46058</v>
      </c>
      <c r="E601" s="340"/>
      <c r="F601" s="340"/>
      <c r="G601" s="50"/>
      <c r="H601" s="49"/>
      <c r="J601" s="48"/>
      <c r="L601" s="48"/>
      <c r="M601" s="48"/>
    </row>
    <row r="602" spans="1:13" s="46" customFormat="1" x14ac:dyDescent="0.25">
      <c r="A602" s="48"/>
      <c r="B602" s="48"/>
      <c r="C602" s="51"/>
      <c r="D602" s="51"/>
      <c r="E602" s="51"/>
      <c r="F602" s="51"/>
      <c r="G602" s="52"/>
      <c r="H602" s="51"/>
      <c r="J602" s="48"/>
      <c r="L602" s="48"/>
      <c r="M602" s="48"/>
    </row>
    <row r="603" spans="1:13" s="46" customFormat="1" x14ac:dyDescent="0.25">
      <c r="A603" s="48"/>
      <c r="B603" s="48"/>
      <c r="C603" s="51"/>
      <c r="D603" s="51"/>
      <c r="E603" s="51"/>
      <c r="F603" s="51"/>
      <c r="G603" s="52"/>
      <c r="H603" s="51"/>
      <c r="J603" s="48"/>
      <c r="L603" s="48"/>
      <c r="M603" s="48"/>
    </row>
    <row r="604" spans="1:13" s="46" customFormat="1" x14ac:dyDescent="0.25">
      <c r="A604" s="48"/>
      <c r="B604" s="48"/>
      <c r="C604" s="51"/>
      <c r="D604" s="51"/>
      <c r="E604" s="51"/>
      <c r="F604" s="51"/>
      <c r="G604" s="52"/>
      <c r="H604" s="51"/>
      <c r="J604" s="48"/>
      <c r="L604" s="48"/>
      <c r="M604" s="48"/>
    </row>
    <row r="605" spans="1:13" s="46" customFormat="1" x14ac:dyDescent="0.25">
      <c r="A605" s="48"/>
      <c r="B605" s="48"/>
      <c r="C605" s="51"/>
      <c r="D605" s="51"/>
      <c r="E605" s="51"/>
      <c r="F605" s="51"/>
      <c r="G605" s="52"/>
      <c r="H605" s="51"/>
      <c r="J605" s="48"/>
      <c r="L605" s="48"/>
      <c r="M605" s="48"/>
    </row>
    <row r="606" spans="1:13" s="46" customFormat="1" x14ac:dyDescent="0.25">
      <c r="A606" s="48"/>
      <c r="B606" s="48"/>
      <c r="C606" s="51"/>
      <c r="D606" s="51"/>
      <c r="E606" s="51"/>
      <c r="F606" s="51"/>
      <c r="G606" s="52"/>
      <c r="H606" s="51"/>
      <c r="J606" s="48"/>
      <c r="L606" s="48"/>
      <c r="M606" s="48"/>
    </row>
    <row r="607" spans="1:13" s="46" customFormat="1" x14ac:dyDescent="0.25">
      <c r="A607" s="48"/>
      <c r="B607" s="48"/>
      <c r="C607" s="51"/>
      <c r="D607" s="51"/>
      <c r="E607" s="51"/>
      <c r="F607" s="51"/>
      <c r="G607" s="52"/>
      <c r="H607" s="51"/>
      <c r="J607" s="48"/>
      <c r="L607" s="48"/>
      <c r="M607" s="48"/>
    </row>
    <row r="608" spans="1:13" s="46" customFormat="1" x14ac:dyDescent="0.25">
      <c r="A608" s="48"/>
      <c r="B608" s="48"/>
      <c r="C608" s="51">
        <f>+E21</f>
        <v>0</v>
      </c>
      <c r="D608" s="340">
        <f>+J21</f>
        <v>46064</v>
      </c>
      <c r="E608" s="340"/>
      <c r="F608" s="340"/>
      <c r="G608" s="50"/>
      <c r="H608" s="49"/>
      <c r="J608" s="48"/>
      <c r="L608" s="48"/>
      <c r="M608" s="48"/>
    </row>
    <row r="609" spans="1:13" s="46" customFormat="1" x14ac:dyDescent="0.25">
      <c r="A609" s="48"/>
      <c r="B609" s="48"/>
      <c r="C609" s="51"/>
      <c r="D609" s="51"/>
      <c r="E609" s="51"/>
      <c r="F609" s="51"/>
      <c r="G609" s="52"/>
      <c r="H609" s="51"/>
      <c r="J609" s="48"/>
      <c r="L609" s="48"/>
      <c r="M609" s="48"/>
    </row>
    <row r="610" spans="1:13" s="46" customFormat="1" x14ac:dyDescent="0.25">
      <c r="A610" s="48"/>
      <c r="B610" s="48"/>
      <c r="C610" s="51"/>
      <c r="D610" s="51"/>
      <c r="E610" s="51"/>
      <c r="F610" s="51"/>
      <c r="G610" s="52"/>
      <c r="H610" s="51"/>
      <c r="J610" s="48"/>
      <c r="L610" s="48"/>
      <c r="M610" s="48"/>
    </row>
    <row r="611" spans="1:13" s="46" customFormat="1" x14ac:dyDescent="0.25">
      <c r="A611" s="48"/>
      <c r="B611" s="48"/>
      <c r="C611" s="51"/>
      <c r="D611" s="51"/>
      <c r="E611" s="51"/>
      <c r="F611" s="51"/>
      <c r="G611" s="52"/>
      <c r="H611" s="51"/>
      <c r="J611" s="48"/>
      <c r="L611" s="48"/>
      <c r="M611" s="48"/>
    </row>
    <row r="612" spans="1:13" s="46" customFormat="1" x14ac:dyDescent="0.25">
      <c r="A612" s="48"/>
      <c r="B612" s="48"/>
      <c r="C612" s="51"/>
      <c r="D612" s="51"/>
      <c r="E612" s="51"/>
      <c r="F612" s="51"/>
      <c r="G612" s="52"/>
      <c r="H612" s="51"/>
      <c r="J612" s="48"/>
      <c r="L612" s="48"/>
      <c r="M612" s="48"/>
    </row>
    <row r="613" spans="1:13" s="46" customFormat="1" x14ac:dyDescent="0.25">
      <c r="A613" s="48"/>
      <c r="B613" s="48"/>
      <c r="C613" s="51"/>
      <c r="D613" s="51"/>
      <c r="E613" s="51"/>
      <c r="F613" s="51"/>
      <c r="G613" s="52"/>
      <c r="H613" s="51"/>
      <c r="J613" s="48"/>
      <c r="L613" s="48"/>
      <c r="M613" s="48"/>
    </row>
    <row r="614" spans="1:13" s="46" customFormat="1" x14ac:dyDescent="0.25">
      <c r="A614" s="48"/>
      <c r="B614" s="48"/>
      <c r="C614" s="51"/>
      <c r="D614" s="51"/>
      <c r="E614" s="51"/>
      <c r="F614" s="51"/>
      <c r="G614" s="52"/>
      <c r="H614" s="51"/>
      <c r="J614" s="48"/>
      <c r="L614" s="48"/>
      <c r="M614" s="48"/>
    </row>
    <row r="615" spans="1:13" s="46" customFormat="1" x14ac:dyDescent="0.25">
      <c r="A615" s="48"/>
      <c r="B615" s="48"/>
      <c r="C615" s="51" t="str">
        <f>+E22</f>
        <v>D9R</v>
      </c>
      <c r="D615" s="340">
        <f>+J22</f>
        <v>46133</v>
      </c>
      <c r="E615" s="340"/>
      <c r="F615" s="340"/>
      <c r="G615" s="50"/>
      <c r="H615" s="49"/>
      <c r="J615" s="48"/>
      <c r="L615" s="48"/>
      <c r="M615" s="48"/>
    </row>
    <row r="616" spans="1:13" s="46" customFormat="1" x14ac:dyDescent="0.25">
      <c r="A616" s="48"/>
      <c r="B616" s="48"/>
      <c r="C616" s="51"/>
      <c r="D616" s="51"/>
      <c r="E616" s="51"/>
      <c r="F616" s="51"/>
      <c r="G616" s="52"/>
      <c r="H616" s="51"/>
      <c r="J616" s="48"/>
      <c r="L616" s="48"/>
      <c r="M616" s="48"/>
    </row>
    <row r="617" spans="1:13" s="46" customFormat="1" x14ac:dyDescent="0.25">
      <c r="A617" s="48"/>
      <c r="B617" s="48"/>
      <c r="C617" s="51"/>
      <c r="D617" s="51"/>
      <c r="E617" s="51"/>
      <c r="F617" s="51"/>
      <c r="G617" s="52"/>
      <c r="H617" s="51"/>
      <c r="J617" s="48"/>
      <c r="L617" s="48"/>
      <c r="M617" s="48"/>
    </row>
    <row r="618" spans="1:13" s="46" customFormat="1" x14ac:dyDescent="0.25">
      <c r="A618" s="48"/>
      <c r="B618" s="48"/>
      <c r="C618" s="51"/>
      <c r="D618" s="51"/>
      <c r="E618" s="51"/>
      <c r="F618" s="51"/>
      <c r="G618" s="52"/>
      <c r="H618" s="51"/>
      <c r="J618" s="48"/>
      <c r="L618" s="48"/>
      <c r="M618" s="48"/>
    </row>
    <row r="619" spans="1:13" s="46" customFormat="1" x14ac:dyDescent="0.25">
      <c r="A619" s="48"/>
      <c r="B619" s="48"/>
      <c r="C619" s="51"/>
      <c r="D619" s="51"/>
      <c r="E619" s="51"/>
      <c r="F619" s="51"/>
      <c r="G619" s="52"/>
      <c r="H619" s="51"/>
      <c r="J619" s="48"/>
      <c r="L619" s="48"/>
      <c r="M619" s="48"/>
    </row>
    <row r="620" spans="1:13" s="46" customFormat="1" x14ac:dyDescent="0.25">
      <c r="A620" s="48"/>
      <c r="B620" s="48"/>
      <c r="C620" s="51"/>
      <c r="D620" s="51"/>
      <c r="E620" s="51"/>
      <c r="F620" s="51"/>
      <c r="G620" s="52"/>
      <c r="H620" s="51"/>
      <c r="J620" s="48"/>
      <c r="L620" s="48"/>
      <c r="M620" s="48"/>
    </row>
    <row r="621" spans="1:13" s="46" customFormat="1" x14ac:dyDescent="0.25">
      <c r="A621" s="48"/>
      <c r="B621" s="48"/>
      <c r="C621" s="51"/>
      <c r="D621" s="51"/>
      <c r="E621" s="51"/>
      <c r="F621" s="51"/>
      <c r="G621" s="52"/>
      <c r="H621" s="51"/>
      <c r="J621" s="48"/>
      <c r="L621" s="48"/>
      <c r="M621" s="48"/>
    </row>
    <row r="622" spans="1:13" s="46" customFormat="1" x14ac:dyDescent="0.25">
      <c r="A622" s="48"/>
      <c r="B622" s="48"/>
      <c r="C622" s="51">
        <f>+E23</f>
        <v>0</v>
      </c>
      <c r="D622" s="340">
        <f>+J23</f>
        <v>45980</v>
      </c>
      <c r="E622" s="340"/>
      <c r="F622" s="340"/>
      <c r="G622" s="50"/>
      <c r="H622" s="49"/>
      <c r="J622" s="48"/>
      <c r="L622" s="48"/>
      <c r="M622" s="48"/>
    </row>
    <row r="623" spans="1:13" s="46" customFormat="1" x14ac:dyDescent="0.25">
      <c r="A623" s="48"/>
      <c r="B623" s="48"/>
      <c r="D623" s="48"/>
      <c r="E623" s="48"/>
      <c r="F623" s="48"/>
      <c r="G623" s="48"/>
      <c r="J623" s="48"/>
      <c r="L623" s="48"/>
      <c r="M623" s="48"/>
    </row>
    <row r="624" spans="1:13" s="46" customFormat="1" x14ac:dyDescent="0.25">
      <c r="A624" s="48"/>
      <c r="B624" s="48"/>
      <c r="D624" s="48"/>
      <c r="E624" s="48"/>
      <c r="F624" s="48"/>
      <c r="G624" s="48"/>
      <c r="J624" s="48"/>
      <c r="L624" s="48"/>
      <c r="M624" s="48"/>
    </row>
    <row r="625" spans="1:13" s="46" customFormat="1" x14ac:dyDescent="0.25">
      <c r="A625" s="48"/>
      <c r="B625" s="48"/>
      <c r="D625" s="48"/>
      <c r="E625" s="48"/>
      <c r="F625" s="48"/>
      <c r="G625" s="48"/>
      <c r="J625" s="48"/>
      <c r="L625" s="48"/>
      <c r="M625" s="48"/>
    </row>
    <row r="626" spans="1:13" s="46" customFormat="1" x14ac:dyDescent="0.25">
      <c r="A626" s="48"/>
      <c r="B626" s="48"/>
      <c r="D626" s="48"/>
      <c r="E626" s="48"/>
      <c r="F626" s="48"/>
      <c r="G626" s="48"/>
      <c r="J626" s="48"/>
      <c r="L626" s="48"/>
      <c r="M626" s="48"/>
    </row>
    <row r="627" spans="1:13" s="46" customFormat="1" x14ac:dyDescent="0.25">
      <c r="A627" s="48"/>
      <c r="B627" s="48"/>
      <c r="D627" s="48"/>
      <c r="E627" s="48"/>
      <c r="F627" s="48"/>
      <c r="G627" s="48"/>
      <c r="J627" s="48"/>
      <c r="L627" s="48"/>
      <c r="M627" s="48"/>
    </row>
    <row r="628" spans="1:13" s="46" customFormat="1" x14ac:dyDescent="0.25">
      <c r="A628" s="48"/>
      <c r="B628" s="48"/>
      <c r="D628" s="48"/>
      <c r="E628" s="48"/>
      <c r="F628" s="48"/>
      <c r="G628" s="48"/>
      <c r="J628" s="48"/>
      <c r="L628" s="48"/>
      <c r="M628" s="48"/>
    </row>
    <row r="629" spans="1:13" s="46" customFormat="1" x14ac:dyDescent="0.25">
      <c r="A629" s="48"/>
      <c r="B629" s="48"/>
      <c r="D629" s="48"/>
      <c r="E629" s="48"/>
      <c r="F629" s="48"/>
      <c r="G629" s="48"/>
      <c r="J629" s="48"/>
      <c r="L629" s="48"/>
      <c r="M629" s="48"/>
    </row>
    <row r="630" spans="1:13" s="46" customFormat="1" x14ac:dyDescent="0.25">
      <c r="A630" s="48"/>
      <c r="B630" s="48"/>
      <c r="D630" s="48"/>
      <c r="E630" s="48"/>
      <c r="F630" s="48"/>
      <c r="G630" s="48"/>
      <c r="J630" s="48"/>
      <c r="L630" s="48"/>
      <c r="M630" s="48"/>
    </row>
    <row r="631" spans="1:13" s="46" customFormat="1" x14ac:dyDescent="0.25">
      <c r="A631" s="48"/>
      <c r="B631" s="48"/>
      <c r="D631" s="48"/>
      <c r="E631" s="48"/>
      <c r="F631" s="48"/>
      <c r="G631" s="48"/>
      <c r="J631" s="48"/>
      <c r="L631" s="48"/>
      <c r="M631" s="48"/>
    </row>
    <row r="632" spans="1:13" s="46" customFormat="1" x14ac:dyDescent="0.25">
      <c r="A632" s="48"/>
      <c r="B632" s="48"/>
      <c r="D632" s="48"/>
      <c r="E632" s="48"/>
      <c r="F632" s="48"/>
      <c r="G632" s="48"/>
      <c r="J632" s="48"/>
      <c r="L632" s="48"/>
      <c r="M632" s="48"/>
    </row>
    <row r="633" spans="1:13" s="46" customFormat="1" x14ac:dyDescent="0.25">
      <c r="A633" s="48"/>
      <c r="B633" s="48"/>
      <c r="D633" s="48"/>
      <c r="E633" s="48"/>
      <c r="F633" s="48"/>
      <c r="G633" s="48"/>
      <c r="J633" s="48"/>
      <c r="L633" s="48"/>
      <c r="M633" s="48"/>
    </row>
    <row r="634" spans="1:13" s="46" customFormat="1" x14ac:dyDescent="0.25">
      <c r="A634" s="48"/>
      <c r="B634" s="48"/>
      <c r="D634" s="48"/>
      <c r="E634" s="48"/>
      <c r="F634" s="48"/>
      <c r="G634" s="48"/>
      <c r="J634" s="48"/>
      <c r="L634" s="48"/>
      <c r="M634" s="48"/>
    </row>
    <row r="635" spans="1:13" s="46" customFormat="1" x14ac:dyDescent="0.25">
      <c r="A635" s="48"/>
      <c r="B635" s="48"/>
      <c r="D635" s="48"/>
      <c r="E635" s="48"/>
      <c r="F635" s="48"/>
      <c r="G635" s="48"/>
      <c r="J635" s="48"/>
      <c r="L635" s="48"/>
      <c r="M635" s="48"/>
    </row>
    <row r="636" spans="1:13" s="46" customFormat="1" x14ac:dyDescent="0.25">
      <c r="A636" s="48"/>
      <c r="B636" s="48"/>
      <c r="D636" s="48"/>
      <c r="E636" s="48"/>
      <c r="F636" s="48"/>
      <c r="G636" s="48"/>
      <c r="J636" s="48"/>
      <c r="L636" s="48"/>
      <c r="M636" s="48"/>
    </row>
    <row r="637" spans="1:13" s="46" customFormat="1" x14ac:dyDescent="0.25">
      <c r="A637" s="48"/>
      <c r="B637" s="48"/>
      <c r="D637" s="48"/>
      <c r="E637" s="48"/>
      <c r="F637" s="48"/>
      <c r="G637" s="48"/>
      <c r="J637" s="48"/>
      <c r="L637" s="48"/>
      <c r="M637" s="48"/>
    </row>
    <row r="638" spans="1:13" s="46" customFormat="1" x14ac:dyDescent="0.25">
      <c r="A638" s="48"/>
      <c r="B638" s="48"/>
      <c r="D638" s="48"/>
      <c r="E638" s="48"/>
      <c r="F638" s="48"/>
      <c r="G638" s="48"/>
      <c r="J638" s="48"/>
      <c r="L638" s="48"/>
      <c r="M638" s="48"/>
    </row>
    <row r="639" spans="1:13" s="46" customFormat="1" x14ac:dyDescent="0.25">
      <c r="A639" s="48"/>
      <c r="B639" s="48"/>
      <c r="D639" s="48"/>
      <c r="E639" s="48"/>
      <c r="F639" s="48"/>
      <c r="G639" s="48"/>
      <c r="J639" s="48"/>
      <c r="L639" s="48"/>
      <c r="M639" s="48"/>
    </row>
    <row r="640" spans="1:13" s="46" customFormat="1" x14ac:dyDescent="0.25">
      <c r="A640" s="48"/>
      <c r="B640" s="48"/>
      <c r="D640" s="48"/>
      <c r="E640" s="48"/>
      <c r="F640" s="48"/>
      <c r="G640" s="48"/>
      <c r="J640" s="48"/>
      <c r="L640" s="48"/>
      <c r="M640" s="48"/>
    </row>
    <row r="641" spans="1:13" s="46" customFormat="1" x14ac:dyDescent="0.25">
      <c r="A641" s="48"/>
      <c r="B641" s="48"/>
      <c r="D641" s="48"/>
      <c r="E641" s="48"/>
      <c r="F641" s="48"/>
      <c r="G641" s="48"/>
      <c r="J641" s="48"/>
      <c r="L641" s="48"/>
      <c r="M641" s="48"/>
    </row>
    <row r="642" spans="1:13" s="46" customFormat="1" x14ac:dyDescent="0.25">
      <c r="A642" s="48"/>
      <c r="B642" s="48"/>
      <c r="D642" s="48"/>
      <c r="E642" s="48"/>
      <c r="F642" s="48"/>
      <c r="G642" s="48"/>
      <c r="J642" s="48"/>
      <c r="L642" s="48"/>
      <c r="M642" s="48"/>
    </row>
    <row r="643" spans="1:13" s="46" customFormat="1" x14ac:dyDescent="0.25">
      <c r="A643" s="48"/>
      <c r="B643" s="48"/>
      <c r="D643" s="48"/>
      <c r="E643" s="48"/>
      <c r="F643" s="48"/>
      <c r="G643" s="48"/>
      <c r="J643" s="48"/>
      <c r="L643" s="48"/>
      <c r="M643" s="48"/>
    </row>
    <row r="644" spans="1:13" s="46" customFormat="1" x14ac:dyDescent="0.25">
      <c r="A644" s="48"/>
      <c r="B644" s="48"/>
      <c r="D644" s="48"/>
      <c r="E644" s="48"/>
      <c r="F644" s="48"/>
      <c r="G644" s="48"/>
      <c r="J644" s="48"/>
      <c r="L644" s="48"/>
      <c r="M644" s="48"/>
    </row>
    <row r="645" spans="1:13" s="46" customFormat="1" x14ac:dyDescent="0.25">
      <c r="A645" s="48"/>
      <c r="B645" s="48"/>
      <c r="D645" s="48"/>
      <c r="E645" s="48"/>
      <c r="F645" s="48"/>
      <c r="G645" s="48"/>
      <c r="J645" s="48"/>
      <c r="L645" s="48"/>
      <c r="M645" s="48"/>
    </row>
    <row r="646" spans="1:13" s="46" customFormat="1" x14ac:dyDescent="0.25">
      <c r="A646" s="48"/>
      <c r="B646" s="48"/>
      <c r="D646" s="48"/>
      <c r="E646" s="48"/>
      <c r="F646" s="48"/>
      <c r="G646" s="48"/>
      <c r="J646" s="48"/>
      <c r="L646" s="48"/>
      <c r="M646" s="48"/>
    </row>
    <row r="647" spans="1:13" s="46" customFormat="1" x14ac:dyDescent="0.25">
      <c r="A647" s="48"/>
      <c r="B647" s="48"/>
      <c r="D647" s="48"/>
      <c r="E647" s="48"/>
      <c r="F647" s="48"/>
      <c r="G647" s="48"/>
      <c r="J647" s="48"/>
      <c r="L647" s="48"/>
      <c r="M647" s="48"/>
    </row>
    <row r="648" spans="1:13" s="46" customFormat="1" x14ac:dyDescent="0.25">
      <c r="A648" s="48"/>
      <c r="B648" s="48"/>
      <c r="D648" s="48"/>
      <c r="E648" s="48"/>
      <c r="F648" s="48"/>
      <c r="G648" s="48"/>
      <c r="J648" s="48"/>
      <c r="L648" s="48"/>
      <c r="M648" s="48"/>
    </row>
    <row r="649" spans="1:13" s="46" customFormat="1" x14ac:dyDescent="0.25">
      <c r="A649" s="48"/>
      <c r="B649" s="48"/>
      <c r="D649" s="48"/>
      <c r="E649" s="48"/>
      <c r="F649" s="48"/>
      <c r="G649" s="48"/>
      <c r="J649" s="48"/>
      <c r="L649" s="48"/>
      <c r="M649" s="48"/>
    </row>
    <row r="650" spans="1:13" s="46" customFormat="1" x14ac:dyDescent="0.25">
      <c r="A650" s="48"/>
      <c r="B650" s="48"/>
      <c r="D650" s="48"/>
      <c r="E650" s="48"/>
      <c r="F650" s="48"/>
      <c r="G650" s="48"/>
      <c r="J650" s="48"/>
      <c r="L650" s="48"/>
      <c r="M650" s="48"/>
    </row>
    <row r="651" spans="1:13" s="46" customFormat="1" x14ac:dyDescent="0.25">
      <c r="A651" s="48"/>
      <c r="B651" s="48"/>
      <c r="D651" s="48"/>
      <c r="E651" s="48"/>
      <c r="F651" s="48"/>
      <c r="G651" s="48"/>
      <c r="J651" s="48"/>
      <c r="L651" s="48"/>
      <c r="M651" s="48"/>
    </row>
    <row r="652" spans="1:13" s="46" customFormat="1" x14ac:dyDescent="0.25">
      <c r="A652" s="48"/>
      <c r="B652" s="48"/>
      <c r="D652" s="48"/>
      <c r="E652" s="48"/>
      <c r="F652" s="48"/>
      <c r="G652" s="48"/>
      <c r="J652" s="48"/>
      <c r="L652" s="48"/>
      <c r="M652" s="48"/>
    </row>
    <row r="653" spans="1:13" s="46" customFormat="1" x14ac:dyDescent="0.25">
      <c r="A653" s="48"/>
      <c r="B653" s="48"/>
      <c r="D653" s="48"/>
      <c r="E653" s="48"/>
      <c r="F653" s="48"/>
      <c r="G653" s="48"/>
      <c r="J653" s="48"/>
      <c r="L653" s="48"/>
      <c r="M653" s="48"/>
    </row>
    <row r="654" spans="1:13" s="46" customFormat="1" x14ac:dyDescent="0.25">
      <c r="A654" s="48"/>
      <c r="B654" s="48"/>
      <c r="D654" s="48"/>
      <c r="E654" s="48"/>
      <c r="F654" s="48"/>
      <c r="G654" s="48"/>
      <c r="J654" s="48"/>
      <c r="L654" s="48"/>
      <c r="M654" s="48"/>
    </row>
    <row r="655" spans="1:13" s="46" customFormat="1" x14ac:dyDescent="0.25">
      <c r="A655" s="48"/>
      <c r="B655" s="48"/>
      <c r="D655" s="48"/>
      <c r="E655" s="48"/>
      <c r="F655" s="48"/>
      <c r="G655" s="48"/>
      <c r="J655" s="48"/>
      <c r="L655" s="48"/>
      <c r="M655" s="48"/>
    </row>
  </sheetData>
  <autoFilter ref="A2:AN498" xr:uid="{230A3837-AB7A-484B-AE86-C69D62A48DDB}">
    <filterColumn colId="7">
      <filters>
        <filter val="INACTIVA"/>
      </filters>
    </filterColumn>
    <filterColumn colId="13" showButton="0"/>
    <filterColumn colId="14" showButton="0"/>
    <filterColumn colId="15" showButton="0"/>
  </autoFilter>
  <mergeCells count="386">
    <mergeCell ref="N470:Q470"/>
    <mergeCell ref="N457:Q457"/>
    <mergeCell ref="N464:Q464"/>
    <mergeCell ref="N458:Q458"/>
    <mergeCell ref="N465:Q465"/>
    <mergeCell ref="N488:Q488"/>
    <mergeCell ref="N108:Q108"/>
    <mergeCell ref="N319:Q319"/>
    <mergeCell ref="N327:Q327"/>
    <mergeCell ref="N336:Q336"/>
    <mergeCell ref="N346:Q346"/>
    <mergeCell ref="N354:Q354"/>
    <mergeCell ref="N365:Q365"/>
    <mergeCell ref="N387:Q387"/>
    <mergeCell ref="N413:Q413"/>
    <mergeCell ref="N448:Q448"/>
    <mergeCell ref="N439:Q439"/>
    <mergeCell ref="N381:Q381"/>
    <mergeCell ref="N397:Q397"/>
    <mergeCell ref="N398:Q398"/>
    <mergeCell ref="N468:Q468"/>
    <mergeCell ref="N469:Q469"/>
    <mergeCell ref="N416:Q416"/>
    <mergeCell ref="N463:Q463"/>
    <mergeCell ref="N456:Q456"/>
    <mergeCell ref="N431:Q431"/>
    <mergeCell ref="N427:Q427"/>
    <mergeCell ref="N428:Q428"/>
    <mergeCell ref="N414:Q414"/>
    <mergeCell ref="N380:Q380"/>
    <mergeCell ref="N418:Q418"/>
    <mergeCell ref="N402:Q402"/>
    <mergeCell ref="N403:Q403"/>
    <mergeCell ref="N405:Q405"/>
    <mergeCell ref="N412:Q412"/>
    <mergeCell ref="N407:Q407"/>
    <mergeCell ref="N409:Q409"/>
    <mergeCell ref="N410:Q410"/>
    <mergeCell ref="N411:Q411"/>
    <mergeCell ref="N21:Q21"/>
    <mergeCell ref="N25:Q25"/>
    <mergeCell ref="N43:Q43"/>
    <mergeCell ref="N44:Q44"/>
    <mergeCell ref="N45:Q45"/>
    <mergeCell ref="N136:Q136"/>
    <mergeCell ref="N141:Q141"/>
    <mergeCell ref="N143:Q143"/>
    <mergeCell ref="N144:Q144"/>
    <mergeCell ref="N133:Q133"/>
    <mergeCell ref="N100:Q100"/>
    <mergeCell ref="N101:Q101"/>
    <mergeCell ref="N109:Q109"/>
    <mergeCell ref="N139:Q139"/>
    <mergeCell ref="N103:Q103"/>
    <mergeCell ref="N116:Q116"/>
    <mergeCell ref="N118:Q118"/>
    <mergeCell ref="N119:Q119"/>
    <mergeCell ref="N132:Q132"/>
    <mergeCell ref="N135:Q135"/>
    <mergeCell ref="N66:Q66"/>
    <mergeCell ref="N74:Q74"/>
    <mergeCell ref="N120:Q120"/>
    <mergeCell ref="N121:Q121"/>
    <mergeCell ref="N166:Q166"/>
    <mergeCell ref="N49:Q49"/>
    <mergeCell ref="N145:Q145"/>
    <mergeCell ref="N148:Q148"/>
    <mergeCell ref="N149:Q149"/>
    <mergeCell ref="N150:Q150"/>
    <mergeCell ref="N168:Q168"/>
    <mergeCell ref="N84:Q84"/>
    <mergeCell ref="N85:Q85"/>
    <mergeCell ref="N54:Q54"/>
    <mergeCell ref="N55:Q55"/>
    <mergeCell ref="N53:Q53"/>
    <mergeCell ref="N80:Q80"/>
    <mergeCell ref="N81:Q81"/>
    <mergeCell ref="N102:Q102"/>
    <mergeCell ref="N87:Q87"/>
    <mergeCell ref="N88:Q88"/>
    <mergeCell ref="N159:Q159"/>
    <mergeCell ref="N161:Q161"/>
    <mergeCell ref="N151:Q151"/>
    <mergeCell ref="N158:Q158"/>
    <mergeCell ref="N125:Q125"/>
    <mergeCell ref="N122:Q122"/>
    <mergeCell ref="N123:Q123"/>
    <mergeCell ref="N180:Q180"/>
    <mergeCell ref="N382:Q382"/>
    <mergeCell ref="N257:Q257"/>
    <mergeCell ref="N258:Q258"/>
    <mergeCell ref="N259:Q259"/>
    <mergeCell ref="N261:Q261"/>
    <mergeCell ref="N272:Q272"/>
    <mergeCell ref="N169:Q169"/>
    <mergeCell ref="N170:Q170"/>
    <mergeCell ref="N172:Q172"/>
    <mergeCell ref="N173:Q173"/>
    <mergeCell ref="N174:Q174"/>
    <mergeCell ref="N318:Q318"/>
    <mergeCell ref="N326:Q326"/>
    <mergeCell ref="N335:Q335"/>
    <mergeCell ref="N325:Q325"/>
    <mergeCell ref="N334:Q334"/>
    <mergeCell ref="N331:Q331"/>
    <mergeCell ref="N332:Q332"/>
    <mergeCell ref="N333:Q333"/>
    <mergeCell ref="N321:Q321"/>
    <mergeCell ref="N322:Q322"/>
    <mergeCell ref="N323:Q323"/>
    <mergeCell ref="N324:Q324"/>
    <mergeCell ref="N176:Q176"/>
    <mergeCell ref="N177:Q177"/>
    <mergeCell ref="N58:Q58"/>
    <mergeCell ref="N68:Q68"/>
    <mergeCell ref="N106:Q106"/>
    <mergeCell ref="N82:Q82"/>
    <mergeCell ref="N367:Q367"/>
    <mergeCell ref="N268:Q268"/>
    <mergeCell ref="N373:Q373"/>
    <mergeCell ref="N362:Q362"/>
    <mergeCell ref="N363:Q363"/>
    <mergeCell ref="N264:Q264"/>
    <mergeCell ref="N187:Q187"/>
    <mergeCell ref="N178:Q178"/>
    <mergeCell ref="N179:Q179"/>
    <mergeCell ref="N184:Q184"/>
    <mergeCell ref="N185:Q185"/>
    <mergeCell ref="N191:Q191"/>
    <mergeCell ref="N192:Q192"/>
    <mergeCell ref="N195:Q195"/>
    <mergeCell ref="N249:Q249"/>
    <mergeCell ref="N274:Q274"/>
    <mergeCell ref="N296:Q296"/>
    <mergeCell ref="N317:Q317"/>
    <mergeCell ref="N56:Q56"/>
    <mergeCell ref="N64:Q64"/>
    <mergeCell ref="N65:Q65"/>
    <mergeCell ref="N78:Q78"/>
    <mergeCell ref="N95:Q95"/>
    <mergeCell ref="N96:Q96"/>
    <mergeCell ref="N67:Q67"/>
    <mergeCell ref="N57:Q57"/>
    <mergeCell ref="N61:Q61"/>
    <mergeCell ref="N71:Q71"/>
    <mergeCell ref="N93:Q93"/>
    <mergeCell ref="N94:Q94"/>
    <mergeCell ref="N89:Q89"/>
    <mergeCell ref="N90:Q90"/>
    <mergeCell ref="N79:Q79"/>
    <mergeCell ref="N70:Q70"/>
    <mergeCell ref="N129:Q129"/>
    <mergeCell ref="N112:Q112"/>
    <mergeCell ref="N164:Q164"/>
    <mergeCell ref="N130:Q130"/>
    <mergeCell ref="N131:Q131"/>
    <mergeCell ref="N155:Q155"/>
    <mergeCell ref="N105:Q105"/>
    <mergeCell ref="N104:Q104"/>
    <mergeCell ref="N157:Q157"/>
    <mergeCell ref="N138:Q138"/>
    <mergeCell ref="N146:Q146"/>
    <mergeCell ref="N199:Q199"/>
    <mergeCell ref="N201:Q201"/>
    <mergeCell ref="N193:Q193"/>
    <mergeCell ref="N228:Q228"/>
    <mergeCell ref="N227:Q227"/>
    <mergeCell ref="N238:Q238"/>
    <mergeCell ref="N315:Q315"/>
    <mergeCell ref="N288:Q288"/>
    <mergeCell ref="N289:Q289"/>
    <mergeCell ref="N265:Q265"/>
    <mergeCell ref="N266:Q266"/>
    <mergeCell ref="N267:Q267"/>
    <mergeCell ref="N271:Q271"/>
    <mergeCell ref="N290:Q290"/>
    <mergeCell ref="N291:Q291"/>
    <mergeCell ref="N292:Q292"/>
    <mergeCell ref="N250:Q250"/>
    <mergeCell ref="N218:Q218"/>
    <mergeCell ref="N219:Q219"/>
    <mergeCell ref="N220:Q220"/>
    <mergeCell ref="N225:Q225"/>
    <mergeCell ref="N226:Q226"/>
    <mergeCell ref="N230:Q230"/>
    <mergeCell ref="N243:Q243"/>
    <mergeCell ref="N293:Q293"/>
    <mergeCell ref="N304:Q304"/>
    <mergeCell ref="N294:Q294"/>
    <mergeCell ref="N302:Q302"/>
    <mergeCell ref="N303:Q303"/>
    <mergeCell ref="N364:Q364"/>
    <mergeCell ref="N316:Q316"/>
    <mergeCell ref="N350:Q350"/>
    <mergeCell ref="N351:Q351"/>
    <mergeCell ref="N357:Q357"/>
    <mergeCell ref="N345:Q345"/>
    <mergeCell ref="N353:Q353"/>
    <mergeCell ref="N310:Q310"/>
    <mergeCell ref="N311:Q311"/>
    <mergeCell ref="N314:Q314"/>
    <mergeCell ref="N298:Q298"/>
    <mergeCell ref="N305:Q305"/>
    <mergeCell ref="N299:Q299"/>
    <mergeCell ref="N301:Q301"/>
    <mergeCell ref="N330:Q330"/>
    <mergeCell ref="D608:F608"/>
    <mergeCell ref="D615:F615"/>
    <mergeCell ref="D622:F622"/>
    <mergeCell ref="D552:F552"/>
    <mergeCell ref="D559:F559"/>
    <mergeCell ref="D566:F566"/>
    <mergeCell ref="D573:F573"/>
    <mergeCell ref="D580:F580"/>
    <mergeCell ref="N475:Q475"/>
    <mergeCell ref="N476:Q476"/>
    <mergeCell ref="N486:Q486"/>
    <mergeCell ref="C504:H505"/>
    <mergeCell ref="C541:H542"/>
    <mergeCell ref="D545:F545"/>
    <mergeCell ref="G545:H545"/>
    <mergeCell ref="N494:Q494"/>
    <mergeCell ref="N495:Q495"/>
    <mergeCell ref="N489:Q489"/>
    <mergeCell ref="N496:Q496"/>
    <mergeCell ref="N232:Q232"/>
    <mergeCell ref="N216:Q216"/>
    <mergeCell ref="N240:Q240"/>
    <mergeCell ref="D601:F601"/>
    <mergeCell ref="D594:F594"/>
    <mergeCell ref="N38:Q38"/>
    <mergeCell ref="N50:Q50"/>
    <mergeCell ref="N213:Q213"/>
    <mergeCell ref="N214:Q214"/>
    <mergeCell ref="N269:Q269"/>
    <mergeCell ref="N453:Q453"/>
    <mergeCell ref="D587:F587"/>
    <mergeCell ref="N471:Q471"/>
    <mergeCell ref="N375:Q375"/>
    <mergeCell ref="N454:Q454"/>
    <mergeCell ref="N459:Q459"/>
    <mergeCell ref="N466:Q466"/>
    <mergeCell ref="N384:Q384"/>
    <mergeCell ref="N429:Q429"/>
    <mergeCell ref="N438:Q438"/>
    <mergeCell ref="N358:Q358"/>
    <mergeCell ref="N277:Q277"/>
    <mergeCell ref="N276:Q276"/>
    <mergeCell ref="N202:Q202"/>
    <mergeCell ref="N188:Q188"/>
    <mergeCell ref="N189:Q189"/>
    <mergeCell ref="N342:Q342"/>
    <mergeCell ref="N343:Q343"/>
    <mergeCell ref="N344:Q344"/>
    <mergeCell ref="N20:Q20"/>
    <mergeCell ref="N26:Q26"/>
    <mergeCell ref="N137:Q137"/>
    <mergeCell ref="N252:Q252"/>
    <mergeCell ref="N245:Q245"/>
    <mergeCell ref="N253:Q253"/>
    <mergeCell ref="N222:Q222"/>
    <mergeCell ref="N241:Q241"/>
    <mergeCell ref="N206:Q206"/>
    <mergeCell ref="N246:Q246"/>
    <mergeCell ref="N223:Q223"/>
    <mergeCell ref="N247:Q247"/>
    <mergeCell ref="N215:Q215"/>
    <mergeCell ref="N239:Q239"/>
    <mergeCell ref="N244:Q244"/>
    <mergeCell ref="N60:Q60"/>
    <mergeCell ref="N200:Q200"/>
    <mergeCell ref="N204:Q204"/>
    <mergeCell ref="N205:Q205"/>
    <mergeCell ref="N182:Q182"/>
    <mergeCell ref="N59:Q59"/>
    <mergeCell ref="N2:Q2"/>
    <mergeCell ref="N7:Q7"/>
    <mergeCell ref="N29:Q29"/>
    <mergeCell ref="N40:Q40"/>
    <mergeCell ref="N111:Q111"/>
    <mergeCell ref="N153:Q153"/>
    <mergeCell ref="N162:Q162"/>
    <mergeCell ref="N163:Q163"/>
    <mergeCell ref="N4:Q4"/>
    <mergeCell ref="N6:Q6"/>
    <mergeCell ref="N9:Q9"/>
    <mergeCell ref="N5:Q5"/>
    <mergeCell ref="N23:Q23"/>
    <mergeCell ref="N24:Q24"/>
    <mergeCell ref="N31:Q31"/>
    <mergeCell ref="N32:Q32"/>
    <mergeCell ref="N33:Q33"/>
    <mergeCell ref="N42:Q42"/>
    <mergeCell ref="N35:Q35"/>
    <mergeCell ref="N97:Q97"/>
    <mergeCell ref="N126:Q126"/>
    <mergeCell ref="N127:Q127"/>
    <mergeCell ref="N196:Q196"/>
    <mergeCell ref="N69:Q69"/>
    <mergeCell ref="N107:Q107"/>
    <mergeCell ref="N113:Q113"/>
    <mergeCell ref="N165:Q165"/>
    <mergeCell ref="N181:Q181"/>
    <mergeCell ref="N10:Q10"/>
    <mergeCell ref="N11:Q11"/>
    <mergeCell ref="N17:Q17"/>
    <mergeCell ref="N18:Q18"/>
    <mergeCell ref="N19:Q19"/>
    <mergeCell ref="N15:Q15"/>
    <mergeCell ref="N28:Q28"/>
    <mergeCell ref="N39:Q39"/>
    <mergeCell ref="N51:Q51"/>
    <mergeCell ref="N34:Q34"/>
    <mergeCell ref="N48:Q48"/>
    <mergeCell ref="N12:Q12"/>
    <mergeCell ref="N13:Q13"/>
    <mergeCell ref="N14:Q14"/>
    <mergeCell ref="N36:Q36"/>
    <mergeCell ref="N27:Q27"/>
    <mergeCell ref="N46:Q46"/>
    <mergeCell ref="N47:Q47"/>
    <mergeCell ref="N286:Q286"/>
    <mergeCell ref="N287:Q287"/>
    <mergeCell ref="N263:Q263"/>
    <mergeCell ref="N207:Q207"/>
    <mergeCell ref="N210:Q210"/>
    <mergeCell ref="N211:Q211"/>
    <mergeCell ref="N212:Q212"/>
    <mergeCell ref="N255:Q255"/>
    <mergeCell ref="N338:Q338"/>
    <mergeCell ref="N273:Q273"/>
    <mergeCell ref="N295:Q295"/>
    <mergeCell ref="N234:Q234"/>
    <mergeCell ref="N236:Q236"/>
    <mergeCell ref="N279:Q279"/>
    <mergeCell ref="N280:Q280"/>
    <mergeCell ref="N282:Q282"/>
    <mergeCell ref="N283:Q283"/>
    <mergeCell ref="N254:Q254"/>
    <mergeCell ref="N251:Q251"/>
    <mergeCell ref="N284:Q284"/>
    <mergeCell ref="N221:Q221"/>
    <mergeCell ref="N208:Q208"/>
    <mergeCell ref="N275:Q275"/>
    <mergeCell ref="N297:Q297"/>
    <mergeCell ref="N376:Q376"/>
    <mergeCell ref="N378:Q378"/>
    <mergeCell ref="N374:Q374"/>
    <mergeCell ref="N417:Q417"/>
    <mergeCell ref="N396:Q396"/>
    <mergeCell ref="N400:Q400"/>
    <mergeCell ref="N306:Q306"/>
    <mergeCell ref="N328:Q328"/>
    <mergeCell ref="N347:Q347"/>
    <mergeCell ref="N355:Q355"/>
    <mergeCell ref="N385:Q385"/>
    <mergeCell ref="N388:Q388"/>
    <mergeCell ref="N368:Q368"/>
    <mergeCell ref="N369:Q369"/>
    <mergeCell ref="N352:Q352"/>
    <mergeCell ref="N379:Q379"/>
    <mergeCell ref="N371:Q371"/>
    <mergeCell ref="N472:Q472"/>
    <mergeCell ref="N487:Q487"/>
    <mergeCell ref="N479:Q479"/>
    <mergeCell ref="N485:Q485"/>
    <mergeCell ref="N339:Q339"/>
    <mergeCell ref="N340:Q340"/>
    <mergeCell ref="N391:Q391"/>
    <mergeCell ref="N392:Q392"/>
    <mergeCell ref="N393:Q393"/>
    <mergeCell ref="N395:Q395"/>
    <mergeCell ref="N477:Q477"/>
    <mergeCell ref="N370:Q370"/>
    <mergeCell ref="N450:Q450"/>
    <mergeCell ref="N432:Q432"/>
    <mergeCell ref="N436:Q436"/>
    <mergeCell ref="N451:Q451"/>
    <mergeCell ref="N447:Q447"/>
    <mergeCell ref="N449:Q449"/>
    <mergeCell ref="N434:Q434"/>
    <mergeCell ref="N435:Q435"/>
    <mergeCell ref="N430:Q430"/>
    <mergeCell ref="N406:Q406"/>
    <mergeCell ref="N461:Q461"/>
    <mergeCell ref="N390:Q390"/>
  </mergeCells>
  <conditionalFormatting sqref="E532">
    <cfRule type="containsText" dxfId="4469" priority="3029" operator="containsText" text="ACTIVO">
      <formula>NOT(ISERROR(SEARCH("ACTIVO",E532)))</formula>
    </cfRule>
    <cfRule type="containsText" dxfId="4468" priority="3030" operator="containsText" text="ACTIVO">
      <formula>NOT(ISERROR(SEARCH("ACTIVO",E532)))</formula>
    </cfRule>
    <cfRule type="containsText" dxfId="4467" priority="3031" operator="containsText" text="BAJA">
      <formula>NOT(ISERROR(SEARCH("BAJA",E532)))</formula>
    </cfRule>
    <cfRule type="containsText" dxfId="4466" priority="3032" operator="containsText" text="INACTIVA">
      <formula>NOT(ISERROR(SEARCH("INACTIVA",E532)))</formula>
    </cfRule>
    <cfRule type="containsText" dxfId="4465" priority="3033" operator="containsText" text="ACTIVO">
      <formula>NOT(ISERROR(SEARCH("ACTIVO",E532)))</formula>
    </cfRule>
    <cfRule type="containsText" dxfId="4464" priority="3034" operator="containsText" text="ACTIVO">
      <formula>NOT(ISERROR(SEARCH("ACTIVO",E532)))</formula>
    </cfRule>
    <cfRule type="containsText" dxfId="4463" priority="3035" operator="containsText" text="ACTIVO">
      <formula>NOT(ISERROR(SEARCH("ACTIVO",E532)))</formula>
    </cfRule>
    <cfRule type="colorScale" priority="303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3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E532:F532">
    <cfRule type="containsText" dxfId="4462" priority="3027" operator="containsText" text="INACTIVA">
      <formula>NOT(ISERROR(SEARCH("INACTIVA",E532)))</formula>
    </cfRule>
    <cfRule type="containsText" dxfId="4461" priority="3028" operator="containsText" text="ACTIVO">
      <formula>NOT(ISERROR(SEARCH("ACTIVO",E532)))</formula>
    </cfRule>
  </conditionalFormatting>
  <conditionalFormatting sqref="F532">
    <cfRule type="containsText" dxfId="4460" priority="3020" operator="containsText" text="ACTIVO">
      <formula>NOT(ISERROR(SEARCH("ACTIVO",F532)))</formula>
    </cfRule>
    <cfRule type="containsText" dxfId="4459" priority="3021" operator="containsText" text="ACTIVO">
      <formula>NOT(ISERROR(SEARCH("ACTIVO",F532)))</formula>
    </cfRule>
    <cfRule type="containsText" dxfId="4458" priority="3022" operator="containsText" text="BAJA">
      <formula>NOT(ISERROR(SEARCH("BAJA",F532)))</formula>
    </cfRule>
    <cfRule type="containsText" dxfId="4457" priority="3023" operator="containsText" text="ACTIVO">
      <formula>NOT(ISERROR(SEARCH("ACTIVO",F532)))</formula>
    </cfRule>
    <cfRule type="containsText" dxfId="4456" priority="3024" operator="containsText" text="ACTIVO">
      <formula>NOT(ISERROR(SEARCH("ACTIVO",F532)))</formula>
    </cfRule>
    <cfRule type="colorScale" priority="30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2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8">
    <cfRule type="containsText" dxfId="4455" priority="2068" operator="containsText" text="BAJA">
      <formula>NOT(ISERROR(SEARCH("BAJA",H28)))</formula>
    </cfRule>
    <cfRule type="containsText" dxfId="4454" priority="2069" operator="containsText" text="ACTIVO">
      <formula>NOT(ISERROR(SEARCH("ACTIVO",H28)))</formula>
    </cfRule>
    <cfRule type="containsText" dxfId="4453" priority="2070" operator="containsText" text="BAJA">
      <formula>NOT(ISERROR(SEARCH("BAJA",H28)))</formula>
    </cfRule>
    <cfRule type="colorScale" priority="20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7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52" priority="2075" operator="containsText" text="ACTIVO">
      <formula>NOT(ISERROR(SEARCH("ACTIVO",H28)))</formula>
    </cfRule>
    <cfRule type="containsText" dxfId="4451" priority="2076" operator="containsText" text="ACTIVO">
      <formula>NOT(ISERROR(SEARCH("ACTIVO",H28)))</formula>
    </cfRule>
    <cfRule type="containsText" dxfId="4450" priority="2077" operator="containsText" text="BAJA">
      <formula>NOT(ISERROR(SEARCH("BAJA",H28)))</formula>
    </cfRule>
    <cfRule type="containsText" dxfId="4449" priority="2078" operator="containsText" text="ACTIVO">
      <formula>NOT(ISERROR(SEARCH("ACTIVO",H28)))</formula>
    </cfRule>
    <cfRule type="containsText" dxfId="4448" priority="2079" operator="containsText" text="ACTIVO">
      <formula>NOT(ISERROR(SEARCH("ACTIVO",H28)))</formula>
    </cfRule>
    <cfRule type="colorScale" priority="208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8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47" priority="2082" operator="containsText" text="BAJA">
      <formula>NOT(ISERROR(SEARCH("BAJA",H28)))</formula>
    </cfRule>
    <cfRule type="containsText" dxfId="4446" priority="2083" operator="containsText" text="ACTIVO">
      <formula>NOT(ISERROR(SEARCH("ACTIVO",H28)))</formula>
    </cfRule>
    <cfRule type="containsText" dxfId="4445" priority="2084" operator="containsText" text="ACTIVO">
      <formula>NOT(ISERROR(SEARCH("ACTIVO",H28)))</formula>
    </cfRule>
    <cfRule type="containsText" dxfId="4444" priority="2085" operator="containsText" text="ACTIVO">
      <formula>NOT(ISERROR(SEARCH("ACTIVO",H28)))</formula>
    </cfRule>
    <cfRule type="containsText" dxfId="4443" priority="2086" operator="containsText" text="ACTIVO">
      <formula>NOT(ISERROR(SEARCH("ACTIVO",H28)))</formula>
    </cfRule>
    <cfRule type="containsText" dxfId="4442" priority="2087" operator="containsText" text="BAJA">
      <formula>NOT(ISERROR(SEARCH("BAJA",H28)))</formula>
    </cfRule>
    <cfRule type="containsText" dxfId="4441" priority="2088" operator="containsText" text="INACTIVA">
      <formula>NOT(ISERROR(SEARCH("INACTIVA",H28)))</formula>
    </cfRule>
    <cfRule type="colorScale" priority="208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40" priority="2093" operator="containsText" text="ACTIVO">
      <formula>NOT(ISERROR(SEARCH("ACTIVO",H28)))</formula>
    </cfRule>
    <cfRule type="containsText" dxfId="4439" priority="2094" operator="containsText" text="BAJA">
      <formula>NOT(ISERROR(SEARCH("BAJA",H28)))</formula>
    </cfRule>
    <cfRule type="containsText" dxfId="4438" priority="2095" operator="containsText" text="ACTIVO">
      <formula>NOT(ISERROR(SEARCH("ACTIVO",H28)))</formula>
    </cfRule>
    <cfRule type="colorScale" priority="20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37" priority="2100" operator="containsText" text="INACTIVA">
      <formula>NOT(ISERROR(SEARCH("INACTIVA",H28)))</formula>
    </cfRule>
    <cfRule type="containsText" dxfId="4436" priority="2101" operator="containsText" text="BAJA">
      <formula>NOT(ISERROR(SEARCH("BAJA",H28)))</formula>
    </cfRule>
    <cfRule type="containsText" dxfId="4435" priority="2102" operator="containsText" text="ACTIVO">
      <formula>NOT(ISERROR(SEARCH("ACTIVO",H28)))</formula>
    </cfRule>
    <cfRule type="containsText" dxfId="4434" priority="2103" operator="containsText" text="BAJA">
      <formula>NOT(ISERROR(SEARCH("BAJA",H28)))</formula>
    </cfRule>
    <cfRule type="colorScale" priority="210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0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33" priority="2106" operator="containsText" text="INACTIVA">
      <formula>NOT(ISERROR(SEARCH("INACTIVA",H28)))</formula>
    </cfRule>
    <cfRule type="containsText" dxfId="4432" priority="2107" operator="containsText" text="ACTIVA">
      <formula>NOT(ISERROR(SEARCH("ACTIVA",H28)))</formula>
    </cfRule>
    <cfRule type="colorScale" priority="210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0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31" priority="2110" operator="containsText" text="INACTIVA">
      <formula>NOT(ISERROR(SEARCH("INACTIVA",H28)))</formula>
    </cfRule>
    <cfRule type="colorScale" priority="211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1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1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30" priority="2115" operator="containsText" text="ACTIVO">
      <formula>NOT(ISERROR(SEARCH("ACTIVO",H28)))</formula>
    </cfRule>
    <cfRule type="colorScale" priority="21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1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8:H32">
    <cfRule type="containsText" dxfId="4429" priority="2066" operator="containsText" text="ACTIVO">
      <formula>NOT(ISERROR(SEARCH("ACTIVO",H28)))</formula>
    </cfRule>
    <cfRule type="containsText" dxfId="4428" priority="2067" operator="containsText" text="INACTIVA">
      <formula>NOT(ISERROR(SEARCH("INACTIVA",H28)))</formula>
    </cfRule>
  </conditionalFormatting>
  <conditionalFormatting sqref="H29:H32">
    <cfRule type="containsText" dxfId="4427" priority="2046" operator="containsText" text="BAJA">
      <formula>NOT(ISERROR(SEARCH("BAJA",H29)))</formula>
    </cfRule>
    <cfRule type="containsText" dxfId="4426" priority="2047" operator="containsText" text="ACTIVO">
      <formula>NOT(ISERROR(SEARCH("ACTIVO",H29)))</formula>
    </cfRule>
    <cfRule type="containsText" dxfId="4425" priority="2048" operator="containsText" text="ACTIVO">
      <formula>NOT(ISERROR(SEARCH("ACTIVO",H29)))</formula>
    </cfRule>
    <cfRule type="containsText" dxfId="4424" priority="2049" operator="containsText" text="BAJA">
      <formula>NOT(ISERROR(SEARCH("BAJA",H29)))</formula>
    </cfRule>
    <cfRule type="containsText" dxfId="4423" priority="2050" operator="containsText" text="ACTIVO">
      <formula>NOT(ISERROR(SEARCH("ACTIVO",H29)))</formula>
    </cfRule>
    <cfRule type="containsText" dxfId="4422" priority="2051" operator="containsText" text="ACTIVO">
      <formula>NOT(ISERROR(SEARCH("ACTIVO",H29)))</formula>
    </cfRule>
    <cfRule type="containsText" dxfId="4421" priority="2052" operator="containsText" text="BAJA">
      <formula>NOT(ISERROR(SEARCH("BAJA",H29)))</formula>
    </cfRule>
    <cfRule type="containsText" dxfId="4420" priority="2053" operator="containsText" text="ACTIVO">
      <formula>NOT(ISERROR(SEARCH("ACTIVO",H29)))</formula>
    </cfRule>
    <cfRule type="containsText" dxfId="4419" priority="2054" operator="containsText" text="ACTIVO">
      <formula>NOT(ISERROR(SEARCH("ACTIVO",H29)))</formula>
    </cfRule>
    <cfRule type="containsText" dxfId="4418" priority="2055" operator="containsText" text="ACTIVO">
      <formula>NOT(ISERROR(SEARCH("ACTIVO",H29)))</formula>
    </cfRule>
    <cfRule type="containsText" dxfId="4417" priority="2056" operator="containsText" text="ACTIVO">
      <formula>NOT(ISERROR(SEARCH("ACTIVO",H29)))</formula>
    </cfRule>
    <cfRule type="containsText" dxfId="4416" priority="2057" operator="containsText" text="BAJA">
      <formula>NOT(ISERROR(SEARCH("BAJA",H29)))</formula>
    </cfRule>
    <cfRule type="containsText" dxfId="4415" priority="2058" operator="containsText" text="INACTIVA">
      <formula>NOT(ISERROR(SEARCH("INACTIVA",H29)))</formula>
    </cfRule>
    <cfRule type="containsText" dxfId="4414" priority="2059" operator="containsText" text="ACTIVO">
      <formula>NOT(ISERROR(SEARCH("ACTIVO",H29)))</formula>
    </cfRule>
    <cfRule type="containsText" dxfId="4413" priority="2060" operator="containsText" text="BAJA">
      <formula>NOT(ISERROR(SEARCH("BAJA",H29)))</formula>
    </cfRule>
    <cfRule type="containsText" dxfId="4412" priority="2061" operator="containsText" text="ACTIVO">
      <formula>NOT(ISERROR(SEARCH("ACTIVO",H29)))</formula>
    </cfRule>
    <cfRule type="containsText" dxfId="4411" priority="2062" operator="containsText" text="INACTIVA">
      <formula>NOT(ISERROR(SEARCH("INACTIVA",H29)))</formula>
    </cfRule>
    <cfRule type="containsText" dxfId="4410" priority="2063" operator="containsText" text="BAJA">
      <formula>NOT(ISERROR(SEARCH("BAJA",H29)))</formula>
    </cfRule>
    <cfRule type="containsText" dxfId="4409" priority="2064" operator="containsText" text="ACTIVA">
      <formula>NOT(ISERROR(SEARCH("ACTIVA",H29)))</formula>
    </cfRule>
    <cfRule type="containsText" dxfId="4408" priority="2065" operator="containsText" text="ACTIVO">
      <formula>NOT(ISERROR(SEARCH("ACTIVO",H29)))</formula>
    </cfRule>
  </conditionalFormatting>
  <conditionalFormatting sqref="H29:H40">
    <cfRule type="containsText" dxfId="4407" priority="1112" operator="containsText" text="ACTIVO">
      <formula>NOT(ISERROR(SEARCH("ACTIVO",H29)))</formula>
    </cfRule>
    <cfRule type="containsText" dxfId="4406" priority="1113" operator="containsText" text="INACTIVA">
      <formula>NOT(ISERROR(SEARCH("INACTIVA",H29)))</formula>
    </cfRule>
  </conditionalFormatting>
  <conditionalFormatting sqref="H33">
    <cfRule type="containsText" dxfId="4405" priority="1090" operator="containsText" text="ACTIVO">
      <formula>NOT(ISERROR(SEARCH("ACTIVO",H33)))</formula>
    </cfRule>
    <cfRule type="containsText" dxfId="4404" priority="1091" operator="containsText" text="INACTIVA">
      <formula>NOT(ISERROR(SEARCH("INACTIVA",H33)))</formula>
    </cfRule>
    <cfRule type="containsText" dxfId="4403" priority="1092" operator="containsText" text="BAJA">
      <formula>NOT(ISERROR(SEARCH("BAJA",H33)))</formula>
    </cfRule>
    <cfRule type="containsText" dxfId="4402" priority="1093" operator="containsText" text="ACTIVO">
      <formula>NOT(ISERROR(SEARCH("ACTIVO",H33)))</formula>
    </cfRule>
    <cfRule type="containsText" dxfId="4401" priority="1094" operator="containsText" text="ACTIVO">
      <formula>NOT(ISERROR(SEARCH("ACTIVO",H33)))</formula>
    </cfRule>
    <cfRule type="containsText" dxfId="4400" priority="1095" operator="containsText" text="BAJA">
      <formula>NOT(ISERROR(SEARCH("BAJA",H33)))</formula>
    </cfRule>
    <cfRule type="containsText" dxfId="4399" priority="1096" operator="containsText" text="ACTIVO">
      <formula>NOT(ISERROR(SEARCH("ACTIVO",H33)))</formula>
    </cfRule>
    <cfRule type="containsText" dxfId="4398" priority="1097" operator="containsText" text="ACTIVO">
      <formula>NOT(ISERROR(SEARCH("ACTIVO",H33)))</formula>
    </cfRule>
    <cfRule type="containsText" dxfId="4397" priority="1098" operator="containsText" text="BAJA">
      <formula>NOT(ISERROR(SEARCH("BAJA",H33)))</formula>
    </cfRule>
    <cfRule type="containsText" dxfId="4396" priority="1099" operator="containsText" text="ACTIVO">
      <formula>NOT(ISERROR(SEARCH("ACTIVO",H33)))</formula>
    </cfRule>
    <cfRule type="containsText" dxfId="4395" priority="1100" operator="containsText" text="ACTIVO">
      <formula>NOT(ISERROR(SEARCH("ACTIVO",H33)))</formula>
    </cfRule>
    <cfRule type="containsText" dxfId="4394" priority="1101" operator="containsText" text="ACTIVO">
      <formula>NOT(ISERROR(SEARCH("ACTIVO",H33)))</formula>
    </cfRule>
    <cfRule type="containsText" dxfId="4393" priority="1102" operator="containsText" text="ACTIVO">
      <formula>NOT(ISERROR(SEARCH("ACTIVO",H33)))</formula>
    </cfRule>
    <cfRule type="containsText" dxfId="4392" priority="1103" operator="containsText" text="BAJA">
      <formula>NOT(ISERROR(SEARCH("BAJA",H33)))</formula>
    </cfRule>
    <cfRule type="containsText" dxfId="4391" priority="1104" operator="containsText" text="INACTIVA">
      <formula>NOT(ISERROR(SEARCH("INACTIVA",H33)))</formula>
    </cfRule>
    <cfRule type="containsText" dxfId="4390" priority="1105" operator="containsText" text="ACTIVO">
      <formula>NOT(ISERROR(SEARCH("ACTIVO",H33)))</formula>
    </cfRule>
    <cfRule type="containsText" dxfId="4389" priority="1106" operator="containsText" text="BAJA">
      <formula>NOT(ISERROR(SEARCH("BAJA",H33)))</formula>
    </cfRule>
    <cfRule type="containsText" dxfId="4388" priority="1107" operator="containsText" text="ACTIVA">
      <formula>NOT(ISERROR(SEARCH("ACTIVA",H33)))</formula>
    </cfRule>
    <cfRule type="containsText" dxfId="4387" priority="1108" operator="containsText" text="ACTIVO">
      <formula>NOT(ISERROR(SEARCH("ACTIVO",H33)))</formula>
    </cfRule>
    <cfRule type="containsText" dxfId="4386" priority="1109" operator="containsText" text="ACTIVO">
      <formula>NOT(ISERROR(SEARCH("ACTIVO",H33)))</formula>
    </cfRule>
    <cfRule type="containsText" dxfId="4385" priority="1110" operator="containsText" text="INACTIVA">
      <formula>NOT(ISERROR(SEARCH("INACTIVA",H33)))</formula>
    </cfRule>
    <cfRule type="containsText" dxfId="4384" priority="1111" operator="containsText" text="BAJA">
      <formula>NOT(ISERROR(SEARCH("BAJA",H33)))</formula>
    </cfRule>
  </conditionalFormatting>
  <conditionalFormatting sqref="H34:H40 H42:H46 H48:H54 H88">
    <cfRule type="containsText" dxfId="4383" priority="5235" operator="containsText" text="ACTIVO">
      <formula>NOT(ISERROR(SEARCH("ACTIVO",H34)))</formula>
    </cfRule>
    <cfRule type="containsText" dxfId="4382" priority="5236" operator="containsText" text="BAJA">
      <formula>NOT(ISERROR(SEARCH("BAJA",H34)))</formula>
    </cfRule>
    <cfRule type="containsText" dxfId="4381" priority="5237" operator="containsText" text="ACTIVO">
      <formula>NOT(ISERROR(SEARCH("ACTIVO",H34)))</formula>
    </cfRule>
    <cfRule type="containsText" dxfId="4380" priority="5238" operator="containsText" text="ACTIVO">
      <formula>NOT(ISERROR(SEARCH("ACTIVO",H34)))</formula>
    </cfRule>
    <cfRule type="containsText" dxfId="4379" priority="5239" operator="containsText" text="BAJA">
      <formula>NOT(ISERROR(SEARCH("BAJA",H34)))</formula>
    </cfRule>
    <cfRule type="containsText" dxfId="4378" priority="5240" operator="containsText" text="ACTIVO">
      <formula>NOT(ISERROR(SEARCH("ACTIVO",H34)))</formula>
    </cfRule>
    <cfRule type="containsText" dxfId="4377" priority="5241" operator="containsText" text="ACTIVO">
      <formula>NOT(ISERROR(SEARCH("ACTIVO",H34)))</formula>
    </cfRule>
    <cfRule type="containsText" dxfId="4376" priority="5242" operator="containsText" text="ACTIVO">
      <formula>NOT(ISERROR(SEARCH("ACTIVO",H34)))</formula>
    </cfRule>
    <cfRule type="containsText" dxfId="4375" priority="5243" operator="containsText" text="ACTIVO">
      <formula>NOT(ISERROR(SEARCH("ACTIVO",H34)))</formula>
    </cfRule>
    <cfRule type="containsText" dxfId="4374" priority="5244" operator="containsText" text="BAJA">
      <formula>NOT(ISERROR(SEARCH("BAJA",H34)))</formula>
    </cfRule>
    <cfRule type="containsText" dxfId="4373" priority="5245" operator="containsText" text="INACTIVA">
      <formula>NOT(ISERROR(SEARCH("INACTIVA",H34)))</formula>
    </cfRule>
    <cfRule type="containsText" dxfId="4372" priority="5246" operator="containsText" text="ACTIVO">
      <formula>NOT(ISERROR(SEARCH("ACTIVO",H34)))</formula>
    </cfRule>
    <cfRule type="containsText" dxfId="4371" priority="5247" operator="containsText" text="BAJA">
      <formula>NOT(ISERROR(SEARCH("BAJA",H34)))</formula>
    </cfRule>
    <cfRule type="containsText" dxfId="4370" priority="5248" operator="containsText" text="ACTIVO">
      <formula>NOT(ISERROR(SEARCH("ACTIVO",H34)))</formula>
    </cfRule>
    <cfRule type="containsText" dxfId="4369" priority="5249" operator="containsText" text="INACTIVA">
      <formula>NOT(ISERROR(SEARCH("INACTIVA",H34)))</formula>
    </cfRule>
    <cfRule type="containsText" dxfId="4368" priority="5250" operator="containsText" text="BAJA">
      <formula>NOT(ISERROR(SEARCH("BAJA",H34)))</formula>
    </cfRule>
  </conditionalFormatting>
  <conditionalFormatting sqref="H34:H40 H42:H46 H48:H54">
    <cfRule type="containsText" dxfId="4367" priority="5256" operator="containsText" text="ACTIVO">
      <formula>NOT(ISERROR(SEARCH("ACTIVO",H34)))</formula>
    </cfRule>
    <cfRule type="containsText" dxfId="4366" priority="5257" operator="containsText" text="INACTIVA">
      <formula>NOT(ISERROR(SEARCH("INACTIVA",H34)))</formula>
    </cfRule>
  </conditionalFormatting>
  <conditionalFormatting sqref="H34:H40 H42:H46 H88 H48:H54">
    <cfRule type="containsText" dxfId="4365" priority="5234" operator="containsText" text="ACTIVO">
      <formula>NOT(ISERROR(SEARCH("ACTIVO",H34)))</formula>
    </cfRule>
  </conditionalFormatting>
  <conditionalFormatting sqref="H41">
    <cfRule type="containsText" dxfId="4364" priority="1065" operator="containsText" text="ACTIVO">
      <formula>NOT(ISERROR(SEARCH("ACTIVO",H41)))</formula>
    </cfRule>
    <cfRule type="containsText" dxfId="4363" priority="1066" operator="containsText" text="INACTIVA">
      <formula>NOT(ISERROR(SEARCH("INACTIVA",H41)))</formula>
    </cfRule>
    <cfRule type="containsText" dxfId="4362" priority="1067" operator="containsText" text="BAJA">
      <formula>NOT(ISERROR(SEARCH("BAJA",H41)))</formula>
    </cfRule>
    <cfRule type="containsText" dxfId="4361" priority="1068" operator="containsText" text="ACTIVO">
      <formula>NOT(ISERROR(SEARCH("ACTIVO",H41)))</formula>
    </cfRule>
    <cfRule type="containsText" dxfId="4360" priority="1069" operator="containsText" text="ACTIVO">
      <formula>NOT(ISERROR(SEARCH("ACTIVO",H41)))</formula>
    </cfRule>
    <cfRule type="containsText" dxfId="4359" priority="1070" operator="containsText" text="BAJA">
      <formula>NOT(ISERROR(SEARCH("BAJA",H41)))</formula>
    </cfRule>
    <cfRule type="containsText" dxfId="4358" priority="1071" operator="containsText" text="ACTIVO">
      <formula>NOT(ISERROR(SEARCH("ACTIVO",H41)))</formula>
    </cfRule>
    <cfRule type="containsText" dxfId="4357" priority="1072" operator="containsText" text="ACTIVO">
      <formula>NOT(ISERROR(SEARCH("ACTIVO",H41)))</formula>
    </cfRule>
    <cfRule type="containsText" dxfId="4356" priority="1073" operator="containsText" text="BAJA">
      <formula>NOT(ISERROR(SEARCH("BAJA",H41)))</formula>
    </cfRule>
    <cfRule type="containsText" dxfId="4355" priority="1074" operator="containsText" text="ACTIVO">
      <formula>NOT(ISERROR(SEARCH("ACTIVO",H41)))</formula>
    </cfRule>
    <cfRule type="containsText" dxfId="4354" priority="1075" operator="containsText" text="ACTIVO">
      <formula>NOT(ISERROR(SEARCH("ACTIVO",H41)))</formula>
    </cfRule>
    <cfRule type="containsText" dxfId="4353" priority="1076" operator="containsText" text="ACTIVO">
      <formula>NOT(ISERROR(SEARCH("ACTIVO",H41)))</formula>
    </cfRule>
    <cfRule type="containsText" dxfId="4352" priority="1077" operator="containsText" text="ACTIVO">
      <formula>NOT(ISERROR(SEARCH("ACTIVO",H41)))</formula>
    </cfRule>
    <cfRule type="containsText" dxfId="4351" priority="1078" operator="containsText" text="BAJA">
      <formula>NOT(ISERROR(SEARCH("BAJA",H41)))</formula>
    </cfRule>
    <cfRule type="containsText" dxfId="4350" priority="1079" operator="containsText" text="INACTIVA">
      <formula>NOT(ISERROR(SEARCH("INACTIVA",H41)))</formula>
    </cfRule>
    <cfRule type="containsText" dxfId="4349" priority="1080" operator="containsText" text="ACTIVO">
      <formula>NOT(ISERROR(SEARCH("ACTIVO",H41)))</formula>
    </cfRule>
    <cfRule type="containsText" dxfId="4348" priority="1081" operator="containsText" text="BAJA">
      <formula>NOT(ISERROR(SEARCH("BAJA",H41)))</formula>
    </cfRule>
    <cfRule type="containsText" dxfId="4347" priority="1082" operator="containsText" text="ACTIVO">
      <formula>NOT(ISERROR(SEARCH("ACTIVO",H41)))</formula>
    </cfRule>
    <cfRule type="containsText" dxfId="4346" priority="1083" operator="containsText" text="INACTIVA">
      <formula>NOT(ISERROR(SEARCH("INACTIVA",H41)))</formula>
    </cfRule>
    <cfRule type="containsText" dxfId="4345" priority="1084" operator="containsText" text="BAJA">
      <formula>NOT(ISERROR(SEARCH("BAJA",H41)))</formula>
    </cfRule>
    <cfRule type="containsText" dxfId="4344" priority="1085" operator="containsText" text="ACTIVO">
      <formula>NOT(ISERROR(SEARCH("ACTIVO",H41)))</formula>
    </cfRule>
    <cfRule type="containsText" dxfId="4343" priority="1086" operator="containsText" text="BAJA">
      <formula>NOT(ISERROR(SEARCH("BAJA",H41)))</formula>
    </cfRule>
    <cfRule type="containsText" dxfId="4342" priority="1087" operator="containsText" text="ACTIVA">
      <formula>NOT(ISERROR(SEARCH("ACTIVA",H41)))</formula>
    </cfRule>
    <cfRule type="containsText" dxfId="4341" priority="1088" operator="containsText" text="INACTIVA">
      <formula>NOT(ISERROR(SEARCH("INACTIVA",H41)))</formula>
    </cfRule>
    <cfRule type="containsText" dxfId="4340" priority="1089" operator="containsText" text="ACTIVO">
      <formula>NOT(ISERROR(SEARCH("ACTIVO",H41)))</formula>
    </cfRule>
  </conditionalFormatting>
  <conditionalFormatting sqref="H42:H54">
    <cfRule type="containsText" dxfId="4339" priority="1803" operator="containsText" text="ACTIVO">
      <formula>NOT(ISERROR(SEARCH("ACTIVO",H42)))</formula>
    </cfRule>
    <cfRule type="containsText" dxfId="4338" priority="1811" operator="containsText" text="INACTIVA">
      <formula>NOT(ISERROR(SEARCH("INACTIVA",H42)))</formula>
    </cfRule>
  </conditionalFormatting>
  <conditionalFormatting sqref="H47">
    <cfRule type="containsText" dxfId="4337" priority="1767" operator="containsText" text="ACTIVO">
      <formula>NOT(ISERROR(SEARCH("ACTIVO",H47)))</formula>
    </cfRule>
    <cfRule type="containsText" dxfId="4336" priority="1768" operator="containsText" text="INACTIVA">
      <formula>NOT(ISERROR(SEARCH("INACTIVA",H47)))</formula>
    </cfRule>
    <cfRule type="containsText" dxfId="4335" priority="1769" operator="containsText" text="BAJA">
      <formula>NOT(ISERROR(SEARCH("BAJA",H47)))</formula>
    </cfRule>
    <cfRule type="containsText" dxfId="4334" priority="1770" operator="containsText" text="ACTIVO">
      <formula>NOT(ISERROR(SEARCH("ACTIVO",H47)))</formula>
    </cfRule>
    <cfRule type="containsText" dxfId="4333" priority="1771" operator="containsText" text="BAJA">
      <formula>NOT(ISERROR(SEARCH("BAJA",H47)))</formula>
    </cfRule>
    <cfRule type="colorScale" priority="17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7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7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332" priority="1776" operator="containsText" text="ACTIVO">
      <formula>NOT(ISERROR(SEARCH("ACTIVO",H47)))</formula>
    </cfRule>
    <cfRule type="containsText" dxfId="4331" priority="1777" operator="containsText" text="ACTIVO">
      <formula>NOT(ISERROR(SEARCH("ACTIVO",H47)))</formula>
    </cfRule>
    <cfRule type="containsText" dxfId="4330" priority="1778" operator="containsText" text="BAJA">
      <formula>NOT(ISERROR(SEARCH("BAJA",H47)))</formula>
    </cfRule>
    <cfRule type="containsText" dxfId="4329" priority="1779" operator="containsText" text="ACTIVO">
      <formula>NOT(ISERROR(SEARCH("ACTIVO",H47)))</formula>
    </cfRule>
    <cfRule type="containsText" dxfId="4328" priority="1780" operator="containsText" text="ACTIVO">
      <formula>NOT(ISERROR(SEARCH("ACTIVO",H47)))</formula>
    </cfRule>
    <cfRule type="colorScale" priority="178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8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327" priority="1783" operator="containsText" text="BAJA">
      <formula>NOT(ISERROR(SEARCH("BAJA",H47)))</formula>
    </cfRule>
    <cfRule type="containsText" dxfId="4326" priority="1784" operator="containsText" text="ACTIVO">
      <formula>NOT(ISERROR(SEARCH("ACTIVO",H47)))</formula>
    </cfRule>
    <cfRule type="containsText" dxfId="4325" priority="1785" operator="containsText" text="ACTIVO">
      <formula>NOT(ISERROR(SEARCH("ACTIVO",H47)))</formula>
    </cfRule>
    <cfRule type="containsText" dxfId="4324" priority="1786" operator="containsText" text="ACTIVO">
      <formula>NOT(ISERROR(SEARCH("ACTIVO",H47)))</formula>
    </cfRule>
    <cfRule type="containsText" dxfId="4323" priority="1787" operator="containsText" text="ACTIVO">
      <formula>NOT(ISERROR(SEARCH("ACTIVO",H47)))</formula>
    </cfRule>
    <cfRule type="containsText" dxfId="4322" priority="1788" operator="containsText" text="BAJA">
      <formula>NOT(ISERROR(SEARCH("BAJA",H47)))</formula>
    </cfRule>
    <cfRule type="containsText" dxfId="4321" priority="1789" operator="containsText" text="INACTIVA">
      <formula>NOT(ISERROR(SEARCH("INACTIVA",H47)))</formula>
    </cfRule>
    <cfRule type="colorScale" priority="17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9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320" priority="1794" operator="containsText" text="ACTIVO">
      <formula>NOT(ISERROR(SEARCH("ACTIVO",H47)))</formula>
    </cfRule>
    <cfRule type="containsText" dxfId="4319" priority="1795" operator="containsText" text="BAJA">
      <formula>NOT(ISERROR(SEARCH("BAJA",H47)))</formula>
    </cfRule>
    <cfRule type="containsText" dxfId="4318" priority="1796" operator="containsText" text="ACTIVO">
      <formula>NOT(ISERROR(SEARCH("ACTIVO",H47)))</formula>
    </cfRule>
    <cfRule type="colorScale" priority="17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9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0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317" priority="1801" operator="containsText" text="INACTIVA">
      <formula>NOT(ISERROR(SEARCH("INACTIVA",H47)))</formula>
    </cfRule>
    <cfRule type="containsText" dxfId="4316" priority="1802" operator="containsText" text="BAJA">
      <formula>NOT(ISERROR(SEARCH("BAJA",H47)))</formula>
    </cfRule>
    <cfRule type="containsText" dxfId="4315" priority="1804" operator="containsText" text="BAJA">
      <formula>NOT(ISERROR(SEARCH("BAJA",H47)))</formula>
    </cfRule>
    <cfRule type="colorScale" priority="180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0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314" priority="1807" operator="containsText" text="INACTIVA">
      <formula>NOT(ISERROR(SEARCH("INACTIVA",H47)))</formula>
    </cfRule>
    <cfRule type="containsText" dxfId="4313" priority="1808" operator="containsText" text="ACTIVA">
      <formula>NOT(ISERROR(SEARCH("ACTIVA",H47)))</formula>
    </cfRule>
    <cfRule type="colorScale" priority="180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312" priority="1816" operator="containsText" text="ACTIVO">
      <formula>NOT(ISERROR(SEARCH("ACTIVO",H47)))</formula>
    </cfRule>
    <cfRule type="colorScale" priority="18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2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8:H54 H56:H61">
    <cfRule type="containsText" dxfId="4311" priority="2325" operator="containsText" text="BAJA">
      <formula>NOT(ISERROR(SEARCH("BAJA",H48)))</formula>
    </cfRule>
  </conditionalFormatting>
  <conditionalFormatting sqref="H55">
    <cfRule type="containsText" dxfId="4310" priority="220" operator="containsText" text="ACTIVO">
      <formula>NOT(ISERROR(SEARCH("ACTIVO",H55)))</formula>
    </cfRule>
    <cfRule type="containsText" dxfId="4309" priority="221" operator="containsText" text="INACTIVA">
      <formula>NOT(ISERROR(SEARCH("INACTIVA",H55)))</formula>
    </cfRule>
    <cfRule type="containsText" dxfId="4308" priority="222" operator="containsText" text="BAJA">
      <formula>NOT(ISERROR(SEARCH("BAJA",H55)))</formula>
    </cfRule>
    <cfRule type="containsText" dxfId="4307" priority="223" operator="containsText" text="ACTIVO">
      <formula>NOT(ISERROR(SEARCH("ACTIVO",H55)))</formula>
    </cfRule>
    <cfRule type="containsText" dxfId="4306" priority="224" operator="containsText" text="ACTIVO">
      <formula>NOT(ISERROR(SEARCH("ACTIVO",H55)))</formula>
    </cfRule>
    <cfRule type="containsText" dxfId="4305" priority="225" operator="containsText" text="BAJA">
      <formula>NOT(ISERROR(SEARCH("BAJA",H55)))</formula>
    </cfRule>
    <cfRule type="containsText" dxfId="4304" priority="226" operator="containsText" text="ACTIVO">
      <formula>NOT(ISERROR(SEARCH("ACTIVO",H55)))</formula>
    </cfRule>
    <cfRule type="containsText" dxfId="4303" priority="227" operator="containsText" text="ACTIVO">
      <formula>NOT(ISERROR(SEARCH("ACTIVO",H55)))</formula>
    </cfRule>
    <cfRule type="containsText" dxfId="4302" priority="228" operator="containsText" text="BAJA">
      <formula>NOT(ISERROR(SEARCH("BAJA",H55)))</formula>
    </cfRule>
    <cfRule type="containsText" dxfId="4301" priority="229" operator="containsText" text="ACTIVO">
      <formula>NOT(ISERROR(SEARCH("ACTIVO",H55)))</formula>
    </cfRule>
    <cfRule type="containsText" dxfId="4300" priority="230" operator="containsText" text="ACTIVO">
      <formula>NOT(ISERROR(SEARCH("ACTIVO",H55)))</formula>
    </cfRule>
    <cfRule type="containsText" dxfId="4299" priority="231" operator="containsText" text="ACTIVO">
      <formula>NOT(ISERROR(SEARCH("ACTIVO",H55)))</formula>
    </cfRule>
    <cfRule type="containsText" dxfId="4298" priority="232" operator="containsText" text="ACTIVO">
      <formula>NOT(ISERROR(SEARCH("ACTIVO",H55)))</formula>
    </cfRule>
    <cfRule type="containsText" dxfId="4297" priority="233" operator="containsText" text="BAJA">
      <formula>NOT(ISERROR(SEARCH("BAJA",H55)))</formula>
    </cfRule>
    <cfRule type="containsText" dxfId="4296" priority="234" operator="containsText" text="INACTIVA">
      <formula>NOT(ISERROR(SEARCH("INACTIVA",H55)))</formula>
    </cfRule>
    <cfRule type="containsText" dxfId="4295" priority="235" operator="containsText" text="ACTIVO">
      <formula>NOT(ISERROR(SEARCH("ACTIVO",H55)))</formula>
    </cfRule>
    <cfRule type="containsText" dxfId="4294" priority="236" operator="containsText" text="BAJA">
      <formula>NOT(ISERROR(SEARCH("BAJA",H55)))</formula>
    </cfRule>
    <cfRule type="containsText" dxfId="4293" priority="237" operator="containsText" text="ACTIVO">
      <formula>NOT(ISERROR(SEARCH("ACTIVO",H55)))</formula>
    </cfRule>
    <cfRule type="containsText" dxfId="4292" priority="238" operator="containsText" text="INACTIVA">
      <formula>NOT(ISERROR(SEARCH("INACTIVA",H55)))</formula>
    </cfRule>
    <cfRule type="containsText" dxfId="4291" priority="239" operator="containsText" text="BAJA">
      <formula>NOT(ISERROR(SEARCH("BAJA",H55)))</formula>
    </cfRule>
    <cfRule type="containsText" dxfId="4290" priority="240" operator="containsText" text="ACTIVO">
      <formula>NOT(ISERROR(SEARCH("ACTIVO",H55)))</formula>
    </cfRule>
    <cfRule type="containsText" dxfId="4289" priority="241" operator="containsText" text="BAJA">
      <formula>NOT(ISERROR(SEARCH("BAJA",H55)))</formula>
    </cfRule>
    <cfRule type="containsText" dxfId="4288" priority="242" operator="containsText" text="ACTIVA">
      <formula>NOT(ISERROR(SEARCH("ACTIVA",H55)))</formula>
    </cfRule>
    <cfRule type="containsText" dxfId="4287" priority="243" operator="containsText" text="INACTIVA">
      <formula>NOT(ISERROR(SEARCH("INACTIVA",H55)))</formula>
    </cfRule>
    <cfRule type="containsText" dxfId="4286" priority="244" operator="containsText" text="ACTIVO">
      <formula>NOT(ISERROR(SEARCH("ACTIVO",H55)))</formula>
    </cfRule>
  </conditionalFormatting>
  <conditionalFormatting sqref="H56:H61">
    <cfRule type="containsText" dxfId="4285" priority="5161" operator="containsText" text="ACTIVO">
      <formula>NOT(ISERROR(SEARCH("ACTIVO",H56)))</formula>
    </cfRule>
    <cfRule type="containsText" dxfId="4284" priority="5162" operator="containsText" text="ACTIVO">
      <formula>NOT(ISERROR(SEARCH("ACTIVO",H56)))</formula>
    </cfRule>
    <cfRule type="containsText" dxfId="4283" priority="5163" operator="containsText" text="BAJA">
      <formula>NOT(ISERROR(SEARCH("BAJA",H56)))</formula>
    </cfRule>
    <cfRule type="containsText" dxfId="4282" priority="5164" operator="containsText" text="ACTIVO">
      <formula>NOT(ISERROR(SEARCH("ACTIVO",H56)))</formula>
    </cfRule>
    <cfRule type="containsText" dxfId="4281" priority="5165" operator="containsText" text="ACTIVO">
      <formula>NOT(ISERROR(SEARCH("ACTIVO",H56)))</formula>
    </cfRule>
    <cfRule type="containsText" dxfId="4280" priority="5166" operator="containsText" text="BAJA">
      <formula>NOT(ISERROR(SEARCH("BAJA",H56)))</formula>
    </cfRule>
    <cfRule type="containsText" dxfId="4279" priority="5167" operator="containsText" text="ACTIVO">
      <formula>NOT(ISERROR(SEARCH("ACTIVO",H56)))</formula>
    </cfRule>
    <cfRule type="containsText" dxfId="4278" priority="5168" operator="containsText" text="ACTIVO">
      <formula>NOT(ISERROR(SEARCH("ACTIVO",H56)))</formula>
    </cfRule>
    <cfRule type="containsText" dxfId="4277" priority="5169" operator="containsText" text="ACTIVO">
      <formula>NOT(ISERROR(SEARCH("ACTIVO",H56)))</formula>
    </cfRule>
    <cfRule type="containsText" dxfId="4276" priority="5170" operator="containsText" text="ACTIVO">
      <formula>NOT(ISERROR(SEARCH("ACTIVO",H56)))</formula>
    </cfRule>
    <cfRule type="containsText" dxfId="4275" priority="5171" operator="containsText" text="BAJA">
      <formula>NOT(ISERROR(SEARCH("BAJA",H56)))</formula>
    </cfRule>
    <cfRule type="containsText" dxfId="4274" priority="5172" operator="containsText" text="INACTIVA">
      <formula>NOT(ISERROR(SEARCH("INACTIVA",H56)))</formula>
    </cfRule>
    <cfRule type="containsText" dxfId="4273" priority="5173" operator="containsText" text="ACTIVO">
      <formula>NOT(ISERROR(SEARCH("ACTIVO",H56)))</formula>
    </cfRule>
    <cfRule type="containsText" dxfId="4272" priority="5174" operator="containsText" text="BAJA">
      <formula>NOT(ISERROR(SEARCH("BAJA",H56)))</formula>
    </cfRule>
    <cfRule type="containsText" dxfId="4271" priority="5175" operator="containsText" text="ACTIVO">
      <formula>NOT(ISERROR(SEARCH("ACTIVO",H56)))</formula>
    </cfRule>
    <cfRule type="containsText" dxfId="4270" priority="5176" operator="containsText" text="INACTIVA">
      <formula>NOT(ISERROR(SEARCH("INACTIVA",H56)))</formula>
    </cfRule>
    <cfRule type="containsText" dxfId="4269" priority="5177" operator="containsText" text="BAJA">
      <formula>NOT(ISERROR(SEARCH("BAJA",H56)))</formula>
    </cfRule>
    <cfRule type="containsText" dxfId="4268" priority="5178" operator="containsText" text="ACTIVA">
      <formula>NOT(ISERROR(SEARCH("ACTIVA",H56)))</formula>
    </cfRule>
    <cfRule type="containsText" dxfId="4267" priority="5179" operator="containsText" text="ACTIVO">
      <formula>NOT(ISERROR(SEARCH("ACTIVO",H56)))</formula>
    </cfRule>
    <cfRule type="containsText" dxfId="4266" priority="5180" operator="containsText" text="ACTIVO">
      <formula>NOT(ISERROR(SEARCH("ACTIVO",H56)))</formula>
    </cfRule>
    <cfRule type="containsText" dxfId="4265" priority="5181" operator="containsText" text="INACTIVA">
      <formula>NOT(ISERROR(SEARCH("INACTIVA",H56)))</formula>
    </cfRule>
  </conditionalFormatting>
  <conditionalFormatting sqref="H56:H65">
    <cfRule type="containsText" dxfId="4264" priority="1947" operator="containsText" text="ACTIVO">
      <formula>NOT(ISERROR(SEARCH("ACTIVO",H56)))</formula>
    </cfRule>
    <cfRule type="containsText" dxfId="4263" priority="1955" operator="containsText" text="INACTIVA">
      <formula>NOT(ISERROR(SEARCH("INACTIVA",H56)))</formula>
    </cfRule>
  </conditionalFormatting>
  <conditionalFormatting sqref="H62">
    <cfRule type="containsText" dxfId="4262" priority="1911" operator="containsText" text="ACTIVO">
      <formula>NOT(ISERROR(SEARCH("ACTIVO",H62)))</formula>
    </cfRule>
    <cfRule type="containsText" dxfId="4261" priority="1912" operator="containsText" text="INACTIVA">
      <formula>NOT(ISERROR(SEARCH("INACTIVA",H62)))</formula>
    </cfRule>
    <cfRule type="containsText" dxfId="4260" priority="1913" operator="containsText" text="BAJA">
      <formula>NOT(ISERROR(SEARCH("BAJA",H62)))</formula>
    </cfRule>
    <cfRule type="containsText" dxfId="4259" priority="1914" operator="containsText" text="ACTIVO">
      <formula>NOT(ISERROR(SEARCH("ACTIVO",H62)))</formula>
    </cfRule>
    <cfRule type="containsText" dxfId="4258" priority="1915" operator="containsText" text="BAJA">
      <formula>NOT(ISERROR(SEARCH("BAJA",H62)))</formula>
    </cfRule>
    <cfRule type="colorScale" priority="19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1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57" priority="1920" operator="containsText" text="ACTIVO">
      <formula>NOT(ISERROR(SEARCH("ACTIVO",H62)))</formula>
    </cfRule>
    <cfRule type="containsText" dxfId="4256" priority="1921" operator="containsText" text="ACTIVO">
      <formula>NOT(ISERROR(SEARCH("ACTIVO",H62)))</formula>
    </cfRule>
    <cfRule type="containsText" dxfId="4255" priority="1922" operator="containsText" text="BAJA">
      <formula>NOT(ISERROR(SEARCH("BAJA",H62)))</formula>
    </cfRule>
    <cfRule type="containsText" dxfId="4254" priority="1923" operator="containsText" text="ACTIVO">
      <formula>NOT(ISERROR(SEARCH("ACTIVO",H62)))</formula>
    </cfRule>
    <cfRule type="containsText" dxfId="4253" priority="1924" operator="containsText" text="ACTIVO">
      <formula>NOT(ISERROR(SEARCH("ACTIVO",H62)))</formula>
    </cfRule>
    <cfRule type="colorScale" priority="19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2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52" priority="1927" operator="containsText" text="BAJA">
      <formula>NOT(ISERROR(SEARCH("BAJA",H62)))</formula>
    </cfRule>
    <cfRule type="containsText" dxfId="4251" priority="1928" operator="containsText" text="ACTIVO">
      <formula>NOT(ISERROR(SEARCH("ACTIVO",H62)))</formula>
    </cfRule>
    <cfRule type="containsText" dxfId="4250" priority="1929" operator="containsText" text="ACTIVO">
      <formula>NOT(ISERROR(SEARCH("ACTIVO",H62)))</formula>
    </cfRule>
    <cfRule type="containsText" dxfId="4249" priority="1930" operator="containsText" text="ACTIVO">
      <formula>NOT(ISERROR(SEARCH("ACTIVO",H62)))</formula>
    </cfRule>
    <cfRule type="containsText" dxfId="4248" priority="1931" operator="containsText" text="ACTIVO">
      <formula>NOT(ISERROR(SEARCH("ACTIVO",H62)))</formula>
    </cfRule>
    <cfRule type="containsText" dxfId="4247" priority="1932" operator="containsText" text="BAJA">
      <formula>NOT(ISERROR(SEARCH("BAJA",H62)))</formula>
    </cfRule>
    <cfRule type="containsText" dxfId="4246" priority="1933" operator="containsText" text="INACTIVA">
      <formula>NOT(ISERROR(SEARCH("INACTIVA",H62)))</formula>
    </cfRule>
    <cfRule type="colorScale" priority="19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3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3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3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45" priority="1938" operator="containsText" text="ACTIVO">
      <formula>NOT(ISERROR(SEARCH("ACTIVO",H62)))</formula>
    </cfRule>
    <cfRule type="containsText" dxfId="4244" priority="1939" operator="containsText" text="BAJA">
      <formula>NOT(ISERROR(SEARCH("BAJA",H62)))</formula>
    </cfRule>
    <cfRule type="containsText" dxfId="4243" priority="1940" operator="containsText" text="ACTIVO">
      <formula>NOT(ISERROR(SEARCH("ACTIVO",H62)))</formula>
    </cfRule>
    <cfRule type="colorScale" priority="19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4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4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4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42" priority="1945" operator="containsText" text="INACTIVA">
      <formula>NOT(ISERROR(SEARCH("INACTIVA",H62)))</formula>
    </cfRule>
    <cfRule type="containsText" dxfId="4241" priority="1946" operator="containsText" text="BAJA">
      <formula>NOT(ISERROR(SEARCH("BAJA",H62)))</formula>
    </cfRule>
    <cfRule type="containsText" dxfId="4240" priority="1948" operator="containsText" text="BAJA">
      <formula>NOT(ISERROR(SEARCH("BAJA",H62)))</formula>
    </cfRule>
    <cfRule type="colorScale" priority="194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5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39" priority="1951" operator="containsText" text="INACTIVA">
      <formula>NOT(ISERROR(SEARCH("INACTIVA",H62)))</formula>
    </cfRule>
    <cfRule type="containsText" dxfId="4238" priority="1952" operator="containsText" text="ACTIVA">
      <formula>NOT(ISERROR(SEARCH("ACTIVA",H62)))</formula>
    </cfRule>
    <cfRule type="colorScale" priority="195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5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5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37" priority="1960" operator="containsText" text="ACTIVO">
      <formula>NOT(ISERROR(SEARCH("ACTIVO",H62)))</formula>
    </cfRule>
    <cfRule type="colorScale" priority="19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6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63:H65">
    <cfRule type="containsText" dxfId="4236" priority="1965" operator="containsText" text="BAJA">
      <formula>NOT(ISERROR(SEARCH("BAJA",H63)))</formula>
    </cfRule>
    <cfRule type="containsText" dxfId="4235" priority="1966" operator="containsText" text="ACTIVO">
      <formula>NOT(ISERROR(SEARCH("ACTIVO",H63)))</formula>
    </cfRule>
    <cfRule type="containsText" dxfId="4234" priority="1967" operator="containsText" text="ACTIVO">
      <formula>NOT(ISERROR(SEARCH("ACTIVO",H63)))</formula>
    </cfRule>
    <cfRule type="containsText" dxfId="4233" priority="1968" operator="containsText" text="BAJA">
      <formula>NOT(ISERROR(SEARCH("BAJA",H63)))</formula>
    </cfRule>
    <cfRule type="containsText" dxfId="4232" priority="1969" operator="containsText" text="ACTIVO">
      <formula>NOT(ISERROR(SEARCH("ACTIVO",H63)))</formula>
    </cfRule>
    <cfRule type="containsText" dxfId="4231" priority="1970" operator="containsText" text="ACTIVO">
      <formula>NOT(ISERROR(SEARCH("ACTIVO",H63)))</formula>
    </cfRule>
    <cfRule type="containsText" dxfId="4230" priority="1971" operator="containsText" text="BAJA">
      <formula>NOT(ISERROR(SEARCH("BAJA",H63)))</formula>
    </cfRule>
    <cfRule type="containsText" dxfId="4229" priority="1972" operator="containsText" text="ACTIVO">
      <formula>NOT(ISERROR(SEARCH("ACTIVO",H63)))</formula>
    </cfRule>
    <cfRule type="containsText" dxfId="4228" priority="1973" operator="containsText" text="ACTIVO">
      <formula>NOT(ISERROR(SEARCH("ACTIVO",H63)))</formula>
    </cfRule>
    <cfRule type="containsText" dxfId="4227" priority="1974" operator="containsText" text="ACTIVO">
      <formula>NOT(ISERROR(SEARCH("ACTIVO",H63)))</formula>
    </cfRule>
    <cfRule type="containsText" dxfId="4226" priority="1975" operator="containsText" text="ACTIVO">
      <formula>NOT(ISERROR(SEARCH("ACTIVO",H63)))</formula>
    </cfRule>
    <cfRule type="containsText" dxfId="4225" priority="1976" operator="containsText" text="BAJA">
      <formula>NOT(ISERROR(SEARCH("BAJA",H63)))</formula>
    </cfRule>
    <cfRule type="containsText" dxfId="4224" priority="1977" operator="containsText" text="INACTIVA">
      <formula>NOT(ISERROR(SEARCH("INACTIVA",H63)))</formula>
    </cfRule>
    <cfRule type="containsText" dxfId="4223" priority="1978" operator="containsText" text="ACTIVO">
      <formula>NOT(ISERROR(SEARCH("ACTIVO",H63)))</formula>
    </cfRule>
    <cfRule type="containsText" dxfId="4222" priority="1979" operator="containsText" text="BAJA">
      <formula>NOT(ISERROR(SEARCH("BAJA",H63)))</formula>
    </cfRule>
    <cfRule type="containsText" dxfId="4221" priority="1980" operator="containsText" text="ACTIVO">
      <formula>NOT(ISERROR(SEARCH("ACTIVO",H63)))</formula>
    </cfRule>
    <cfRule type="containsText" dxfId="4220" priority="1981" operator="containsText" text="INACTIVA">
      <formula>NOT(ISERROR(SEARCH("INACTIVA",H63)))</formula>
    </cfRule>
    <cfRule type="containsText" dxfId="4219" priority="1982" operator="containsText" text="BAJA">
      <formula>NOT(ISERROR(SEARCH("BAJA",H63)))</formula>
    </cfRule>
    <cfRule type="containsText" dxfId="4218" priority="1983" operator="containsText" text="ACTIVA">
      <formula>NOT(ISERROR(SEARCH("ACTIVA",H63)))</formula>
    </cfRule>
    <cfRule type="containsText" dxfId="4217" priority="1984" operator="containsText" text="ACTIVO">
      <formula>NOT(ISERROR(SEARCH("ACTIVO",H63)))</formula>
    </cfRule>
  </conditionalFormatting>
  <conditionalFormatting sqref="H66">
    <cfRule type="containsText" dxfId="4216" priority="800" operator="containsText" text="ACTIVO">
      <formula>NOT(ISERROR(SEARCH("ACTIVO",H66)))</formula>
    </cfRule>
    <cfRule type="containsText" dxfId="4215" priority="801" operator="containsText" text="INACTIVA">
      <formula>NOT(ISERROR(SEARCH("INACTIVA",H66)))</formula>
    </cfRule>
    <cfRule type="containsText" dxfId="4214" priority="802" operator="containsText" text="BAJA">
      <formula>NOT(ISERROR(SEARCH("BAJA",H66)))</formula>
    </cfRule>
    <cfRule type="containsText" dxfId="4213" priority="803" operator="containsText" text="ACTIVO">
      <formula>NOT(ISERROR(SEARCH("ACTIVO",H66)))</formula>
    </cfRule>
    <cfRule type="containsText" dxfId="4212" priority="804" operator="containsText" text="BAJA">
      <formula>NOT(ISERROR(SEARCH("BAJA",H66)))</formula>
    </cfRule>
    <cfRule type="colorScale" priority="80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0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0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0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11" priority="809" operator="containsText" text="ACTIVO">
      <formula>NOT(ISERROR(SEARCH("ACTIVO",H66)))</formula>
    </cfRule>
    <cfRule type="containsText" dxfId="4210" priority="810" operator="containsText" text="ACTIVO">
      <formula>NOT(ISERROR(SEARCH("ACTIVO",H66)))</formula>
    </cfRule>
    <cfRule type="containsText" dxfId="4209" priority="811" operator="containsText" text="BAJA">
      <formula>NOT(ISERROR(SEARCH("BAJA",H66)))</formula>
    </cfRule>
    <cfRule type="containsText" dxfId="4208" priority="812" operator="containsText" text="ACTIVO">
      <formula>NOT(ISERROR(SEARCH("ACTIVO",H66)))</formula>
    </cfRule>
    <cfRule type="containsText" dxfId="4207" priority="813" operator="containsText" text="ACTIVO">
      <formula>NOT(ISERROR(SEARCH("ACTIVO",H66)))</formula>
    </cfRule>
    <cfRule type="colorScale" priority="8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1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06" priority="816" operator="containsText" text="BAJA">
      <formula>NOT(ISERROR(SEARCH("BAJA",H66)))</formula>
    </cfRule>
    <cfRule type="containsText" dxfId="4205" priority="817" operator="containsText" text="ACTIVO">
      <formula>NOT(ISERROR(SEARCH("ACTIVO",H66)))</formula>
    </cfRule>
    <cfRule type="containsText" dxfId="4204" priority="818" operator="containsText" text="ACTIVO">
      <formula>NOT(ISERROR(SEARCH("ACTIVO",H66)))</formula>
    </cfRule>
    <cfRule type="containsText" dxfId="4203" priority="819" operator="containsText" text="ACTIVO">
      <formula>NOT(ISERROR(SEARCH("ACTIVO",H66)))</formula>
    </cfRule>
    <cfRule type="containsText" dxfId="4202" priority="820" operator="containsText" text="ACTIVO">
      <formula>NOT(ISERROR(SEARCH("ACTIVO",H66)))</formula>
    </cfRule>
    <cfRule type="containsText" dxfId="4201" priority="821" operator="containsText" text="BAJA">
      <formula>NOT(ISERROR(SEARCH("BAJA",H66)))</formula>
    </cfRule>
    <cfRule type="containsText" dxfId="4200" priority="822" operator="containsText" text="INACTIVA">
      <formula>NOT(ISERROR(SEARCH("INACTIVA",H66)))</formula>
    </cfRule>
    <cfRule type="colorScale" priority="8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2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2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199" priority="827" operator="containsText" text="ACTIVO">
      <formula>NOT(ISERROR(SEARCH("ACTIVO",H66)))</formula>
    </cfRule>
    <cfRule type="containsText" dxfId="4198" priority="828" operator="containsText" text="BAJA">
      <formula>NOT(ISERROR(SEARCH("BAJA",H66)))</formula>
    </cfRule>
    <cfRule type="containsText" dxfId="4197" priority="829" operator="containsText" text="ACTIVO">
      <formula>NOT(ISERROR(SEARCH("ACTIVO",H66)))</formula>
    </cfRule>
    <cfRule type="colorScale" priority="8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3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3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3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196" priority="834" operator="containsText" text="INACTIVA">
      <formula>NOT(ISERROR(SEARCH("INACTIVA",H66)))</formula>
    </cfRule>
    <cfRule type="containsText" dxfId="4195" priority="835" operator="containsText" text="BAJA">
      <formula>NOT(ISERROR(SEARCH("BAJA",H66)))</formula>
    </cfRule>
    <cfRule type="colorScale" priority="83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3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194" priority="838" operator="containsText" text="INACTIVA">
      <formula>NOT(ISERROR(SEARCH("INACTIVA",H66)))</formula>
    </cfRule>
    <cfRule type="containsText" dxfId="4193" priority="839" operator="containsText" text="ACTIVA">
      <formula>NOT(ISERROR(SEARCH("ACTIVA",H66)))</formula>
    </cfRule>
    <cfRule type="colorScale" priority="8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192" priority="846" operator="containsText" text="ACTIVO">
      <formula>NOT(ISERROR(SEARCH("ACTIVO",H66)))</formula>
    </cfRule>
    <cfRule type="colorScale" priority="84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5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191" priority="851" operator="containsText" text="ACTIVO">
      <formula>NOT(ISERROR(SEARCH("ACTIVO",H66)))</formula>
    </cfRule>
    <cfRule type="containsText" dxfId="4190" priority="852" operator="containsText" text="INACTIVA">
      <formula>NOT(ISERROR(SEARCH("INACTIVA",H66)))</formula>
    </cfRule>
  </conditionalFormatting>
  <conditionalFormatting sqref="H67:H72 H63:H65">
    <cfRule type="containsText" dxfId="4189" priority="5159" operator="containsText" text="ACTIVO">
      <formula>NOT(ISERROR(SEARCH("ACTIVO",H63)))</formula>
    </cfRule>
    <cfRule type="containsText" dxfId="4188" priority="5160" operator="containsText" text="INACTIVA">
      <formula>NOT(ISERROR(SEARCH("INACTIVA",H63)))</formula>
    </cfRule>
  </conditionalFormatting>
  <conditionalFormatting sqref="H67:H72">
    <cfRule type="containsText" dxfId="4187" priority="5139" operator="containsText" text="BAJA">
      <formula>NOT(ISERROR(SEARCH("BAJA",H67)))</formula>
    </cfRule>
    <cfRule type="containsText" dxfId="4186" priority="5140" operator="containsText" text="ACTIVO">
      <formula>NOT(ISERROR(SEARCH("ACTIVO",H67)))</formula>
    </cfRule>
    <cfRule type="containsText" dxfId="4185" priority="5141" operator="containsText" text="ACTIVO">
      <formula>NOT(ISERROR(SEARCH("ACTIVO",H67)))</formula>
    </cfRule>
    <cfRule type="containsText" dxfId="4184" priority="5142" operator="containsText" text="BAJA">
      <formula>NOT(ISERROR(SEARCH("BAJA",H67)))</formula>
    </cfRule>
    <cfRule type="containsText" dxfId="4183" priority="5143" operator="containsText" text="ACTIVO">
      <formula>NOT(ISERROR(SEARCH("ACTIVO",H67)))</formula>
    </cfRule>
    <cfRule type="containsText" dxfId="4182" priority="5144" operator="containsText" text="ACTIVO">
      <formula>NOT(ISERROR(SEARCH("ACTIVO",H67)))</formula>
    </cfRule>
    <cfRule type="containsText" dxfId="4181" priority="5145" operator="containsText" text="BAJA">
      <formula>NOT(ISERROR(SEARCH("BAJA",H67)))</formula>
    </cfRule>
    <cfRule type="containsText" dxfId="4180" priority="5146" operator="containsText" text="ACTIVO">
      <formula>NOT(ISERROR(SEARCH("ACTIVO",H67)))</formula>
    </cfRule>
    <cfRule type="containsText" dxfId="4179" priority="5147" operator="containsText" text="ACTIVO">
      <formula>NOT(ISERROR(SEARCH("ACTIVO",H67)))</formula>
    </cfRule>
    <cfRule type="containsText" dxfId="4178" priority="5148" operator="containsText" text="ACTIVO">
      <formula>NOT(ISERROR(SEARCH("ACTIVO",H67)))</formula>
    </cfRule>
    <cfRule type="containsText" dxfId="4177" priority="5149" operator="containsText" text="ACTIVO">
      <formula>NOT(ISERROR(SEARCH("ACTIVO",H67)))</formula>
    </cfRule>
    <cfRule type="containsText" dxfId="4176" priority="5150" operator="containsText" text="BAJA">
      <formula>NOT(ISERROR(SEARCH("BAJA",H67)))</formula>
    </cfRule>
    <cfRule type="containsText" dxfId="4175" priority="5151" operator="containsText" text="INACTIVA">
      <formula>NOT(ISERROR(SEARCH("INACTIVA",H67)))</formula>
    </cfRule>
    <cfRule type="containsText" dxfId="4174" priority="5152" operator="containsText" text="ACTIVO">
      <formula>NOT(ISERROR(SEARCH("ACTIVO",H67)))</formula>
    </cfRule>
    <cfRule type="containsText" dxfId="4173" priority="5153" operator="containsText" text="BAJA">
      <formula>NOT(ISERROR(SEARCH("BAJA",H67)))</formula>
    </cfRule>
    <cfRule type="containsText" dxfId="4172" priority="5154" operator="containsText" text="ACTIVO">
      <formula>NOT(ISERROR(SEARCH("ACTIVO",H67)))</formula>
    </cfRule>
    <cfRule type="containsText" dxfId="4171" priority="5155" operator="containsText" text="INACTIVA">
      <formula>NOT(ISERROR(SEARCH("INACTIVA",H67)))</formula>
    </cfRule>
    <cfRule type="containsText" dxfId="4170" priority="5156" operator="containsText" text="BAJA">
      <formula>NOT(ISERROR(SEARCH("BAJA",H67)))</formula>
    </cfRule>
    <cfRule type="containsText" dxfId="4169" priority="5157" operator="containsText" text="ACTIVA">
      <formula>NOT(ISERROR(SEARCH("ACTIVA",H67)))</formula>
    </cfRule>
    <cfRule type="containsText" dxfId="4168" priority="5158" operator="containsText" text="ACTIVO">
      <formula>NOT(ISERROR(SEARCH("ACTIVO",H67)))</formula>
    </cfRule>
  </conditionalFormatting>
  <conditionalFormatting sqref="H67:H76">
    <cfRule type="containsText" dxfId="4167" priority="2301" operator="containsText" text="ACTIVO">
      <formula>NOT(ISERROR(SEARCH("ACTIVO",H67)))</formula>
    </cfRule>
    <cfRule type="containsText" dxfId="4166" priority="2302" operator="containsText" text="INACTIVA">
      <formula>NOT(ISERROR(SEARCH("INACTIVA",H67)))</formula>
    </cfRule>
  </conditionalFormatting>
  <conditionalFormatting sqref="H73:H76">
    <cfRule type="containsText" dxfId="4165" priority="2281" operator="containsText" text="BAJA">
      <formula>NOT(ISERROR(SEARCH("BAJA",H73)))</formula>
    </cfRule>
    <cfRule type="containsText" dxfId="4164" priority="2282" operator="containsText" text="ACTIVO">
      <formula>NOT(ISERROR(SEARCH("ACTIVO",H73)))</formula>
    </cfRule>
    <cfRule type="containsText" dxfId="4163" priority="2283" operator="containsText" text="ACTIVO">
      <formula>NOT(ISERROR(SEARCH("ACTIVO",H73)))</formula>
    </cfRule>
    <cfRule type="containsText" dxfId="4162" priority="2284" operator="containsText" text="BAJA">
      <formula>NOT(ISERROR(SEARCH("BAJA",H73)))</formula>
    </cfRule>
    <cfRule type="containsText" dxfId="4161" priority="2285" operator="containsText" text="ACTIVO">
      <formula>NOT(ISERROR(SEARCH("ACTIVO",H73)))</formula>
    </cfRule>
    <cfRule type="containsText" dxfId="4160" priority="2286" operator="containsText" text="ACTIVO">
      <formula>NOT(ISERROR(SEARCH("ACTIVO",H73)))</formula>
    </cfRule>
    <cfRule type="containsText" dxfId="4159" priority="2287" operator="containsText" text="BAJA">
      <formula>NOT(ISERROR(SEARCH("BAJA",H73)))</formula>
    </cfRule>
    <cfRule type="containsText" dxfId="4158" priority="2288" operator="containsText" text="ACTIVO">
      <formula>NOT(ISERROR(SEARCH("ACTIVO",H73)))</formula>
    </cfRule>
    <cfRule type="containsText" dxfId="4157" priority="2289" operator="containsText" text="ACTIVO">
      <formula>NOT(ISERROR(SEARCH("ACTIVO",H73)))</formula>
    </cfRule>
    <cfRule type="containsText" dxfId="4156" priority="2290" operator="containsText" text="ACTIVO">
      <formula>NOT(ISERROR(SEARCH("ACTIVO",H73)))</formula>
    </cfRule>
    <cfRule type="containsText" dxfId="4155" priority="2291" operator="containsText" text="ACTIVO">
      <formula>NOT(ISERROR(SEARCH("ACTIVO",H73)))</formula>
    </cfRule>
    <cfRule type="containsText" dxfId="4154" priority="2292" operator="containsText" text="BAJA">
      <formula>NOT(ISERROR(SEARCH("BAJA",H73)))</formula>
    </cfRule>
    <cfRule type="containsText" dxfId="4153" priority="2293" operator="containsText" text="INACTIVA">
      <formula>NOT(ISERROR(SEARCH("INACTIVA",H73)))</formula>
    </cfRule>
    <cfRule type="containsText" dxfId="4152" priority="2294" operator="containsText" text="ACTIVO">
      <formula>NOT(ISERROR(SEARCH("ACTIVO",H73)))</formula>
    </cfRule>
    <cfRule type="containsText" dxfId="4151" priority="2295" operator="containsText" text="BAJA">
      <formula>NOT(ISERROR(SEARCH("BAJA",H73)))</formula>
    </cfRule>
    <cfRule type="containsText" dxfId="4150" priority="2296" operator="containsText" text="ACTIVO">
      <formula>NOT(ISERROR(SEARCH("ACTIVO",H73)))</formula>
    </cfRule>
    <cfRule type="containsText" dxfId="4149" priority="2297" operator="containsText" text="INACTIVA">
      <formula>NOT(ISERROR(SEARCH("INACTIVA",H73)))</formula>
    </cfRule>
    <cfRule type="containsText" dxfId="4148" priority="2298" operator="containsText" text="BAJA">
      <formula>NOT(ISERROR(SEARCH("BAJA",H73)))</formula>
    </cfRule>
    <cfRule type="containsText" dxfId="4147" priority="2299" operator="containsText" text="ACTIVA">
      <formula>NOT(ISERROR(SEARCH("ACTIVA",H73)))</formula>
    </cfRule>
    <cfRule type="containsText" dxfId="4146" priority="2300" operator="containsText" text="ACTIVO">
      <formula>NOT(ISERROR(SEARCH("ACTIVO",H73)))</formula>
    </cfRule>
  </conditionalFormatting>
  <conditionalFormatting sqref="H73:H77">
    <cfRule type="containsText" dxfId="4145" priority="647" operator="containsText" text="ACTIVO">
      <formula>NOT(ISERROR(SEARCH("ACTIVO",H73)))</formula>
    </cfRule>
    <cfRule type="containsText" dxfId="4144" priority="650" operator="containsText" text="INACTIVA">
      <formula>NOT(ISERROR(SEARCH("INACTIVA",H73)))</formula>
    </cfRule>
  </conditionalFormatting>
  <conditionalFormatting sqref="H77">
    <cfRule type="containsText" dxfId="4143" priority="627" operator="containsText" text="ACTIVO">
      <formula>NOT(ISERROR(SEARCH("ACTIVO",H77)))</formula>
    </cfRule>
    <cfRule type="containsText" dxfId="4142" priority="628" operator="containsText" text="INACTIVA">
      <formula>NOT(ISERROR(SEARCH("INACTIVA",H77)))</formula>
    </cfRule>
    <cfRule type="containsText" dxfId="4141" priority="629" operator="containsText" text="BAJA">
      <formula>NOT(ISERROR(SEARCH("BAJA",H77)))</formula>
    </cfRule>
    <cfRule type="containsText" dxfId="4140" priority="630" operator="containsText" text="ACTIVO">
      <formula>NOT(ISERROR(SEARCH("ACTIVO",H77)))</formula>
    </cfRule>
    <cfRule type="containsText" dxfId="4139" priority="631" operator="containsText" text="ACTIVO">
      <formula>NOT(ISERROR(SEARCH("ACTIVO",H77)))</formula>
    </cfRule>
    <cfRule type="containsText" dxfId="4138" priority="632" operator="containsText" text="BAJA">
      <formula>NOT(ISERROR(SEARCH("BAJA",H77)))</formula>
    </cfRule>
    <cfRule type="containsText" dxfId="4137" priority="633" operator="containsText" text="ACTIVO">
      <formula>NOT(ISERROR(SEARCH("ACTIVO",H77)))</formula>
    </cfRule>
    <cfRule type="containsText" dxfId="4136" priority="634" operator="containsText" text="ACTIVO">
      <formula>NOT(ISERROR(SEARCH("ACTIVO",H77)))</formula>
    </cfRule>
    <cfRule type="containsText" dxfId="4135" priority="635" operator="containsText" text="BAJA">
      <formula>NOT(ISERROR(SEARCH("BAJA",H77)))</formula>
    </cfRule>
    <cfRule type="containsText" dxfId="4134" priority="636" operator="containsText" text="ACTIVO">
      <formula>NOT(ISERROR(SEARCH("ACTIVO",H77)))</formula>
    </cfRule>
    <cfRule type="containsText" dxfId="4133" priority="637" operator="containsText" text="ACTIVO">
      <formula>NOT(ISERROR(SEARCH("ACTIVO",H77)))</formula>
    </cfRule>
    <cfRule type="containsText" dxfId="4132" priority="638" operator="containsText" text="ACTIVO">
      <formula>NOT(ISERROR(SEARCH("ACTIVO",H77)))</formula>
    </cfRule>
    <cfRule type="containsText" dxfId="4131" priority="639" operator="containsText" text="ACTIVO">
      <formula>NOT(ISERROR(SEARCH("ACTIVO",H77)))</formula>
    </cfRule>
    <cfRule type="containsText" dxfId="4130" priority="640" operator="containsText" text="BAJA">
      <formula>NOT(ISERROR(SEARCH("BAJA",H77)))</formula>
    </cfRule>
    <cfRule type="containsText" dxfId="4129" priority="641" operator="containsText" text="INACTIVA">
      <formula>NOT(ISERROR(SEARCH("INACTIVA",H77)))</formula>
    </cfRule>
    <cfRule type="containsText" dxfId="4128" priority="642" operator="containsText" text="ACTIVO">
      <formula>NOT(ISERROR(SEARCH("ACTIVO",H77)))</formula>
    </cfRule>
    <cfRule type="containsText" dxfId="4127" priority="643" operator="containsText" text="BAJA">
      <formula>NOT(ISERROR(SEARCH("BAJA",H77)))</formula>
    </cfRule>
    <cfRule type="containsText" dxfId="4126" priority="644" operator="containsText" text="ACTIVO">
      <formula>NOT(ISERROR(SEARCH("ACTIVO",H77)))</formula>
    </cfRule>
    <cfRule type="containsText" dxfId="4125" priority="645" operator="containsText" text="INACTIVA">
      <formula>NOT(ISERROR(SEARCH("INACTIVA",H77)))</formula>
    </cfRule>
    <cfRule type="containsText" dxfId="4124" priority="646" operator="containsText" text="BAJA">
      <formula>NOT(ISERROR(SEARCH("BAJA",H77)))</formula>
    </cfRule>
    <cfRule type="containsText" dxfId="4123" priority="648" operator="containsText" text="BAJA">
      <formula>NOT(ISERROR(SEARCH("BAJA",H77)))</formula>
    </cfRule>
    <cfRule type="containsText" dxfId="4122" priority="649" operator="containsText" text="ACTIVA">
      <formula>NOT(ISERROR(SEARCH("ACTIVA",H77)))</formula>
    </cfRule>
    <cfRule type="containsText" dxfId="4121" priority="651" operator="containsText" text="ACTIVO">
      <formula>NOT(ISERROR(SEARCH("ACTIVO",H77)))</formula>
    </cfRule>
  </conditionalFormatting>
  <conditionalFormatting sqref="H78:H81">
    <cfRule type="containsText" dxfId="4120" priority="5117" operator="containsText" text="BAJA">
      <formula>NOT(ISERROR(SEARCH("BAJA",H78)))</formula>
    </cfRule>
    <cfRule type="containsText" dxfId="4119" priority="5118" operator="containsText" text="ACTIVO">
      <formula>NOT(ISERROR(SEARCH("ACTIVO",H78)))</formula>
    </cfRule>
    <cfRule type="containsText" dxfId="4118" priority="5119" operator="containsText" text="ACTIVO">
      <formula>NOT(ISERROR(SEARCH("ACTIVO",H78)))</formula>
    </cfRule>
    <cfRule type="containsText" dxfId="4117" priority="5120" operator="containsText" text="BAJA">
      <formula>NOT(ISERROR(SEARCH("BAJA",H78)))</formula>
    </cfRule>
    <cfRule type="containsText" dxfId="4116" priority="5121" operator="containsText" text="ACTIVO">
      <formula>NOT(ISERROR(SEARCH("ACTIVO",H78)))</formula>
    </cfRule>
    <cfRule type="containsText" dxfId="4115" priority="5122" operator="containsText" text="ACTIVO">
      <formula>NOT(ISERROR(SEARCH("ACTIVO",H78)))</formula>
    </cfRule>
    <cfRule type="containsText" dxfId="4114" priority="5123" operator="containsText" text="BAJA">
      <formula>NOT(ISERROR(SEARCH("BAJA",H78)))</formula>
    </cfRule>
    <cfRule type="containsText" dxfId="4113" priority="5124" operator="containsText" text="ACTIVO">
      <formula>NOT(ISERROR(SEARCH("ACTIVO",H78)))</formula>
    </cfRule>
    <cfRule type="containsText" dxfId="4112" priority="5125" operator="containsText" text="ACTIVO">
      <formula>NOT(ISERROR(SEARCH("ACTIVO",H78)))</formula>
    </cfRule>
    <cfRule type="containsText" dxfId="4111" priority="5126" operator="containsText" text="ACTIVO">
      <formula>NOT(ISERROR(SEARCH("ACTIVO",H78)))</formula>
    </cfRule>
    <cfRule type="containsText" dxfId="4110" priority="5127" operator="containsText" text="ACTIVO">
      <formula>NOT(ISERROR(SEARCH("ACTIVO",H78)))</formula>
    </cfRule>
    <cfRule type="containsText" dxfId="4109" priority="5128" operator="containsText" text="BAJA">
      <formula>NOT(ISERROR(SEARCH("BAJA",H78)))</formula>
    </cfRule>
    <cfRule type="containsText" dxfId="4108" priority="5129" operator="containsText" text="INACTIVA">
      <formula>NOT(ISERROR(SEARCH("INACTIVA",H78)))</formula>
    </cfRule>
    <cfRule type="containsText" dxfId="4107" priority="5130" operator="containsText" text="ACTIVO">
      <formula>NOT(ISERROR(SEARCH("ACTIVO",H78)))</formula>
    </cfRule>
    <cfRule type="containsText" dxfId="4106" priority="5131" operator="containsText" text="BAJA">
      <formula>NOT(ISERROR(SEARCH("BAJA",H78)))</formula>
    </cfRule>
    <cfRule type="containsText" dxfId="4105" priority="5132" operator="containsText" text="ACTIVO">
      <formula>NOT(ISERROR(SEARCH("ACTIVO",H78)))</formula>
    </cfRule>
    <cfRule type="containsText" dxfId="4104" priority="5133" operator="containsText" text="INACTIVA">
      <formula>NOT(ISERROR(SEARCH("INACTIVA",H78)))</formula>
    </cfRule>
    <cfRule type="containsText" dxfId="4103" priority="5134" operator="containsText" text="BAJA">
      <formula>NOT(ISERROR(SEARCH("BAJA",H78)))</formula>
    </cfRule>
    <cfRule type="containsText" dxfId="4102" priority="5135" operator="containsText" text="ACTIVA">
      <formula>NOT(ISERROR(SEARCH("ACTIVA",H78)))</formula>
    </cfRule>
    <cfRule type="containsText" dxfId="4101" priority="5136" operator="containsText" text="ACTIVO">
      <formula>NOT(ISERROR(SEARCH("ACTIVO",H78)))</formula>
    </cfRule>
    <cfRule type="containsText" dxfId="4100" priority="5137" operator="containsText" text="ACTIVO">
      <formula>NOT(ISERROR(SEARCH("ACTIVO",H78)))</formula>
    </cfRule>
    <cfRule type="containsText" dxfId="4099" priority="5138" operator="containsText" text="INACTIVA">
      <formula>NOT(ISERROR(SEARCH("INACTIVA",H78)))</formula>
    </cfRule>
  </conditionalFormatting>
  <conditionalFormatting sqref="H78:H86">
    <cfRule type="containsText" dxfId="4098" priority="2280" operator="containsText" text="INACTIVA">
      <formula>NOT(ISERROR(SEARCH("INACTIVA",H78)))</formula>
    </cfRule>
  </conditionalFormatting>
  <conditionalFormatting sqref="H78:H87">
    <cfRule type="containsText" dxfId="4097" priority="2279" operator="containsText" text="ACTIVO">
      <formula>NOT(ISERROR(SEARCH("ACTIVO",H78)))</formula>
    </cfRule>
  </conditionalFormatting>
  <conditionalFormatting sqref="H82:H86">
    <cfRule type="containsText" dxfId="4096" priority="2257" operator="containsText" text="ACTIVO">
      <formula>NOT(ISERROR(SEARCH("ACTIVO",H82)))</formula>
    </cfRule>
    <cfRule type="containsText" dxfId="4095" priority="2258" operator="containsText" text="INACTIVA">
      <formula>NOT(ISERROR(SEARCH("INACTIVA",H82)))</formula>
    </cfRule>
    <cfRule type="containsText" dxfId="4094" priority="2259" operator="containsText" text="BAJA">
      <formula>NOT(ISERROR(SEARCH("BAJA",H82)))</formula>
    </cfRule>
    <cfRule type="containsText" dxfId="4093" priority="2260" operator="containsText" text="ACTIVO">
      <formula>NOT(ISERROR(SEARCH("ACTIVO",H82)))</formula>
    </cfRule>
    <cfRule type="containsText" dxfId="4092" priority="2261" operator="containsText" text="ACTIVO">
      <formula>NOT(ISERROR(SEARCH("ACTIVO",H82)))</formula>
    </cfRule>
    <cfRule type="containsText" dxfId="4091" priority="2262" operator="containsText" text="BAJA">
      <formula>NOT(ISERROR(SEARCH("BAJA",H82)))</formula>
    </cfRule>
    <cfRule type="containsText" dxfId="4090" priority="2263" operator="containsText" text="ACTIVO">
      <formula>NOT(ISERROR(SEARCH("ACTIVO",H82)))</formula>
    </cfRule>
    <cfRule type="containsText" dxfId="4089" priority="2264" operator="containsText" text="ACTIVO">
      <formula>NOT(ISERROR(SEARCH("ACTIVO",H82)))</formula>
    </cfRule>
    <cfRule type="containsText" dxfId="4088" priority="2265" operator="containsText" text="BAJA">
      <formula>NOT(ISERROR(SEARCH("BAJA",H82)))</formula>
    </cfRule>
    <cfRule type="containsText" dxfId="4087" priority="2266" operator="containsText" text="ACTIVO">
      <formula>NOT(ISERROR(SEARCH("ACTIVO",H82)))</formula>
    </cfRule>
    <cfRule type="containsText" dxfId="4086" priority="2267" operator="containsText" text="ACTIVO">
      <formula>NOT(ISERROR(SEARCH("ACTIVO",H82)))</formula>
    </cfRule>
    <cfRule type="containsText" dxfId="4085" priority="2268" operator="containsText" text="ACTIVO">
      <formula>NOT(ISERROR(SEARCH("ACTIVO",H82)))</formula>
    </cfRule>
    <cfRule type="containsText" dxfId="4084" priority="2269" operator="containsText" text="ACTIVO">
      <formula>NOT(ISERROR(SEARCH("ACTIVO",H82)))</formula>
    </cfRule>
    <cfRule type="containsText" dxfId="4083" priority="2270" operator="containsText" text="BAJA">
      <formula>NOT(ISERROR(SEARCH("BAJA",H82)))</formula>
    </cfRule>
    <cfRule type="containsText" dxfId="4082" priority="2271" operator="containsText" text="INACTIVA">
      <formula>NOT(ISERROR(SEARCH("INACTIVA",H82)))</formula>
    </cfRule>
    <cfRule type="containsText" dxfId="4081" priority="2272" operator="containsText" text="ACTIVO">
      <formula>NOT(ISERROR(SEARCH("ACTIVO",H82)))</formula>
    </cfRule>
    <cfRule type="containsText" dxfId="4080" priority="2273" operator="containsText" text="BAJA">
      <formula>NOT(ISERROR(SEARCH("BAJA",H82)))</formula>
    </cfRule>
    <cfRule type="containsText" dxfId="4079" priority="2274" operator="containsText" text="ACTIVO">
      <formula>NOT(ISERROR(SEARCH("ACTIVO",H82)))</formula>
    </cfRule>
    <cfRule type="containsText" dxfId="4078" priority="2275" operator="containsText" text="INACTIVA">
      <formula>NOT(ISERROR(SEARCH("INACTIVA",H82)))</formula>
    </cfRule>
    <cfRule type="containsText" dxfId="4077" priority="2277" operator="containsText" text="ACTIVA">
      <formula>NOT(ISERROR(SEARCH("ACTIVA",H82)))</formula>
    </cfRule>
    <cfRule type="containsText" dxfId="4076" priority="2278" operator="containsText" text="ACTIVO">
      <formula>NOT(ISERROR(SEARCH("ACTIVO",H82)))</formula>
    </cfRule>
  </conditionalFormatting>
  <conditionalFormatting sqref="H82:H87">
    <cfRule type="containsText" dxfId="4075" priority="2276" operator="containsText" text="BAJA">
      <formula>NOT(ISERROR(SEARCH("BAJA",H82)))</formula>
    </cfRule>
  </conditionalFormatting>
  <conditionalFormatting sqref="H87">
    <cfRule type="containsText" dxfId="4074" priority="2304" operator="containsText" text="ACTIVO">
      <formula>NOT(ISERROR(SEARCH("ACTIVO",H87)))</formula>
    </cfRule>
    <cfRule type="containsText" dxfId="4073" priority="2305" operator="containsText" text="BAJA">
      <formula>NOT(ISERROR(SEARCH("BAJA",H87)))</formula>
    </cfRule>
    <cfRule type="containsText" dxfId="4072" priority="2306" operator="containsText" text="ACTIVO">
      <formula>NOT(ISERROR(SEARCH("ACTIVO",H87)))</formula>
    </cfRule>
    <cfRule type="containsText" dxfId="4071" priority="2307" operator="containsText" text="ACTIVO">
      <formula>NOT(ISERROR(SEARCH("ACTIVO",H87)))</formula>
    </cfRule>
    <cfRule type="containsText" dxfId="4070" priority="2308" operator="containsText" text="BAJA">
      <formula>NOT(ISERROR(SEARCH("BAJA",H87)))</formula>
    </cfRule>
    <cfRule type="containsText" dxfId="4069" priority="2309" operator="containsText" text="ACTIVO">
      <formula>NOT(ISERROR(SEARCH("ACTIVO",H87)))</formula>
    </cfRule>
    <cfRule type="containsText" dxfId="4068" priority="2310" operator="containsText" text="ACTIVO">
      <formula>NOT(ISERROR(SEARCH("ACTIVO",H87)))</formula>
    </cfRule>
    <cfRule type="containsText" dxfId="4067" priority="2311" operator="containsText" text="ACTIVO">
      <formula>NOT(ISERROR(SEARCH("ACTIVO",H87)))</formula>
    </cfRule>
    <cfRule type="containsText" dxfId="4066" priority="2312" operator="containsText" text="ACTIVO">
      <formula>NOT(ISERROR(SEARCH("ACTIVO",H87)))</formula>
    </cfRule>
    <cfRule type="containsText" dxfId="4065" priority="2313" operator="containsText" text="BAJA">
      <formula>NOT(ISERROR(SEARCH("BAJA",H87)))</formula>
    </cfRule>
    <cfRule type="containsText" dxfId="4064" priority="2314" operator="containsText" text="INACTIVA">
      <formula>NOT(ISERROR(SEARCH("INACTIVA",H87)))</formula>
    </cfRule>
    <cfRule type="containsText" dxfId="4063" priority="2315" operator="containsText" text="ACTIVO">
      <formula>NOT(ISERROR(SEARCH("ACTIVO",H87)))</formula>
    </cfRule>
    <cfRule type="containsText" dxfId="4062" priority="2316" operator="containsText" text="BAJA">
      <formula>NOT(ISERROR(SEARCH("BAJA",H87)))</formula>
    </cfRule>
    <cfRule type="containsText" dxfId="4061" priority="2317" operator="containsText" text="ACTIVO">
      <formula>NOT(ISERROR(SEARCH("ACTIVO",H87)))</formula>
    </cfRule>
    <cfRule type="containsText" dxfId="4060" priority="2318" operator="containsText" text="INACTIVA">
      <formula>NOT(ISERROR(SEARCH("INACTIVA",H87)))</formula>
    </cfRule>
    <cfRule type="containsText" dxfId="4059" priority="2319" operator="containsText" text="BAJA">
      <formula>NOT(ISERROR(SEARCH("BAJA",H87)))</formula>
    </cfRule>
    <cfRule type="containsText" dxfId="4058" priority="2320" operator="containsText" text="ACTIVO">
      <formula>NOT(ISERROR(SEARCH("ACTIVO",H87)))</formula>
    </cfRule>
    <cfRule type="containsText" dxfId="4057" priority="2321" operator="containsText" text="BAJA">
      <formula>NOT(ISERROR(SEARCH("BAJA",H87)))</formula>
    </cfRule>
    <cfRule type="containsText" dxfId="4056" priority="2322" operator="containsText" text="ACTIVA">
      <formula>NOT(ISERROR(SEARCH("ACTIVA",H87)))</formula>
    </cfRule>
    <cfRule type="containsText" dxfId="4055" priority="2323" operator="containsText" text="INACTIVA">
      <formula>NOT(ISERROR(SEARCH("INACTIVA",H87)))</formula>
    </cfRule>
    <cfRule type="containsText" dxfId="4054" priority="2324" operator="containsText" text="ACTIVO">
      <formula>NOT(ISERROR(SEARCH("ACTIVO",H87)))</formula>
    </cfRule>
  </conditionalFormatting>
  <conditionalFormatting sqref="H87:H91">
    <cfRule type="containsText" dxfId="4053" priority="5115" operator="containsText" text="ACTIVO">
      <formula>NOT(ISERROR(SEARCH("ACTIVO",H87)))</formula>
    </cfRule>
    <cfRule type="containsText" dxfId="4052" priority="5116" operator="containsText" text="INACTIVA">
      <formula>NOT(ISERROR(SEARCH("INACTIVA",H87)))</formula>
    </cfRule>
  </conditionalFormatting>
  <conditionalFormatting sqref="H88 H34:H40 H42:H46 H48:H54">
    <cfRule type="containsText" dxfId="4051" priority="5253" operator="containsText" text="ACTIVA">
      <formula>NOT(ISERROR(SEARCH("ACTIVA",H34)))</formula>
    </cfRule>
    <cfRule type="containsText" dxfId="4050" priority="5255" operator="containsText" text="ACTIVO">
      <formula>NOT(ISERROR(SEARCH("ACTIVO",H34)))</formula>
    </cfRule>
  </conditionalFormatting>
  <conditionalFormatting sqref="H88 H34:H40 H42:H46">
    <cfRule type="containsText" dxfId="4049" priority="5233" operator="containsText" text="BAJA">
      <formula>NOT(ISERROR(SEARCH("BAJA",H34)))</formula>
    </cfRule>
  </conditionalFormatting>
  <conditionalFormatting sqref="H88">
    <cfRule type="containsText" dxfId="4048" priority="5205" operator="containsText" text="BAJA">
      <formula>NOT(ISERROR(SEARCH("BAJA",H88)))</formula>
    </cfRule>
    <cfRule type="containsText" dxfId="4047" priority="5206" operator="containsText" text="ACTIVO">
      <formula>NOT(ISERROR(SEARCH("ACTIVO",H88)))</formula>
    </cfRule>
    <cfRule type="containsText" dxfId="4046" priority="5207" operator="containsText" text="ACTIVO">
      <formula>NOT(ISERROR(SEARCH("ACTIVO",H88)))</formula>
    </cfRule>
    <cfRule type="containsText" dxfId="4045" priority="5208" operator="containsText" text="BAJA">
      <formula>NOT(ISERROR(SEARCH("BAJA",H88)))</formula>
    </cfRule>
    <cfRule type="containsText" dxfId="4044" priority="5209" operator="containsText" text="ACTIVO">
      <formula>NOT(ISERROR(SEARCH("ACTIVO",H88)))</formula>
    </cfRule>
    <cfRule type="containsText" dxfId="4043" priority="5210" operator="containsText" text="ACTIVO">
      <formula>NOT(ISERROR(SEARCH("ACTIVO",H88)))</formula>
    </cfRule>
    <cfRule type="containsText" dxfId="4042" priority="5211" operator="containsText" text="BAJA">
      <formula>NOT(ISERROR(SEARCH("BAJA",H88)))</formula>
    </cfRule>
    <cfRule type="containsText" dxfId="4041" priority="5212" operator="containsText" text="ACTIVO">
      <formula>NOT(ISERROR(SEARCH("ACTIVO",H88)))</formula>
    </cfRule>
    <cfRule type="containsText" dxfId="4040" priority="5213" operator="containsText" text="ACTIVO">
      <formula>NOT(ISERROR(SEARCH("ACTIVO",H88)))</formula>
    </cfRule>
    <cfRule type="containsText" dxfId="4039" priority="5214" operator="containsText" text="ACTIVO">
      <formula>NOT(ISERROR(SEARCH("ACTIVO",H88)))</formula>
    </cfRule>
    <cfRule type="containsText" dxfId="4038" priority="5215" operator="containsText" text="ACTIVO">
      <formula>NOT(ISERROR(SEARCH("ACTIVO",H88)))</formula>
    </cfRule>
    <cfRule type="containsText" dxfId="4037" priority="5216" operator="containsText" text="BAJA">
      <formula>NOT(ISERROR(SEARCH("BAJA",H88)))</formula>
    </cfRule>
    <cfRule type="containsText" dxfId="4036" priority="5217" operator="containsText" text="INACTIVA">
      <formula>NOT(ISERROR(SEARCH("INACTIVA",H88)))</formula>
    </cfRule>
    <cfRule type="containsText" dxfId="4035" priority="5218" operator="containsText" text="ACTIVO">
      <formula>NOT(ISERROR(SEARCH("ACTIVO",H88)))</formula>
    </cfRule>
    <cfRule type="containsText" dxfId="4034" priority="5219" operator="containsText" text="BAJA">
      <formula>NOT(ISERROR(SEARCH("BAJA",H88)))</formula>
    </cfRule>
    <cfRule type="containsText" dxfId="4033" priority="5220" operator="containsText" text="ACTIVO">
      <formula>NOT(ISERROR(SEARCH("ACTIVO",H88)))</formula>
    </cfRule>
    <cfRule type="containsText" dxfId="4032" priority="5221" operator="containsText" text="INACTIVA">
      <formula>NOT(ISERROR(SEARCH("INACTIVA",H88)))</formula>
    </cfRule>
    <cfRule type="containsText" dxfId="4031" priority="5222" operator="containsText" text="BAJA">
      <formula>NOT(ISERROR(SEARCH("BAJA",H88)))</formula>
    </cfRule>
    <cfRule type="containsText" dxfId="4030" priority="5223" operator="containsText" text="ACTIVA">
      <formula>NOT(ISERROR(SEARCH("ACTIVA",H88)))</formula>
    </cfRule>
    <cfRule type="containsText" dxfId="4029" priority="5224" operator="containsText" text="INACTIVA">
      <formula>NOT(ISERROR(SEARCH("INACTIVA",H88)))</formula>
    </cfRule>
    <cfRule type="colorScale" priority="52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2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028" priority="5227" operator="containsText" text="INACTIVA">
      <formula>NOT(ISERROR(SEARCH("INACTIVA",H88)))</formula>
    </cfRule>
    <cfRule type="containsText" dxfId="4027" priority="5228" operator="containsText" text="ACTIVO">
      <formula>NOT(ISERROR(SEARCH("ACTIVO",H88)))</formula>
    </cfRule>
    <cfRule type="colorScale" priority="522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3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026" priority="5231" operator="containsText" text="ACTIVO">
      <formula>NOT(ISERROR(SEARCH("ACTIVO",H88)))</formula>
    </cfRule>
    <cfRule type="containsText" dxfId="4025" priority="5232" operator="containsText" text="INACTIVA">
      <formula>NOT(ISERROR(SEARCH("INACTIVA",H88)))</formula>
    </cfRule>
    <cfRule type="containsText" dxfId="4024" priority="5251" operator="containsText" text="ACTIVO">
      <formula>NOT(ISERROR(SEARCH("ACTIVO",H88)))</formula>
    </cfRule>
    <cfRule type="containsText" dxfId="4023" priority="5252" operator="containsText" text="BAJA">
      <formula>NOT(ISERROR(SEARCH("BAJA",H88)))</formula>
    </cfRule>
    <cfRule type="containsText" dxfId="4022" priority="5254" operator="containsText" text="INACTIVA">
      <formula>NOT(ISERROR(SEARCH("INACTIVA",H88)))</formula>
    </cfRule>
  </conditionalFormatting>
  <conditionalFormatting sqref="H89:H91">
    <cfRule type="containsText" dxfId="4021" priority="5095" operator="containsText" text="BAJA">
      <formula>NOT(ISERROR(SEARCH("BAJA",H89)))</formula>
    </cfRule>
    <cfRule type="containsText" dxfId="4020" priority="5096" operator="containsText" text="ACTIVO">
      <formula>NOT(ISERROR(SEARCH("ACTIVO",H89)))</formula>
    </cfRule>
    <cfRule type="containsText" dxfId="4019" priority="5097" operator="containsText" text="ACTIVO">
      <formula>NOT(ISERROR(SEARCH("ACTIVO",H89)))</formula>
    </cfRule>
    <cfRule type="containsText" dxfId="4018" priority="5098" operator="containsText" text="BAJA">
      <formula>NOT(ISERROR(SEARCH("BAJA",H89)))</formula>
    </cfRule>
    <cfRule type="containsText" dxfId="4017" priority="5099" operator="containsText" text="ACTIVO">
      <formula>NOT(ISERROR(SEARCH("ACTIVO",H89)))</formula>
    </cfRule>
    <cfRule type="containsText" dxfId="4016" priority="5100" operator="containsText" text="ACTIVO">
      <formula>NOT(ISERROR(SEARCH("ACTIVO",H89)))</formula>
    </cfRule>
    <cfRule type="containsText" dxfId="4015" priority="5101" operator="containsText" text="BAJA">
      <formula>NOT(ISERROR(SEARCH("BAJA",H89)))</formula>
    </cfRule>
    <cfRule type="containsText" dxfId="4014" priority="5102" operator="containsText" text="ACTIVO">
      <formula>NOT(ISERROR(SEARCH("ACTIVO",H89)))</formula>
    </cfRule>
    <cfRule type="containsText" dxfId="4013" priority="5103" operator="containsText" text="ACTIVO">
      <formula>NOT(ISERROR(SEARCH("ACTIVO",H89)))</formula>
    </cfRule>
    <cfRule type="containsText" dxfId="4012" priority="5104" operator="containsText" text="ACTIVO">
      <formula>NOT(ISERROR(SEARCH("ACTIVO",H89)))</formula>
    </cfRule>
    <cfRule type="containsText" dxfId="4011" priority="5105" operator="containsText" text="ACTIVO">
      <formula>NOT(ISERROR(SEARCH("ACTIVO",H89)))</formula>
    </cfRule>
    <cfRule type="containsText" dxfId="4010" priority="5106" operator="containsText" text="BAJA">
      <formula>NOT(ISERROR(SEARCH("BAJA",H89)))</formula>
    </cfRule>
    <cfRule type="containsText" dxfId="4009" priority="5107" operator="containsText" text="INACTIVA">
      <formula>NOT(ISERROR(SEARCH("INACTIVA",H89)))</formula>
    </cfRule>
    <cfRule type="containsText" dxfId="4008" priority="5108" operator="containsText" text="ACTIVO">
      <formula>NOT(ISERROR(SEARCH("ACTIVO",H89)))</formula>
    </cfRule>
    <cfRule type="containsText" dxfId="4007" priority="5109" operator="containsText" text="BAJA">
      <formula>NOT(ISERROR(SEARCH("BAJA",H89)))</formula>
    </cfRule>
    <cfRule type="containsText" dxfId="4006" priority="5110" operator="containsText" text="ACTIVO">
      <formula>NOT(ISERROR(SEARCH("ACTIVO",H89)))</formula>
    </cfRule>
    <cfRule type="containsText" dxfId="4005" priority="5111" operator="containsText" text="INACTIVA">
      <formula>NOT(ISERROR(SEARCH("INACTIVA",H89)))</formula>
    </cfRule>
    <cfRule type="containsText" dxfId="4004" priority="5112" operator="containsText" text="BAJA">
      <formula>NOT(ISERROR(SEARCH("BAJA",H89)))</formula>
    </cfRule>
    <cfRule type="containsText" dxfId="4003" priority="5113" operator="containsText" text="ACTIVA">
      <formula>NOT(ISERROR(SEARCH("ACTIVA",H89)))</formula>
    </cfRule>
    <cfRule type="containsText" dxfId="4002" priority="5114" operator="containsText" text="ACTIVO">
      <formula>NOT(ISERROR(SEARCH("ACTIVO",H89)))</formula>
    </cfRule>
  </conditionalFormatting>
  <conditionalFormatting sqref="H89:H97">
    <cfRule type="containsText" dxfId="4001" priority="2255" operator="containsText" text="ACTIVO">
      <formula>NOT(ISERROR(SEARCH("ACTIVO",H89)))</formula>
    </cfRule>
    <cfRule type="containsText" dxfId="4000" priority="2256" operator="containsText" text="INACTIVA">
      <formula>NOT(ISERROR(SEARCH("INACTIVA",H89)))</formula>
    </cfRule>
  </conditionalFormatting>
  <conditionalFormatting sqref="H92:H96">
    <cfRule type="containsText" dxfId="3999" priority="2233" operator="containsText" text="ACTIVO">
      <formula>NOT(ISERROR(SEARCH("ACTIVO",H92)))</formula>
    </cfRule>
    <cfRule type="containsText" dxfId="3998" priority="2234" operator="containsText" text="INACTIVA">
      <formula>NOT(ISERROR(SEARCH("INACTIVA",H92)))</formula>
    </cfRule>
    <cfRule type="containsText" dxfId="3997" priority="2235" operator="containsText" text="BAJA">
      <formula>NOT(ISERROR(SEARCH("BAJA",H92)))</formula>
    </cfRule>
    <cfRule type="containsText" dxfId="3996" priority="2236" operator="containsText" text="ACTIVO">
      <formula>NOT(ISERROR(SEARCH("ACTIVO",H92)))</formula>
    </cfRule>
    <cfRule type="containsText" dxfId="3995" priority="2237" operator="containsText" text="ACTIVO">
      <formula>NOT(ISERROR(SEARCH("ACTIVO",H92)))</formula>
    </cfRule>
    <cfRule type="containsText" dxfId="3994" priority="2238" operator="containsText" text="BAJA">
      <formula>NOT(ISERROR(SEARCH("BAJA",H92)))</formula>
    </cfRule>
    <cfRule type="containsText" dxfId="3993" priority="2239" operator="containsText" text="ACTIVO">
      <formula>NOT(ISERROR(SEARCH("ACTIVO",H92)))</formula>
    </cfRule>
    <cfRule type="containsText" dxfId="3992" priority="2240" operator="containsText" text="ACTIVO">
      <formula>NOT(ISERROR(SEARCH("ACTIVO",H92)))</formula>
    </cfRule>
    <cfRule type="containsText" dxfId="3991" priority="2241" operator="containsText" text="BAJA">
      <formula>NOT(ISERROR(SEARCH("BAJA",H92)))</formula>
    </cfRule>
    <cfRule type="containsText" dxfId="3990" priority="2242" operator="containsText" text="ACTIVO">
      <formula>NOT(ISERROR(SEARCH("ACTIVO",H92)))</formula>
    </cfRule>
    <cfRule type="containsText" dxfId="3989" priority="2243" operator="containsText" text="ACTIVO">
      <formula>NOT(ISERROR(SEARCH("ACTIVO",H92)))</formula>
    </cfRule>
    <cfRule type="containsText" dxfId="3988" priority="2244" operator="containsText" text="ACTIVO">
      <formula>NOT(ISERROR(SEARCH("ACTIVO",H92)))</formula>
    </cfRule>
    <cfRule type="containsText" dxfId="3987" priority="2245" operator="containsText" text="ACTIVO">
      <formula>NOT(ISERROR(SEARCH("ACTIVO",H92)))</formula>
    </cfRule>
    <cfRule type="containsText" dxfId="3986" priority="2246" operator="containsText" text="BAJA">
      <formula>NOT(ISERROR(SEARCH("BAJA",H92)))</formula>
    </cfRule>
    <cfRule type="containsText" dxfId="3985" priority="2247" operator="containsText" text="INACTIVA">
      <formula>NOT(ISERROR(SEARCH("INACTIVA",H92)))</formula>
    </cfRule>
    <cfRule type="containsText" dxfId="3984" priority="2248" operator="containsText" text="ACTIVO">
      <formula>NOT(ISERROR(SEARCH("ACTIVO",H92)))</formula>
    </cfRule>
    <cfRule type="containsText" dxfId="3983" priority="2249" operator="containsText" text="BAJA">
      <formula>NOT(ISERROR(SEARCH("BAJA",H92)))</formula>
    </cfRule>
    <cfRule type="containsText" dxfId="3982" priority="2250" operator="containsText" text="ACTIVO">
      <formula>NOT(ISERROR(SEARCH("ACTIVO",H92)))</formula>
    </cfRule>
    <cfRule type="containsText" dxfId="3981" priority="2251" operator="containsText" text="INACTIVA">
      <formula>NOT(ISERROR(SEARCH("INACTIVA",H92)))</formula>
    </cfRule>
    <cfRule type="containsText" dxfId="3980" priority="2252" operator="containsText" text="BAJA">
      <formula>NOT(ISERROR(SEARCH("BAJA",H92)))</formula>
    </cfRule>
    <cfRule type="containsText" dxfId="3979" priority="2253" operator="containsText" text="ACTIVA">
      <formula>NOT(ISERROR(SEARCH("ACTIVA",H92)))</formula>
    </cfRule>
    <cfRule type="containsText" dxfId="3978" priority="2254" operator="containsText" text="ACTIVO">
      <formula>NOT(ISERROR(SEARCH("ACTIVO",H92)))</formula>
    </cfRule>
  </conditionalFormatting>
  <conditionalFormatting sqref="H97">
    <cfRule type="containsText" dxfId="3977" priority="5182" operator="containsText" text="BAJA">
      <formula>NOT(ISERROR(SEARCH("BAJA",H97)))</formula>
    </cfRule>
    <cfRule type="containsText" dxfId="3976" priority="5183" operator="containsText" text="ACTIVO">
      <formula>NOT(ISERROR(SEARCH("ACTIVO",H97)))</formula>
    </cfRule>
    <cfRule type="containsText" dxfId="3975" priority="5184" operator="containsText" text="ACTIVO">
      <formula>NOT(ISERROR(SEARCH("ACTIVO",H97)))</formula>
    </cfRule>
    <cfRule type="containsText" dxfId="3974" priority="5185" operator="containsText" text="BAJA">
      <formula>NOT(ISERROR(SEARCH("BAJA",H97)))</formula>
    </cfRule>
    <cfRule type="containsText" dxfId="3973" priority="5186" operator="containsText" text="ACTIVO">
      <formula>NOT(ISERROR(SEARCH("ACTIVO",H97)))</formula>
    </cfRule>
    <cfRule type="containsText" dxfId="3972" priority="5187" operator="containsText" text="ACTIVO">
      <formula>NOT(ISERROR(SEARCH("ACTIVO",H97)))</formula>
    </cfRule>
    <cfRule type="containsText" dxfId="3971" priority="5188" operator="containsText" text="BAJA">
      <formula>NOT(ISERROR(SEARCH("BAJA",H97)))</formula>
    </cfRule>
    <cfRule type="containsText" dxfId="3970" priority="5189" operator="containsText" text="ACTIVO">
      <formula>NOT(ISERROR(SEARCH("ACTIVO",H97)))</formula>
    </cfRule>
    <cfRule type="containsText" dxfId="3969" priority="5190" operator="containsText" text="ACTIVO">
      <formula>NOT(ISERROR(SEARCH("ACTIVO",H97)))</formula>
    </cfRule>
    <cfRule type="containsText" dxfId="3968" priority="5191" operator="containsText" text="ACTIVO">
      <formula>NOT(ISERROR(SEARCH("ACTIVO",H97)))</formula>
    </cfRule>
    <cfRule type="containsText" dxfId="3967" priority="5192" operator="containsText" text="ACTIVO">
      <formula>NOT(ISERROR(SEARCH("ACTIVO",H97)))</formula>
    </cfRule>
    <cfRule type="containsText" dxfId="3966" priority="5193" operator="containsText" text="BAJA">
      <formula>NOT(ISERROR(SEARCH("BAJA",H97)))</formula>
    </cfRule>
    <cfRule type="containsText" dxfId="3965" priority="5194" operator="containsText" text="INACTIVA">
      <formula>NOT(ISERROR(SEARCH("INACTIVA",H97)))</formula>
    </cfRule>
    <cfRule type="containsText" dxfId="3964" priority="5195" operator="containsText" text="ACTIVO">
      <formula>NOT(ISERROR(SEARCH("ACTIVO",H97)))</formula>
    </cfRule>
    <cfRule type="containsText" dxfId="3963" priority="5196" operator="containsText" text="BAJA">
      <formula>NOT(ISERROR(SEARCH("BAJA",H97)))</formula>
    </cfRule>
    <cfRule type="containsText" dxfId="3962" priority="5197" operator="containsText" text="ACTIVO">
      <formula>NOT(ISERROR(SEARCH("ACTIVO",H97)))</formula>
    </cfRule>
    <cfRule type="containsText" dxfId="3961" priority="5198" operator="containsText" text="INACTIVA">
      <formula>NOT(ISERROR(SEARCH("INACTIVA",H97)))</formula>
    </cfRule>
    <cfRule type="containsText" dxfId="3960" priority="5199" operator="containsText" text="BAJA">
      <formula>NOT(ISERROR(SEARCH("BAJA",H97)))</formula>
    </cfRule>
    <cfRule type="containsText" dxfId="3959" priority="5200" operator="containsText" text="ACTIVO">
      <formula>NOT(ISERROR(SEARCH("ACTIVO",H97)))</formula>
    </cfRule>
    <cfRule type="containsText" dxfId="3958" priority="5201" operator="containsText" text="BAJA">
      <formula>NOT(ISERROR(SEARCH("BAJA",H97)))</formula>
    </cfRule>
    <cfRule type="containsText" dxfId="3957" priority="5202" operator="containsText" text="ACTIVA">
      <formula>NOT(ISERROR(SEARCH("ACTIVA",H97)))</formula>
    </cfRule>
    <cfRule type="containsText" dxfId="3956" priority="5203" operator="containsText" text="INACTIVA">
      <formula>NOT(ISERROR(SEARCH("INACTIVA",H97)))</formula>
    </cfRule>
    <cfRule type="containsText" dxfId="3955" priority="5204" operator="containsText" text="ACTIVO">
      <formula>NOT(ISERROR(SEARCH("ACTIVO",H97)))</formula>
    </cfRule>
  </conditionalFormatting>
  <conditionalFormatting sqref="H99">
    <cfRule type="containsText" dxfId="3954" priority="2211" operator="containsText" text="BAJA">
      <formula>NOT(ISERROR(SEARCH("BAJA",H99)))</formula>
    </cfRule>
    <cfRule type="containsText" dxfId="3953" priority="2212" operator="containsText" text="ACTIVO">
      <formula>NOT(ISERROR(SEARCH("ACTIVO",H99)))</formula>
    </cfRule>
    <cfRule type="containsText" dxfId="3952" priority="2213" operator="containsText" text="ACTIVO">
      <formula>NOT(ISERROR(SEARCH("ACTIVO",H99)))</formula>
    </cfRule>
    <cfRule type="containsText" dxfId="3951" priority="2214" operator="containsText" text="BAJA">
      <formula>NOT(ISERROR(SEARCH("BAJA",H99)))</formula>
    </cfRule>
    <cfRule type="containsText" dxfId="3950" priority="2215" operator="containsText" text="ACTIVO">
      <formula>NOT(ISERROR(SEARCH("ACTIVO",H99)))</formula>
    </cfRule>
    <cfRule type="containsText" dxfId="3949" priority="2216" operator="containsText" text="ACTIVO">
      <formula>NOT(ISERROR(SEARCH("ACTIVO",H99)))</formula>
    </cfRule>
    <cfRule type="containsText" dxfId="3948" priority="2217" operator="containsText" text="BAJA">
      <formula>NOT(ISERROR(SEARCH("BAJA",H99)))</formula>
    </cfRule>
    <cfRule type="containsText" dxfId="3947" priority="2218" operator="containsText" text="ACTIVO">
      <formula>NOT(ISERROR(SEARCH("ACTIVO",H99)))</formula>
    </cfRule>
    <cfRule type="containsText" dxfId="3946" priority="2219" operator="containsText" text="ACTIVO">
      <formula>NOT(ISERROR(SEARCH("ACTIVO",H99)))</formula>
    </cfRule>
    <cfRule type="containsText" dxfId="3945" priority="2220" operator="containsText" text="ACTIVO">
      <formula>NOT(ISERROR(SEARCH("ACTIVO",H99)))</formula>
    </cfRule>
    <cfRule type="containsText" dxfId="3944" priority="2221" operator="containsText" text="ACTIVO">
      <formula>NOT(ISERROR(SEARCH("ACTIVO",H99)))</formula>
    </cfRule>
    <cfRule type="containsText" dxfId="3943" priority="2222" operator="containsText" text="BAJA">
      <formula>NOT(ISERROR(SEARCH("BAJA",H99)))</formula>
    </cfRule>
    <cfRule type="containsText" dxfId="3942" priority="2223" operator="containsText" text="INACTIVA">
      <formula>NOT(ISERROR(SEARCH("INACTIVA",H99)))</formula>
    </cfRule>
    <cfRule type="containsText" dxfId="3941" priority="2224" operator="containsText" text="ACTIVO">
      <formula>NOT(ISERROR(SEARCH("ACTIVO",H99)))</formula>
    </cfRule>
    <cfRule type="containsText" dxfId="3940" priority="2225" operator="containsText" text="BAJA">
      <formula>NOT(ISERROR(SEARCH("BAJA",H99)))</formula>
    </cfRule>
    <cfRule type="containsText" dxfId="3939" priority="2226" operator="containsText" text="ACTIVO">
      <formula>NOT(ISERROR(SEARCH("ACTIVO",H99)))</formula>
    </cfRule>
    <cfRule type="containsText" dxfId="3938" priority="2227" operator="containsText" text="INACTIVA">
      <formula>NOT(ISERROR(SEARCH("INACTIVA",H99)))</formula>
    </cfRule>
    <cfRule type="containsText" dxfId="3937" priority="2228" operator="containsText" text="BAJA">
      <formula>NOT(ISERROR(SEARCH("BAJA",H99)))</formula>
    </cfRule>
    <cfRule type="containsText" dxfId="3936" priority="2229" operator="containsText" text="ACTIVA">
      <formula>NOT(ISERROR(SEARCH("ACTIVA",H99)))</formula>
    </cfRule>
    <cfRule type="containsText" dxfId="3935" priority="2230" operator="containsText" text="ACTIVO">
      <formula>NOT(ISERROR(SEARCH("ACTIVO",H99)))</formula>
    </cfRule>
    <cfRule type="containsText" dxfId="3934" priority="2231" operator="containsText" text="ACTIVO">
      <formula>NOT(ISERROR(SEARCH("ACTIVO",H99)))</formula>
    </cfRule>
    <cfRule type="containsText" dxfId="3933" priority="2232" operator="containsText" text="INACTIVA">
      <formula>NOT(ISERROR(SEARCH("INACTIVA",H99)))</formula>
    </cfRule>
  </conditionalFormatting>
  <conditionalFormatting sqref="H99:H101">
    <cfRule type="containsText" dxfId="3932" priority="873" operator="containsText" text="ACTIVO">
      <formula>NOT(ISERROR(SEARCH("ACTIVO",H99)))</formula>
    </cfRule>
    <cfRule type="containsText" dxfId="3931" priority="876" operator="containsText" text="INACTIVA">
      <formula>NOT(ISERROR(SEARCH("INACTIVA",H99)))</formula>
    </cfRule>
  </conditionalFormatting>
  <conditionalFormatting sqref="H100">
    <cfRule type="containsText" dxfId="3930" priority="853" operator="containsText" text="ACTIVO">
      <formula>NOT(ISERROR(SEARCH("ACTIVO",H100)))</formula>
    </cfRule>
    <cfRule type="containsText" dxfId="3929" priority="854" operator="containsText" text="INACTIVA">
      <formula>NOT(ISERROR(SEARCH("INACTIVA",H100)))</formula>
    </cfRule>
    <cfRule type="containsText" dxfId="3928" priority="855" operator="containsText" text="BAJA">
      <formula>NOT(ISERROR(SEARCH("BAJA",H100)))</formula>
    </cfRule>
    <cfRule type="containsText" dxfId="3927" priority="856" operator="containsText" text="ACTIVO">
      <formula>NOT(ISERROR(SEARCH("ACTIVO",H100)))</formula>
    </cfRule>
    <cfRule type="containsText" dxfId="3926" priority="857" operator="containsText" text="ACTIVO">
      <formula>NOT(ISERROR(SEARCH("ACTIVO",H100)))</formula>
    </cfRule>
    <cfRule type="containsText" dxfId="3925" priority="858" operator="containsText" text="BAJA">
      <formula>NOT(ISERROR(SEARCH("BAJA",H100)))</formula>
    </cfRule>
    <cfRule type="containsText" dxfId="3924" priority="859" operator="containsText" text="ACTIVO">
      <formula>NOT(ISERROR(SEARCH("ACTIVO",H100)))</formula>
    </cfRule>
    <cfRule type="containsText" dxfId="3923" priority="860" operator="containsText" text="ACTIVO">
      <formula>NOT(ISERROR(SEARCH("ACTIVO",H100)))</formula>
    </cfRule>
    <cfRule type="containsText" dxfId="3922" priority="861" operator="containsText" text="BAJA">
      <formula>NOT(ISERROR(SEARCH("BAJA",H100)))</formula>
    </cfRule>
    <cfRule type="containsText" dxfId="3921" priority="862" operator="containsText" text="ACTIVO">
      <formula>NOT(ISERROR(SEARCH("ACTIVO",H100)))</formula>
    </cfRule>
    <cfRule type="containsText" dxfId="3920" priority="863" operator="containsText" text="ACTIVO">
      <formula>NOT(ISERROR(SEARCH("ACTIVO",H100)))</formula>
    </cfRule>
    <cfRule type="containsText" dxfId="3919" priority="864" operator="containsText" text="ACTIVO">
      <formula>NOT(ISERROR(SEARCH("ACTIVO",H100)))</formula>
    </cfRule>
    <cfRule type="containsText" dxfId="3918" priority="865" operator="containsText" text="ACTIVO">
      <formula>NOT(ISERROR(SEARCH("ACTIVO",H100)))</formula>
    </cfRule>
    <cfRule type="containsText" dxfId="3917" priority="866" operator="containsText" text="BAJA">
      <formula>NOT(ISERROR(SEARCH("BAJA",H100)))</formula>
    </cfRule>
    <cfRule type="containsText" dxfId="3916" priority="867" operator="containsText" text="INACTIVA">
      <formula>NOT(ISERROR(SEARCH("INACTIVA",H100)))</formula>
    </cfRule>
    <cfRule type="containsText" dxfId="3915" priority="868" operator="containsText" text="ACTIVO">
      <formula>NOT(ISERROR(SEARCH("ACTIVO",H100)))</formula>
    </cfRule>
    <cfRule type="containsText" dxfId="3914" priority="869" operator="containsText" text="BAJA">
      <formula>NOT(ISERROR(SEARCH("BAJA",H100)))</formula>
    </cfRule>
    <cfRule type="containsText" dxfId="3913" priority="870" operator="containsText" text="ACTIVO">
      <formula>NOT(ISERROR(SEARCH("ACTIVO",H100)))</formula>
    </cfRule>
    <cfRule type="containsText" dxfId="3912" priority="871" operator="containsText" text="INACTIVA">
      <formula>NOT(ISERROR(SEARCH("INACTIVA",H100)))</formula>
    </cfRule>
    <cfRule type="containsText" dxfId="3911" priority="872" operator="containsText" text="BAJA">
      <formula>NOT(ISERROR(SEARCH("BAJA",H100)))</formula>
    </cfRule>
    <cfRule type="containsText" dxfId="3910" priority="874" operator="containsText" text="BAJA">
      <formula>NOT(ISERROR(SEARCH("BAJA",H100)))</formula>
    </cfRule>
    <cfRule type="containsText" dxfId="3909" priority="875" operator="containsText" text="ACTIVA">
      <formula>NOT(ISERROR(SEARCH("ACTIVA",H100)))</formula>
    </cfRule>
    <cfRule type="containsText" dxfId="3908" priority="877" operator="containsText" text="ACTIVO">
      <formula>NOT(ISERROR(SEARCH("ACTIVO",H100)))</formula>
    </cfRule>
  </conditionalFormatting>
  <conditionalFormatting sqref="H101">
    <cfRule type="containsText" dxfId="3907" priority="1412" operator="containsText" text="BAJA">
      <formula>NOT(ISERROR(SEARCH("BAJA",H101)))</formula>
    </cfRule>
    <cfRule type="containsText" dxfId="3906" priority="1413" operator="containsText" text="ACTIVO">
      <formula>NOT(ISERROR(SEARCH("ACTIVO",H101)))</formula>
    </cfRule>
    <cfRule type="containsText" dxfId="3905" priority="1414" operator="containsText" text="BAJA">
      <formula>NOT(ISERROR(SEARCH("BAJA",H101)))</formula>
    </cfRule>
    <cfRule type="colorScale" priority="14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1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904" priority="1419" operator="containsText" text="ACTIVO">
      <formula>NOT(ISERROR(SEARCH("ACTIVO",H101)))</formula>
    </cfRule>
    <cfRule type="containsText" dxfId="3903" priority="1420" operator="containsText" text="ACTIVO">
      <formula>NOT(ISERROR(SEARCH("ACTIVO",H101)))</formula>
    </cfRule>
    <cfRule type="containsText" dxfId="3902" priority="1421" operator="containsText" text="BAJA">
      <formula>NOT(ISERROR(SEARCH("BAJA",H101)))</formula>
    </cfRule>
    <cfRule type="containsText" dxfId="3901" priority="1422" operator="containsText" text="ACTIVO">
      <formula>NOT(ISERROR(SEARCH("ACTIVO",H101)))</formula>
    </cfRule>
    <cfRule type="containsText" dxfId="3900" priority="1423" operator="containsText" text="ACTIVO">
      <formula>NOT(ISERROR(SEARCH("ACTIVO",H101)))</formula>
    </cfRule>
    <cfRule type="colorScale" priority="142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2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99" priority="1426" operator="containsText" text="BAJA">
      <formula>NOT(ISERROR(SEARCH("BAJA",H101)))</formula>
    </cfRule>
    <cfRule type="containsText" dxfId="3898" priority="1427" operator="containsText" text="ACTIVO">
      <formula>NOT(ISERROR(SEARCH("ACTIVO",H101)))</formula>
    </cfRule>
    <cfRule type="containsText" dxfId="3897" priority="1428" operator="containsText" text="ACTIVO">
      <formula>NOT(ISERROR(SEARCH("ACTIVO",H101)))</formula>
    </cfRule>
    <cfRule type="containsText" dxfId="3896" priority="1429" operator="containsText" text="ACTIVO">
      <formula>NOT(ISERROR(SEARCH("ACTIVO",H101)))</formula>
    </cfRule>
    <cfRule type="containsText" dxfId="3895" priority="1430" operator="containsText" text="ACTIVO">
      <formula>NOT(ISERROR(SEARCH("ACTIVO",H101)))</formula>
    </cfRule>
    <cfRule type="containsText" dxfId="3894" priority="1431" operator="containsText" text="BAJA">
      <formula>NOT(ISERROR(SEARCH("BAJA",H101)))</formula>
    </cfRule>
    <cfRule type="containsText" dxfId="3893" priority="1432" operator="containsText" text="INACTIVA">
      <formula>NOT(ISERROR(SEARCH("INACTIVA",H101)))</formula>
    </cfRule>
    <cfRule type="colorScale" priority="143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3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3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92" priority="1437" operator="containsText" text="ACTIVO">
      <formula>NOT(ISERROR(SEARCH("ACTIVO",H101)))</formula>
    </cfRule>
    <cfRule type="containsText" dxfId="3891" priority="1438" operator="containsText" text="BAJA">
      <formula>NOT(ISERROR(SEARCH("BAJA",H101)))</formula>
    </cfRule>
    <cfRule type="containsText" dxfId="3890" priority="1439" operator="containsText" text="ACTIVO">
      <formula>NOT(ISERROR(SEARCH("ACTIVO",H101)))</formula>
    </cfRule>
    <cfRule type="colorScale" priority="14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4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4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89" priority="1444" operator="containsText" text="INACTIVA">
      <formula>NOT(ISERROR(SEARCH("INACTIVA",H101)))</formula>
    </cfRule>
    <cfRule type="containsText" dxfId="3888" priority="1445" operator="containsText" text="BAJA">
      <formula>NOT(ISERROR(SEARCH("BAJA",H101)))</formula>
    </cfRule>
    <cfRule type="containsText" dxfId="3887" priority="1446" operator="containsText" text="ACTIVO">
      <formula>NOT(ISERROR(SEARCH("ACTIVO",H101)))</formula>
    </cfRule>
    <cfRule type="containsText" dxfId="3886" priority="1447" operator="containsText" text="BAJA">
      <formula>NOT(ISERROR(SEARCH("BAJA",H101)))</formula>
    </cfRule>
    <cfRule type="colorScale" priority="14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4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85" priority="1450" operator="containsText" text="INACTIVA">
      <formula>NOT(ISERROR(SEARCH("INACTIVA",H101)))</formula>
    </cfRule>
    <cfRule type="containsText" dxfId="3884" priority="1451" operator="containsText" text="ACTIVA">
      <formula>NOT(ISERROR(SEARCH("ACTIVA",H101)))</formula>
    </cfRule>
    <cfRule type="colorScale" priority="145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5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83" priority="1454" operator="containsText" text="INACTIVA">
      <formula>NOT(ISERROR(SEARCH("INACTIVA",H101)))</formula>
    </cfRule>
    <cfRule type="colorScale" priority="14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5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82" priority="1459" operator="containsText" text="ACTIVO">
      <formula>NOT(ISERROR(SEARCH("ACTIVO",H101)))</formula>
    </cfRule>
    <cfRule type="colorScale" priority="14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6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02">
    <cfRule type="containsText" dxfId="3881" priority="5043" operator="containsText" text="BAJA">
      <formula>NOT(ISERROR(SEARCH("BAJA",H102)))</formula>
    </cfRule>
    <cfRule type="containsText" dxfId="3880" priority="5044" operator="containsText" text="ACTIVO">
      <formula>NOT(ISERROR(SEARCH("ACTIVO",H102)))</formula>
    </cfRule>
    <cfRule type="containsText" dxfId="3879" priority="5045" operator="containsText" text="BAJA">
      <formula>NOT(ISERROR(SEARCH("BAJA",H102)))</formula>
    </cfRule>
    <cfRule type="colorScale" priority="504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4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4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78" priority="5050" operator="containsText" text="ACTIVO">
      <formula>NOT(ISERROR(SEARCH("ACTIVO",H102)))</formula>
    </cfRule>
    <cfRule type="containsText" dxfId="3877" priority="5051" operator="containsText" text="ACTIVO">
      <formula>NOT(ISERROR(SEARCH("ACTIVO",H102)))</formula>
    </cfRule>
    <cfRule type="containsText" dxfId="3876" priority="5052" operator="containsText" text="BAJA">
      <formula>NOT(ISERROR(SEARCH("BAJA",H102)))</formula>
    </cfRule>
    <cfRule type="containsText" dxfId="3875" priority="5053" operator="containsText" text="ACTIVO">
      <formula>NOT(ISERROR(SEARCH("ACTIVO",H102)))</formula>
    </cfRule>
    <cfRule type="containsText" dxfId="3874" priority="5054" operator="containsText" text="ACTIVO">
      <formula>NOT(ISERROR(SEARCH("ACTIVO",H102)))</formula>
    </cfRule>
    <cfRule type="colorScale" priority="50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5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73" priority="5057" operator="containsText" text="BAJA">
      <formula>NOT(ISERROR(SEARCH("BAJA",H102)))</formula>
    </cfRule>
    <cfRule type="containsText" dxfId="3872" priority="5058" operator="containsText" text="ACTIVO">
      <formula>NOT(ISERROR(SEARCH("ACTIVO",H102)))</formula>
    </cfRule>
    <cfRule type="containsText" dxfId="3871" priority="5059" operator="containsText" text="ACTIVO">
      <formula>NOT(ISERROR(SEARCH("ACTIVO",H102)))</formula>
    </cfRule>
    <cfRule type="containsText" dxfId="3870" priority="5060" operator="containsText" text="ACTIVO">
      <formula>NOT(ISERROR(SEARCH("ACTIVO",H102)))</formula>
    </cfRule>
    <cfRule type="containsText" dxfId="3869" priority="5061" operator="containsText" text="ACTIVO">
      <formula>NOT(ISERROR(SEARCH("ACTIVO",H102)))</formula>
    </cfRule>
    <cfRule type="containsText" dxfId="3868" priority="5062" operator="containsText" text="BAJA">
      <formula>NOT(ISERROR(SEARCH("BAJA",H102)))</formula>
    </cfRule>
    <cfRule type="containsText" dxfId="3867" priority="5063" operator="containsText" text="INACTIVA">
      <formula>NOT(ISERROR(SEARCH("INACTIVA",H102)))</formula>
    </cfRule>
    <cfRule type="colorScale" priority="506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6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6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66" priority="5068" operator="containsText" text="ACTIVO">
      <formula>NOT(ISERROR(SEARCH("ACTIVO",H102)))</formula>
    </cfRule>
    <cfRule type="containsText" dxfId="3865" priority="5069" operator="containsText" text="BAJA">
      <formula>NOT(ISERROR(SEARCH("BAJA",H102)))</formula>
    </cfRule>
    <cfRule type="containsText" dxfId="3864" priority="5070" operator="containsText" text="ACTIVO">
      <formula>NOT(ISERROR(SEARCH("ACTIVO",H102)))</formula>
    </cfRule>
    <cfRule type="colorScale" priority="50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7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63" priority="5075" operator="containsText" text="INACTIVA">
      <formula>NOT(ISERROR(SEARCH("INACTIVA",H102)))</formula>
    </cfRule>
    <cfRule type="containsText" dxfId="3862" priority="5076" operator="containsText" text="BAJA">
      <formula>NOT(ISERROR(SEARCH("BAJA",H102)))</formula>
    </cfRule>
    <cfRule type="containsText" dxfId="3861" priority="5077" operator="containsText" text="ACTIVO">
      <formula>NOT(ISERROR(SEARCH("ACTIVO",H102)))</formula>
    </cfRule>
    <cfRule type="containsText" dxfId="3860" priority="5078" operator="containsText" text="BAJA">
      <formula>NOT(ISERROR(SEARCH("BAJA",H102)))</formula>
    </cfRule>
    <cfRule type="colorScale" priority="507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8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59" priority="5081" operator="containsText" text="INACTIVA">
      <formula>NOT(ISERROR(SEARCH("INACTIVA",H102)))</formula>
    </cfRule>
    <cfRule type="containsText" dxfId="3858" priority="5082" operator="containsText" text="ACTIVA">
      <formula>NOT(ISERROR(SEARCH("ACTIVA",H102)))</formula>
    </cfRule>
    <cfRule type="colorScale" priority="50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8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57" priority="5085" operator="containsText" text="INACTIVA">
      <formula>NOT(ISERROR(SEARCH("INACTIVA",H102)))</formula>
    </cfRule>
    <cfRule type="colorScale" priority="508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8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8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8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56" priority="5090" operator="containsText" text="ACTIVO">
      <formula>NOT(ISERROR(SEARCH("ACTIVO",H102)))</formula>
    </cfRule>
    <cfRule type="colorScale" priority="50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9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9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02:H108">
    <cfRule type="containsText" dxfId="3855" priority="4966" operator="containsText" text="ACTIVO">
      <formula>NOT(ISERROR(SEARCH("ACTIVO",H102)))</formula>
    </cfRule>
    <cfRule type="containsText" dxfId="3854" priority="4967" operator="containsText" text="INACTIVA">
      <formula>NOT(ISERROR(SEARCH("INACTIVA",H102)))</formula>
    </cfRule>
  </conditionalFormatting>
  <conditionalFormatting sqref="H103:H107">
    <cfRule type="containsText" dxfId="3853" priority="4944" operator="containsText" text="ACTIVO">
      <formula>NOT(ISERROR(SEARCH("ACTIVO",H103)))</formula>
    </cfRule>
    <cfRule type="containsText" dxfId="3852" priority="4945" operator="containsText" text="INACTIVA">
      <formula>NOT(ISERROR(SEARCH("INACTIVA",H103)))</formula>
    </cfRule>
    <cfRule type="containsText" dxfId="3851" priority="4946" operator="containsText" text="BAJA">
      <formula>NOT(ISERROR(SEARCH("BAJA",H103)))</formula>
    </cfRule>
    <cfRule type="containsText" dxfId="3850" priority="4947" operator="containsText" text="ACTIVO">
      <formula>NOT(ISERROR(SEARCH("ACTIVO",H103)))</formula>
    </cfRule>
    <cfRule type="containsText" dxfId="3849" priority="4948" operator="containsText" text="ACTIVO">
      <formula>NOT(ISERROR(SEARCH("ACTIVO",H103)))</formula>
    </cfRule>
    <cfRule type="containsText" dxfId="3848" priority="4949" operator="containsText" text="BAJA">
      <formula>NOT(ISERROR(SEARCH("BAJA",H103)))</formula>
    </cfRule>
    <cfRule type="containsText" dxfId="3847" priority="4950" operator="containsText" text="ACTIVO">
      <formula>NOT(ISERROR(SEARCH("ACTIVO",H103)))</formula>
    </cfRule>
    <cfRule type="containsText" dxfId="3846" priority="4951" operator="containsText" text="ACTIVO">
      <formula>NOT(ISERROR(SEARCH("ACTIVO",H103)))</formula>
    </cfRule>
    <cfRule type="containsText" dxfId="3845" priority="4952" operator="containsText" text="BAJA">
      <formula>NOT(ISERROR(SEARCH("BAJA",H103)))</formula>
    </cfRule>
    <cfRule type="containsText" dxfId="3844" priority="4953" operator="containsText" text="ACTIVO">
      <formula>NOT(ISERROR(SEARCH("ACTIVO",H103)))</formula>
    </cfRule>
    <cfRule type="containsText" dxfId="3843" priority="4954" operator="containsText" text="ACTIVO">
      <formula>NOT(ISERROR(SEARCH("ACTIVO",H103)))</formula>
    </cfRule>
    <cfRule type="containsText" dxfId="3842" priority="4955" operator="containsText" text="ACTIVO">
      <formula>NOT(ISERROR(SEARCH("ACTIVO",H103)))</formula>
    </cfRule>
    <cfRule type="containsText" dxfId="3841" priority="4956" operator="containsText" text="ACTIVO">
      <formula>NOT(ISERROR(SEARCH("ACTIVO",H103)))</formula>
    </cfRule>
    <cfRule type="containsText" dxfId="3840" priority="4957" operator="containsText" text="BAJA">
      <formula>NOT(ISERROR(SEARCH("BAJA",H103)))</formula>
    </cfRule>
    <cfRule type="containsText" dxfId="3839" priority="4958" operator="containsText" text="INACTIVA">
      <formula>NOT(ISERROR(SEARCH("INACTIVA",H103)))</formula>
    </cfRule>
    <cfRule type="containsText" dxfId="3838" priority="4959" operator="containsText" text="ACTIVO">
      <formula>NOT(ISERROR(SEARCH("ACTIVO",H103)))</formula>
    </cfRule>
    <cfRule type="containsText" dxfId="3837" priority="4960" operator="containsText" text="BAJA">
      <formula>NOT(ISERROR(SEARCH("BAJA",H103)))</formula>
    </cfRule>
    <cfRule type="containsText" dxfId="3836" priority="4961" operator="containsText" text="ACTIVO">
      <formula>NOT(ISERROR(SEARCH("ACTIVO",H103)))</formula>
    </cfRule>
    <cfRule type="containsText" dxfId="3835" priority="4962" operator="containsText" text="INACTIVA">
      <formula>NOT(ISERROR(SEARCH("INACTIVA",H103)))</formula>
    </cfRule>
    <cfRule type="containsText" dxfId="3834" priority="4963" operator="containsText" text="BAJA">
      <formula>NOT(ISERROR(SEARCH("BAJA",H103)))</formula>
    </cfRule>
    <cfRule type="containsText" dxfId="3833" priority="4964" operator="containsText" text="ACTIVA">
      <formula>NOT(ISERROR(SEARCH("ACTIVA",H103)))</formula>
    </cfRule>
    <cfRule type="containsText" dxfId="3832" priority="4965" operator="containsText" text="ACTIVO">
      <formula>NOT(ISERROR(SEARCH("ACTIVO",H103)))</formula>
    </cfRule>
  </conditionalFormatting>
  <conditionalFormatting sqref="H108 H111">
    <cfRule type="containsText" dxfId="3831" priority="4968" operator="containsText" text="BAJA">
      <formula>NOT(ISERROR(SEARCH("BAJA",H108)))</formula>
    </cfRule>
    <cfRule type="containsText" dxfId="3830" priority="4969" operator="containsText" text="ACTIVO">
      <formula>NOT(ISERROR(SEARCH("ACTIVO",H108)))</formula>
    </cfRule>
    <cfRule type="containsText" dxfId="3829" priority="4970" operator="containsText" text="ACTIVO">
      <formula>NOT(ISERROR(SEARCH("ACTIVO",H108)))</formula>
    </cfRule>
    <cfRule type="containsText" dxfId="3828" priority="4971" operator="containsText" text="BAJA">
      <formula>NOT(ISERROR(SEARCH("BAJA",H108)))</formula>
    </cfRule>
    <cfRule type="containsText" dxfId="3827" priority="4972" operator="containsText" text="ACTIVO">
      <formula>NOT(ISERROR(SEARCH("ACTIVO",H108)))</formula>
    </cfRule>
    <cfRule type="containsText" dxfId="3826" priority="4973" operator="containsText" text="ACTIVO">
      <formula>NOT(ISERROR(SEARCH("ACTIVO",H108)))</formula>
    </cfRule>
    <cfRule type="containsText" dxfId="3825" priority="4974" operator="containsText" text="BAJA">
      <formula>NOT(ISERROR(SEARCH("BAJA",H108)))</formula>
    </cfRule>
    <cfRule type="containsText" dxfId="3824" priority="4975" operator="containsText" text="ACTIVO">
      <formula>NOT(ISERROR(SEARCH("ACTIVO",H108)))</formula>
    </cfRule>
    <cfRule type="containsText" dxfId="3823" priority="4976" operator="containsText" text="ACTIVO">
      <formula>NOT(ISERROR(SEARCH("ACTIVO",H108)))</formula>
    </cfRule>
    <cfRule type="containsText" dxfId="3822" priority="4977" operator="containsText" text="ACTIVO">
      <formula>NOT(ISERROR(SEARCH("ACTIVO",H108)))</formula>
    </cfRule>
    <cfRule type="containsText" dxfId="3821" priority="4978" operator="containsText" text="ACTIVO">
      <formula>NOT(ISERROR(SEARCH("ACTIVO",H108)))</formula>
    </cfRule>
    <cfRule type="containsText" dxfId="3820" priority="4979" operator="containsText" text="BAJA">
      <formula>NOT(ISERROR(SEARCH("BAJA",H108)))</formula>
    </cfRule>
    <cfRule type="containsText" dxfId="3819" priority="4980" operator="containsText" text="INACTIVA">
      <formula>NOT(ISERROR(SEARCH("INACTIVA",H108)))</formula>
    </cfRule>
    <cfRule type="containsText" dxfId="3818" priority="4981" operator="containsText" text="ACTIVO">
      <formula>NOT(ISERROR(SEARCH("ACTIVO",H108)))</formula>
    </cfRule>
    <cfRule type="containsText" dxfId="3817" priority="4982" operator="containsText" text="BAJA">
      <formula>NOT(ISERROR(SEARCH("BAJA",H108)))</formula>
    </cfRule>
    <cfRule type="containsText" dxfId="3816" priority="4983" operator="containsText" text="ACTIVO">
      <formula>NOT(ISERROR(SEARCH("ACTIVO",H108)))</formula>
    </cfRule>
    <cfRule type="containsText" dxfId="3815" priority="4984" operator="containsText" text="INACTIVA">
      <formula>NOT(ISERROR(SEARCH("INACTIVA",H108)))</formula>
    </cfRule>
    <cfRule type="containsText" dxfId="3814" priority="4985" operator="containsText" text="BAJA">
      <formula>NOT(ISERROR(SEARCH("BAJA",H108)))</formula>
    </cfRule>
    <cfRule type="containsText" dxfId="3813" priority="4986" operator="containsText" text="ACTIVO">
      <formula>NOT(ISERROR(SEARCH("ACTIVO",H108)))</formula>
    </cfRule>
    <cfRule type="containsText" dxfId="3812" priority="4987" operator="containsText" text="BAJA">
      <formula>NOT(ISERROR(SEARCH("BAJA",H108)))</formula>
    </cfRule>
    <cfRule type="containsText" dxfId="3811" priority="4988" operator="containsText" text="ACTIVA">
      <formula>NOT(ISERROR(SEARCH("ACTIVA",H108)))</formula>
    </cfRule>
    <cfRule type="containsText" dxfId="3810" priority="4989" operator="containsText" text="INACTIVA">
      <formula>NOT(ISERROR(SEARCH("INACTIVA",H108)))</formula>
    </cfRule>
    <cfRule type="containsText" dxfId="3809" priority="4990" operator="containsText" text="ACTIVO">
      <formula>NOT(ISERROR(SEARCH("ACTIVO",H108)))</formula>
    </cfRule>
  </conditionalFormatting>
  <conditionalFormatting sqref="H109:H110">
    <cfRule type="containsText" dxfId="3808" priority="4920" operator="containsText" text="ACTIVO">
      <formula>NOT(ISERROR(SEARCH("ACTIVO",H109)))</formula>
    </cfRule>
    <cfRule type="containsText" dxfId="3807" priority="4921" operator="containsText" text="INACTIVA">
      <formula>NOT(ISERROR(SEARCH("INACTIVA",H109)))</formula>
    </cfRule>
    <cfRule type="containsText" dxfId="3806" priority="4922" operator="containsText" text="BAJA">
      <formula>NOT(ISERROR(SEARCH("BAJA",H109)))</formula>
    </cfRule>
    <cfRule type="containsText" dxfId="3805" priority="4923" operator="containsText" text="ACTIVO">
      <formula>NOT(ISERROR(SEARCH("ACTIVO",H109)))</formula>
    </cfRule>
    <cfRule type="containsText" dxfId="3804" priority="4924" operator="containsText" text="ACTIVO">
      <formula>NOT(ISERROR(SEARCH("ACTIVO",H109)))</formula>
    </cfRule>
    <cfRule type="containsText" dxfId="3803" priority="4925" operator="containsText" text="BAJA">
      <formula>NOT(ISERROR(SEARCH("BAJA",H109)))</formula>
    </cfRule>
    <cfRule type="containsText" dxfId="3802" priority="4926" operator="containsText" text="ACTIVO">
      <formula>NOT(ISERROR(SEARCH("ACTIVO",H109)))</formula>
    </cfRule>
    <cfRule type="containsText" dxfId="3801" priority="4927" operator="containsText" text="ACTIVO">
      <formula>NOT(ISERROR(SEARCH("ACTIVO",H109)))</formula>
    </cfRule>
    <cfRule type="containsText" dxfId="3800" priority="4928" operator="containsText" text="BAJA">
      <formula>NOT(ISERROR(SEARCH("BAJA",H109)))</formula>
    </cfRule>
    <cfRule type="containsText" dxfId="3799" priority="4929" operator="containsText" text="ACTIVO">
      <formula>NOT(ISERROR(SEARCH("ACTIVO",H109)))</formula>
    </cfRule>
    <cfRule type="containsText" dxfId="3798" priority="4930" operator="containsText" text="ACTIVO">
      <formula>NOT(ISERROR(SEARCH("ACTIVO",H109)))</formula>
    </cfRule>
    <cfRule type="containsText" dxfId="3797" priority="4931" operator="containsText" text="ACTIVO">
      <formula>NOT(ISERROR(SEARCH("ACTIVO",H109)))</formula>
    </cfRule>
    <cfRule type="containsText" dxfId="3796" priority="4932" operator="containsText" text="ACTIVO">
      <formula>NOT(ISERROR(SEARCH("ACTIVO",H109)))</formula>
    </cfRule>
    <cfRule type="containsText" dxfId="3795" priority="4933" operator="containsText" text="BAJA">
      <formula>NOT(ISERROR(SEARCH("BAJA",H109)))</formula>
    </cfRule>
    <cfRule type="containsText" dxfId="3794" priority="4934" operator="containsText" text="INACTIVA">
      <formula>NOT(ISERROR(SEARCH("INACTIVA",H109)))</formula>
    </cfRule>
    <cfRule type="containsText" dxfId="3793" priority="4935" operator="containsText" text="ACTIVO">
      <formula>NOT(ISERROR(SEARCH("ACTIVO",H109)))</formula>
    </cfRule>
    <cfRule type="containsText" dxfId="3792" priority="4936" operator="containsText" text="BAJA">
      <formula>NOT(ISERROR(SEARCH("BAJA",H109)))</formula>
    </cfRule>
    <cfRule type="containsText" dxfId="3791" priority="4937" operator="containsText" text="ACTIVO">
      <formula>NOT(ISERROR(SEARCH("ACTIVO",H109)))</formula>
    </cfRule>
    <cfRule type="containsText" dxfId="3790" priority="4938" operator="containsText" text="INACTIVA">
      <formula>NOT(ISERROR(SEARCH("INACTIVA",H109)))</formula>
    </cfRule>
    <cfRule type="containsText" dxfId="3789" priority="4939" operator="containsText" text="BAJA">
      <formula>NOT(ISERROR(SEARCH("BAJA",H109)))</formula>
    </cfRule>
    <cfRule type="containsText" dxfId="3788" priority="4940" operator="containsText" text="ACTIVA">
      <formula>NOT(ISERROR(SEARCH("ACTIVA",H109)))</formula>
    </cfRule>
    <cfRule type="containsText" dxfId="3787" priority="4941" operator="containsText" text="ACTIVO">
      <formula>NOT(ISERROR(SEARCH("ACTIVO",H109)))</formula>
    </cfRule>
  </conditionalFormatting>
  <conditionalFormatting sqref="H109:H111">
    <cfRule type="containsText" dxfId="3786" priority="4942" operator="containsText" text="ACTIVO">
      <formula>NOT(ISERROR(SEARCH("ACTIVO",H109)))</formula>
    </cfRule>
    <cfRule type="containsText" dxfId="3785" priority="4943" operator="containsText" text="INACTIVA">
      <formula>NOT(ISERROR(SEARCH("INACTIVA",H109)))</formula>
    </cfRule>
  </conditionalFormatting>
  <conditionalFormatting sqref="H112:H115">
    <cfRule type="containsText" dxfId="3784" priority="4896" operator="containsText" text="ACTIVO">
      <formula>NOT(ISERROR(SEARCH("ACTIVO",H112)))</formula>
    </cfRule>
    <cfRule type="containsText" dxfId="3783" priority="4897" operator="containsText" text="INACTIVA">
      <formula>NOT(ISERROR(SEARCH("INACTIVA",H112)))</formula>
    </cfRule>
    <cfRule type="containsText" dxfId="3782" priority="4898" operator="containsText" text="BAJA">
      <formula>NOT(ISERROR(SEARCH("BAJA",H112)))</formula>
    </cfRule>
    <cfRule type="containsText" dxfId="3781" priority="4899" operator="containsText" text="ACTIVO">
      <formula>NOT(ISERROR(SEARCH("ACTIVO",H112)))</formula>
    </cfRule>
    <cfRule type="containsText" dxfId="3780" priority="4900" operator="containsText" text="ACTIVO">
      <formula>NOT(ISERROR(SEARCH("ACTIVO",H112)))</formula>
    </cfRule>
    <cfRule type="containsText" dxfId="3779" priority="4901" operator="containsText" text="BAJA">
      <formula>NOT(ISERROR(SEARCH("BAJA",H112)))</formula>
    </cfRule>
    <cfRule type="containsText" dxfId="3778" priority="4902" operator="containsText" text="ACTIVO">
      <formula>NOT(ISERROR(SEARCH("ACTIVO",H112)))</formula>
    </cfRule>
    <cfRule type="containsText" dxfId="3777" priority="4903" operator="containsText" text="ACTIVO">
      <formula>NOT(ISERROR(SEARCH("ACTIVO",H112)))</formula>
    </cfRule>
    <cfRule type="containsText" dxfId="3776" priority="4904" operator="containsText" text="BAJA">
      <formula>NOT(ISERROR(SEARCH("BAJA",H112)))</formula>
    </cfRule>
    <cfRule type="containsText" dxfId="3775" priority="4905" operator="containsText" text="ACTIVO">
      <formula>NOT(ISERROR(SEARCH("ACTIVO",H112)))</formula>
    </cfRule>
    <cfRule type="containsText" dxfId="3774" priority="4906" operator="containsText" text="ACTIVO">
      <formula>NOT(ISERROR(SEARCH("ACTIVO",H112)))</formula>
    </cfRule>
    <cfRule type="containsText" dxfId="3773" priority="4907" operator="containsText" text="ACTIVO">
      <formula>NOT(ISERROR(SEARCH("ACTIVO",H112)))</formula>
    </cfRule>
    <cfRule type="containsText" dxfId="3772" priority="4908" operator="containsText" text="ACTIVO">
      <formula>NOT(ISERROR(SEARCH("ACTIVO",H112)))</formula>
    </cfRule>
    <cfRule type="containsText" dxfId="3771" priority="4909" operator="containsText" text="BAJA">
      <formula>NOT(ISERROR(SEARCH("BAJA",H112)))</formula>
    </cfRule>
    <cfRule type="containsText" dxfId="3770" priority="4910" operator="containsText" text="INACTIVA">
      <formula>NOT(ISERROR(SEARCH("INACTIVA",H112)))</formula>
    </cfRule>
    <cfRule type="containsText" dxfId="3769" priority="4911" operator="containsText" text="ACTIVO">
      <formula>NOT(ISERROR(SEARCH("ACTIVO",H112)))</formula>
    </cfRule>
    <cfRule type="containsText" dxfId="3768" priority="4912" operator="containsText" text="BAJA">
      <formula>NOT(ISERROR(SEARCH("BAJA",H112)))</formula>
    </cfRule>
    <cfRule type="containsText" dxfId="3767" priority="4913" operator="containsText" text="ACTIVO">
      <formula>NOT(ISERROR(SEARCH("ACTIVO",H112)))</formula>
    </cfRule>
    <cfRule type="containsText" dxfId="3766" priority="4914" operator="containsText" text="INACTIVA">
      <formula>NOT(ISERROR(SEARCH("INACTIVA",H112)))</formula>
    </cfRule>
    <cfRule type="containsText" dxfId="3765" priority="4915" operator="containsText" text="BAJA">
      <formula>NOT(ISERROR(SEARCH("BAJA",H112)))</formula>
    </cfRule>
    <cfRule type="containsText" dxfId="3764" priority="4916" operator="containsText" text="ACTIVA">
      <formula>NOT(ISERROR(SEARCH("ACTIVA",H112)))</formula>
    </cfRule>
    <cfRule type="containsText" dxfId="3763" priority="4917" operator="containsText" text="ACTIVO">
      <formula>NOT(ISERROR(SEARCH("ACTIVO",H112)))</formula>
    </cfRule>
  </conditionalFormatting>
  <conditionalFormatting sqref="H112:H117">
    <cfRule type="containsText" dxfId="3762" priority="4918" operator="containsText" text="ACTIVO">
      <formula>NOT(ISERROR(SEARCH("ACTIVO",H112)))</formula>
    </cfRule>
    <cfRule type="containsText" dxfId="3761" priority="4919" operator="containsText" text="INACTIVA">
      <formula>NOT(ISERROR(SEARCH("INACTIVA",H112)))</formula>
    </cfRule>
  </conditionalFormatting>
  <conditionalFormatting sqref="H116:H117">
    <cfRule type="containsText" dxfId="3760" priority="4991" operator="containsText" text="BAJA">
      <formula>NOT(ISERROR(SEARCH("BAJA",H116)))</formula>
    </cfRule>
    <cfRule type="containsText" dxfId="3759" priority="4992" operator="containsText" text="ACTIVO">
      <formula>NOT(ISERROR(SEARCH("ACTIVO",H116)))</formula>
    </cfRule>
    <cfRule type="containsText" dxfId="3758" priority="4993" operator="containsText" text="BAJA">
      <formula>NOT(ISERROR(SEARCH("BAJA",H116)))</formula>
    </cfRule>
    <cfRule type="colorScale" priority="499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9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9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57" priority="4998" operator="containsText" text="ACTIVO">
      <formula>NOT(ISERROR(SEARCH("ACTIVO",H116)))</formula>
    </cfRule>
    <cfRule type="containsText" dxfId="3756" priority="4999" operator="containsText" text="ACTIVO">
      <formula>NOT(ISERROR(SEARCH("ACTIVO",H116)))</formula>
    </cfRule>
    <cfRule type="containsText" dxfId="3755" priority="5000" operator="containsText" text="BAJA">
      <formula>NOT(ISERROR(SEARCH("BAJA",H116)))</formula>
    </cfRule>
    <cfRule type="containsText" dxfId="3754" priority="5001" operator="containsText" text="ACTIVO">
      <formula>NOT(ISERROR(SEARCH("ACTIVO",H116)))</formula>
    </cfRule>
    <cfRule type="containsText" dxfId="3753" priority="5002" operator="containsText" text="ACTIVO">
      <formula>NOT(ISERROR(SEARCH("ACTIVO",H116)))</formula>
    </cfRule>
    <cfRule type="colorScale" priority="500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0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52" priority="5005" operator="containsText" text="BAJA">
      <formula>NOT(ISERROR(SEARCH("BAJA",H116)))</formula>
    </cfRule>
    <cfRule type="containsText" dxfId="3751" priority="5006" operator="containsText" text="ACTIVO">
      <formula>NOT(ISERROR(SEARCH("ACTIVO",H116)))</formula>
    </cfRule>
    <cfRule type="containsText" dxfId="3750" priority="5007" operator="containsText" text="ACTIVO">
      <formula>NOT(ISERROR(SEARCH("ACTIVO",H116)))</formula>
    </cfRule>
    <cfRule type="containsText" dxfId="3749" priority="5008" operator="containsText" text="ACTIVO">
      <formula>NOT(ISERROR(SEARCH("ACTIVO",H116)))</formula>
    </cfRule>
    <cfRule type="containsText" dxfId="3748" priority="5009" operator="containsText" text="ACTIVO">
      <formula>NOT(ISERROR(SEARCH("ACTIVO",H116)))</formula>
    </cfRule>
    <cfRule type="containsText" dxfId="3747" priority="5010" operator="containsText" text="BAJA">
      <formula>NOT(ISERROR(SEARCH("BAJA",H116)))</formula>
    </cfRule>
    <cfRule type="containsText" dxfId="3746" priority="5011" operator="containsText" text="INACTIVA">
      <formula>NOT(ISERROR(SEARCH("INACTIVA",H116)))</formula>
    </cfRule>
    <cfRule type="colorScale" priority="501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1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45" priority="5016" operator="containsText" text="ACTIVO">
      <formula>NOT(ISERROR(SEARCH("ACTIVO",H116)))</formula>
    </cfRule>
    <cfRule type="containsText" dxfId="3744" priority="5017" operator="containsText" text="BAJA">
      <formula>NOT(ISERROR(SEARCH("BAJA",H116)))</formula>
    </cfRule>
    <cfRule type="containsText" dxfId="3743" priority="5018" operator="containsText" text="ACTIVO">
      <formula>NOT(ISERROR(SEARCH("ACTIVO",H116)))</formula>
    </cfRule>
    <cfRule type="colorScale" priority="501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2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2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2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42" priority="5023" operator="containsText" text="INACTIVA">
      <formula>NOT(ISERROR(SEARCH("INACTIVA",H116)))</formula>
    </cfRule>
    <cfRule type="containsText" dxfId="3741" priority="5024" operator="containsText" text="BAJA">
      <formula>NOT(ISERROR(SEARCH("BAJA",H116)))</formula>
    </cfRule>
    <cfRule type="containsText" dxfId="3740" priority="5025" operator="containsText" text="ACTIVO">
      <formula>NOT(ISERROR(SEARCH("ACTIVO",H116)))</formula>
    </cfRule>
    <cfRule type="containsText" dxfId="3739" priority="5026" operator="containsText" text="BAJA">
      <formula>NOT(ISERROR(SEARCH("BAJA",H116)))</formula>
    </cfRule>
    <cfRule type="colorScale" priority="502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2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38" priority="5029" operator="containsText" text="INACTIVA">
      <formula>NOT(ISERROR(SEARCH("INACTIVA",H116)))</formula>
    </cfRule>
    <cfRule type="containsText" dxfId="3737" priority="5030" operator="containsText" text="ACTIVA">
      <formula>NOT(ISERROR(SEARCH("ACTIVA",H116)))</formula>
    </cfRule>
    <cfRule type="colorScale" priority="503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3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36" priority="5033" operator="containsText" text="INACTIVA">
      <formula>NOT(ISERROR(SEARCH("INACTIVA",H116)))</formula>
    </cfRule>
    <cfRule type="colorScale" priority="50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3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3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3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35" priority="5038" operator="containsText" text="ACTIVO">
      <formula>NOT(ISERROR(SEARCH("ACTIVO",H116)))</formula>
    </cfRule>
    <cfRule type="colorScale" priority="50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4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18:H122">
    <cfRule type="containsText" dxfId="3734" priority="4874" operator="containsText" text="BAJA">
      <formula>NOT(ISERROR(SEARCH("BAJA",H118)))</formula>
    </cfRule>
    <cfRule type="containsText" dxfId="3733" priority="4875" operator="containsText" text="ACTIVO">
      <formula>NOT(ISERROR(SEARCH("ACTIVO",H118)))</formula>
    </cfRule>
    <cfRule type="containsText" dxfId="3732" priority="4876" operator="containsText" text="ACTIVO">
      <formula>NOT(ISERROR(SEARCH("ACTIVO",H118)))</formula>
    </cfRule>
    <cfRule type="containsText" dxfId="3731" priority="4877" operator="containsText" text="BAJA">
      <formula>NOT(ISERROR(SEARCH("BAJA",H118)))</formula>
    </cfRule>
    <cfRule type="containsText" dxfId="3730" priority="4878" operator="containsText" text="ACTIVO">
      <formula>NOT(ISERROR(SEARCH("ACTIVO",H118)))</formula>
    </cfRule>
    <cfRule type="containsText" dxfId="3729" priority="4879" operator="containsText" text="ACTIVO">
      <formula>NOT(ISERROR(SEARCH("ACTIVO",H118)))</formula>
    </cfRule>
    <cfRule type="containsText" dxfId="3728" priority="4880" operator="containsText" text="BAJA">
      <formula>NOT(ISERROR(SEARCH("BAJA",H118)))</formula>
    </cfRule>
    <cfRule type="containsText" dxfId="3727" priority="4881" operator="containsText" text="ACTIVO">
      <formula>NOT(ISERROR(SEARCH("ACTIVO",H118)))</formula>
    </cfRule>
    <cfRule type="containsText" dxfId="3726" priority="4882" operator="containsText" text="ACTIVO">
      <formula>NOT(ISERROR(SEARCH("ACTIVO",H118)))</formula>
    </cfRule>
    <cfRule type="containsText" dxfId="3725" priority="4883" operator="containsText" text="ACTIVO">
      <formula>NOT(ISERROR(SEARCH("ACTIVO",H118)))</formula>
    </cfRule>
    <cfRule type="containsText" dxfId="3724" priority="4884" operator="containsText" text="ACTIVO">
      <formula>NOT(ISERROR(SEARCH("ACTIVO",H118)))</formula>
    </cfRule>
    <cfRule type="containsText" dxfId="3723" priority="4885" operator="containsText" text="BAJA">
      <formula>NOT(ISERROR(SEARCH("BAJA",H118)))</formula>
    </cfRule>
    <cfRule type="containsText" dxfId="3722" priority="4886" operator="containsText" text="INACTIVA">
      <formula>NOT(ISERROR(SEARCH("INACTIVA",H118)))</formula>
    </cfRule>
    <cfRule type="containsText" dxfId="3721" priority="4887" operator="containsText" text="ACTIVO">
      <formula>NOT(ISERROR(SEARCH("ACTIVO",H118)))</formula>
    </cfRule>
    <cfRule type="containsText" dxfId="3720" priority="4888" operator="containsText" text="BAJA">
      <formula>NOT(ISERROR(SEARCH("BAJA",H118)))</formula>
    </cfRule>
    <cfRule type="containsText" dxfId="3719" priority="4889" operator="containsText" text="ACTIVO">
      <formula>NOT(ISERROR(SEARCH("ACTIVO",H118)))</formula>
    </cfRule>
    <cfRule type="containsText" dxfId="3718" priority="4890" operator="containsText" text="INACTIVA">
      <formula>NOT(ISERROR(SEARCH("INACTIVA",H118)))</formula>
    </cfRule>
    <cfRule type="containsText" dxfId="3717" priority="4891" operator="containsText" text="BAJA">
      <formula>NOT(ISERROR(SEARCH("BAJA",H118)))</formula>
    </cfRule>
    <cfRule type="containsText" dxfId="3716" priority="4892" operator="containsText" text="ACTIVA">
      <formula>NOT(ISERROR(SEARCH("ACTIVA",H118)))</formula>
    </cfRule>
    <cfRule type="containsText" dxfId="3715" priority="4893" operator="containsText" text="ACTIVO">
      <formula>NOT(ISERROR(SEARCH("ACTIVO",H118)))</formula>
    </cfRule>
    <cfRule type="containsText" dxfId="3714" priority="4894" operator="containsText" text="ACTIVO">
      <formula>NOT(ISERROR(SEARCH("ACTIVO",H118)))</formula>
    </cfRule>
    <cfRule type="containsText" dxfId="3713" priority="4895" operator="containsText" text="INACTIVA">
      <formula>NOT(ISERROR(SEARCH("INACTIVA",H118)))</formula>
    </cfRule>
  </conditionalFormatting>
  <conditionalFormatting sqref="H118:H124">
    <cfRule type="containsText" dxfId="3712" priority="1263" operator="containsText" text="ACTIVO">
      <formula>NOT(ISERROR(SEARCH("ACTIVO",H118)))</formula>
    </cfRule>
    <cfRule type="containsText" dxfId="3711" priority="1266" operator="containsText" text="INACTIVA">
      <formula>NOT(ISERROR(SEARCH("INACTIVA",H118)))</formula>
    </cfRule>
  </conditionalFormatting>
  <conditionalFormatting sqref="H123">
    <cfRule type="containsText" dxfId="3710" priority="1243" operator="containsText" text="ACTIVO">
      <formula>NOT(ISERROR(SEARCH("ACTIVO",H123)))</formula>
    </cfRule>
    <cfRule type="containsText" dxfId="3709" priority="1244" operator="containsText" text="INACTIVA">
      <formula>NOT(ISERROR(SEARCH("INACTIVA",H123)))</formula>
    </cfRule>
    <cfRule type="containsText" dxfId="3708" priority="1245" operator="containsText" text="BAJA">
      <formula>NOT(ISERROR(SEARCH("BAJA",H123)))</formula>
    </cfRule>
    <cfRule type="containsText" dxfId="3707" priority="1246" operator="containsText" text="ACTIVO">
      <formula>NOT(ISERROR(SEARCH("ACTIVO",H123)))</formula>
    </cfRule>
    <cfRule type="containsText" dxfId="3706" priority="1247" operator="containsText" text="ACTIVO">
      <formula>NOT(ISERROR(SEARCH("ACTIVO",H123)))</formula>
    </cfRule>
    <cfRule type="containsText" dxfId="3705" priority="1248" operator="containsText" text="BAJA">
      <formula>NOT(ISERROR(SEARCH("BAJA",H123)))</formula>
    </cfRule>
    <cfRule type="containsText" dxfId="3704" priority="1249" operator="containsText" text="ACTIVO">
      <formula>NOT(ISERROR(SEARCH("ACTIVO",H123)))</formula>
    </cfRule>
    <cfRule type="containsText" dxfId="3703" priority="1250" operator="containsText" text="ACTIVO">
      <formula>NOT(ISERROR(SEARCH("ACTIVO",H123)))</formula>
    </cfRule>
    <cfRule type="containsText" dxfId="3702" priority="1251" operator="containsText" text="BAJA">
      <formula>NOT(ISERROR(SEARCH("BAJA",H123)))</formula>
    </cfRule>
    <cfRule type="containsText" dxfId="3701" priority="1252" operator="containsText" text="ACTIVO">
      <formula>NOT(ISERROR(SEARCH("ACTIVO",H123)))</formula>
    </cfRule>
    <cfRule type="containsText" dxfId="3700" priority="1253" operator="containsText" text="ACTIVO">
      <formula>NOT(ISERROR(SEARCH("ACTIVO",H123)))</formula>
    </cfRule>
    <cfRule type="containsText" dxfId="3699" priority="1254" operator="containsText" text="ACTIVO">
      <formula>NOT(ISERROR(SEARCH("ACTIVO",H123)))</formula>
    </cfRule>
    <cfRule type="containsText" dxfId="3698" priority="1255" operator="containsText" text="ACTIVO">
      <formula>NOT(ISERROR(SEARCH("ACTIVO",H123)))</formula>
    </cfRule>
    <cfRule type="containsText" dxfId="3697" priority="1256" operator="containsText" text="BAJA">
      <formula>NOT(ISERROR(SEARCH("BAJA",H123)))</formula>
    </cfRule>
    <cfRule type="containsText" dxfId="3696" priority="1257" operator="containsText" text="INACTIVA">
      <formula>NOT(ISERROR(SEARCH("INACTIVA",H123)))</formula>
    </cfRule>
    <cfRule type="containsText" dxfId="3695" priority="1258" operator="containsText" text="ACTIVO">
      <formula>NOT(ISERROR(SEARCH("ACTIVO",H123)))</formula>
    </cfRule>
    <cfRule type="containsText" dxfId="3694" priority="1259" operator="containsText" text="BAJA">
      <formula>NOT(ISERROR(SEARCH("BAJA",H123)))</formula>
    </cfRule>
    <cfRule type="containsText" dxfId="3693" priority="1260" operator="containsText" text="ACTIVO">
      <formula>NOT(ISERROR(SEARCH("ACTIVO",H123)))</formula>
    </cfRule>
    <cfRule type="containsText" dxfId="3692" priority="1261" operator="containsText" text="INACTIVA">
      <formula>NOT(ISERROR(SEARCH("INACTIVA",H123)))</formula>
    </cfRule>
    <cfRule type="containsText" dxfId="3691" priority="1262" operator="containsText" text="BAJA">
      <formula>NOT(ISERROR(SEARCH("BAJA",H123)))</formula>
    </cfRule>
    <cfRule type="containsText" dxfId="3690" priority="1264" operator="containsText" text="BAJA">
      <formula>NOT(ISERROR(SEARCH("BAJA",H123)))</formula>
    </cfRule>
    <cfRule type="containsText" dxfId="3689" priority="1265" operator="containsText" text="ACTIVA">
      <formula>NOT(ISERROR(SEARCH("ACTIVA",H123)))</formula>
    </cfRule>
    <cfRule type="containsText" dxfId="3688" priority="1267" operator="containsText" text="ACTIVO">
      <formula>NOT(ISERROR(SEARCH("ACTIVO",H123)))</formula>
    </cfRule>
  </conditionalFormatting>
  <conditionalFormatting sqref="H124">
    <cfRule type="containsText" dxfId="3687" priority="1510" operator="containsText" text="BAJA">
      <formula>NOT(ISERROR(SEARCH("BAJA",H124)))</formula>
    </cfRule>
    <cfRule type="containsText" dxfId="3686" priority="1511" operator="containsText" text="ACTIVO">
      <formula>NOT(ISERROR(SEARCH("ACTIVO",H124)))</formula>
    </cfRule>
    <cfRule type="containsText" dxfId="3685" priority="1512" operator="containsText" text="ACTIVO">
      <formula>NOT(ISERROR(SEARCH("ACTIVO",H124)))</formula>
    </cfRule>
    <cfRule type="containsText" dxfId="3684" priority="1513" operator="containsText" text="BAJA">
      <formula>NOT(ISERROR(SEARCH("BAJA",H124)))</formula>
    </cfRule>
    <cfRule type="containsText" dxfId="3683" priority="1514" operator="containsText" text="ACTIVO">
      <formula>NOT(ISERROR(SEARCH("ACTIVO",H124)))</formula>
    </cfRule>
    <cfRule type="containsText" dxfId="3682" priority="1515" operator="containsText" text="ACTIVO">
      <formula>NOT(ISERROR(SEARCH("ACTIVO",H124)))</formula>
    </cfRule>
    <cfRule type="containsText" dxfId="3681" priority="1516" operator="containsText" text="BAJA">
      <formula>NOT(ISERROR(SEARCH("BAJA",H124)))</formula>
    </cfRule>
    <cfRule type="containsText" dxfId="3680" priority="1517" operator="containsText" text="ACTIVO">
      <formula>NOT(ISERROR(SEARCH("ACTIVO",H124)))</formula>
    </cfRule>
    <cfRule type="containsText" dxfId="3679" priority="1518" operator="containsText" text="ACTIVO">
      <formula>NOT(ISERROR(SEARCH("ACTIVO",H124)))</formula>
    </cfRule>
    <cfRule type="containsText" dxfId="3678" priority="1519" operator="containsText" text="ACTIVO">
      <formula>NOT(ISERROR(SEARCH("ACTIVO",H124)))</formula>
    </cfRule>
    <cfRule type="containsText" dxfId="3677" priority="1520" operator="containsText" text="ACTIVO">
      <formula>NOT(ISERROR(SEARCH("ACTIVO",H124)))</formula>
    </cfRule>
    <cfRule type="containsText" dxfId="3676" priority="1521" operator="containsText" text="BAJA">
      <formula>NOT(ISERROR(SEARCH("BAJA",H124)))</formula>
    </cfRule>
    <cfRule type="containsText" dxfId="3675" priority="1522" operator="containsText" text="INACTIVA">
      <formula>NOT(ISERROR(SEARCH("INACTIVA",H124)))</formula>
    </cfRule>
    <cfRule type="containsText" dxfId="3674" priority="1523" operator="containsText" text="ACTIVO">
      <formula>NOT(ISERROR(SEARCH("ACTIVO",H124)))</formula>
    </cfRule>
    <cfRule type="containsText" dxfId="3673" priority="1524" operator="containsText" text="BAJA">
      <formula>NOT(ISERROR(SEARCH("BAJA",H124)))</formula>
    </cfRule>
    <cfRule type="containsText" dxfId="3672" priority="1525" operator="containsText" text="ACTIVO">
      <formula>NOT(ISERROR(SEARCH("ACTIVO",H124)))</formula>
    </cfRule>
    <cfRule type="containsText" dxfId="3671" priority="1526" operator="containsText" text="INACTIVA">
      <formula>NOT(ISERROR(SEARCH("INACTIVA",H124)))</formula>
    </cfRule>
    <cfRule type="containsText" dxfId="3670" priority="1527" operator="containsText" text="BAJA">
      <formula>NOT(ISERROR(SEARCH("BAJA",H124)))</formula>
    </cfRule>
    <cfRule type="containsText" dxfId="3669" priority="1528" operator="containsText" text="ACTIVA">
      <formula>NOT(ISERROR(SEARCH("ACTIVA",H124)))</formula>
    </cfRule>
    <cfRule type="containsText" dxfId="3668" priority="1529" operator="containsText" text="INACTIVA">
      <formula>NOT(ISERROR(SEARCH("INACTIVA",H124)))</formula>
    </cfRule>
    <cfRule type="colorScale" priority="15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53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667" priority="1532" operator="containsText" text="INACTIVA">
      <formula>NOT(ISERROR(SEARCH("INACTIVA",H124)))</formula>
    </cfRule>
    <cfRule type="containsText" dxfId="3666" priority="1533" operator="containsText" text="ACTIVO">
      <formula>NOT(ISERROR(SEARCH("ACTIVO",H124)))</formula>
    </cfRule>
    <cfRule type="colorScale" priority="15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53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665" priority="1536" operator="containsText" text="ACTIVO">
      <formula>NOT(ISERROR(SEARCH("ACTIVO",H124)))</formula>
    </cfRule>
    <cfRule type="containsText" dxfId="3664" priority="1537" operator="containsText" text="INACTIVA">
      <formula>NOT(ISERROR(SEARCH("INACTIVA",H124)))</formula>
    </cfRule>
    <cfRule type="containsText" dxfId="3663" priority="1538" operator="containsText" text="BAJA">
      <formula>NOT(ISERROR(SEARCH("BAJA",H124)))</formula>
    </cfRule>
    <cfRule type="containsText" dxfId="3662" priority="1539" operator="containsText" text="ACTIVO">
      <formula>NOT(ISERROR(SEARCH("ACTIVO",H124)))</formula>
    </cfRule>
    <cfRule type="containsText" dxfId="3661" priority="1540" operator="containsText" text="ACTIVO">
      <formula>NOT(ISERROR(SEARCH("ACTIVO",H124)))</formula>
    </cfRule>
    <cfRule type="containsText" dxfId="3660" priority="1541" operator="containsText" text="BAJA">
      <formula>NOT(ISERROR(SEARCH("BAJA",H124)))</formula>
    </cfRule>
    <cfRule type="containsText" dxfId="3659" priority="1542" operator="containsText" text="ACTIVO">
      <formula>NOT(ISERROR(SEARCH("ACTIVO",H124)))</formula>
    </cfRule>
    <cfRule type="containsText" dxfId="3658" priority="1543" operator="containsText" text="ACTIVO">
      <formula>NOT(ISERROR(SEARCH("ACTIVO",H124)))</formula>
    </cfRule>
    <cfRule type="containsText" dxfId="3657" priority="1544" operator="containsText" text="BAJA">
      <formula>NOT(ISERROR(SEARCH("BAJA",H124)))</formula>
    </cfRule>
    <cfRule type="containsText" dxfId="3656" priority="1545" operator="containsText" text="ACTIVO">
      <formula>NOT(ISERROR(SEARCH("ACTIVO",H124)))</formula>
    </cfRule>
    <cfRule type="containsText" dxfId="3655" priority="1546" operator="containsText" text="ACTIVO">
      <formula>NOT(ISERROR(SEARCH("ACTIVO",H124)))</formula>
    </cfRule>
    <cfRule type="containsText" dxfId="3654" priority="1547" operator="containsText" text="ACTIVO">
      <formula>NOT(ISERROR(SEARCH("ACTIVO",H124)))</formula>
    </cfRule>
    <cfRule type="containsText" dxfId="3653" priority="1548" operator="containsText" text="ACTIVO">
      <formula>NOT(ISERROR(SEARCH("ACTIVO",H124)))</formula>
    </cfRule>
    <cfRule type="containsText" dxfId="3652" priority="1549" operator="containsText" text="BAJA">
      <formula>NOT(ISERROR(SEARCH("BAJA",H124)))</formula>
    </cfRule>
    <cfRule type="containsText" dxfId="3651" priority="1550" operator="containsText" text="INACTIVA">
      <formula>NOT(ISERROR(SEARCH("INACTIVA",H124)))</formula>
    </cfRule>
    <cfRule type="containsText" dxfId="3650" priority="1551" operator="containsText" text="ACTIVO">
      <formula>NOT(ISERROR(SEARCH("ACTIVO",H124)))</formula>
    </cfRule>
    <cfRule type="containsText" dxfId="3649" priority="1552" operator="containsText" text="BAJA">
      <formula>NOT(ISERROR(SEARCH("BAJA",H124)))</formula>
    </cfRule>
    <cfRule type="containsText" dxfId="3648" priority="1553" operator="containsText" text="ACTIVO">
      <formula>NOT(ISERROR(SEARCH("ACTIVO",H124)))</formula>
    </cfRule>
    <cfRule type="containsText" dxfId="3647" priority="1554" operator="containsText" text="INACTIVA">
      <formula>NOT(ISERROR(SEARCH("INACTIVA",H124)))</formula>
    </cfRule>
    <cfRule type="containsText" dxfId="3646" priority="1555" operator="containsText" text="BAJA">
      <formula>NOT(ISERROR(SEARCH("BAJA",H124)))</formula>
    </cfRule>
    <cfRule type="containsText" dxfId="3645" priority="1556" operator="containsText" text="ACTIVO">
      <formula>NOT(ISERROR(SEARCH("ACTIVO",H124)))</formula>
    </cfRule>
    <cfRule type="containsText" dxfId="3644" priority="1557" operator="containsText" text="BAJA">
      <formula>NOT(ISERROR(SEARCH("BAJA",H124)))</formula>
    </cfRule>
    <cfRule type="containsText" dxfId="3643" priority="1558" operator="containsText" text="ACTIVA">
      <formula>NOT(ISERROR(SEARCH("ACTIVA",H124)))</formula>
    </cfRule>
    <cfRule type="containsText" dxfId="3642" priority="1559" operator="containsText" text="INACTIVA">
      <formula>NOT(ISERROR(SEARCH("INACTIVA",H124)))</formula>
    </cfRule>
    <cfRule type="containsText" dxfId="3641" priority="1560" operator="containsText" text="ACTIVO">
      <formula>NOT(ISERROR(SEARCH("ACTIVO",H124)))</formula>
    </cfRule>
  </conditionalFormatting>
  <conditionalFormatting sqref="H125:H129">
    <cfRule type="containsText" dxfId="3640" priority="4620" operator="containsText" text="BAJA">
      <formula>NOT(ISERROR(SEARCH("BAJA",H125)))</formula>
    </cfRule>
    <cfRule type="containsText" dxfId="3639" priority="4621" operator="containsText" text="ACTIVO">
      <formula>NOT(ISERROR(SEARCH("ACTIVO",H125)))</formula>
    </cfRule>
    <cfRule type="containsText" dxfId="3638" priority="4622" operator="containsText" text="ACTIVO">
      <formula>NOT(ISERROR(SEARCH("ACTIVO",H125)))</formula>
    </cfRule>
    <cfRule type="containsText" dxfId="3637" priority="4623" operator="containsText" text="BAJA">
      <formula>NOT(ISERROR(SEARCH("BAJA",H125)))</formula>
    </cfRule>
    <cfRule type="containsText" dxfId="3636" priority="4624" operator="containsText" text="ACTIVO">
      <formula>NOT(ISERROR(SEARCH("ACTIVO",H125)))</formula>
    </cfRule>
    <cfRule type="containsText" dxfId="3635" priority="4625" operator="containsText" text="ACTIVO">
      <formula>NOT(ISERROR(SEARCH("ACTIVO",H125)))</formula>
    </cfRule>
    <cfRule type="containsText" dxfId="3634" priority="4626" operator="containsText" text="BAJA">
      <formula>NOT(ISERROR(SEARCH("BAJA",H125)))</formula>
    </cfRule>
    <cfRule type="containsText" dxfId="3633" priority="4627" operator="containsText" text="ACTIVO">
      <formula>NOT(ISERROR(SEARCH("ACTIVO",H125)))</formula>
    </cfRule>
    <cfRule type="containsText" dxfId="3632" priority="4628" operator="containsText" text="ACTIVO">
      <formula>NOT(ISERROR(SEARCH("ACTIVO",H125)))</formula>
    </cfRule>
    <cfRule type="containsText" dxfId="3631" priority="4629" operator="containsText" text="ACTIVO">
      <formula>NOT(ISERROR(SEARCH("ACTIVO",H125)))</formula>
    </cfRule>
    <cfRule type="containsText" dxfId="3630" priority="4630" operator="containsText" text="ACTIVO">
      <formula>NOT(ISERROR(SEARCH("ACTIVO",H125)))</formula>
    </cfRule>
    <cfRule type="containsText" dxfId="3629" priority="4631" operator="containsText" text="BAJA">
      <formula>NOT(ISERROR(SEARCH("BAJA",H125)))</formula>
    </cfRule>
    <cfRule type="containsText" dxfId="3628" priority="4632" operator="containsText" text="INACTIVA">
      <formula>NOT(ISERROR(SEARCH("INACTIVA",H125)))</formula>
    </cfRule>
    <cfRule type="containsText" dxfId="3627" priority="4633" operator="containsText" text="ACTIVO">
      <formula>NOT(ISERROR(SEARCH("ACTIVO",H125)))</formula>
    </cfRule>
    <cfRule type="containsText" dxfId="3626" priority="4634" operator="containsText" text="BAJA">
      <formula>NOT(ISERROR(SEARCH("BAJA",H125)))</formula>
    </cfRule>
    <cfRule type="containsText" dxfId="3625" priority="4635" operator="containsText" text="ACTIVO">
      <formula>NOT(ISERROR(SEARCH("ACTIVO",H125)))</formula>
    </cfRule>
    <cfRule type="containsText" dxfId="3624" priority="4636" operator="containsText" text="INACTIVA">
      <formula>NOT(ISERROR(SEARCH("INACTIVA",H125)))</formula>
    </cfRule>
    <cfRule type="containsText" dxfId="3623" priority="4637" operator="containsText" text="BAJA">
      <formula>NOT(ISERROR(SEARCH("BAJA",H125)))</formula>
    </cfRule>
    <cfRule type="containsText" dxfId="3622" priority="4638" operator="containsText" text="ACTIVA">
      <formula>NOT(ISERROR(SEARCH("ACTIVA",H125)))</formula>
    </cfRule>
    <cfRule type="containsText" dxfId="3621" priority="4639" operator="containsText" text="ACTIVO">
      <formula>NOT(ISERROR(SEARCH("ACTIVO",H125)))</formula>
    </cfRule>
    <cfRule type="containsText" dxfId="3620" priority="4640" operator="containsText" text="ACTIVO">
      <formula>NOT(ISERROR(SEARCH("ACTIVO",H125)))</formula>
    </cfRule>
    <cfRule type="containsText" dxfId="3619" priority="4641" operator="containsText" text="INACTIVA">
      <formula>NOT(ISERROR(SEARCH("INACTIVA",H125)))</formula>
    </cfRule>
  </conditionalFormatting>
  <conditionalFormatting sqref="H125:H135">
    <cfRule type="containsText" dxfId="3618" priority="2209" operator="containsText" text="ACTIVO">
      <formula>NOT(ISERROR(SEARCH("ACTIVO",H125)))</formula>
    </cfRule>
    <cfRule type="containsText" dxfId="3617" priority="2210" operator="containsText" text="INACTIVA">
      <formula>NOT(ISERROR(SEARCH("INACTIVA",H125)))</formula>
    </cfRule>
  </conditionalFormatting>
  <conditionalFormatting sqref="H130:H134">
    <cfRule type="containsText" dxfId="3616" priority="2187" operator="containsText" text="ACTIVO">
      <formula>NOT(ISERROR(SEARCH("ACTIVO",H130)))</formula>
    </cfRule>
    <cfRule type="containsText" dxfId="3615" priority="2188" operator="containsText" text="INACTIVA">
      <formula>NOT(ISERROR(SEARCH("INACTIVA",H130)))</formula>
    </cfRule>
    <cfRule type="containsText" dxfId="3614" priority="2189" operator="containsText" text="BAJA">
      <formula>NOT(ISERROR(SEARCH("BAJA",H130)))</formula>
    </cfRule>
    <cfRule type="containsText" dxfId="3613" priority="2190" operator="containsText" text="ACTIVO">
      <formula>NOT(ISERROR(SEARCH("ACTIVO",H130)))</formula>
    </cfRule>
    <cfRule type="containsText" dxfId="3612" priority="2191" operator="containsText" text="ACTIVO">
      <formula>NOT(ISERROR(SEARCH("ACTIVO",H130)))</formula>
    </cfRule>
    <cfRule type="containsText" dxfId="3611" priority="2192" operator="containsText" text="BAJA">
      <formula>NOT(ISERROR(SEARCH("BAJA",H130)))</formula>
    </cfRule>
    <cfRule type="containsText" dxfId="3610" priority="2193" operator="containsText" text="ACTIVO">
      <formula>NOT(ISERROR(SEARCH("ACTIVO",H130)))</formula>
    </cfRule>
    <cfRule type="containsText" dxfId="3609" priority="2194" operator="containsText" text="ACTIVO">
      <formula>NOT(ISERROR(SEARCH("ACTIVO",H130)))</formula>
    </cfRule>
    <cfRule type="containsText" dxfId="3608" priority="2195" operator="containsText" text="BAJA">
      <formula>NOT(ISERROR(SEARCH("BAJA",H130)))</formula>
    </cfRule>
    <cfRule type="containsText" dxfId="3607" priority="2196" operator="containsText" text="ACTIVO">
      <formula>NOT(ISERROR(SEARCH("ACTIVO",H130)))</formula>
    </cfRule>
    <cfRule type="containsText" dxfId="3606" priority="2197" operator="containsText" text="ACTIVO">
      <formula>NOT(ISERROR(SEARCH("ACTIVO",H130)))</formula>
    </cfRule>
    <cfRule type="containsText" dxfId="3605" priority="2198" operator="containsText" text="ACTIVO">
      <formula>NOT(ISERROR(SEARCH("ACTIVO",H130)))</formula>
    </cfRule>
    <cfRule type="containsText" dxfId="3604" priority="2199" operator="containsText" text="ACTIVO">
      <formula>NOT(ISERROR(SEARCH("ACTIVO",H130)))</formula>
    </cfRule>
    <cfRule type="containsText" dxfId="3603" priority="2200" operator="containsText" text="BAJA">
      <formula>NOT(ISERROR(SEARCH("BAJA",H130)))</formula>
    </cfRule>
    <cfRule type="containsText" dxfId="3602" priority="2201" operator="containsText" text="INACTIVA">
      <formula>NOT(ISERROR(SEARCH("INACTIVA",H130)))</formula>
    </cfRule>
    <cfRule type="containsText" dxfId="3601" priority="2202" operator="containsText" text="ACTIVO">
      <formula>NOT(ISERROR(SEARCH("ACTIVO",H130)))</formula>
    </cfRule>
    <cfRule type="containsText" dxfId="3600" priority="2203" operator="containsText" text="BAJA">
      <formula>NOT(ISERROR(SEARCH("BAJA",H130)))</formula>
    </cfRule>
    <cfRule type="containsText" dxfId="3599" priority="2204" operator="containsText" text="ACTIVO">
      <formula>NOT(ISERROR(SEARCH("ACTIVO",H130)))</formula>
    </cfRule>
    <cfRule type="containsText" dxfId="3598" priority="2205" operator="containsText" text="INACTIVA">
      <formula>NOT(ISERROR(SEARCH("INACTIVA",H130)))</formula>
    </cfRule>
    <cfRule type="containsText" dxfId="3597" priority="2206" operator="containsText" text="BAJA">
      <formula>NOT(ISERROR(SEARCH("BAJA",H130)))</formula>
    </cfRule>
    <cfRule type="containsText" dxfId="3596" priority="2207" operator="containsText" text="ACTIVA">
      <formula>NOT(ISERROR(SEARCH("ACTIVA",H130)))</formula>
    </cfRule>
    <cfRule type="containsText" dxfId="3595" priority="2208" operator="containsText" text="ACTIVO">
      <formula>NOT(ISERROR(SEARCH("ACTIVO",H130)))</formula>
    </cfRule>
  </conditionalFormatting>
  <conditionalFormatting sqref="H135">
    <cfRule type="containsText" dxfId="3594" priority="2525" operator="containsText" text="BAJA">
      <formula>NOT(ISERROR(SEARCH("BAJA",H135)))</formula>
    </cfRule>
    <cfRule type="containsText" dxfId="3593" priority="2526" operator="containsText" text="ACTIVO">
      <formula>NOT(ISERROR(SEARCH("ACTIVO",H135)))</formula>
    </cfRule>
    <cfRule type="containsText" dxfId="3592" priority="2527" operator="containsText" text="ACTIVO">
      <formula>NOT(ISERROR(SEARCH("ACTIVO",H135)))</formula>
    </cfRule>
    <cfRule type="containsText" dxfId="3591" priority="2528" operator="containsText" text="BAJA">
      <formula>NOT(ISERROR(SEARCH("BAJA",H135)))</formula>
    </cfRule>
    <cfRule type="containsText" dxfId="3590" priority="2529" operator="containsText" text="ACTIVO">
      <formula>NOT(ISERROR(SEARCH("ACTIVO",H135)))</formula>
    </cfRule>
    <cfRule type="containsText" dxfId="3589" priority="2530" operator="containsText" text="ACTIVO">
      <formula>NOT(ISERROR(SEARCH("ACTIVO",H135)))</formula>
    </cfRule>
    <cfRule type="containsText" dxfId="3588" priority="2531" operator="containsText" text="BAJA">
      <formula>NOT(ISERROR(SEARCH("BAJA",H135)))</formula>
    </cfRule>
    <cfRule type="containsText" dxfId="3587" priority="2532" operator="containsText" text="ACTIVO">
      <formula>NOT(ISERROR(SEARCH("ACTIVO",H135)))</formula>
    </cfRule>
    <cfRule type="containsText" dxfId="3586" priority="2533" operator="containsText" text="ACTIVO">
      <formula>NOT(ISERROR(SEARCH("ACTIVO",H135)))</formula>
    </cfRule>
    <cfRule type="containsText" dxfId="3585" priority="2534" operator="containsText" text="ACTIVO">
      <formula>NOT(ISERROR(SEARCH("ACTIVO",H135)))</formula>
    </cfRule>
    <cfRule type="containsText" dxfId="3584" priority="2535" operator="containsText" text="ACTIVO">
      <formula>NOT(ISERROR(SEARCH("ACTIVO",H135)))</formula>
    </cfRule>
    <cfRule type="containsText" dxfId="3583" priority="2536" operator="containsText" text="BAJA">
      <formula>NOT(ISERROR(SEARCH("BAJA",H135)))</formula>
    </cfRule>
    <cfRule type="containsText" dxfId="3582" priority="2537" operator="containsText" text="INACTIVA">
      <formula>NOT(ISERROR(SEARCH("INACTIVA",H135)))</formula>
    </cfRule>
    <cfRule type="containsText" dxfId="3581" priority="2538" operator="containsText" text="ACTIVO">
      <formula>NOT(ISERROR(SEARCH("ACTIVO",H135)))</formula>
    </cfRule>
    <cfRule type="containsText" dxfId="3580" priority="2539" operator="containsText" text="BAJA">
      <formula>NOT(ISERROR(SEARCH("BAJA",H135)))</formula>
    </cfRule>
    <cfRule type="containsText" dxfId="3579" priority="2540" operator="containsText" text="ACTIVO">
      <formula>NOT(ISERROR(SEARCH("ACTIVO",H135)))</formula>
    </cfRule>
    <cfRule type="containsText" dxfId="3578" priority="2541" operator="containsText" text="INACTIVA">
      <formula>NOT(ISERROR(SEARCH("INACTIVA",H135)))</formula>
    </cfRule>
    <cfRule type="containsText" dxfId="3577" priority="2542" operator="containsText" text="BAJA">
      <formula>NOT(ISERROR(SEARCH("BAJA",H135)))</formula>
    </cfRule>
    <cfRule type="containsText" dxfId="3576" priority="2543" operator="containsText" text="ACTIVA">
      <formula>NOT(ISERROR(SEARCH("ACTIVA",H135)))</formula>
    </cfRule>
    <cfRule type="containsText" dxfId="3575" priority="2544" operator="containsText" text="ACTIVO">
      <formula>NOT(ISERROR(SEARCH("ACTIVO",H135)))</formula>
    </cfRule>
  </conditionalFormatting>
  <conditionalFormatting sqref="H135:H138">
    <cfRule type="containsText" dxfId="3574" priority="2545" operator="containsText" text="ACTIVO">
      <formula>NOT(ISERROR(SEARCH("ACTIVO",H135)))</formula>
    </cfRule>
    <cfRule type="containsText" dxfId="3573" priority="2546" operator="containsText" text="INACTIVA">
      <formula>NOT(ISERROR(SEARCH("INACTIVA",H135)))</formula>
    </cfRule>
  </conditionalFormatting>
  <conditionalFormatting sqref="H136:H138">
    <cfRule type="containsText" dxfId="3572" priority="2166" operator="containsText" text="ACTIVO">
      <formula>NOT(ISERROR(SEARCH("ACTIVO",H136)))</formula>
    </cfRule>
    <cfRule type="containsText" dxfId="3571" priority="2167" operator="containsText" text="ACTIVO">
      <formula>NOT(ISERROR(SEARCH("ACTIVO",H136)))</formula>
    </cfRule>
    <cfRule type="containsText" dxfId="3570" priority="2168" operator="containsText" text="BAJA">
      <formula>NOT(ISERROR(SEARCH("BAJA",H136)))</formula>
    </cfRule>
    <cfRule type="containsText" dxfId="3569" priority="2169" operator="containsText" text="ACTIVO">
      <formula>NOT(ISERROR(SEARCH("ACTIVO",H136)))</formula>
    </cfRule>
    <cfRule type="containsText" dxfId="3568" priority="2170" operator="containsText" text="ACTIVO">
      <formula>NOT(ISERROR(SEARCH("ACTIVO",H136)))</formula>
    </cfRule>
    <cfRule type="containsText" dxfId="3567" priority="2171" operator="containsText" text="BAJA">
      <formula>NOT(ISERROR(SEARCH("BAJA",H136)))</formula>
    </cfRule>
    <cfRule type="containsText" dxfId="3566" priority="2172" operator="containsText" text="ACTIVO">
      <formula>NOT(ISERROR(SEARCH("ACTIVO",H136)))</formula>
    </cfRule>
    <cfRule type="containsText" dxfId="3565" priority="2173" operator="containsText" text="ACTIVO">
      <formula>NOT(ISERROR(SEARCH("ACTIVO",H136)))</formula>
    </cfRule>
    <cfRule type="containsText" dxfId="3564" priority="2174" operator="containsText" text="ACTIVO">
      <formula>NOT(ISERROR(SEARCH("ACTIVO",H136)))</formula>
    </cfRule>
    <cfRule type="containsText" dxfId="3563" priority="2175" operator="containsText" text="ACTIVO">
      <formula>NOT(ISERROR(SEARCH("ACTIVO",H136)))</formula>
    </cfRule>
    <cfRule type="containsText" dxfId="3562" priority="2176" operator="containsText" text="BAJA">
      <formula>NOT(ISERROR(SEARCH("BAJA",H136)))</formula>
    </cfRule>
    <cfRule type="containsText" dxfId="3561" priority="2177" operator="containsText" text="INACTIVA">
      <formula>NOT(ISERROR(SEARCH("INACTIVA",H136)))</formula>
    </cfRule>
    <cfRule type="containsText" dxfId="3560" priority="2178" operator="containsText" text="ACTIVO">
      <formula>NOT(ISERROR(SEARCH("ACTIVO",H136)))</formula>
    </cfRule>
    <cfRule type="containsText" dxfId="3559" priority="2179" operator="containsText" text="BAJA">
      <formula>NOT(ISERROR(SEARCH("BAJA",H136)))</formula>
    </cfRule>
    <cfRule type="containsText" dxfId="3558" priority="2180" operator="containsText" text="ACTIVO">
      <formula>NOT(ISERROR(SEARCH("ACTIVO",H136)))</formula>
    </cfRule>
    <cfRule type="containsText" dxfId="3557" priority="2181" operator="containsText" text="INACTIVA">
      <formula>NOT(ISERROR(SEARCH("INACTIVA",H136)))</formula>
    </cfRule>
    <cfRule type="containsText" dxfId="3556" priority="2182" operator="containsText" text="BAJA">
      <formula>NOT(ISERROR(SEARCH("BAJA",H136)))</formula>
    </cfRule>
    <cfRule type="containsText" dxfId="3555" priority="2183" operator="containsText" text="ACTIVA">
      <formula>NOT(ISERROR(SEARCH("ACTIVA",H136)))</formula>
    </cfRule>
    <cfRule type="containsText" dxfId="3554" priority="2184" operator="containsText" text="ACTIVO">
      <formula>NOT(ISERROR(SEARCH("ACTIVO",H136)))</formula>
    </cfRule>
    <cfRule type="containsText" dxfId="3553" priority="2185" operator="containsText" text="ACTIVO">
      <formula>NOT(ISERROR(SEARCH("ACTIVO",H136)))</formula>
    </cfRule>
    <cfRule type="containsText" dxfId="3552" priority="2186" operator="containsText" text="INACTIVA">
      <formula>NOT(ISERROR(SEARCH("INACTIVA",H136)))</formula>
    </cfRule>
  </conditionalFormatting>
  <conditionalFormatting sqref="H136:H139">
    <cfRule type="containsText" dxfId="3551" priority="749" operator="containsText" text="BAJA">
      <formula>NOT(ISERROR(SEARCH("BAJA",H136)))</formula>
    </cfRule>
  </conditionalFormatting>
  <conditionalFormatting sqref="H139">
    <cfRule type="containsText" dxfId="3550" priority="728" operator="containsText" text="ACTIVO">
      <formula>NOT(ISERROR(SEARCH("ACTIVO",H139)))</formula>
    </cfRule>
    <cfRule type="containsText" dxfId="3549" priority="729" operator="containsText" text="INACTIVA">
      <formula>NOT(ISERROR(SEARCH("INACTIVA",H139)))</formula>
    </cfRule>
    <cfRule type="containsText" dxfId="3548" priority="730" operator="containsText" text="BAJA">
      <formula>NOT(ISERROR(SEARCH("BAJA",H139)))</formula>
    </cfRule>
    <cfRule type="containsText" dxfId="3547" priority="731" operator="containsText" text="ACTIVO">
      <formula>NOT(ISERROR(SEARCH("ACTIVO",H139)))</formula>
    </cfRule>
    <cfRule type="containsText" dxfId="3546" priority="732" operator="containsText" text="ACTIVO">
      <formula>NOT(ISERROR(SEARCH("ACTIVO",H139)))</formula>
    </cfRule>
    <cfRule type="containsText" dxfId="3545" priority="733" operator="containsText" text="BAJA">
      <formula>NOT(ISERROR(SEARCH("BAJA",H139)))</formula>
    </cfRule>
    <cfRule type="containsText" dxfId="3544" priority="734" operator="containsText" text="ACTIVO">
      <formula>NOT(ISERROR(SEARCH("ACTIVO",H139)))</formula>
    </cfRule>
    <cfRule type="containsText" dxfId="3543" priority="735" operator="containsText" text="ACTIVO">
      <formula>NOT(ISERROR(SEARCH("ACTIVO",H139)))</formula>
    </cfRule>
    <cfRule type="containsText" dxfId="3542" priority="736" operator="containsText" text="BAJA">
      <formula>NOT(ISERROR(SEARCH("BAJA",H139)))</formula>
    </cfRule>
    <cfRule type="containsText" dxfId="3541" priority="737" operator="containsText" text="ACTIVO">
      <formula>NOT(ISERROR(SEARCH("ACTIVO",H139)))</formula>
    </cfRule>
    <cfRule type="containsText" dxfId="3540" priority="738" operator="containsText" text="ACTIVO">
      <formula>NOT(ISERROR(SEARCH("ACTIVO",H139)))</formula>
    </cfRule>
    <cfRule type="containsText" dxfId="3539" priority="739" operator="containsText" text="ACTIVO">
      <formula>NOT(ISERROR(SEARCH("ACTIVO",H139)))</formula>
    </cfRule>
    <cfRule type="containsText" dxfId="3538" priority="740" operator="containsText" text="ACTIVO">
      <formula>NOT(ISERROR(SEARCH("ACTIVO",H139)))</formula>
    </cfRule>
    <cfRule type="containsText" dxfId="3537" priority="741" operator="containsText" text="BAJA">
      <formula>NOT(ISERROR(SEARCH("BAJA",H139)))</formula>
    </cfRule>
    <cfRule type="containsText" dxfId="3536" priority="742" operator="containsText" text="INACTIVA">
      <formula>NOT(ISERROR(SEARCH("INACTIVA",H139)))</formula>
    </cfRule>
    <cfRule type="containsText" dxfId="3535" priority="743" operator="containsText" text="ACTIVO">
      <formula>NOT(ISERROR(SEARCH("ACTIVO",H139)))</formula>
    </cfRule>
    <cfRule type="containsText" dxfId="3534" priority="744" operator="containsText" text="BAJA">
      <formula>NOT(ISERROR(SEARCH("BAJA",H139)))</formula>
    </cfRule>
    <cfRule type="containsText" dxfId="3533" priority="745" operator="containsText" text="ACTIVO">
      <formula>NOT(ISERROR(SEARCH("ACTIVO",H139)))</formula>
    </cfRule>
    <cfRule type="containsText" dxfId="3532" priority="746" operator="containsText" text="INACTIVA">
      <formula>NOT(ISERROR(SEARCH("INACTIVA",H139)))</formula>
    </cfRule>
    <cfRule type="containsText" dxfId="3531" priority="747" operator="containsText" text="BAJA">
      <formula>NOT(ISERROR(SEARCH("BAJA",H139)))</formula>
    </cfRule>
    <cfRule type="containsText" dxfId="3530" priority="748" operator="containsText" text="ACTIVO">
      <formula>NOT(ISERROR(SEARCH("ACTIVO",H139)))</formula>
    </cfRule>
    <cfRule type="containsText" dxfId="3529" priority="750" operator="containsText" text="ACTIVA">
      <formula>NOT(ISERROR(SEARCH("ACTIVA",H139)))</formula>
    </cfRule>
    <cfRule type="containsText" dxfId="3528" priority="751" operator="containsText" text="INACTIVA">
      <formula>NOT(ISERROR(SEARCH("INACTIVA",H139)))</formula>
    </cfRule>
    <cfRule type="containsText" dxfId="3527" priority="752" operator="containsText" text="ACTIVO">
      <formula>NOT(ISERROR(SEARCH("ACTIVO",H139)))</formula>
    </cfRule>
  </conditionalFormatting>
  <conditionalFormatting sqref="H141">
    <cfRule type="containsText" dxfId="3526" priority="2480" operator="containsText" text="BAJA">
      <formula>NOT(ISERROR(SEARCH("BAJA",H141)))</formula>
    </cfRule>
    <cfRule type="containsText" dxfId="3525" priority="2481" operator="containsText" text="ACTIVO">
      <formula>NOT(ISERROR(SEARCH("ACTIVO",H141)))</formula>
    </cfRule>
    <cfRule type="containsText" dxfId="3524" priority="2482" operator="containsText" text="ACTIVO">
      <formula>NOT(ISERROR(SEARCH("ACTIVO",H141)))</formula>
    </cfRule>
    <cfRule type="containsText" dxfId="3523" priority="2483" operator="containsText" text="BAJA">
      <formula>NOT(ISERROR(SEARCH("BAJA",H141)))</formula>
    </cfRule>
    <cfRule type="containsText" dxfId="3522" priority="2484" operator="containsText" text="ACTIVO">
      <formula>NOT(ISERROR(SEARCH("ACTIVO",H141)))</formula>
    </cfRule>
    <cfRule type="containsText" dxfId="3521" priority="2485" operator="containsText" text="ACTIVO">
      <formula>NOT(ISERROR(SEARCH("ACTIVO",H141)))</formula>
    </cfRule>
    <cfRule type="containsText" dxfId="3520" priority="2486" operator="containsText" text="BAJA">
      <formula>NOT(ISERROR(SEARCH("BAJA",H141)))</formula>
    </cfRule>
    <cfRule type="containsText" dxfId="3519" priority="2487" operator="containsText" text="ACTIVO">
      <formula>NOT(ISERROR(SEARCH("ACTIVO",H141)))</formula>
    </cfRule>
    <cfRule type="containsText" dxfId="3518" priority="2488" operator="containsText" text="ACTIVO">
      <formula>NOT(ISERROR(SEARCH("ACTIVO",H141)))</formula>
    </cfRule>
    <cfRule type="containsText" dxfId="3517" priority="2489" operator="containsText" text="ACTIVO">
      <formula>NOT(ISERROR(SEARCH("ACTIVO",H141)))</formula>
    </cfRule>
    <cfRule type="containsText" dxfId="3516" priority="2490" operator="containsText" text="ACTIVO">
      <formula>NOT(ISERROR(SEARCH("ACTIVO",H141)))</formula>
    </cfRule>
    <cfRule type="containsText" dxfId="3515" priority="2491" operator="containsText" text="BAJA">
      <formula>NOT(ISERROR(SEARCH("BAJA",H141)))</formula>
    </cfRule>
    <cfRule type="containsText" dxfId="3514" priority="2492" operator="containsText" text="INACTIVA">
      <formula>NOT(ISERROR(SEARCH("INACTIVA",H141)))</formula>
    </cfRule>
    <cfRule type="containsText" dxfId="3513" priority="2493" operator="containsText" text="ACTIVO">
      <formula>NOT(ISERROR(SEARCH("ACTIVO",H141)))</formula>
    </cfRule>
    <cfRule type="containsText" dxfId="3512" priority="2494" operator="containsText" text="BAJA">
      <formula>NOT(ISERROR(SEARCH("BAJA",H141)))</formula>
    </cfRule>
    <cfRule type="containsText" dxfId="3511" priority="2495" operator="containsText" text="ACTIVO">
      <formula>NOT(ISERROR(SEARCH("ACTIVO",H141)))</formula>
    </cfRule>
    <cfRule type="containsText" dxfId="3510" priority="2496" operator="containsText" text="INACTIVA">
      <formula>NOT(ISERROR(SEARCH("INACTIVA",H141)))</formula>
    </cfRule>
    <cfRule type="containsText" dxfId="3509" priority="2497" operator="containsText" text="BAJA">
      <formula>NOT(ISERROR(SEARCH("BAJA",H141)))</formula>
    </cfRule>
    <cfRule type="containsText" dxfId="3508" priority="2498" operator="containsText" text="ACTIVA">
      <formula>NOT(ISERROR(SEARCH("ACTIVA",H141)))</formula>
    </cfRule>
    <cfRule type="containsText" dxfId="3507" priority="2499" operator="containsText" text="ACTIVO">
      <formula>NOT(ISERROR(SEARCH("ACTIVO",H141)))</formula>
    </cfRule>
    <cfRule type="containsText" dxfId="3506" priority="2500" operator="containsText" text="ACTIVO">
      <formula>NOT(ISERROR(SEARCH("ACTIVO",H141)))</formula>
    </cfRule>
    <cfRule type="containsText" dxfId="3505" priority="2501" operator="containsText" text="INACTIVA">
      <formula>NOT(ISERROR(SEARCH("INACTIVA",H141)))</formula>
    </cfRule>
  </conditionalFormatting>
  <conditionalFormatting sqref="H141:H148">
    <cfRule type="containsText" dxfId="3504" priority="1385" operator="containsText" text="ACTIVO">
      <formula>NOT(ISERROR(SEARCH("ACTIVO",H141)))</formula>
    </cfRule>
    <cfRule type="containsText" dxfId="3503" priority="1388" operator="containsText" text="INACTIVA">
      <formula>NOT(ISERROR(SEARCH("INACTIVA",H141)))</formula>
    </cfRule>
  </conditionalFormatting>
  <conditionalFormatting sqref="H142">
    <cfRule type="containsText" dxfId="3502" priority="1365" operator="containsText" text="ACTIVO">
      <formula>NOT(ISERROR(SEARCH("ACTIVO",H142)))</formula>
    </cfRule>
    <cfRule type="containsText" dxfId="3501" priority="1366" operator="containsText" text="INACTIVA">
      <formula>NOT(ISERROR(SEARCH("INACTIVA",H142)))</formula>
    </cfRule>
    <cfRule type="containsText" dxfId="3500" priority="1367" operator="containsText" text="BAJA">
      <formula>NOT(ISERROR(SEARCH("BAJA",H142)))</formula>
    </cfRule>
    <cfRule type="containsText" dxfId="3499" priority="1368" operator="containsText" text="ACTIVO">
      <formula>NOT(ISERROR(SEARCH("ACTIVO",H142)))</formula>
    </cfRule>
    <cfRule type="containsText" dxfId="3498" priority="1369" operator="containsText" text="ACTIVO">
      <formula>NOT(ISERROR(SEARCH("ACTIVO",H142)))</formula>
    </cfRule>
    <cfRule type="containsText" dxfId="3497" priority="1370" operator="containsText" text="BAJA">
      <formula>NOT(ISERROR(SEARCH("BAJA",H142)))</formula>
    </cfRule>
    <cfRule type="containsText" dxfId="3496" priority="1371" operator="containsText" text="ACTIVO">
      <formula>NOT(ISERROR(SEARCH("ACTIVO",H142)))</formula>
    </cfRule>
    <cfRule type="containsText" dxfId="3495" priority="1372" operator="containsText" text="ACTIVO">
      <formula>NOT(ISERROR(SEARCH("ACTIVO",H142)))</formula>
    </cfRule>
    <cfRule type="containsText" dxfId="3494" priority="1373" operator="containsText" text="BAJA">
      <formula>NOT(ISERROR(SEARCH("BAJA",H142)))</formula>
    </cfRule>
    <cfRule type="containsText" dxfId="3493" priority="1374" operator="containsText" text="ACTIVO">
      <formula>NOT(ISERROR(SEARCH("ACTIVO",H142)))</formula>
    </cfRule>
    <cfRule type="containsText" dxfId="3492" priority="1375" operator="containsText" text="ACTIVO">
      <formula>NOT(ISERROR(SEARCH("ACTIVO",H142)))</formula>
    </cfRule>
    <cfRule type="containsText" dxfId="3491" priority="1376" operator="containsText" text="ACTIVO">
      <formula>NOT(ISERROR(SEARCH("ACTIVO",H142)))</formula>
    </cfRule>
    <cfRule type="containsText" dxfId="3490" priority="1377" operator="containsText" text="ACTIVO">
      <formula>NOT(ISERROR(SEARCH("ACTIVO",H142)))</formula>
    </cfRule>
    <cfRule type="containsText" dxfId="3489" priority="1378" operator="containsText" text="BAJA">
      <formula>NOT(ISERROR(SEARCH("BAJA",H142)))</formula>
    </cfRule>
    <cfRule type="containsText" dxfId="3488" priority="1379" operator="containsText" text="INACTIVA">
      <formula>NOT(ISERROR(SEARCH("INACTIVA",H142)))</formula>
    </cfRule>
    <cfRule type="containsText" dxfId="3487" priority="1380" operator="containsText" text="ACTIVO">
      <formula>NOT(ISERROR(SEARCH("ACTIVO",H142)))</formula>
    </cfRule>
    <cfRule type="containsText" dxfId="3486" priority="1381" operator="containsText" text="BAJA">
      <formula>NOT(ISERROR(SEARCH("BAJA",H142)))</formula>
    </cfRule>
    <cfRule type="containsText" dxfId="3485" priority="1382" operator="containsText" text="ACTIVO">
      <formula>NOT(ISERROR(SEARCH("ACTIVO",H142)))</formula>
    </cfRule>
    <cfRule type="containsText" dxfId="3484" priority="1383" operator="containsText" text="INACTIVA">
      <formula>NOT(ISERROR(SEARCH("INACTIVA",H142)))</formula>
    </cfRule>
    <cfRule type="containsText" dxfId="3483" priority="1384" operator="containsText" text="BAJA">
      <formula>NOT(ISERROR(SEARCH("BAJA",H142)))</formula>
    </cfRule>
    <cfRule type="containsText" dxfId="3482" priority="1386" operator="containsText" text="BAJA">
      <formula>NOT(ISERROR(SEARCH("BAJA",H142)))</formula>
    </cfRule>
    <cfRule type="containsText" dxfId="3481" priority="1387" operator="containsText" text="ACTIVA">
      <formula>NOT(ISERROR(SEARCH("ACTIVA",H142)))</formula>
    </cfRule>
    <cfRule type="containsText" dxfId="3480" priority="1389" operator="containsText" text="ACTIVO">
      <formula>NOT(ISERROR(SEARCH("ACTIVO",H142)))</formula>
    </cfRule>
  </conditionalFormatting>
  <conditionalFormatting sqref="H143:H148">
    <cfRule type="containsText" dxfId="3479" priority="4598" operator="containsText" text="BAJA">
      <formula>NOT(ISERROR(SEARCH("BAJA",H143)))</formula>
    </cfRule>
    <cfRule type="containsText" dxfId="3478" priority="4599" operator="containsText" text="ACTIVO">
      <formula>NOT(ISERROR(SEARCH("ACTIVO",H143)))</formula>
    </cfRule>
    <cfRule type="containsText" dxfId="3477" priority="4600" operator="containsText" text="ACTIVO">
      <formula>NOT(ISERROR(SEARCH("ACTIVO",H143)))</formula>
    </cfRule>
    <cfRule type="containsText" dxfId="3476" priority="4601" operator="containsText" text="BAJA">
      <formula>NOT(ISERROR(SEARCH("BAJA",H143)))</formula>
    </cfRule>
    <cfRule type="containsText" dxfId="3475" priority="4602" operator="containsText" text="ACTIVO">
      <formula>NOT(ISERROR(SEARCH("ACTIVO",H143)))</formula>
    </cfRule>
    <cfRule type="containsText" dxfId="3474" priority="4603" operator="containsText" text="ACTIVO">
      <formula>NOT(ISERROR(SEARCH("ACTIVO",H143)))</formula>
    </cfRule>
    <cfRule type="containsText" dxfId="3473" priority="4604" operator="containsText" text="BAJA">
      <formula>NOT(ISERROR(SEARCH("BAJA",H143)))</formula>
    </cfRule>
    <cfRule type="containsText" dxfId="3472" priority="4605" operator="containsText" text="ACTIVO">
      <formula>NOT(ISERROR(SEARCH("ACTIVO",H143)))</formula>
    </cfRule>
    <cfRule type="containsText" dxfId="3471" priority="4606" operator="containsText" text="ACTIVO">
      <formula>NOT(ISERROR(SEARCH("ACTIVO",H143)))</formula>
    </cfRule>
    <cfRule type="containsText" dxfId="3470" priority="4607" operator="containsText" text="ACTIVO">
      <formula>NOT(ISERROR(SEARCH("ACTIVO",H143)))</formula>
    </cfRule>
    <cfRule type="containsText" dxfId="3469" priority="4608" operator="containsText" text="ACTIVO">
      <formula>NOT(ISERROR(SEARCH("ACTIVO",H143)))</formula>
    </cfRule>
    <cfRule type="containsText" dxfId="3468" priority="4609" operator="containsText" text="BAJA">
      <formula>NOT(ISERROR(SEARCH("BAJA",H143)))</formula>
    </cfRule>
    <cfRule type="containsText" dxfId="3467" priority="4610" operator="containsText" text="INACTIVA">
      <formula>NOT(ISERROR(SEARCH("INACTIVA",H143)))</formula>
    </cfRule>
    <cfRule type="containsText" dxfId="3466" priority="4611" operator="containsText" text="ACTIVO">
      <formula>NOT(ISERROR(SEARCH("ACTIVO",H143)))</formula>
    </cfRule>
    <cfRule type="containsText" dxfId="3465" priority="4612" operator="containsText" text="BAJA">
      <formula>NOT(ISERROR(SEARCH("BAJA",H143)))</formula>
    </cfRule>
    <cfRule type="containsText" dxfId="3464" priority="4613" operator="containsText" text="ACTIVO">
      <formula>NOT(ISERROR(SEARCH("ACTIVO",H143)))</formula>
    </cfRule>
    <cfRule type="containsText" dxfId="3463" priority="4614" operator="containsText" text="INACTIVA">
      <formula>NOT(ISERROR(SEARCH("INACTIVA",H143)))</formula>
    </cfRule>
    <cfRule type="containsText" dxfId="3462" priority="4615" operator="containsText" text="BAJA">
      <formula>NOT(ISERROR(SEARCH("BAJA",H143)))</formula>
    </cfRule>
    <cfRule type="containsText" dxfId="3461" priority="4616" operator="containsText" text="ACTIVA">
      <formula>NOT(ISERROR(SEARCH("ACTIVA",H143)))</formula>
    </cfRule>
    <cfRule type="containsText" dxfId="3460" priority="4617" operator="containsText" text="ACTIVO">
      <formula>NOT(ISERROR(SEARCH("ACTIVO",H143)))</formula>
    </cfRule>
  </conditionalFormatting>
  <conditionalFormatting sqref="H143:H149">
    <cfRule type="containsText" dxfId="3459" priority="4618" operator="containsText" text="ACTIVO">
      <formula>NOT(ISERROR(SEARCH("ACTIVO",H143)))</formula>
    </cfRule>
    <cfRule type="containsText" dxfId="3458" priority="4619" operator="containsText" text="INACTIVA">
      <formula>NOT(ISERROR(SEARCH("INACTIVA",H143)))</formula>
    </cfRule>
  </conditionalFormatting>
  <conditionalFormatting sqref="H149">
    <cfRule type="containsText" dxfId="3457" priority="4822" operator="containsText" text="BAJA">
      <formula>NOT(ISERROR(SEARCH("BAJA",H149)))</formula>
    </cfRule>
    <cfRule type="containsText" dxfId="3456" priority="4823" operator="containsText" text="ACTIVO">
      <formula>NOT(ISERROR(SEARCH("ACTIVO",H149)))</formula>
    </cfRule>
    <cfRule type="containsText" dxfId="3455" priority="4824" operator="containsText" text="BAJA">
      <formula>NOT(ISERROR(SEARCH("BAJA",H149)))</formula>
    </cfRule>
    <cfRule type="colorScale" priority="48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2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2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2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54" priority="4829" operator="containsText" text="ACTIVO">
      <formula>NOT(ISERROR(SEARCH("ACTIVO",H149)))</formula>
    </cfRule>
    <cfRule type="containsText" dxfId="3453" priority="4830" operator="containsText" text="ACTIVO">
      <formula>NOT(ISERROR(SEARCH("ACTIVO",H149)))</formula>
    </cfRule>
    <cfRule type="containsText" dxfId="3452" priority="4831" operator="containsText" text="BAJA">
      <formula>NOT(ISERROR(SEARCH("BAJA",H149)))</formula>
    </cfRule>
    <cfRule type="containsText" dxfId="3451" priority="4832" operator="containsText" text="ACTIVO">
      <formula>NOT(ISERROR(SEARCH("ACTIVO",H149)))</formula>
    </cfRule>
    <cfRule type="containsText" dxfId="3450" priority="4833" operator="containsText" text="ACTIVO">
      <formula>NOT(ISERROR(SEARCH("ACTIVO",H149)))</formula>
    </cfRule>
    <cfRule type="colorScale" priority="48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3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49" priority="4836" operator="containsText" text="BAJA">
      <formula>NOT(ISERROR(SEARCH("BAJA",H149)))</formula>
    </cfRule>
    <cfRule type="containsText" dxfId="3448" priority="4837" operator="containsText" text="ACTIVO">
      <formula>NOT(ISERROR(SEARCH("ACTIVO",H149)))</formula>
    </cfRule>
    <cfRule type="containsText" dxfId="3447" priority="4838" operator="containsText" text="ACTIVO">
      <formula>NOT(ISERROR(SEARCH("ACTIVO",H149)))</formula>
    </cfRule>
    <cfRule type="containsText" dxfId="3446" priority="4839" operator="containsText" text="ACTIVO">
      <formula>NOT(ISERROR(SEARCH("ACTIVO",H149)))</formula>
    </cfRule>
    <cfRule type="containsText" dxfId="3445" priority="4840" operator="containsText" text="ACTIVO">
      <formula>NOT(ISERROR(SEARCH("ACTIVO",H149)))</formula>
    </cfRule>
    <cfRule type="containsText" dxfId="3444" priority="4841" operator="containsText" text="BAJA">
      <formula>NOT(ISERROR(SEARCH("BAJA",H149)))</formula>
    </cfRule>
    <cfRule type="containsText" dxfId="3443" priority="4842" operator="containsText" text="INACTIVA">
      <formula>NOT(ISERROR(SEARCH("INACTIVA",H149)))</formula>
    </cfRule>
    <cfRule type="colorScale" priority="484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4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4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4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42" priority="4847" operator="containsText" text="ACTIVO">
      <formula>NOT(ISERROR(SEARCH("ACTIVO",H149)))</formula>
    </cfRule>
    <cfRule type="containsText" dxfId="3441" priority="4848" operator="containsText" text="BAJA">
      <formula>NOT(ISERROR(SEARCH("BAJA",H149)))</formula>
    </cfRule>
    <cfRule type="containsText" dxfId="3440" priority="4849" operator="containsText" text="ACTIVO">
      <formula>NOT(ISERROR(SEARCH("ACTIVO",H149)))</formula>
    </cfRule>
    <cfRule type="colorScale" priority="485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5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5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5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39" priority="4854" operator="containsText" text="INACTIVA">
      <formula>NOT(ISERROR(SEARCH("INACTIVA",H149)))</formula>
    </cfRule>
    <cfRule type="containsText" dxfId="3438" priority="4855" operator="containsText" text="BAJA">
      <formula>NOT(ISERROR(SEARCH("BAJA",H149)))</formula>
    </cfRule>
    <cfRule type="containsText" dxfId="3437" priority="4856" operator="containsText" text="ACTIVO">
      <formula>NOT(ISERROR(SEARCH("ACTIVO",H149)))</formula>
    </cfRule>
    <cfRule type="containsText" dxfId="3436" priority="4857" operator="containsText" text="BAJA">
      <formula>NOT(ISERROR(SEARCH("BAJA",H149)))</formula>
    </cfRule>
    <cfRule type="colorScale" priority="48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5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35" priority="4860" operator="containsText" text="INACTIVA">
      <formula>NOT(ISERROR(SEARCH("INACTIVA",H149)))</formula>
    </cfRule>
    <cfRule type="containsText" dxfId="3434" priority="4861" operator="containsText" text="ACTIVA">
      <formula>NOT(ISERROR(SEARCH("ACTIVA",H149)))</formula>
    </cfRule>
    <cfRule type="colorScale" priority="48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6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33" priority="4864" operator="containsText" text="INACTIVA">
      <formula>NOT(ISERROR(SEARCH("INACTIVA",H149)))</formula>
    </cfRule>
    <cfRule type="colorScale" priority="486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6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32" priority="4869" operator="containsText" text="ACTIVO">
      <formula>NOT(ISERROR(SEARCH("ACTIVO",H149)))</formula>
    </cfRule>
    <cfRule type="colorScale" priority="48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7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50:H152 H154:H158">
    <cfRule type="containsText" dxfId="3431" priority="579" operator="containsText" text="INACTIVA">
      <formula>NOT(ISERROR(SEARCH("INACTIVA",H150)))</formula>
    </cfRule>
  </conditionalFormatting>
  <conditionalFormatting sqref="H150:H152">
    <cfRule type="containsText" dxfId="3430" priority="4576" operator="containsText" text="BAJA">
      <formula>NOT(ISERROR(SEARCH("BAJA",H150)))</formula>
    </cfRule>
    <cfRule type="containsText" dxfId="3429" priority="4577" operator="containsText" text="ACTIVO">
      <formula>NOT(ISERROR(SEARCH("ACTIVO",H150)))</formula>
    </cfRule>
    <cfRule type="containsText" dxfId="3428" priority="4578" operator="containsText" text="ACTIVO">
      <formula>NOT(ISERROR(SEARCH("ACTIVO",H150)))</formula>
    </cfRule>
    <cfRule type="containsText" dxfId="3427" priority="4579" operator="containsText" text="BAJA">
      <formula>NOT(ISERROR(SEARCH("BAJA",H150)))</formula>
    </cfRule>
    <cfRule type="containsText" dxfId="3426" priority="4580" operator="containsText" text="ACTIVO">
      <formula>NOT(ISERROR(SEARCH("ACTIVO",H150)))</formula>
    </cfRule>
    <cfRule type="containsText" dxfId="3425" priority="4581" operator="containsText" text="ACTIVO">
      <formula>NOT(ISERROR(SEARCH("ACTIVO",H150)))</formula>
    </cfRule>
    <cfRule type="containsText" dxfId="3424" priority="4582" operator="containsText" text="BAJA">
      <formula>NOT(ISERROR(SEARCH("BAJA",H150)))</formula>
    </cfRule>
    <cfRule type="containsText" dxfId="3423" priority="4583" operator="containsText" text="ACTIVO">
      <formula>NOT(ISERROR(SEARCH("ACTIVO",H150)))</formula>
    </cfRule>
    <cfRule type="containsText" dxfId="3422" priority="4584" operator="containsText" text="ACTIVO">
      <formula>NOT(ISERROR(SEARCH("ACTIVO",H150)))</formula>
    </cfRule>
    <cfRule type="containsText" dxfId="3421" priority="4585" operator="containsText" text="ACTIVO">
      <formula>NOT(ISERROR(SEARCH("ACTIVO",H150)))</formula>
    </cfRule>
    <cfRule type="containsText" dxfId="3420" priority="4586" operator="containsText" text="ACTIVO">
      <formula>NOT(ISERROR(SEARCH("ACTIVO",H150)))</formula>
    </cfRule>
    <cfRule type="containsText" dxfId="3419" priority="4587" operator="containsText" text="BAJA">
      <formula>NOT(ISERROR(SEARCH("BAJA",H150)))</formula>
    </cfRule>
    <cfRule type="containsText" dxfId="3418" priority="4588" operator="containsText" text="INACTIVA">
      <formula>NOT(ISERROR(SEARCH("INACTIVA",H150)))</formula>
    </cfRule>
    <cfRule type="containsText" dxfId="3417" priority="4589" operator="containsText" text="ACTIVO">
      <formula>NOT(ISERROR(SEARCH("ACTIVO",H150)))</formula>
    </cfRule>
    <cfRule type="containsText" dxfId="3416" priority="4590" operator="containsText" text="BAJA">
      <formula>NOT(ISERROR(SEARCH("BAJA",H150)))</formula>
    </cfRule>
    <cfRule type="containsText" dxfId="3415" priority="4591" operator="containsText" text="ACTIVO">
      <formula>NOT(ISERROR(SEARCH("ACTIVO",H150)))</formula>
    </cfRule>
    <cfRule type="containsText" dxfId="3414" priority="4592" operator="containsText" text="INACTIVA">
      <formula>NOT(ISERROR(SEARCH("INACTIVA",H150)))</formula>
    </cfRule>
    <cfRule type="containsText" dxfId="3413" priority="4593" operator="containsText" text="BAJA">
      <formula>NOT(ISERROR(SEARCH("BAJA",H150)))</formula>
    </cfRule>
    <cfRule type="containsText" dxfId="3412" priority="4594" operator="containsText" text="ACTIVA">
      <formula>NOT(ISERROR(SEARCH("ACTIVA",H150)))</formula>
    </cfRule>
    <cfRule type="containsText" dxfId="3411" priority="4595" operator="containsText" text="ACTIVO">
      <formula>NOT(ISERROR(SEARCH("ACTIVO",H150)))</formula>
    </cfRule>
    <cfRule type="containsText" dxfId="3410" priority="4596" operator="containsText" text="ACTIVO">
      <formula>NOT(ISERROR(SEARCH("ACTIVO",H150)))</formula>
    </cfRule>
    <cfRule type="containsText" dxfId="3409" priority="4597" operator="containsText" text="INACTIVA">
      <formula>NOT(ISERROR(SEARCH("INACTIVA",H150)))</formula>
    </cfRule>
  </conditionalFormatting>
  <conditionalFormatting sqref="H150:H153">
    <cfRule type="containsText" dxfId="3408" priority="281" operator="containsText" text="ACTIVO">
      <formula>NOT(ISERROR(SEARCH("ACTIVO",H150)))</formula>
    </cfRule>
  </conditionalFormatting>
  <conditionalFormatting sqref="H153">
    <cfRule type="containsText" dxfId="3407" priority="245" operator="containsText" text="ACTIVO">
      <formula>NOT(ISERROR(SEARCH("ACTIVO",H153)))</formula>
    </cfRule>
    <cfRule type="containsText" dxfId="3406" priority="246" operator="containsText" text="INACTIVA">
      <formula>NOT(ISERROR(SEARCH("INACTIVA",H153)))</formula>
    </cfRule>
    <cfRule type="containsText" dxfId="3405" priority="247" operator="containsText" text="BAJA">
      <formula>NOT(ISERROR(SEARCH("BAJA",H153)))</formula>
    </cfRule>
    <cfRule type="containsText" dxfId="3404" priority="248" operator="containsText" text="ACTIVO">
      <formula>NOT(ISERROR(SEARCH("ACTIVO",H153)))</formula>
    </cfRule>
    <cfRule type="containsText" dxfId="3403" priority="249" operator="containsText" text="BAJA">
      <formula>NOT(ISERROR(SEARCH("BAJA",H153)))</formula>
    </cfRule>
    <cfRule type="colorScale" priority="25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5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5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5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02" priority="254" operator="containsText" text="ACTIVO">
      <formula>NOT(ISERROR(SEARCH("ACTIVO",H153)))</formula>
    </cfRule>
    <cfRule type="containsText" dxfId="3401" priority="255" operator="containsText" text="ACTIVO">
      <formula>NOT(ISERROR(SEARCH("ACTIVO",H153)))</formula>
    </cfRule>
    <cfRule type="containsText" dxfId="3400" priority="256" operator="containsText" text="BAJA">
      <formula>NOT(ISERROR(SEARCH("BAJA",H153)))</formula>
    </cfRule>
    <cfRule type="containsText" dxfId="3399" priority="257" operator="containsText" text="ACTIVO">
      <formula>NOT(ISERROR(SEARCH("ACTIVO",H153)))</formula>
    </cfRule>
    <cfRule type="containsText" dxfId="3398" priority="258" operator="containsText" text="ACTIVO">
      <formula>NOT(ISERROR(SEARCH("ACTIVO",H153)))</formula>
    </cfRule>
    <cfRule type="colorScale" priority="25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6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397" priority="261" operator="containsText" text="BAJA">
      <formula>NOT(ISERROR(SEARCH("BAJA",H153)))</formula>
    </cfRule>
    <cfRule type="containsText" dxfId="3396" priority="262" operator="containsText" text="ACTIVO">
      <formula>NOT(ISERROR(SEARCH("ACTIVO",H153)))</formula>
    </cfRule>
    <cfRule type="containsText" dxfId="3395" priority="263" operator="containsText" text="ACTIVO">
      <formula>NOT(ISERROR(SEARCH("ACTIVO",H153)))</formula>
    </cfRule>
    <cfRule type="containsText" dxfId="3394" priority="264" operator="containsText" text="ACTIVO">
      <formula>NOT(ISERROR(SEARCH("ACTIVO",H153)))</formula>
    </cfRule>
    <cfRule type="containsText" dxfId="3393" priority="265" operator="containsText" text="ACTIVO">
      <formula>NOT(ISERROR(SEARCH("ACTIVO",H153)))</formula>
    </cfRule>
    <cfRule type="containsText" dxfId="3392" priority="266" operator="containsText" text="BAJA">
      <formula>NOT(ISERROR(SEARCH("BAJA",H153)))</formula>
    </cfRule>
    <cfRule type="containsText" dxfId="3391" priority="267" operator="containsText" text="INACTIVA">
      <formula>NOT(ISERROR(SEARCH("INACTIVA",H153)))</formula>
    </cfRule>
    <cfRule type="colorScale" priority="2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6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7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390" priority="272" operator="containsText" text="ACTIVO">
      <formula>NOT(ISERROR(SEARCH("ACTIVO",H153)))</formula>
    </cfRule>
    <cfRule type="containsText" dxfId="3389" priority="273" operator="containsText" text="BAJA">
      <formula>NOT(ISERROR(SEARCH("BAJA",H153)))</formula>
    </cfRule>
    <cfRule type="containsText" dxfId="3388" priority="274" operator="containsText" text="ACTIVO">
      <formula>NOT(ISERROR(SEARCH("ACTIVO",H153)))</formula>
    </cfRule>
    <cfRule type="colorScale" priority="2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7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387" priority="279" operator="containsText" text="INACTIVA">
      <formula>NOT(ISERROR(SEARCH("INACTIVA",H153)))</formula>
    </cfRule>
    <cfRule type="containsText" dxfId="3386" priority="280" operator="containsText" text="BAJA">
      <formula>NOT(ISERROR(SEARCH("BAJA",H153)))</formula>
    </cfRule>
    <cfRule type="containsText" dxfId="3385" priority="282" operator="containsText" text="BAJA">
      <formula>NOT(ISERROR(SEARCH("BAJA",H153)))</formula>
    </cfRule>
    <cfRule type="colorScale" priority="2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8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384" priority="285" operator="containsText" text="INACTIVA">
      <formula>NOT(ISERROR(SEARCH("INACTIVA",H153)))</formula>
    </cfRule>
    <cfRule type="containsText" dxfId="3383" priority="286" operator="containsText" text="ACTIVA">
      <formula>NOT(ISERROR(SEARCH("ACTIVA",H153)))</formula>
    </cfRule>
    <cfRule type="colorScale" priority="28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8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382" priority="289" operator="containsText" text="INACTIVA">
      <formula>NOT(ISERROR(SEARCH("INACTIVA",H153)))</formula>
    </cfRule>
    <cfRule type="colorScale" priority="2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9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381" priority="294" operator="containsText" text="ACTIVO">
      <formula>NOT(ISERROR(SEARCH("ACTIVO",H153)))</formula>
    </cfRule>
    <cfRule type="colorScale" priority="29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9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54:H158">
    <cfRule type="containsText" dxfId="3380" priority="4554" operator="containsText" text="BAJA">
      <formula>NOT(ISERROR(SEARCH("BAJA",H154)))</formula>
    </cfRule>
    <cfRule type="containsText" dxfId="3379" priority="4555" operator="containsText" text="ACTIVO">
      <formula>NOT(ISERROR(SEARCH("ACTIVO",H154)))</formula>
    </cfRule>
    <cfRule type="containsText" dxfId="3378" priority="4556" operator="containsText" text="ACTIVO">
      <formula>NOT(ISERROR(SEARCH("ACTIVO",H154)))</formula>
    </cfRule>
    <cfRule type="containsText" dxfId="3377" priority="4557" operator="containsText" text="BAJA">
      <formula>NOT(ISERROR(SEARCH("BAJA",H154)))</formula>
    </cfRule>
    <cfRule type="containsText" dxfId="3376" priority="4558" operator="containsText" text="ACTIVO">
      <formula>NOT(ISERROR(SEARCH("ACTIVO",H154)))</formula>
    </cfRule>
    <cfRule type="containsText" dxfId="3375" priority="4559" operator="containsText" text="ACTIVO">
      <formula>NOT(ISERROR(SEARCH("ACTIVO",H154)))</formula>
    </cfRule>
    <cfRule type="containsText" dxfId="3374" priority="4560" operator="containsText" text="BAJA">
      <formula>NOT(ISERROR(SEARCH("BAJA",H154)))</formula>
    </cfRule>
    <cfRule type="containsText" dxfId="3373" priority="4561" operator="containsText" text="ACTIVO">
      <formula>NOT(ISERROR(SEARCH("ACTIVO",H154)))</formula>
    </cfRule>
    <cfRule type="containsText" dxfId="3372" priority="4562" operator="containsText" text="ACTIVO">
      <formula>NOT(ISERROR(SEARCH("ACTIVO",H154)))</formula>
    </cfRule>
    <cfRule type="containsText" dxfId="3371" priority="4563" operator="containsText" text="ACTIVO">
      <formula>NOT(ISERROR(SEARCH("ACTIVO",H154)))</formula>
    </cfRule>
    <cfRule type="containsText" dxfId="3370" priority="4564" operator="containsText" text="ACTIVO">
      <formula>NOT(ISERROR(SEARCH("ACTIVO",H154)))</formula>
    </cfRule>
    <cfRule type="containsText" dxfId="3369" priority="4565" operator="containsText" text="BAJA">
      <formula>NOT(ISERROR(SEARCH("BAJA",H154)))</formula>
    </cfRule>
    <cfRule type="containsText" dxfId="3368" priority="4566" operator="containsText" text="INACTIVA">
      <formula>NOT(ISERROR(SEARCH("INACTIVA",H154)))</formula>
    </cfRule>
    <cfRule type="containsText" dxfId="3367" priority="4567" operator="containsText" text="ACTIVO">
      <formula>NOT(ISERROR(SEARCH("ACTIVO",H154)))</formula>
    </cfRule>
    <cfRule type="containsText" dxfId="3366" priority="4568" operator="containsText" text="BAJA">
      <formula>NOT(ISERROR(SEARCH("BAJA",H154)))</formula>
    </cfRule>
    <cfRule type="containsText" dxfId="3365" priority="4569" operator="containsText" text="ACTIVO">
      <formula>NOT(ISERROR(SEARCH("ACTIVO",H154)))</formula>
    </cfRule>
    <cfRule type="containsText" dxfId="3364" priority="4570" operator="containsText" text="INACTIVA">
      <formula>NOT(ISERROR(SEARCH("INACTIVA",H154)))</formula>
    </cfRule>
    <cfRule type="containsText" dxfId="3363" priority="4571" operator="containsText" text="BAJA">
      <formula>NOT(ISERROR(SEARCH("BAJA",H154)))</formula>
    </cfRule>
    <cfRule type="containsText" dxfId="3362" priority="4572" operator="containsText" text="ACTIVA">
      <formula>NOT(ISERROR(SEARCH("ACTIVA",H154)))</formula>
    </cfRule>
    <cfRule type="containsText" dxfId="3361" priority="4573" operator="containsText" text="ACTIVO">
      <formula>NOT(ISERROR(SEARCH("ACTIVO",H154)))</formula>
    </cfRule>
    <cfRule type="containsText" dxfId="3360" priority="4574" operator="containsText" text="ACTIVO">
      <formula>NOT(ISERROR(SEARCH("ACTIVO",H154)))</formula>
    </cfRule>
    <cfRule type="containsText" dxfId="3359" priority="4575" operator="containsText" text="INACTIVA">
      <formula>NOT(ISERROR(SEARCH("INACTIVA",H154)))</formula>
    </cfRule>
  </conditionalFormatting>
  <conditionalFormatting sqref="H154:H159">
    <cfRule type="containsText" dxfId="3358" priority="338" operator="containsText" text="ACTIVO">
      <formula>NOT(ISERROR(SEARCH("ACTIVO",H154)))</formula>
    </cfRule>
  </conditionalFormatting>
  <conditionalFormatting sqref="H159">
    <cfRule type="containsText" dxfId="3357" priority="318" operator="containsText" text="ACTIVO">
      <formula>NOT(ISERROR(SEARCH("ACTIVO",H159)))</formula>
    </cfRule>
    <cfRule type="containsText" dxfId="3356" priority="319" operator="containsText" text="INACTIVA">
      <formula>NOT(ISERROR(SEARCH("INACTIVA",H159)))</formula>
    </cfRule>
    <cfRule type="containsText" dxfId="3355" priority="320" operator="containsText" text="BAJA">
      <formula>NOT(ISERROR(SEARCH("BAJA",H159)))</formula>
    </cfRule>
    <cfRule type="containsText" dxfId="3354" priority="321" operator="containsText" text="ACTIVO">
      <formula>NOT(ISERROR(SEARCH("ACTIVO",H159)))</formula>
    </cfRule>
    <cfRule type="containsText" dxfId="3353" priority="322" operator="containsText" text="ACTIVO">
      <formula>NOT(ISERROR(SEARCH("ACTIVO",H159)))</formula>
    </cfRule>
    <cfRule type="containsText" dxfId="3352" priority="323" operator="containsText" text="BAJA">
      <formula>NOT(ISERROR(SEARCH("BAJA",H159)))</formula>
    </cfRule>
    <cfRule type="containsText" dxfId="3351" priority="324" operator="containsText" text="ACTIVO">
      <formula>NOT(ISERROR(SEARCH("ACTIVO",H159)))</formula>
    </cfRule>
    <cfRule type="containsText" dxfId="3350" priority="325" operator="containsText" text="ACTIVO">
      <formula>NOT(ISERROR(SEARCH("ACTIVO",H159)))</formula>
    </cfRule>
    <cfRule type="containsText" dxfId="3349" priority="326" operator="containsText" text="BAJA">
      <formula>NOT(ISERROR(SEARCH("BAJA",H159)))</formula>
    </cfRule>
    <cfRule type="containsText" dxfId="3348" priority="327" operator="containsText" text="ACTIVO">
      <formula>NOT(ISERROR(SEARCH("ACTIVO",H159)))</formula>
    </cfRule>
    <cfRule type="containsText" dxfId="3347" priority="328" operator="containsText" text="ACTIVO">
      <formula>NOT(ISERROR(SEARCH("ACTIVO",H159)))</formula>
    </cfRule>
    <cfRule type="containsText" dxfId="3346" priority="329" operator="containsText" text="ACTIVO">
      <formula>NOT(ISERROR(SEARCH("ACTIVO",H159)))</formula>
    </cfRule>
    <cfRule type="containsText" dxfId="3345" priority="330" operator="containsText" text="ACTIVO">
      <formula>NOT(ISERROR(SEARCH("ACTIVO",H159)))</formula>
    </cfRule>
    <cfRule type="containsText" dxfId="3344" priority="331" operator="containsText" text="BAJA">
      <formula>NOT(ISERROR(SEARCH("BAJA",H159)))</formula>
    </cfRule>
    <cfRule type="containsText" dxfId="3343" priority="332" operator="containsText" text="INACTIVA">
      <formula>NOT(ISERROR(SEARCH("INACTIVA",H159)))</formula>
    </cfRule>
    <cfRule type="containsText" dxfId="3342" priority="333" operator="containsText" text="ACTIVO">
      <formula>NOT(ISERROR(SEARCH("ACTIVO",H159)))</formula>
    </cfRule>
    <cfRule type="containsText" dxfId="3341" priority="334" operator="containsText" text="BAJA">
      <formula>NOT(ISERROR(SEARCH("BAJA",H159)))</formula>
    </cfRule>
    <cfRule type="containsText" dxfId="3340" priority="335" operator="containsText" text="ACTIVO">
      <formula>NOT(ISERROR(SEARCH("ACTIVO",H159)))</formula>
    </cfRule>
    <cfRule type="containsText" dxfId="3339" priority="336" operator="containsText" text="INACTIVA">
      <formula>NOT(ISERROR(SEARCH("INACTIVA",H159)))</formula>
    </cfRule>
    <cfRule type="containsText" dxfId="3338" priority="337" operator="containsText" text="BAJA">
      <formula>NOT(ISERROR(SEARCH("BAJA",H159)))</formula>
    </cfRule>
    <cfRule type="containsText" dxfId="3337" priority="339" operator="containsText" text="BAJA">
      <formula>NOT(ISERROR(SEARCH("BAJA",H159)))</formula>
    </cfRule>
    <cfRule type="containsText" dxfId="3336" priority="340" operator="containsText" text="ACTIVA">
      <formula>NOT(ISERROR(SEARCH("ACTIVA",H159)))</formula>
    </cfRule>
    <cfRule type="containsText" dxfId="3335" priority="341" operator="containsText" text="INACTIVA">
      <formula>NOT(ISERROR(SEARCH("INACTIVA",H159)))</formula>
    </cfRule>
    <cfRule type="containsText" dxfId="3334" priority="342" operator="containsText" text="ACTIVO">
      <formula>NOT(ISERROR(SEARCH("ACTIVO",H159)))</formula>
    </cfRule>
  </conditionalFormatting>
  <conditionalFormatting sqref="H160:H161">
    <cfRule type="containsText" dxfId="3333" priority="4532" operator="containsText" text="BAJA">
      <formula>NOT(ISERROR(SEARCH("BAJA",H160)))</formula>
    </cfRule>
    <cfRule type="containsText" dxfId="3332" priority="4533" operator="containsText" text="ACTIVO">
      <formula>NOT(ISERROR(SEARCH("ACTIVO",H160)))</formula>
    </cfRule>
    <cfRule type="containsText" dxfId="3331" priority="4534" operator="containsText" text="ACTIVO">
      <formula>NOT(ISERROR(SEARCH("ACTIVO",H160)))</formula>
    </cfRule>
    <cfRule type="containsText" dxfId="3330" priority="4535" operator="containsText" text="BAJA">
      <formula>NOT(ISERROR(SEARCH("BAJA",H160)))</formula>
    </cfRule>
    <cfRule type="containsText" dxfId="3329" priority="4536" operator="containsText" text="ACTIVO">
      <formula>NOT(ISERROR(SEARCH("ACTIVO",H160)))</formula>
    </cfRule>
    <cfRule type="containsText" dxfId="3328" priority="4537" operator="containsText" text="ACTIVO">
      <formula>NOT(ISERROR(SEARCH("ACTIVO",H160)))</formula>
    </cfRule>
    <cfRule type="containsText" dxfId="3327" priority="4538" operator="containsText" text="BAJA">
      <formula>NOT(ISERROR(SEARCH("BAJA",H160)))</formula>
    </cfRule>
    <cfRule type="containsText" dxfId="3326" priority="4539" operator="containsText" text="ACTIVO">
      <formula>NOT(ISERROR(SEARCH("ACTIVO",H160)))</formula>
    </cfRule>
    <cfRule type="containsText" dxfId="3325" priority="4540" operator="containsText" text="ACTIVO">
      <formula>NOT(ISERROR(SEARCH("ACTIVO",H160)))</formula>
    </cfRule>
    <cfRule type="containsText" dxfId="3324" priority="4541" operator="containsText" text="ACTIVO">
      <formula>NOT(ISERROR(SEARCH("ACTIVO",H160)))</formula>
    </cfRule>
    <cfRule type="containsText" dxfId="3323" priority="4542" operator="containsText" text="ACTIVO">
      <formula>NOT(ISERROR(SEARCH("ACTIVO",H160)))</formula>
    </cfRule>
    <cfRule type="containsText" dxfId="3322" priority="4543" operator="containsText" text="BAJA">
      <formula>NOT(ISERROR(SEARCH("BAJA",H160)))</formula>
    </cfRule>
    <cfRule type="containsText" dxfId="3321" priority="4544" operator="containsText" text="INACTIVA">
      <formula>NOT(ISERROR(SEARCH("INACTIVA",H160)))</formula>
    </cfRule>
    <cfRule type="containsText" dxfId="3320" priority="4545" operator="containsText" text="ACTIVO">
      <formula>NOT(ISERROR(SEARCH("ACTIVO",H160)))</formula>
    </cfRule>
    <cfRule type="containsText" dxfId="3319" priority="4546" operator="containsText" text="BAJA">
      <formula>NOT(ISERROR(SEARCH("BAJA",H160)))</formula>
    </cfRule>
    <cfRule type="containsText" dxfId="3318" priority="4547" operator="containsText" text="ACTIVO">
      <formula>NOT(ISERROR(SEARCH("ACTIVO",H160)))</formula>
    </cfRule>
    <cfRule type="containsText" dxfId="3317" priority="4548" operator="containsText" text="INACTIVA">
      <formula>NOT(ISERROR(SEARCH("INACTIVA",H160)))</formula>
    </cfRule>
    <cfRule type="containsText" dxfId="3316" priority="4549" operator="containsText" text="BAJA">
      <formula>NOT(ISERROR(SEARCH("BAJA",H160)))</formula>
    </cfRule>
    <cfRule type="containsText" dxfId="3315" priority="4550" operator="containsText" text="ACTIVA">
      <formula>NOT(ISERROR(SEARCH("ACTIVA",H160)))</formula>
    </cfRule>
    <cfRule type="containsText" dxfId="3314" priority="4551" operator="containsText" text="ACTIVO">
      <formula>NOT(ISERROR(SEARCH("ACTIVO",H160)))</formula>
    </cfRule>
    <cfRule type="containsText" dxfId="3313" priority="4552" operator="containsText" text="ACTIVO">
      <formula>NOT(ISERROR(SEARCH("ACTIVO",H160)))</formula>
    </cfRule>
    <cfRule type="containsText" dxfId="3312" priority="4553" operator="containsText" text="INACTIVA">
      <formula>NOT(ISERROR(SEARCH("INACTIVA",H160)))</formula>
    </cfRule>
  </conditionalFormatting>
  <conditionalFormatting sqref="H160:H164">
    <cfRule type="containsText" dxfId="3311" priority="1889" operator="containsText" text="ACTIVO">
      <formula>NOT(ISERROR(SEARCH("ACTIVO",H160)))</formula>
    </cfRule>
    <cfRule type="containsText" dxfId="3310" priority="1890" operator="containsText" text="INACTIVA">
      <formula>NOT(ISERROR(SEARCH("INACTIVA",H160)))</formula>
    </cfRule>
  </conditionalFormatting>
  <conditionalFormatting sqref="H162:H164">
    <cfRule type="containsText" dxfId="3309" priority="1867" operator="containsText" text="ACTIVO">
      <formula>NOT(ISERROR(SEARCH("ACTIVO",H162)))</formula>
    </cfRule>
    <cfRule type="containsText" dxfId="3308" priority="1868" operator="containsText" text="INACTIVA">
      <formula>NOT(ISERROR(SEARCH("INACTIVA",H162)))</formula>
    </cfRule>
    <cfRule type="containsText" dxfId="3307" priority="1869" operator="containsText" text="BAJA">
      <formula>NOT(ISERROR(SEARCH("BAJA",H162)))</formula>
    </cfRule>
    <cfRule type="containsText" dxfId="3306" priority="1870" operator="containsText" text="ACTIVO">
      <formula>NOT(ISERROR(SEARCH("ACTIVO",H162)))</formula>
    </cfRule>
    <cfRule type="containsText" dxfId="3305" priority="1871" operator="containsText" text="ACTIVO">
      <formula>NOT(ISERROR(SEARCH("ACTIVO",H162)))</formula>
    </cfRule>
    <cfRule type="containsText" dxfId="3304" priority="1872" operator="containsText" text="BAJA">
      <formula>NOT(ISERROR(SEARCH("BAJA",H162)))</formula>
    </cfRule>
    <cfRule type="containsText" dxfId="3303" priority="1873" operator="containsText" text="ACTIVO">
      <formula>NOT(ISERROR(SEARCH("ACTIVO",H162)))</formula>
    </cfRule>
    <cfRule type="containsText" dxfId="3302" priority="1874" operator="containsText" text="ACTIVO">
      <formula>NOT(ISERROR(SEARCH("ACTIVO",H162)))</formula>
    </cfRule>
    <cfRule type="containsText" dxfId="3301" priority="1875" operator="containsText" text="BAJA">
      <formula>NOT(ISERROR(SEARCH("BAJA",H162)))</formula>
    </cfRule>
    <cfRule type="containsText" dxfId="3300" priority="1876" operator="containsText" text="ACTIVO">
      <formula>NOT(ISERROR(SEARCH("ACTIVO",H162)))</formula>
    </cfRule>
    <cfRule type="containsText" dxfId="3299" priority="1877" operator="containsText" text="ACTIVO">
      <formula>NOT(ISERROR(SEARCH("ACTIVO",H162)))</formula>
    </cfRule>
    <cfRule type="containsText" dxfId="3298" priority="1878" operator="containsText" text="ACTIVO">
      <formula>NOT(ISERROR(SEARCH("ACTIVO",H162)))</formula>
    </cfRule>
    <cfRule type="containsText" dxfId="3297" priority="1879" operator="containsText" text="ACTIVO">
      <formula>NOT(ISERROR(SEARCH("ACTIVO",H162)))</formula>
    </cfRule>
    <cfRule type="containsText" dxfId="3296" priority="1880" operator="containsText" text="BAJA">
      <formula>NOT(ISERROR(SEARCH("BAJA",H162)))</formula>
    </cfRule>
    <cfRule type="containsText" dxfId="3295" priority="1881" operator="containsText" text="INACTIVA">
      <formula>NOT(ISERROR(SEARCH("INACTIVA",H162)))</formula>
    </cfRule>
    <cfRule type="containsText" dxfId="3294" priority="1882" operator="containsText" text="ACTIVO">
      <formula>NOT(ISERROR(SEARCH("ACTIVO",H162)))</formula>
    </cfRule>
    <cfRule type="containsText" dxfId="3293" priority="1883" operator="containsText" text="BAJA">
      <formula>NOT(ISERROR(SEARCH("BAJA",H162)))</formula>
    </cfRule>
    <cfRule type="containsText" dxfId="3292" priority="1884" operator="containsText" text="ACTIVO">
      <formula>NOT(ISERROR(SEARCH("ACTIVO",H162)))</formula>
    </cfRule>
    <cfRule type="containsText" dxfId="3291" priority="1885" operator="containsText" text="INACTIVA">
      <formula>NOT(ISERROR(SEARCH("INACTIVA",H162)))</formula>
    </cfRule>
    <cfRule type="containsText" dxfId="3290" priority="1886" operator="containsText" text="BAJA">
      <formula>NOT(ISERROR(SEARCH("BAJA",H162)))</formula>
    </cfRule>
    <cfRule type="containsText" dxfId="3289" priority="1887" operator="containsText" text="ACTIVA">
      <formula>NOT(ISERROR(SEARCH("ACTIVA",H162)))</formula>
    </cfRule>
    <cfRule type="containsText" dxfId="3288" priority="1888" operator="containsText" text="ACTIVO">
      <formula>NOT(ISERROR(SEARCH("ACTIVO",H162)))</formula>
    </cfRule>
  </conditionalFormatting>
  <conditionalFormatting sqref="H166">
    <cfRule type="containsText" dxfId="3287" priority="4508" operator="containsText" text="ACTIVO">
      <formula>NOT(ISERROR(SEARCH("ACTIVO",H166)))</formula>
    </cfRule>
    <cfRule type="containsText" dxfId="3286" priority="4509" operator="containsText" text="INACTIVA">
      <formula>NOT(ISERROR(SEARCH("INACTIVA",H166)))</formula>
    </cfRule>
    <cfRule type="containsText" dxfId="3285" priority="4510" operator="containsText" text="BAJA">
      <formula>NOT(ISERROR(SEARCH("BAJA",H166)))</formula>
    </cfRule>
    <cfRule type="containsText" dxfId="3284" priority="4511" operator="containsText" text="ACTIVO">
      <formula>NOT(ISERROR(SEARCH("ACTIVO",H166)))</formula>
    </cfRule>
    <cfRule type="containsText" dxfId="3283" priority="4512" operator="containsText" text="ACTIVO">
      <formula>NOT(ISERROR(SEARCH("ACTIVO",H166)))</formula>
    </cfRule>
    <cfRule type="containsText" dxfId="3282" priority="4513" operator="containsText" text="BAJA">
      <formula>NOT(ISERROR(SEARCH("BAJA",H166)))</formula>
    </cfRule>
    <cfRule type="containsText" dxfId="3281" priority="4514" operator="containsText" text="ACTIVO">
      <formula>NOT(ISERROR(SEARCH("ACTIVO",H166)))</formula>
    </cfRule>
    <cfRule type="containsText" dxfId="3280" priority="4515" operator="containsText" text="ACTIVO">
      <formula>NOT(ISERROR(SEARCH("ACTIVO",H166)))</formula>
    </cfRule>
    <cfRule type="containsText" dxfId="3279" priority="4516" operator="containsText" text="BAJA">
      <formula>NOT(ISERROR(SEARCH("BAJA",H166)))</formula>
    </cfRule>
    <cfRule type="containsText" dxfId="3278" priority="4517" operator="containsText" text="ACTIVO">
      <formula>NOT(ISERROR(SEARCH("ACTIVO",H166)))</formula>
    </cfRule>
    <cfRule type="containsText" dxfId="3277" priority="4518" operator="containsText" text="ACTIVO">
      <formula>NOT(ISERROR(SEARCH("ACTIVO",H166)))</formula>
    </cfRule>
    <cfRule type="containsText" dxfId="3276" priority="4519" operator="containsText" text="ACTIVO">
      <formula>NOT(ISERROR(SEARCH("ACTIVO",H166)))</formula>
    </cfRule>
    <cfRule type="containsText" dxfId="3275" priority="4520" operator="containsText" text="ACTIVO">
      <formula>NOT(ISERROR(SEARCH("ACTIVO",H166)))</formula>
    </cfRule>
    <cfRule type="containsText" dxfId="3274" priority="4521" operator="containsText" text="BAJA">
      <formula>NOT(ISERROR(SEARCH("BAJA",H166)))</formula>
    </cfRule>
    <cfRule type="containsText" dxfId="3273" priority="4522" operator="containsText" text="INACTIVA">
      <formula>NOT(ISERROR(SEARCH("INACTIVA",H166)))</formula>
    </cfRule>
    <cfRule type="containsText" dxfId="3272" priority="4523" operator="containsText" text="ACTIVO">
      <formula>NOT(ISERROR(SEARCH("ACTIVO",H166)))</formula>
    </cfRule>
    <cfRule type="containsText" dxfId="3271" priority="4524" operator="containsText" text="BAJA">
      <formula>NOT(ISERROR(SEARCH("BAJA",H166)))</formula>
    </cfRule>
    <cfRule type="containsText" dxfId="3270" priority="4525" operator="containsText" text="ACTIVO">
      <formula>NOT(ISERROR(SEARCH("ACTIVO",H166)))</formula>
    </cfRule>
    <cfRule type="containsText" dxfId="3269" priority="4526" operator="containsText" text="INACTIVA">
      <formula>NOT(ISERROR(SEARCH("INACTIVA",H166)))</formula>
    </cfRule>
    <cfRule type="containsText" dxfId="3268" priority="4527" operator="containsText" text="BAJA">
      <formula>NOT(ISERROR(SEARCH("BAJA",H166)))</formula>
    </cfRule>
    <cfRule type="containsText" dxfId="3267" priority="4528" operator="containsText" text="ACTIVA">
      <formula>NOT(ISERROR(SEARCH("ACTIVA",H166)))</formula>
    </cfRule>
    <cfRule type="containsText" dxfId="3266" priority="4529" operator="containsText" text="ACTIVO">
      <formula>NOT(ISERROR(SEARCH("ACTIVO",H166)))</formula>
    </cfRule>
  </conditionalFormatting>
  <conditionalFormatting sqref="H166:H167">
    <cfRule type="containsText" dxfId="3265" priority="4530" operator="containsText" text="ACTIVO">
      <formula>NOT(ISERROR(SEARCH("ACTIVO",H166)))</formula>
    </cfRule>
    <cfRule type="containsText" dxfId="3264" priority="4531" operator="containsText" text="INACTIVA">
      <formula>NOT(ISERROR(SEARCH("INACTIVA",H166)))</formula>
    </cfRule>
  </conditionalFormatting>
  <conditionalFormatting sqref="H167">
    <cfRule type="containsText" dxfId="3263" priority="4770" operator="containsText" text="BAJA">
      <formula>NOT(ISERROR(SEARCH("BAJA",H167)))</formula>
    </cfRule>
    <cfRule type="containsText" dxfId="3262" priority="4771" operator="containsText" text="ACTIVO">
      <formula>NOT(ISERROR(SEARCH("ACTIVO",H167)))</formula>
    </cfRule>
    <cfRule type="containsText" dxfId="3261" priority="4772" operator="containsText" text="BAJA">
      <formula>NOT(ISERROR(SEARCH("BAJA",H167)))</formula>
    </cfRule>
    <cfRule type="colorScale" priority="47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7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7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60" priority="4777" operator="containsText" text="ACTIVO">
      <formula>NOT(ISERROR(SEARCH("ACTIVO",H167)))</formula>
    </cfRule>
    <cfRule type="containsText" dxfId="3259" priority="4778" operator="containsText" text="ACTIVO">
      <formula>NOT(ISERROR(SEARCH("ACTIVO",H167)))</formula>
    </cfRule>
    <cfRule type="containsText" dxfId="3258" priority="4779" operator="containsText" text="BAJA">
      <formula>NOT(ISERROR(SEARCH("BAJA",H167)))</formula>
    </cfRule>
    <cfRule type="containsText" dxfId="3257" priority="4780" operator="containsText" text="ACTIVO">
      <formula>NOT(ISERROR(SEARCH("ACTIVO",H167)))</formula>
    </cfRule>
    <cfRule type="containsText" dxfId="3256" priority="4781" operator="containsText" text="ACTIVO">
      <formula>NOT(ISERROR(SEARCH("ACTIVO",H167)))</formula>
    </cfRule>
    <cfRule type="colorScale" priority="47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8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55" priority="4784" operator="containsText" text="BAJA">
      <formula>NOT(ISERROR(SEARCH("BAJA",H167)))</formula>
    </cfRule>
    <cfRule type="containsText" dxfId="3254" priority="4785" operator="containsText" text="ACTIVO">
      <formula>NOT(ISERROR(SEARCH("ACTIVO",H167)))</formula>
    </cfRule>
    <cfRule type="containsText" dxfId="3253" priority="4786" operator="containsText" text="ACTIVO">
      <formula>NOT(ISERROR(SEARCH("ACTIVO",H167)))</formula>
    </cfRule>
    <cfRule type="containsText" dxfId="3252" priority="4787" operator="containsText" text="ACTIVO">
      <formula>NOT(ISERROR(SEARCH("ACTIVO",H167)))</formula>
    </cfRule>
    <cfRule type="containsText" dxfId="3251" priority="4788" operator="containsText" text="ACTIVO">
      <formula>NOT(ISERROR(SEARCH("ACTIVO",H167)))</formula>
    </cfRule>
    <cfRule type="containsText" dxfId="3250" priority="4789" operator="containsText" text="BAJA">
      <formula>NOT(ISERROR(SEARCH("BAJA",H167)))</formula>
    </cfRule>
    <cfRule type="containsText" dxfId="3249" priority="4790" operator="containsText" text="INACTIVA">
      <formula>NOT(ISERROR(SEARCH("INACTIVA",H167)))</formula>
    </cfRule>
    <cfRule type="colorScale" priority="47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9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9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48" priority="4795" operator="containsText" text="ACTIVO">
      <formula>NOT(ISERROR(SEARCH("ACTIVO",H167)))</formula>
    </cfRule>
    <cfRule type="containsText" dxfId="3247" priority="4796" operator="containsText" text="BAJA">
      <formula>NOT(ISERROR(SEARCH("BAJA",H167)))</formula>
    </cfRule>
    <cfRule type="containsText" dxfId="3246" priority="4797" operator="containsText" text="ACTIVO">
      <formula>NOT(ISERROR(SEARCH("ACTIVO",H167)))</formula>
    </cfRule>
    <cfRule type="colorScale" priority="47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9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0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0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45" priority="4802" operator="containsText" text="INACTIVA">
      <formula>NOT(ISERROR(SEARCH("INACTIVA",H167)))</formula>
    </cfRule>
    <cfRule type="containsText" dxfId="3244" priority="4803" operator="containsText" text="BAJA">
      <formula>NOT(ISERROR(SEARCH("BAJA",H167)))</formula>
    </cfRule>
    <cfRule type="containsText" dxfId="3243" priority="4804" operator="containsText" text="ACTIVO">
      <formula>NOT(ISERROR(SEARCH("ACTIVO",H167)))</formula>
    </cfRule>
    <cfRule type="containsText" dxfId="3242" priority="4805" operator="containsText" text="BAJA">
      <formula>NOT(ISERROR(SEARCH("BAJA",H167)))</formula>
    </cfRule>
    <cfRule type="colorScale" priority="480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0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41" priority="4808" operator="containsText" text="INACTIVA">
      <formula>NOT(ISERROR(SEARCH("INACTIVA",H167)))</formula>
    </cfRule>
    <cfRule type="containsText" dxfId="3240" priority="4809" operator="containsText" text="ACTIVA">
      <formula>NOT(ISERROR(SEARCH("ACTIVA",H167)))</formula>
    </cfRule>
    <cfRule type="colorScale" priority="481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1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39" priority="4812" operator="containsText" text="INACTIVA">
      <formula>NOT(ISERROR(SEARCH("INACTIVA",H167)))</formula>
    </cfRule>
    <cfRule type="colorScale" priority="48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1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38" priority="4817" operator="containsText" text="ACTIVO">
      <formula>NOT(ISERROR(SEARCH("ACTIVO",H167)))</formula>
    </cfRule>
    <cfRule type="colorScale" priority="48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1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2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2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68:H171 H173:H176">
    <cfRule type="containsText" dxfId="3237" priority="2479" operator="containsText" text="BAJA">
      <formula>NOT(ISERROR(SEARCH("BAJA",H168)))</formula>
    </cfRule>
  </conditionalFormatting>
  <conditionalFormatting sqref="H168:H171">
    <cfRule type="containsText" dxfId="3236" priority="4487" operator="containsText" text="ACTIVO">
      <formula>NOT(ISERROR(SEARCH("ACTIVO",H168)))</formula>
    </cfRule>
    <cfRule type="containsText" dxfId="3235" priority="4488" operator="containsText" text="ACTIVO">
      <formula>NOT(ISERROR(SEARCH("ACTIVO",H168)))</formula>
    </cfRule>
    <cfRule type="containsText" dxfId="3234" priority="4489" operator="containsText" text="BAJA">
      <formula>NOT(ISERROR(SEARCH("BAJA",H168)))</formula>
    </cfRule>
    <cfRule type="containsText" dxfId="3233" priority="4490" operator="containsText" text="ACTIVO">
      <formula>NOT(ISERROR(SEARCH("ACTIVO",H168)))</formula>
    </cfRule>
    <cfRule type="containsText" dxfId="3232" priority="4491" operator="containsText" text="ACTIVO">
      <formula>NOT(ISERROR(SEARCH("ACTIVO",H168)))</formula>
    </cfRule>
    <cfRule type="containsText" dxfId="3231" priority="4492" operator="containsText" text="BAJA">
      <formula>NOT(ISERROR(SEARCH("BAJA",H168)))</formula>
    </cfRule>
    <cfRule type="containsText" dxfId="3230" priority="4493" operator="containsText" text="ACTIVO">
      <formula>NOT(ISERROR(SEARCH("ACTIVO",H168)))</formula>
    </cfRule>
    <cfRule type="containsText" dxfId="3229" priority="4494" operator="containsText" text="ACTIVO">
      <formula>NOT(ISERROR(SEARCH("ACTIVO",H168)))</formula>
    </cfRule>
    <cfRule type="containsText" dxfId="3228" priority="4495" operator="containsText" text="ACTIVO">
      <formula>NOT(ISERROR(SEARCH("ACTIVO",H168)))</formula>
    </cfRule>
    <cfRule type="containsText" dxfId="3227" priority="4496" operator="containsText" text="ACTIVO">
      <formula>NOT(ISERROR(SEARCH("ACTIVO",H168)))</formula>
    </cfRule>
    <cfRule type="containsText" dxfId="3226" priority="4497" operator="containsText" text="BAJA">
      <formula>NOT(ISERROR(SEARCH("BAJA",H168)))</formula>
    </cfRule>
    <cfRule type="containsText" dxfId="3225" priority="4498" operator="containsText" text="INACTIVA">
      <formula>NOT(ISERROR(SEARCH("INACTIVA",H168)))</formula>
    </cfRule>
    <cfRule type="containsText" dxfId="3224" priority="4499" operator="containsText" text="ACTIVO">
      <formula>NOT(ISERROR(SEARCH("ACTIVO",H168)))</formula>
    </cfRule>
    <cfRule type="containsText" dxfId="3223" priority="4500" operator="containsText" text="BAJA">
      <formula>NOT(ISERROR(SEARCH("BAJA",H168)))</formula>
    </cfRule>
    <cfRule type="containsText" dxfId="3222" priority="4501" operator="containsText" text="ACTIVO">
      <formula>NOT(ISERROR(SEARCH("ACTIVO",H168)))</formula>
    </cfRule>
    <cfRule type="containsText" dxfId="3221" priority="4502" operator="containsText" text="INACTIVA">
      <formula>NOT(ISERROR(SEARCH("INACTIVA",H168)))</formula>
    </cfRule>
    <cfRule type="containsText" dxfId="3220" priority="4503" operator="containsText" text="BAJA">
      <formula>NOT(ISERROR(SEARCH("BAJA",H168)))</formula>
    </cfRule>
    <cfRule type="containsText" dxfId="3219" priority="4504" operator="containsText" text="ACTIVA">
      <formula>NOT(ISERROR(SEARCH("ACTIVA",H168)))</formula>
    </cfRule>
    <cfRule type="containsText" dxfId="3218" priority="4505" operator="containsText" text="ACTIVO">
      <formula>NOT(ISERROR(SEARCH("ACTIVO",H168)))</formula>
    </cfRule>
    <cfRule type="containsText" dxfId="3217" priority="4506" operator="containsText" text="ACTIVO">
      <formula>NOT(ISERROR(SEARCH("ACTIVO",H168)))</formula>
    </cfRule>
    <cfRule type="containsText" dxfId="3216" priority="4507" operator="containsText" text="INACTIVA">
      <formula>NOT(ISERROR(SEARCH("INACTIVA",H168)))</formula>
    </cfRule>
  </conditionalFormatting>
  <conditionalFormatting sqref="H168:H176">
    <cfRule type="containsText" dxfId="3215" priority="795" operator="containsText" text="ACTIVO">
      <formula>NOT(ISERROR(SEARCH("ACTIVO",H168)))</formula>
    </cfRule>
    <cfRule type="containsText" dxfId="3214" priority="798" operator="containsText" text="INACTIVA">
      <formula>NOT(ISERROR(SEARCH("INACTIVA",H168)))</formula>
    </cfRule>
  </conditionalFormatting>
  <conditionalFormatting sqref="H172">
    <cfRule type="containsText" dxfId="3213" priority="775" operator="containsText" text="ACTIVO">
      <formula>NOT(ISERROR(SEARCH("ACTIVO",H172)))</formula>
    </cfRule>
    <cfRule type="containsText" dxfId="3212" priority="776" operator="containsText" text="INACTIVA">
      <formula>NOT(ISERROR(SEARCH("INACTIVA",H172)))</formula>
    </cfRule>
    <cfRule type="containsText" dxfId="3211" priority="777" operator="containsText" text="BAJA">
      <formula>NOT(ISERROR(SEARCH("BAJA",H172)))</formula>
    </cfRule>
    <cfRule type="containsText" dxfId="3210" priority="778" operator="containsText" text="ACTIVO">
      <formula>NOT(ISERROR(SEARCH("ACTIVO",H172)))</formula>
    </cfRule>
    <cfRule type="containsText" dxfId="3209" priority="779" operator="containsText" text="ACTIVO">
      <formula>NOT(ISERROR(SEARCH("ACTIVO",H172)))</formula>
    </cfRule>
    <cfRule type="containsText" dxfId="3208" priority="780" operator="containsText" text="BAJA">
      <formula>NOT(ISERROR(SEARCH("BAJA",H172)))</formula>
    </cfRule>
    <cfRule type="containsText" dxfId="3207" priority="781" operator="containsText" text="ACTIVO">
      <formula>NOT(ISERROR(SEARCH("ACTIVO",H172)))</formula>
    </cfRule>
    <cfRule type="containsText" dxfId="3206" priority="782" operator="containsText" text="ACTIVO">
      <formula>NOT(ISERROR(SEARCH("ACTIVO",H172)))</formula>
    </cfRule>
    <cfRule type="containsText" dxfId="3205" priority="783" operator="containsText" text="BAJA">
      <formula>NOT(ISERROR(SEARCH("BAJA",H172)))</formula>
    </cfRule>
    <cfRule type="containsText" dxfId="3204" priority="784" operator="containsText" text="ACTIVO">
      <formula>NOT(ISERROR(SEARCH("ACTIVO",H172)))</formula>
    </cfRule>
    <cfRule type="containsText" dxfId="3203" priority="785" operator="containsText" text="ACTIVO">
      <formula>NOT(ISERROR(SEARCH("ACTIVO",H172)))</formula>
    </cfRule>
    <cfRule type="containsText" dxfId="3202" priority="786" operator="containsText" text="ACTIVO">
      <formula>NOT(ISERROR(SEARCH("ACTIVO",H172)))</formula>
    </cfRule>
    <cfRule type="containsText" dxfId="3201" priority="787" operator="containsText" text="ACTIVO">
      <formula>NOT(ISERROR(SEARCH("ACTIVO",H172)))</formula>
    </cfRule>
    <cfRule type="containsText" dxfId="3200" priority="788" operator="containsText" text="BAJA">
      <formula>NOT(ISERROR(SEARCH("BAJA",H172)))</formula>
    </cfRule>
    <cfRule type="containsText" dxfId="3199" priority="789" operator="containsText" text="INACTIVA">
      <formula>NOT(ISERROR(SEARCH("INACTIVA",H172)))</formula>
    </cfRule>
    <cfRule type="containsText" dxfId="3198" priority="790" operator="containsText" text="ACTIVO">
      <formula>NOT(ISERROR(SEARCH("ACTIVO",H172)))</formula>
    </cfRule>
    <cfRule type="containsText" dxfId="3197" priority="791" operator="containsText" text="BAJA">
      <formula>NOT(ISERROR(SEARCH("BAJA",H172)))</formula>
    </cfRule>
    <cfRule type="containsText" dxfId="3196" priority="792" operator="containsText" text="ACTIVO">
      <formula>NOT(ISERROR(SEARCH("ACTIVO",H172)))</formula>
    </cfRule>
    <cfRule type="containsText" dxfId="3195" priority="793" operator="containsText" text="INACTIVA">
      <formula>NOT(ISERROR(SEARCH("INACTIVA",H172)))</formula>
    </cfRule>
    <cfRule type="containsText" dxfId="3194" priority="794" operator="containsText" text="BAJA">
      <formula>NOT(ISERROR(SEARCH("BAJA",H172)))</formula>
    </cfRule>
    <cfRule type="containsText" dxfId="3193" priority="796" operator="containsText" text="BAJA">
      <formula>NOT(ISERROR(SEARCH("BAJA",H172)))</formula>
    </cfRule>
    <cfRule type="containsText" dxfId="3192" priority="797" operator="containsText" text="ACTIVA">
      <formula>NOT(ISERROR(SEARCH("ACTIVA",H172)))</formula>
    </cfRule>
    <cfRule type="containsText" dxfId="3191" priority="799" operator="containsText" text="ACTIVO">
      <formula>NOT(ISERROR(SEARCH("ACTIVO",H172)))</formula>
    </cfRule>
  </conditionalFormatting>
  <conditionalFormatting sqref="H173:H176">
    <cfRule type="containsText" dxfId="3190" priority="4466" operator="containsText" text="ACTIVO">
      <formula>NOT(ISERROR(SEARCH("ACTIVO",H173)))</formula>
    </cfRule>
    <cfRule type="containsText" dxfId="3189" priority="4467" operator="containsText" text="ACTIVO">
      <formula>NOT(ISERROR(SEARCH("ACTIVO",H173)))</formula>
    </cfRule>
    <cfRule type="containsText" dxfId="3188" priority="4468" operator="containsText" text="BAJA">
      <formula>NOT(ISERROR(SEARCH("BAJA",H173)))</formula>
    </cfRule>
    <cfRule type="containsText" dxfId="3187" priority="4469" operator="containsText" text="ACTIVO">
      <formula>NOT(ISERROR(SEARCH("ACTIVO",H173)))</formula>
    </cfRule>
    <cfRule type="containsText" dxfId="3186" priority="4470" operator="containsText" text="ACTIVO">
      <formula>NOT(ISERROR(SEARCH("ACTIVO",H173)))</formula>
    </cfRule>
    <cfRule type="containsText" dxfId="3185" priority="4471" operator="containsText" text="BAJA">
      <formula>NOT(ISERROR(SEARCH("BAJA",H173)))</formula>
    </cfRule>
    <cfRule type="containsText" dxfId="3184" priority="4472" operator="containsText" text="ACTIVO">
      <formula>NOT(ISERROR(SEARCH("ACTIVO",H173)))</formula>
    </cfRule>
    <cfRule type="containsText" dxfId="3183" priority="4473" operator="containsText" text="ACTIVO">
      <formula>NOT(ISERROR(SEARCH("ACTIVO",H173)))</formula>
    </cfRule>
    <cfRule type="containsText" dxfId="3182" priority="4474" operator="containsText" text="ACTIVO">
      <formula>NOT(ISERROR(SEARCH("ACTIVO",H173)))</formula>
    </cfRule>
    <cfRule type="containsText" dxfId="3181" priority="4475" operator="containsText" text="ACTIVO">
      <formula>NOT(ISERROR(SEARCH("ACTIVO",H173)))</formula>
    </cfRule>
    <cfRule type="containsText" dxfId="3180" priority="4476" operator="containsText" text="BAJA">
      <formula>NOT(ISERROR(SEARCH("BAJA",H173)))</formula>
    </cfRule>
    <cfRule type="containsText" dxfId="3179" priority="4477" operator="containsText" text="INACTIVA">
      <formula>NOT(ISERROR(SEARCH("INACTIVA",H173)))</formula>
    </cfRule>
    <cfRule type="containsText" dxfId="3178" priority="4478" operator="containsText" text="ACTIVO">
      <formula>NOT(ISERROR(SEARCH("ACTIVO",H173)))</formula>
    </cfRule>
    <cfRule type="containsText" dxfId="3177" priority="4479" operator="containsText" text="BAJA">
      <formula>NOT(ISERROR(SEARCH("BAJA",H173)))</formula>
    </cfRule>
    <cfRule type="containsText" dxfId="3176" priority="4480" operator="containsText" text="ACTIVO">
      <formula>NOT(ISERROR(SEARCH("ACTIVO",H173)))</formula>
    </cfRule>
    <cfRule type="containsText" dxfId="3175" priority="4481" operator="containsText" text="INACTIVA">
      <formula>NOT(ISERROR(SEARCH("INACTIVA",H173)))</formula>
    </cfRule>
    <cfRule type="containsText" dxfId="3174" priority="4482" operator="containsText" text="BAJA">
      <formula>NOT(ISERROR(SEARCH("BAJA",H173)))</formula>
    </cfRule>
    <cfRule type="containsText" dxfId="3173" priority="4483" operator="containsText" text="ACTIVA">
      <formula>NOT(ISERROR(SEARCH("ACTIVA",H173)))</formula>
    </cfRule>
    <cfRule type="containsText" dxfId="3172" priority="4484" operator="containsText" text="ACTIVO">
      <formula>NOT(ISERROR(SEARCH("ACTIVO",H173)))</formula>
    </cfRule>
    <cfRule type="containsText" dxfId="3171" priority="4485" operator="containsText" text="ACTIVO">
      <formula>NOT(ISERROR(SEARCH("ACTIVO",H173)))</formula>
    </cfRule>
    <cfRule type="containsText" dxfId="3170" priority="4486" operator="containsText" text="INACTIVA">
      <formula>NOT(ISERROR(SEARCH("INACTIVA",H173)))</formula>
    </cfRule>
  </conditionalFormatting>
  <conditionalFormatting sqref="H178">
    <cfRule type="containsText" dxfId="3169" priority="4444" operator="containsText" text="BAJA">
      <formula>NOT(ISERROR(SEARCH("BAJA",H178)))</formula>
    </cfRule>
    <cfRule type="containsText" dxfId="3168" priority="4445" operator="containsText" text="ACTIVO">
      <formula>NOT(ISERROR(SEARCH("ACTIVO",H178)))</formula>
    </cfRule>
    <cfRule type="containsText" dxfId="3167" priority="4446" operator="containsText" text="ACTIVO">
      <formula>NOT(ISERROR(SEARCH("ACTIVO",H178)))</formula>
    </cfRule>
    <cfRule type="containsText" dxfId="3166" priority="4447" operator="containsText" text="BAJA">
      <formula>NOT(ISERROR(SEARCH("BAJA",H178)))</formula>
    </cfRule>
    <cfRule type="containsText" dxfId="3165" priority="4448" operator="containsText" text="ACTIVO">
      <formula>NOT(ISERROR(SEARCH("ACTIVO",H178)))</formula>
    </cfRule>
    <cfRule type="containsText" dxfId="3164" priority="4449" operator="containsText" text="ACTIVO">
      <formula>NOT(ISERROR(SEARCH("ACTIVO",H178)))</formula>
    </cfRule>
    <cfRule type="containsText" dxfId="3163" priority="4450" operator="containsText" text="BAJA">
      <formula>NOT(ISERROR(SEARCH("BAJA",H178)))</formula>
    </cfRule>
    <cfRule type="containsText" dxfId="3162" priority="4451" operator="containsText" text="ACTIVO">
      <formula>NOT(ISERROR(SEARCH("ACTIVO",H178)))</formula>
    </cfRule>
    <cfRule type="containsText" dxfId="3161" priority="4452" operator="containsText" text="ACTIVO">
      <formula>NOT(ISERROR(SEARCH("ACTIVO",H178)))</formula>
    </cfRule>
    <cfRule type="containsText" dxfId="3160" priority="4453" operator="containsText" text="ACTIVO">
      <formula>NOT(ISERROR(SEARCH("ACTIVO",H178)))</formula>
    </cfRule>
    <cfRule type="containsText" dxfId="3159" priority="4454" operator="containsText" text="ACTIVO">
      <formula>NOT(ISERROR(SEARCH("ACTIVO",H178)))</formula>
    </cfRule>
    <cfRule type="containsText" dxfId="3158" priority="4455" operator="containsText" text="BAJA">
      <formula>NOT(ISERROR(SEARCH("BAJA",H178)))</formula>
    </cfRule>
    <cfRule type="containsText" dxfId="3157" priority="4456" operator="containsText" text="INACTIVA">
      <formula>NOT(ISERROR(SEARCH("INACTIVA",H178)))</formula>
    </cfRule>
    <cfRule type="containsText" dxfId="3156" priority="4457" operator="containsText" text="ACTIVO">
      <formula>NOT(ISERROR(SEARCH("ACTIVO",H178)))</formula>
    </cfRule>
    <cfRule type="containsText" dxfId="3155" priority="4458" operator="containsText" text="BAJA">
      <formula>NOT(ISERROR(SEARCH("BAJA",H178)))</formula>
    </cfRule>
    <cfRule type="containsText" dxfId="3154" priority="4459" operator="containsText" text="ACTIVO">
      <formula>NOT(ISERROR(SEARCH("ACTIVO",H178)))</formula>
    </cfRule>
    <cfRule type="containsText" dxfId="3153" priority="4460" operator="containsText" text="INACTIVA">
      <formula>NOT(ISERROR(SEARCH("INACTIVA",H178)))</formula>
    </cfRule>
    <cfRule type="containsText" dxfId="3152" priority="4461" operator="containsText" text="BAJA">
      <formula>NOT(ISERROR(SEARCH("BAJA",H178)))</formula>
    </cfRule>
    <cfRule type="containsText" dxfId="3151" priority="4462" operator="containsText" text="ACTIVA">
      <formula>NOT(ISERROR(SEARCH("ACTIVA",H178)))</formula>
    </cfRule>
    <cfRule type="containsText" dxfId="3150" priority="4463" operator="containsText" text="ACTIVO">
      <formula>NOT(ISERROR(SEARCH("ACTIVO",H178)))</formula>
    </cfRule>
    <cfRule type="containsText" dxfId="3149" priority="4464" operator="containsText" text="ACTIVO">
      <formula>NOT(ISERROR(SEARCH("ACTIVO",H178)))</formula>
    </cfRule>
    <cfRule type="containsText" dxfId="3148" priority="4465" operator="containsText" text="INACTIVA">
      <formula>NOT(ISERROR(SEARCH("INACTIVA",H178)))</formula>
    </cfRule>
  </conditionalFormatting>
  <conditionalFormatting sqref="H178:H180">
    <cfRule type="containsText" dxfId="3147" priority="600" operator="containsText" text="ACTIVO">
      <formula>NOT(ISERROR(SEARCH("ACTIVO",H178)))</formula>
    </cfRule>
    <cfRule type="containsText" dxfId="3146" priority="603" operator="containsText" text="INACTIVA">
      <formula>NOT(ISERROR(SEARCH("INACTIVA",H178)))</formula>
    </cfRule>
  </conditionalFormatting>
  <conditionalFormatting sqref="H179">
    <cfRule type="containsText" dxfId="3145" priority="580" operator="containsText" text="ACTIVO">
      <formula>NOT(ISERROR(SEARCH("ACTIVO",H179)))</formula>
    </cfRule>
    <cfRule type="containsText" dxfId="3144" priority="581" operator="containsText" text="INACTIVA">
      <formula>NOT(ISERROR(SEARCH("INACTIVA",H179)))</formula>
    </cfRule>
    <cfRule type="containsText" dxfId="3143" priority="582" operator="containsText" text="BAJA">
      <formula>NOT(ISERROR(SEARCH("BAJA",H179)))</formula>
    </cfRule>
    <cfRule type="containsText" dxfId="3142" priority="583" operator="containsText" text="ACTIVO">
      <formula>NOT(ISERROR(SEARCH("ACTIVO",H179)))</formula>
    </cfRule>
    <cfRule type="containsText" dxfId="3141" priority="584" operator="containsText" text="ACTIVO">
      <formula>NOT(ISERROR(SEARCH("ACTIVO",H179)))</formula>
    </cfRule>
    <cfRule type="containsText" dxfId="3140" priority="585" operator="containsText" text="BAJA">
      <formula>NOT(ISERROR(SEARCH("BAJA",H179)))</formula>
    </cfRule>
    <cfRule type="containsText" dxfId="3139" priority="586" operator="containsText" text="ACTIVO">
      <formula>NOT(ISERROR(SEARCH("ACTIVO",H179)))</formula>
    </cfRule>
    <cfRule type="containsText" dxfId="3138" priority="587" operator="containsText" text="ACTIVO">
      <formula>NOT(ISERROR(SEARCH("ACTIVO",H179)))</formula>
    </cfRule>
    <cfRule type="containsText" dxfId="3137" priority="588" operator="containsText" text="BAJA">
      <formula>NOT(ISERROR(SEARCH("BAJA",H179)))</formula>
    </cfRule>
    <cfRule type="containsText" dxfId="3136" priority="589" operator="containsText" text="ACTIVO">
      <formula>NOT(ISERROR(SEARCH("ACTIVO",H179)))</formula>
    </cfRule>
    <cfRule type="containsText" dxfId="3135" priority="590" operator="containsText" text="ACTIVO">
      <formula>NOT(ISERROR(SEARCH("ACTIVO",H179)))</formula>
    </cfRule>
    <cfRule type="containsText" dxfId="3134" priority="591" operator="containsText" text="ACTIVO">
      <formula>NOT(ISERROR(SEARCH("ACTIVO",H179)))</formula>
    </cfRule>
    <cfRule type="containsText" dxfId="3133" priority="592" operator="containsText" text="ACTIVO">
      <formula>NOT(ISERROR(SEARCH("ACTIVO",H179)))</formula>
    </cfRule>
    <cfRule type="containsText" dxfId="3132" priority="593" operator="containsText" text="BAJA">
      <formula>NOT(ISERROR(SEARCH("BAJA",H179)))</formula>
    </cfRule>
    <cfRule type="containsText" dxfId="3131" priority="594" operator="containsText" text="INACTIVA">
      <formula>NOT(ISERROR(SEARCH("INACTIVA",H179)))</formula>
    </cfRule>
    <cfRule type="containsText" dxfId="3130" priority="595" operator="containsText" text="ACTIVO">
      <formula>NOT(ISERROR(SEARCH("ACTIVO",H179)))</formula>
    </cfRule>
    <cfRule type="containsText" dxfId="3129" priority="596" operator="containsText" text="BAJA">
      <formula>NOT(ISERROR(SEARCH("BAJA",H179)))</formula>
    </cfRule>
    <cfRule type="containsText" dxfId="3128" priority="597" operator="containsText" text="ACTIVO">
      <formula>NOT(ISERROR(SEARCH("ACTIVO",H179)))</formula>
    </cfRule>
    <cfRule type="containsText" dxfId="3127" priority="598" operator="containsText" text="INACTIVA">
      <formula>NOT(ISERROR(SEARCH("INACTIVA",H179)))</formula>
    </cfRule>
    <cfRule type="containsText" dxfId="3126" priority="599" operator="containsText" text="BAJA">
      <formula>NOT(ISERROR(SEARCH("BAJA",H179)))</formula>
    </cfRule>
    <cfRule type="containsText" dxfId="3125" priority="601" operator="containsText" text="BAJA">
      <formula>NOT(ISERROR(SEARCH("BAJA",H179)))</formula>
    </cfRule>
    <cfRule type="containsText" dxfId="3124" priority="602" operator="containsText" text="ACTIVA">
      <formula>NOT(ISERROR(SEARCH("ACTIVA",H179)))</formula>
    </cfRule>
    <cfRule type="containsText" dxfId="3123" priority="604" operator="containsText" text="ACTIVO">
      <formula>NOT(ISERROR(SEARCH("ACTIVO",H179)))</formula>
    </cfRule>
  </conditionalFormatting>
  <conditionalFormatting sqref="H180">
    <cfRule type="containsText" dxfId="3122" priority="2571" operator="containsText" text="BAJA">
      <formula>NOT(ISERROR(SEARCH("BAJA",H180)))</formula>
    </cfRule>
    <cfRule type="containsText" dxfId="3121" priority="2572" operator="containsText" text="ACTIVO">
      <formula>NOT(ISERROR(SEARCH("ACTIVO",H180)))</formula>
    </cfRule>
    <cfRule type="containsText" dxfId="3120" priority="2573" operator="containsText" text="ACTIVO">
      <formula>NOT(ISERROR(SEARCH("ACTIVO",H180)))</formula>
    </cfRule>
    <cfRule type="containsText" dxfId="3119" priority="2574" operator="containsText" text="BAJA">
      <formula>NOT(ISERROR(SEARCH("BAJA",H180)))</formula>
    </cfRule>
    <cfRule type="containsText" dxfId="3118" priority="2575" operator="containsText" text="ACTIVO">
      <formula>NOT(ISERROR(SEARCH("ACTIVO",H180)))</formula>
    </cfRule>
    <cfRule type="containsText" dxfId="3117" priority="2576" operator="containsText" text="ACTIVO">
      <formula>NOT(ISERROR(SEARCH("ACTIVO",H180)))</formula>
    </cfRule>
    <cfRule type="containsText" dxfId="3116" priority="2577" operator="containsText" text="BAJA">
      <formula>NOT(ISERROR(SEARCH("BAJA",H180)))</formula>
    </cfRule>
    <cfRule type="containsText" dxfId="3115" priority="2578" operator="containsText" text="ACTIVO">
      <formula>NOT(ISERROR(SEARCH("ACTIVO",H180)))</formula>
    </cfRule>
    <cfRule type="containsText" dxfId="3114" priority="2579" operator="containsText" text="ACTIVO">
      <formula>NOT(ISERROR(SEARCH("ACTIVO",H180)))</formula>
    </cfRule>
    <cfRule type="containsText" dxfId="3113" priority="2580" operator="containsText" text="ACTIVO">
      <formula>NOT(ISERROR(SEARCH("ACTIVO",H180)))</formula>
    </cfRule>
    <cfRule type="containsText" dxfId="3112" priority="2581" operator="containsText" text="ACTIVO">
      <formula>NOT(ISERROR(SEARCH("ACTIVO",H180)))</formula>
    </cfRule>
    <cfRule type="containsText" dxfId="3111" priority="2582" operator="containsText" text="BAJA">
      <formula>NOT(ISERROR(SEARCH("BAJA",H180)))</formula>
    </cfRule>
    <cfRule type="containsText" dxfId="3110" priority="2583" operator="containsText" text="INACTIVA">
      <formula>NOT(ISERROR(SEARCH("INACTIVA",H180)))</formula>
    </cfRule>
    <cfRule type="containsText" dxfId="3109" priority="2584" operator="containsText" text="ACTIVO">
      <formula>NOT(ISERROR(SEARCH("ACTIVO",H180)))</formula>
    </cfRule>
    <cfRule type="containsText" dxfId="3108" priority="2585" operator="containsText" text="BAJA">
      <formula>NOT(ISERROR(SEARCH("BAJA",H180)))</formula>
    </cfRule>
    <cfRule type="containsText" dxfId="3107" priority="2586" operator="containsText" text="ACTIVO">
      <formula>NOT(ISERROR(SEARCH("ACTIVO",H180)))</formula>
    </cfRule>
    <cfRule type="containsText" dxfId="3106" priority="2587" operator="containsText" text="INACTIVA">
      <formula>NOT(ISERROR(SEARCH("INACTIVA",H180)))</formula>
    </cfRule>
    <cfRule type="containsText" dxfId="3105" priority="2588" operator="containsText" text="BAJA">
      <formula>NOT(ISERROR(SEARCH("BAJA",H180)))</formula>
    </cfRule>
    <cfRule type="containsText" dxfId="3104" priority="2589" operator="containsText" text="ACTIVA">
      <formula>NOT(ISERROR(SEARCH("ACTIVA",H180)))</formula>
    </cfRule>
    <cfRule type="containsText" dxfId="3103" priority="2590" operator="containsText" text="ACTIVO">
      <formula>NOT(ISERROR(SEARCH("ACTIVO",H180)))</formula>
    </cfRule>
    <cfRule type="containsText" dxfId="3102" priority="2591" operator="containsText" text="ACTIVO">
      <formula>NOT(ISERROR(SEARCH("ACTIVO",H180)))</formula>
    </cfRule>
    <cfRule type="containsText" dxfId="3101" priority="2592" operator="containsText" text="INACTIVA">
      <formula>NOT(ISERROR(SEARCH("INACTIVA",H180)))</formula>
    </cfRule>
  </conditionalFormatting>
  <conditionalFormatting sqref="H181 H192 H196 H200">
    <cfRule type="containsText" dxfId="3100" priority="4717" operator="containsText" text="BAJA">
      <formula>NOT(ISERROR(SEARCH("BAJA",H181)))</formula>
    </cfRule>
    <cfRule type="containsText" dxfId="3099" priority="4725" operator="containsText" text="ACTIVO">
      <formula>NOT(ISERROR(SEARCH("ACTIVO",H181)))</formula>
    </cfRule>
    <cfRule type="containsText" dxfId="3098" priority="4726" operator="containsText" text="BAJA">
      <formula>NOT(ISERROR(SEARCH("BAJA",H181)))</formula>
    </cfRule>
    <cfRule type="containsText" dxfId="3097" priority="4727" operator="containsText" text="ACTIVO">
      <formula>NOT(ISERROR(SEARCH("ACTIVO",H181)))</formula>
    </cfRule>
    <cfRule type="containsText" dxfId="3096" priority="4728" operator="containsText" text="ACTIVO">
      <formula>NOT(ISERROR(SEARCH("ACTIVO",H181)))</formula>
    </cfRule>
    <cfRule type="containsText" dxfId="3095" priority="4732" operator="containsText" text="ACTIVO">
      <formula>NOT(ISERROR(SEARCH("ACTIVO",H181)))</formula>
    </cfRule>
    <cfRule type="containsText" dxfId="3094" priority="4733" operator="containsText" text="ACTIVO">
      <formula>NOT(ISERROR(SEARCH("ACTIVO",H181)))</formula>
    </cfRule>
    <cfRule type="containsText" dxfId="3093" priority="4734" operator="containsText" text="ACTIVO">
      <formula>NOT(ISERROR(SEARCH("ACTIVO",H181)))</formula>
    </cfRule>
    <cfRule type="containsText" dxfId="3092" priority="4735" operator="containsText" text="ACTIVO">
      <formula>NOT(ISERROR(SEARCH("ACTIVO",H181)))</formula>
    </cfRule>
    <cfRule type="containsText" dxfId="3091" priority="4736" operator="containsText" text="BAJA">
      <formula>NOT(ISERROR(SEARCH("BAJA",H181)))</formula>
    </cfRule>
    <cfRule type="containsText" dxfId="3090" priority="4737" operator="containsText" text="INACTIVA">
      <formula>NOT(ISERROR(SEARCH("INACTIVA",H181)))</formula>
    </cfRule>
    <cfRule type="containsText" dxfId="3089" priority="4743" operator="containsText" text="BAJA">
      <formula>NOT(ISERROR(SEARCH("BAJA",H181)))</formula>
    </cfRule>
    <cfRule type="containsText" dxfId="3088" priority="4744" operator="containsText" text="ACTIVO">
      <formula>NOT(ISERROR(SEARCH("ACTIVO",H181)))</formula>
    </cfRule>
    <cfRule type="containsText" dxfId="3087" priority="4750" operator="containsText" text="BAJA">
      <formula>NOT(ISERROR(SEARCH("BAJA",H181)))</formula>
    </cfRule>
    <cfRule type="containsText" dxfId="3086" priority="4751" operator="containsText" text="ACTIVO">
      <formula>NOT(ISERROR(SEARCH("ACTIVO",H181)))</formula>
    </cfRule>
    <cfRule type="containsText" dxfId="3085" priority="4752" operator="containsText" text="BAJA">
      <formula>NOT(ISERROR(SEARCH("BAJA",H181)))</formula>
    </cfRule>
  </conditionalFormatting>
  <conditionalFormatting sqref="H181">
    <cfRule type="containsText" dxfId="3084" priority="4769" operator="containsText" text="ACTIVO">
      <formula>NOT(ISERROR(SEARCH("ACTIVO",H181)))</formula>
    </cfRule>
    <cfRule type="colorScale" priority="52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5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83" priority="5275" operator="containsText" text="INACTIVA">
      <formula>NOT(ISERROR(SEARCH("INACTIVA",H181)))</formula>
    </cfRule>
    <cfRule type="colorScale" priority="52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81:H184">
    <cfRule type="containsText" dxfId="3082" priority="4442" operator="containsText" text="ACTIVO">
      <formula>NOT(ISERROR(SEARCH("ACTIVO",H181)))</formula>
    </cfRule>
    <cfRule type="containsText" dxfId="3081" priority="4443" operator="containsText" text="INACTIVA">
      <formula>NOT(ISERROR(SEARCH("INACTIVA",H181)))</formula>
    </cfRule>
  </conditionalFormatting>
  <conditionalFormatting sqref="H182:H184 H186:H191">
    <cfRule type="containsText" dxfId="3080" priority="1625" operator="containsText" text="INACTIVA">
      <formula>NOT(ISERROR(SEARCH("INACTIVA",H182)))</formula>
    </cfRule>
  </conditionalFormatting>
  <conditionalFormatting sqref="H182:H184">
    <cfRule type="containsText" dxfId="3079" priority="4422" operator="containsText" text="BAJA">
      <formula>NOT(ISERROR(SEARCH("BAJA",H182)))</formula>
    </cfRule>
    <cfRule type="containsText" dxfId="3078" priority="4423" operator="containsText" text="ACTIVO">
      <formula>NOT(ISERROR(SEARCH("ACTIVO",H182)))</formula>
    </cfRule>
    <cfRule type="containsText" dxfId="3077" priority="4424" operator="containsText" text="ACTIVO">
      <formula>NOT(ISERROR(SEARCH("ACTIVO",H182)))</formula>
    </cfRule>
    <cfRule type="containsText" dxfId="3076" priority="4425" operator="containsText" text="BAJA">
      <formula>NOT(ISERROR(SEARCH("BAJA",H182)))</formula>
    </cfRule>
    <cfRule type="containsText" dxfId="3075" priority="4426" operator="containsText" text="ACTIVO">
      <formula>NOT(ISERROR(SEARCH("ACTIVO",H182)))</formula>
    </cfRule>
    <cfRule type="containsText" dxfId="3074" priority="4427" operator="containsText" text="ACTIVO">
      <formula>NOT(ISERROR(SEARCH("ACTIVO",H182)))</formula>
    </cfRule>
    <cfRule type="containsText" dxfId="3073" priority="4428" operator="containsText" text="BAJA">
      <formula>NOT(ISERROR(SEARCH("BAJA",H182)))</formula>
    </cfRule>
    <cfRule type="containsText" dxfId="3072" priority="4429" operator="containsText" text="ACTIVO">
      <formula>NOT(ISERROR(SEARCH("ACTIVO",H182)))</formula>
    </cfRule>
    <cfRule type="containsText" dxfId="3071" priority="4430" operator="containsText" text="ACTIVO">
      <formula>NOT(ISERROR(SEARCH("ACTIVO",H182)))</formula>
    </cfRule>
    <cfRule type="containsText" dxfId="3070" priority="4431" operator="containsText" text="ACTIVO">
      <formula>NOT(ISERROR(SEARCH("ACTIVO",H182)))</formula>
    </cfRule>
    <cfRule type="containsText" dxfId="3069" priority="4432" operator="containsText" text="ACTIVO">
      <formula>NOT(ISERROR(SEARCH("ACTIVO",H182)))</formula>
    </cfRule>
    <cfRule type="containsText" dxfId="3068" priority="4433" operator="containsText" text="BAJA">
      <formula>NOT(ISERROR(SEARCH("BAJA",H182)))</formula>
    </cfRule>
    <cfRule type="containsText" dxfId="3067" priority="4434" operator="containsText" text="INACTIVA">
      <formula>NOT(ISERROR(SEARCH("INACTIVA",H182)))</formula>
    </cfRule>
    <cfRule type="containsText" dxfId="3066" priority="4435" operator="containsText" text="ACTIVO">
      <formula>NOT(ISERROR(SEARCH("ACTIVO",H182)))</formula>
    </cfRule>
    <cfRule type="containsText" dxfId="3065" priority="4436" operator="containsText" text="BAJA">
      <formula>NOT(ISERROR(SEARCH("BAJA",H182)))</formula>
    </cfRule>
    <cfRule type="containsText" dxfId="3064" priority="4437" operator="containsText" text="ACTIVO">
      <formula>NOT(ISERROR(SEARCH("ACTIVO",H182)))</formula>
    </cfRule>
    <cfRule type="containsText" dxfId="3063" priority="4438" operator="containsText" text="INACTIVA">
      <formula>NOT(ISERROR(SEARCH("INACTIVA",H182)))</formula>
    </cfRule>
    <cfRule type="containsText" dxfId="3062" priority="4439" operator="containsText" text="BAJA">
      <formula>NOT(ISERROR(SEARCH("BAJA",H182)))</formula>
    </cfRule>
    <cfRule type="containsText" dxfId="3061" priority="4440" operator="containsText" text="ACTIVA">
      <formula>NOT(ISERROR(SEARCH("ACTIVA",H182)))</formula>
    </cfRule>
    <cfRule type="containsText" dxfId="3060" priority="4441" operator="containsText" text="ACTIVO">
      <formula>NOT(ISERROR(SEARCH("ACTIVO",H182)))</formula>
    </cfRule>
  </conditionalFormatting>
  <conditionalFormatting sqref="H182:H191">
    <cfRule type="containsText" dxfId="3059" priority="202" operator="containsText" text="ACTIVO">
      <formula>NOT(ISERROR(SEARCH("ACTIVO",H182)))</formula>
    </cfRule>
  </conditionalFormatting>
  <conditionalFormatting sqref="H185">
    <cfRule type="containsText" dxfId="3058" priority="166" operator="containsText" text="ACTIVO">
      <formula>NOT(ISERROR(SEARCH("ACTIVO",H185)))</formula>
    </cfRule>
    <cfRule type="containsText" dxfId="3057" priority="167" operator="containsText" text="INACTIVA">
      <formula>NOT(ISERROR(SEARCH("INACTIVA",H185)))</formula>
    </cfRule>
    <cfRule type="containsText" dxfId="3056" priority="168" operator="containsText" text="BAJA">
      <formula>NOT(ISERROR(SEARCH("BAJA",H185)))</formula>
    </cfRule>
    <cfRule type="containsText" dxfId="3055" priority="169" operator="containsText" text="ACTIVO">
      <formula>NOT(ISERROR(SEARCH("ACTIVO",H185)))</formula>
    </cfRule>
    <cfRule type="containsText" dxfId="3054" priority="170" operator="containsText" text="BAJA">
      <formula>NOT(ISERROR(SEARCH("BAJA",H185)))</formula>
    </cfRule>
    <cfRule type="colorScale" priority="1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53" priority="175" operator="containsText" text="ACTIVO">
      <formula>NOT(ISERROR(SEARCH("ACTIVO",H185)))</formula>
    </cfRule>
    <cfRule type="containsText" dxfId="3052" priority="176" operator="containsText" text="ACTIVO">
      <formula>NOT(ISERROR(SEARCH("ACTIVO",H185)))</formula>
    </cfRule>
    <cfRule type="containsText" dxfId="3051" priority="177" operator="containsText" text="BAJA">
      <formula>NOT(ISERROR(SEARCH("BAJA",H185)))</formula>
    </cfRule>
    <cfRule type="containsText" dxfId="3050" priority="178" operator="containsText" text="ACTIVO">
      <formula>NOT(ISERROR(SEARCH("ACTIVO",H185)))</formula>
    </cfRule>
    <cfRule type="containsText" dxfId="3049" priority="179" operator="containsText" text="ACTIVO">
      <formula>NOT(ISERROR(SEARCH("ACTIVO",H185)))</formula>
    </cfRule>
    <cfRule type="colorScale" priority="18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48" priority="182" operator="containsText" text="BAJA">
      <formula>NOT(ISERROR(SEARCH("BAJA",H185)))</formula>
    </cfRule>
    <cfRule type="containsText" dxfId="3047" priority="183" operator="containsText" text="ACTIVO">
      <formula>NOT(ISERROR(SEARCH("ACTIVO",H185)))</formula>
    </cfRule>
    <cfRule type="containsText" dxfId="3046" priority="184" operator="containsText" text="ACTIVO">
      <formula>NOT(ISERROR(SEARCH("ACTIVO",H185)))</formula>
    </cfRule>
    <cfRule type="containsText" dxfId="3045" priority="185" operator="containsText" text="ACTIVO">
      <formula>NOT(ISERROR(SEARCH("ACTIVO",H185)))</formula>
    </cfRule>
    <cfRule type="containsText" dxfId="3044" priority="186" operator="containsText" text="ACTIVO">
      <formula>NOT(ISERROR(SEARCH("ACTIVO",H185)))</formula>
    </cfRule>
    <cfRule type="containsText" dxfId="3043" priority="187" operator="containsText" text="BAJA">
      <formula>NOT(ISERROR(SEARCH("BAJA",H185)))</formula>
    </cfRule>
    <cfRule type="containsText" dxfId="3042" priority="188" operator="containsText" text="INACTIVA">
      <formula>NOT(ISERROR(SEARCH("INACTIVA",H185)))</formula>
    </cfRule>
    <cfRule type="colorScale" priority="18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41" priority="193" operator="containsText" text="ACTIVO">
      <formula>NOT(ISERROR(SEARCH("ACTIVO",H185)))</formula>
    </cfRule>
    <cfRule type="containsText" dxfId="3040" priority="194" operator="containsText" text="BAJA">
      <formula>NOT(ISERROR(SEARCH("BAJA",H185)))</formula>
    </cfRule>
    <cfRule type="containsText" dxfId="3039" priority="195" operator="containsText" text="ACTIVO">
      <formula>NOT(ISERROR(SEARCH("ACTIVO",H185)))</formula>
    </cfRule>
    <cfRule type="colorScale" priority="1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38" priority="200" operator="containsText" text="INACTIVA">
      <formula>NOT(ISERROR(SEARCH("INACTIVA",H185)))</formula>
    </cfRule>
    <cfRule type="containsText" dxfId="3037" priority="201" operator="containsText" text="BAJA">
      <formula>NOT(ISERROR(SEARCH("BAJA",H185)))</formula>
    </cfRule>
    <cfRule type="containsText" dxfId="3036" priority="203" operator="containsText" text="BAJA">
      <formula>NOT(ISERROR(SEARCH("BAJA",H185)))</formula>
    </cfRule>
    <cfRule type="colorScale" priority="20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35" priority="206" operator="containsText" text="INACTIVA">
      <formula>NOT(ISERROR(SEARCH("INACTIVA",H185)))</formula>
    </cfRule>
    <cfRule type="containsText" dxfId="3034" priority="207" operator="containsText" text="ACTIVA">
      <formula>NOT(ISERROR(SEARCH("ACTIVA",H185)))</formula>
    </cfRule>
    <cfRule type="colorScale" priority="20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33" priority="210" operator="containsText" text="INACTIVA">
      <formula>NOT(ISERROR(SEARCH("INACTIVA",H185)))</formula>
    </cfRule>
    <cfRule type="colorScale" priority="21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32" priority="215" operator="containsText" text="ACTIVO">
      <formula>NOT(ISERROR(SEARCH("ACTIVO",H185)))</formula>
    </cfRule>
    <cfRule type="colorScale" priority="2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86:H191">
    <cfRule type="containsText" dxfId="3031" priority="4400" operator="containsText" text="BAJA">
      <formula>NOT(ISERROR(SEARCH("BAJA",H186)))</formula>
    </cfRule>
    <cfRule type="containsText" dxfId="3030" priority="4401" operator="containsText" text="ACTIVO">
      <formula>NOT(ISERROR(SEARCH("ACTIVO",H186)))</formula>
    </cfRule>
    <cfRule type="containsText" dxfId="3029" priority="4402" operator="containsText" text="ACTIVO">
      <formula>NOT(ISERROR(SEARCH("ACTIVO",H186)))</formula>
    </cfRule>
    <cfRule type="containsText" dxfId="3028" priority="4403" operator="containsText" text="BAJA">
      <formula>NOT(ISERROR(SEARCH("BAJA",H186)))</formula>
    </cfRule>
    <cfRule type="containsText" dxfId="3027" priority="4404" operator="containsText" text="ACTIVO">
      <formula>NOT(ISERROR(SEARCH("ACTIVO",H186)))</formula>
    </cfRule>
    <cfRule type="containsText" dxfId="3026" priority="4405" operator="containsText" text="ACTIVO">
      <formula>NOT(ISERROR(SEARCH("ACTIVO",H186)))</formula>
    </cfRule>
    <cfRule type="containsText" dxfId="3025" priority="4406" operator="containsText" text="BAJA">
      <formula>NOT(ISERROR(SEARCH("BAJA",H186)))</formula>
    </cfRule>
    <cfRule type="containsText" dxfId="3024" priority="4407" operator="containsText" text="ACTIVO">
      <formula>NOT(ISERROR(SEARCH("ACTIVO",H186)))</formula>
    </cfRule>
    <cfRule type="containsText" dxfId="3023" priority="4408" operator="containsText" text="ACTIVO">
      <formula>NOT(ISERROR(SEARCH("ACTIVO",H186)))</formula>
    </cfRule>
    <cfRule type="containsText" dxfId="3022" priority="4409" operator="containsText" text="ACTIVO">
      <formula>NOT(ISERROR(SEARCH("ACTIVO",H186)))</formula>
    </cfRule>
    <cfRule type="containsText" dxfId="3021" priority="4410" operator="containsText" text="ACTIVO">
      <formula>NOT(ISERROR(SEARCH("ACTIVO",H186)))</formula>
    </cfRule>
    <cfRule type="containsText" dxfId="3020" priority="4411" operator="containsText" text="BAJA">
      <formula>NOT(ISERROR(SEARCH("BAJA",H186)))</formula>
    </cfRule>
    <cfRule type="containsText" dxfId="3019" priority="4412" operator="containsText" text="INACTIVA">
      <formula>NOT(ISERROR(SEARCH("INACTIVA",H186)))</formula>
    </cfRule>
    <cfRule type="containsText" dxfId="3018" priority="4413" operator="containsText" text="ACTIVO">
      <formula>NOT(ISERROR(SEARCH("ACTIVO",H186)))</formula>
    </cfRule>
    <cfRule type="containsText" dxfId="3017" priority="4414" operator="containsText" text="BAJA">
      <formula>NOT(ISERROR(SEARCH("BAJA",H186)))</formula>
    </cfRule>
    <cfRule type="containsText" dxfId="3016" priority="4415" operator="containsText" text="ACTIVO">
      <formula>NOT(ISERROR(SEARCH("ACTIVO",H186)))</formula>
    </cfRule>
    <cfRule type="containsText" dxfId="3015" priority="4416" operator="containsText" text="INACTIVA">
      <formula>NOT(ISERROR(SEARCH("INACTIVA",H186)))</formula>
    </cfRule>
    <cfRule type="containsText" dxfId="3014" priority="4417" operator="containsText" text="BAJA">
      <formula>NOT(ISERROR(SEARCH("BAJA",H186)))</formula>
    </cfRule>
    <cfRule type="containsText" dxfId="3013" priority="4418" operator="containsText" text="ACTIVA">
      <formula>NOT(ISERROR(SEARCH("ACTIVA",H186)))</formula>
    </cfRule>
    <cfRule type="containsText" dxfId="3012" priority="4419" operator="containsText" text="ACTIVO">
      <formula>NOT(ISERROR(SEARCH("ACTIVO",H186)))</formula>
    </cfRule>
  </conditionalFormatting>
  <conditionalFormatting sqref="H186:H192">
    <cfRule type="containsText" dxfId="3011" priority="4420" operator="containsText" text="ACTIVO">
      <formula>NOT(ISERROR(SEARCH("ACTIVO",H186)))</formula>
    </cfRule>
    <cfRule type="containsText" dxfId="3010" priority="4421" operator="containsText" text="INACTIVA">
      <formula>NOT(ISERROR(SEARCH("INACTIVA",H186)))</formula>
    </cfRule>
  </conditionalFormatting>
  <conditionalFormatting sqref="H192 H196 H200 H181">
    <cfRule type="containsText" dxfId="3009" priority="4756" operator="containsText" text="ACTIVA">
      <formula>NOT(ISERROR(SEARCH("ACTIVA",H181)))</formula>
    </cfRule>
  </conditionalFormatting>
  <conditionalFormatting sqref="H192 H196 H200">
    <cfRule type="containsText" dxfId="3008" priority="4718" operator="containsText" text="ACTIVO">
      <formula>NOT(ISERROR(SEARCH("ACTIVO",H192)))</formula>
    </cfRule>
    <cfRule type="containsText" dxfId="3007" priority="4719" operator="containsText" text="BAJA">
      <formula>NOT(ISERROR(SEARCH("BAJA",H192)))</formula>
    </cfRule>
  </conditionalFormatting>
  <conditionalFormatting sqref="H192">
    <cfRule type="colorScale" priority="528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30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93:H195">
    <cfRule type="containsText" dxfId="3006" priority="4376" operator="containsText" text="ACTIVO">
      <formula>NOT(ISERROR(SEARCH("ACTIVO",H193)))</formula>
    </cfRule>
    <cfRule type="containsText" dxfId="3005" priority="4377" operator="containsText" text="INACTIVA">
      <formula>NOT(ISERROR(SEARCH("INACTIVA",H193)))</formula>
    </cfRule>
    <cfRule type="containsText" dxfId="3004" priority="4378" operator="containsText" text="BAJA">
      <formula>NOT(ISERROR(SEARCH("BAJA",H193)))</formula>
    </cfRule>
    <cfRule type="containsText" dxfId="3003" priority="4379" operator="containsText" text="ACTIVO">
      <formula>NOT(ISERROR(SEARCH("ACTIVO",H193)))</formula>
    </cfRule>
    <cfRule type="containsText" dxfId="3002" priority="4380" operator="containsText" text="ACTIVO">
      <formula>NOT(ISERROR(SEARCH("ACTIVO",H193)))</formula>
    </cfRule>
    <cfRule type="containsText" dxfId="3001" priority="4381" operator="containsText" text="BAJA">
      <formula>NOT(ISERROR(SEARCH("BAJA",H193)))</formula>
    </cfRule>
    <cfRule type="containsText" dxfId="3000" priority="4382" operator="containsText" text="ACTIVO">
      <formula>NOT(ISERROR(SEARCH("ACTIVO",H193)))</formula>
    </cfRule>
    <cfRule type="containsText" dxfId="2999" priority="4383" operator="containsText" text="ACTIVO">
      <formula>NOT(ISERROR(SEARCH("ACTIVO",H193)))</formula>
    </cfRule>
    <cfRule type="containsText" dxfId="2998" priority="4384" operator="containsText" text="BAJA">
      <formula>NOT(ISERROR(SEARCH("BAJA",H193)))</formula>
    </cfRule>
    <cfRule type="containsText" dxfId="2997" priority="4385" operator="containsText" text="ACTIVO">
      <formula>NOT(ISERROR(SEARCH("ACTIVO",H193)))</formula>
    </cfRule>
    <cfRule type="containsText" dxfId="2996" priority="4386" operator="containsText" text="ACTIVO">
      <formula>NOT(ISERROR(SEARCH("ACTIVO",H193)))</formula>
    </cfRule>
    <cfRule type="containsText" dxfId="2995" priority="4387" operator="containsText" text="ACTIVO">
      <formula>NOT(ISERROR(SEARCH("ACTIVO",H193)))</formula>
    </cfRule>
    <cfRule type="containsText" dxfId="2994" priority="4388" operator="containsText" text="ACTIVO">
      <formula>NOT(ISERROR(SEARCH("ACTIVO",H193)))</formula>
    </cfRule>
    <cfRule type="containsText" dxfId="2993" priority="4389" operator="containsText" text="BAJA">
      <formula>NOT(ISERROR(SEARCH("BAJA",H193)))</formula>
    </cfRule>
    <cfRule type="containsText" dxfId="2992" priority="4390" operator="containsText" text="INACTIVA">
      <formula>NOT(ISERROR(SEARCH("INACTIVA",H193)))</formula>
    </cfRule>
    <cfRule type="containsText" dxfId="2991" priority="4391" operator="containsText" text="ACTIVO">
      <formula>NOT(ISERROR(SEARCH("ACTIVO",H193)))</formula>
    </cfRule>
    <cfRule type="containsText" dxfId="2990" priority="4392" operator="containsText" text="BAJA">
      <formula>NOT(ISERROR(SEARCH("BAJA",H193)))</formula>
    </cfRule>
    <cfRule type="containsText" dxfId="2989" priority="4393" operator="containsText" text="ACTIVO">
      <formula>NOT(ISERROR(SEARCH("ACTIVO",H193)))</formula>
    </cfRule>
    <cfRule type="containsText" dxfId="2988" priority="4394" operator="containsText" text="INACTIVA">
      <formula>NOT(ISERROR(SEARCH("INACTIVA",H193)))</formula>
    </cfRule>
    <cfRule type="containsText" dxfId="2987" priority="4395" operator="containsText" text="BAJA">
      <formula>NOT(ISERROR(SEARCH("BAJA",H193)))</formula>
    </cfRule>
    <cfRule type="containsText" dxfId="2986" priority="4396" operator="containsText" text="ACTIVA">
      <formula>NOT(ISERROR(SEARCH("ACTIVA",H193)))</formula>
    </cfRule>
    <cfRule type="containsText" dxfId="2985" priority="4397" operator="containsText" text="ACTIVO">
      <formula>NOT(ISERROR(SEARCH("ACTIVO",H193)))</formula>
    </cfRule>
  </conditionalFormatting>
  <conditionalFormatting sqref="H193:H196">
    <cfRule type="containsText" dxfId="2984" priority="4398" operator="containsText" text="ACTIVO">
      <formula>NOT(ISERROR(SEARCH("ACTIVO",H193)))</formula>
    </cfRule>
    <cfRule type="containsText" dxfId="2983" priority="4399" operator="containsText" text="INACTIVA">
      <formula>NOT(ISERROR(SEARCH("INACTIVA",H193)))</formula>
    </cfRule>
  </conditionalFormatting>
  <conditionalFormatting sqref="H196 H200 H181 H192">
    <cfRule type="containsText" dxfId="2982" priority="4731" operator="containsText" text="BAJA">
      <formula>NOT(ISERROR(SEARCH("BAJA",H181)))</formula>
    </cfRule>
    <cfRule type="containsText" dxfId="2981" priority="4742" operator="containsText" text="ACTIVO">
      <formula>NOT(ISERROR(SEARCH("ACTIVO",H181)))</formula>
    </cfRule>
    <cfRule type="containsText" dxfId="2980" priority="4749" operator="containsText" text="INACTIVA">
      <formula>NOT(ISERROR(SEARCH("INACTIVA",H181)))</formula>
    </cfRule>
    <cfRule type="containsText" dxfId="2979" priority="4759" operator="containsText" text="INACTIVA">
      <formula>NOT(ISERROR(SEARCH("INACTIVA",H181)))</formula>
    </cfRule>
    <cfRule type="containsText" dxfId="2978" priority="4764" operator="containsText" text="ACTIVO">
      <formula>NOT(ISERROR(SEARCH("ACTIVO",H181)))</formula>
    </cfRule>
  </conditionalFormatting>
  <conditionalFormatting sqref="H196 H200 H192 H181">
    <cfRule type="containsText" dxfId="2977" priority="4724" operator="containsText" text="ACTIVO">
      <formula>NOT(ISERROR(SEARCH("ACTIVO",H181)))</formula>
    </cfRule>
  </conditionalFormatting>
  <conditionalFormatting sqref="H196 H200 H192">
    <cfRule type="containsText" dxfId="2976" priority="4755" operator="containsText" text="INACTIVA">
      <formula>NOT(ISERROR(SEARCH("INACTIVA",H192)))</formula>
    </cfRule>
  </conditionalFormatting>
  <conditionalFormatting sqref="H196 H200">
    <cfRule type="colorScale" priority="472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2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2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2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3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4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4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4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5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5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97:H199">
    <cfRule type="containsText" dxfId="2975" priority="4352" operator="containsText" text="ACTIVO">
      <formula>NOT(ISERROR(SEARCH("ACTIVO",H197)))</formula>
    </cfRule>
    <cfRule type="containsText" dxfId="2974" priority="4353" operator="containsText" text="INACTIVA">
      <formula>NOT(ISERROR(SEARCH("INACTIVA",H197)))</formula>
    </cfRule>
    <cfRule type="containsText" dxfId="2973" priority="4354" operator="containsText" text="BAJA">
      <formula>NOT(ISERROR(SEARCH("BAJA",H197)))</formula>
    </cfRule>
    <cfRule type="containsText" dxfId="2972" priority="4355" operator="containsText" text="ACTIVO">
      <formula>NOT(ISERROR(SEARCH("ACTIVO",H197)))</formula>
    </cfRule>
    <cfRule type="containsText" dxfId="2971" priority="4356" operator="containsText" text="ACTIVO">
      <formula>NOT(ISERROR(SEARCH("ACTIVO",H197)))</formula>
    </cfRule>
    <cfRule type="containsText" dxfId="2970" priority="4357" operator="containsText" text="BAJA">
      <formula>NOT(ISERROR(SEARCH("BAJA",H197)))</formula>
    </cfRule>
    <cfRule type="containsText" dxfId="2969" priority="4358" operator="containsText" text="ACTIVO">
      <formula>NOT(ISERROR(SEARCH("ACTIVO",H197)))</formula>
    </cfRule>
    <cfRule type="containsText" dxfId="2968" priority="4359" operator="containsText" text="ACTIVO">
      <formula>NOT(ISERROR(SEARCH("ACTIVO",H197)))</formula>
    </cfRule>
    <cfRule type="containsText" dxfId="2967" priority="4360" operator="containsText" text="BAJA">
      <formula>NOT(ISERROR(SEARCH("BAJA",H197)))</formula>
    </cfRule>
    <cfRule type="containsText" dxfId="2966" priority="4361" operator="containsText" text="ACTIVO">
      <formula>NOT(ISERROR(SEARCH("ACTIVO",H197)))</formula>
    </cfRule>
    <cfRule type="containsText" dxfId="2965" priority="4362" operator="containsText" text="ACTIVO">
      <formula>NOT(ISERROR(SEARCH("ACTIVO",H197)))</formula>
    </cfRule>
    <cfRule type="containsText" dxfId="2964" priority="4363" operator="containsText" text="ACTIVO">
      <formula>NOT(ISERROR(SEARCH("ACTIVO",H197)))</formula>
    </cfRule>
    <cfRule type="containsText" dxfId="2963" priority="4364" operator="containsText" text="ACTIVO">
      <formula>NOT(ISERROR(SEARCH("ACTIVO",H197)))</formula>
    </cfRule>
    <cfRule type="containsText" dxfId="2962" priority="4365" operator="containsText" text="BAJA">
      <formula>NOT(ISERROR(SEARCH("BAJA",H197)))</formula>
    </cfRule>
    <cfRule type="containsText" dxfId="2961" priority="4366" operator="containsText" text="INACTIVA">
      <formula>NOT(ISERROR(SEARCH("INACTIVA",H197)))</formula>
    </cfRule>
    <cfRule type="containsText" dxfId="2960" priority="4367" operator="containsText" text="ACTIVO">
      <formula>NOT(ISERROR(SEARCH("ACTIVO",H197)))</formula>
    </cfRule>
    <cfRule type="containsText" dxfId="2959" priority="4368" operator="containsText" text="BAJA">
      <formula>NOT(ISERROR(SEARCH("BAJA",H197)))</formula>
    </cfRule>
    <cfRule type="containsText" dxfId="2958" priority="4369" operator="containsText" text="ACTIVO">
      <formula>NOT(ISERROR(SEARCH("ACTIVO",H197)))</formula>
    </cfRule>
    <cfRule type="containsText" dxfId="2957" priority="4370" operator="containsText" text="INACTIVA">
      <formula>NOT(ISERROR(SEARCH("INACTIVA",H197)))</formula>
    </cfRule>
    <cfRule type="containsText" dxfId="2956" priority="4371" operator="containsText" text="BAJA">
      <formula>NOT(ISERROR(SEARCH("BAJA",H197)))</formula>
    </cfRule>
    <cfRule type="containsText" dxfId="2955" priority="4372" operator="containsText" text="ACTIVA">
      <formula>NOT(ISERROR(SEARCH("ACTIVA",H197)))</formula>
    </cfRule>
    <cfRule type="containsText" dxfId="2954" priority="4373" operator="containsText" text="ACTIVO">
      <formula>NOT(ISERROR(SEARCH("ACTIVO",H197)))</formula>
    </cfRule>
  </conditionalFormatting>
  <conditionalFormatting sqref="H197:H200">
    <cfRule type="containsText" dxfId="2953" priority="4374" operator="containsText" text="ACTIVO">
      <formula>NOT(ISERROR(SEARCH("ACTIVO",H197)))</formula>
    </cfRule>
    <cfRule type="containsText" dxfId="2952" priority="4375" operator="containsText" text="INACTIVA">
      <formula>NOT(ISERROR(SEARCH("INACTIVA",H197)))</formula>
    </cfRule>
  </conditionalFormatting>
  <conditionalFormatting sqref="H201:H207">
    <cfRule type="containsText" dxfId="2951" priority="4330" operator="containsText" text="BAJA">
      <formula>NOT(ISERROR(SEARCH("BAJA",H201)))</formula>
    </cfRule>
    <cfRule type="containsText" dxfId="2950" priority="4331" operator="containsText" text="ACTIVO">
      <formula>NOT(ISERROR(SEARCH("ACTIVO",H201)))</formula>
    </cfRule>
    <cfRule type="containsText" dxfId="2949" priority="4332" operator="containsText" text="ACTIVO">
      <formula>NOT(ISERROR(SEARCH("ACTIVO",H201)))</formula>
    </cfRule>
    <cfRule type="containsText" dxfId="2948" priority="4333" operator="containsText" text="BAJA">
      <formula>NOT(ISERROR(SEARCH("BAJA",H201)))</formula>
    </cfRule>
    <cfRule type="containsText" dxfId="2947" priority="4334" operator="containsText" text="ACTIVO">
      <formula>NOT(ISERROR(SEARCH("ACTIVO",H201)))</formula>
    </cfRule>
    <cfRule type="containsText" dxfId="2946" priority="4335" operator="containsText" text="ACTIVO">
      <formula>NOT(ISERROR(SEARCH("ACTIVO",H201)))</formula>
    </cfRule>
    <cfRule type="containsText" dxfId="2945" priority="4336" operator="containsText" text="BAJA">
      <formula>NOT(ISERROR(SEARCH("BAJA",H201)))</formula>
    </cfRule>
    <cfRule type="containsText" dxfId="2944" priority="4337" operator="containsText" text="ACTIVO">
      <formula>NOT(ISERROR(SEARCH("ACTIVO",H201)))</formula>
    </cfRule>
    <cfRule type="containsText" dxfId="2943" priority="4338" operator="containsText" text="ACTIVO">
      <formula>NOT(ISERROR(SEARCH("ACTIVO",H201)))</formula>
    </cfRule>
    <cfRule type="containsText" dxfId="2942" priority="4339" operator="containsText" text="ACTIVO">
      <formula>NOT(ISERROR(SEARCH("ACTIVO",H201)))</formula>
    </cfRule>
    <cfRule type="containsText" dxfId="2941" priority="4340" operator="containsText" text="ACTIVO">
      <formula>NOT(ISERROR(SEARCH("ACTIVO",H201)))</formula>
    </cfRule>
    <cfRule type="containsText" dxfId="2940" priority="4341" operator="containsText" text="BAJA">
      <formula>NOT(ISERROR(SEARCH("BAJA",H201)))</formula>
    </cfRule>
    <cfRule type="containsText" dxfId="2939" priority="4342" operator="containsText" text="INACTIVA">
      <formula>NOT(ISERROR(SEARCH("INACTIVA",H201)))</formula>
    </cfRule>
    <cfRule type="containsText" dxfId="2938" priority="4343" operator="containsText" text="ACTIVO">
      <formula>NOT(ISERROR(SEARCH("ACTIVO",H201)))</formula>
    </cfRule>
    <cfRule type="containsText" dxfId="2937" priority="4344" operator="containsText" text="BAJA">
      <formula>NOT(ISERROR(SEARCH("BAJA",H201)))</formula>
    </cfRule>
    <cfRule type="containsText" dxfId="2936" priority="4345" operator="containsText" text="ACTIVO">
      <formula>NOT(ISERROR(SEARCH("ACTIVO",H201)))</formula>
    </cfRule>
    <cfRule type="containsText" dxfId="2935" priority="4346" operator="containsText" text="INACTIVA">
      <formula>NOT(ISERROR(SEARCH("INACTIVA",H201)))</formula>
    </cfRule>
    <cfRule type="containsText" dxfId="2934" priority="4347" operator="containsText" text="BAJA">
      <formula>NOT(ISERROR(SEARCH("BAJA",H201)))</formula>
    </cfRule>
    <cfRule type="containsText" dxfId="2933" priority="4348" operator="containsText" text="ACTIVA">
      <formula>NOT(ISERROR(SEARCH("ACTIVA",H201)))</formula>
    </cfRule>
    <cfRule type="containsText" dxfId="2932" priority="4349" operator="containsText" text="ACTIVO">
      <formula>NOT(ISERROR(SEARCH("ACTIVO",H201)))</formula>
    </cfRule>
    <cfRule type="containsText" dxfId="2931" priority="4350" operator="containsText" text="ACTIVO">
      <formula>NOT(ISERROR(SEARCH("ACTIVO",H201)))</formula>
    </cfRule>
    <cfRule type="containsText" dxfId="2930" priority="4351" operator="containsText" text="INACTIVA">
      <formula>NOT(ISERROR(SEARCH("INACTIVA",H201)))</formula>
    </cfRule>
  </conditionalFormatting>
  <conditionalFormatting sqref="H201:H210">
    <cfRule type="containsText" dxfId="2929" priority="1238" operator="containsText" text="ACTIVO">
      <formula>NOT(ISERROR(SEARCH("ACTIVO",H201)))</formula>
    </cfRule>
    <cfRule type="containsText" dxfId="2928" priority="1241" operator="containsText" text="INACTIVA">
      <formula>NOT(ISERROR(SEARCH("INACTIVA",H201)))</formula>
    </cfRule>
  </conditionalFormatting>
  <conditionalFormatting sqref="H208">
    <cfRule type="containsText" dxfId="2927" priority="1218" operator="containsText" text="ACTIVO">
      <formula>NOT(ISERROR(SEARCH("ACTIVO",H208)))</formula>
    </cfRule>
    <cfRule type="containsText" dxfId="2926" priority="1219" operator="containsText" text="INACTIVA">
      <formula>NOT(ISERROR(SEARCH("INACTIVA",H208)))</formula>
    </cfRule>
    <cfRule type="containsText" dxfId="2925" priority="1220" operator="containsText" text="BAJA">
      <formula>NOT(ISERROR(SEARCH("BAJA",H208)))</formula>
    </cfRule>
    <cfRule type="containsText" dxfId="2924" priority="1221" operator="containsText" text="ACTIVO">
      <formula>NOT(ISERROR(SEARCH("ACTIVO",H208)))</formula>
    </cfRule>
    <cfRule type="containsText" dxfId="2923" priority="1222" operator="containsText" text="ACTIVO">
      <formula>NOT(ISERROR(SEARCH("ACTIVO",H208)))</formula>
    </cfRule>
    <cfRule type="containsText" dxfId="2922" priority="1223" operator="containsText" text="BAJA">
      <formula>NOT(ISERROR(SEARCH("BAJA",H208)))</formula>
    </cfRule>
    <cfRule type="containsText" dxfId="2921" priority="1224" operator="containsText" text="ACTIVO">
      <formula>NOT(ISERROR(SEARCH("ACTIVO",H208)))</formula>
    </cfRule>
    <cfRule type="containsText" dxfId="2920" priority="1225" operator="containsText" text="ACTIVO">
      <formula>NOT(ISERROR(SEARCH("ACTIVO",H208)))</formula>
    </cfRule>
    <cfRule type="containsText" dxfId="2919" priority="1226" operator="containsText" text="BAJA">
      <formula>NOT(ISERROR(SEARCH("BAJA",H208)))</formula>
    </cfRule>
    <cfRule type="containsText" dxfId="2918" priority="1227" operator="containsText" text="ACTIVO">
      <formula>NOT(ISERROR(SEARCH("ACTIVO",H208)))</formula>
    </cfRule>
    <cfRule type="containsText" dxfId="2917" priority="1228" operator="containsText" text="ACTIVO">
      <formula>NOT(ISERROR(SEARCH("ACTIVO",H208)))</formula>
    </cfRule>
    <cfRule type="containsText" dxfId="2916" priority="1229" operator="containsText" text="ACTIVO">
      <formula>NOT(ISERROR(SEARCH("ACTIVO",H208)))</formula>
    </cfRule>
    <cfRule type="containsText" dxfId="2915" priority="1230" operator="containsText" text="ACTIVO">
      <formula>NOT(ISERROR(SEARCH("ACTIVO",H208)))</formula>
    </cfRule>
    <cfRule type="containsText" dxfId="2914" priority="1231" operator="containsText" text="BAJA">
      <formula>NOT(ISERROR(SEARCH("BAJA",H208)))</formula>
    </cfRule>
    <cfRule type="containsText" dxfId="2913" priority="1232" operator="containsText" text="INACTIVA">
      <formula>NOT(ISERROR(SEARCH("INACTIVA",H208)))</formula>
    </cfRule>
    <cfRule type="containsText" dxfId="2912" priority="1233" operator="containsText" text="ACTIVO">
      <formula>NOT(ISERROR(SEARCH("ACTIVO",H208)))</formula>
    </cfRule>
    <cfRule type="containsText" dxfId="2911" priority="1234" operator="containsText" text="BAJA">
      <formula>NOT(ISERROR(SEARCH("BAJA",H208)))</formula>
    </cfRule>
    <cfRule type="containsText" dxfId="2910" priority="1235" operator="containsText" text="ACTIVO">
      <formula>NOT(ISERROR(SEARCH("ACTIVO",H208)))</formula>
    </cfRule>
    <cfRule type="containsText" dxfId="2909" priority="1236" operator="containsText" text="INACTIVA">
      <formula>NOT(ISERROR(SEARCH("INACTIVA",H208)))</formula>
    </cfRule>
    <cfRule type="containsText" dxfId="2908" priority="1237" operator="containsText" text="BAJA">
      <formula>NOT(ISERROR(SEARCH("BAJA",H208)))</formula>
    </cfRule>
    <cfRule type="containsText" dxfId="2907" priority="1239" operator="containsText" text="BAJA">
      <formula>NOT(ISERROR(SEARCH("BAJA",H208)))</formula>
    </cfRule>
    <cfRule type="containsText" dxfId="2906" priority="1240" operator="containsText" text="ACTIVA">
      <formula>NOT(ISERROR(SEARCH("ACTIVA",H208)))</formula>
    </cfRule>
    <cfRule type="containsText" dxfId="2905" priority="1242" operator="containsText" text="ACTIVO">
      <formula>NOT(ISERROR(SEARCH("ACTIVO",H208)))</formula>
    </cfRule>
  </conditionalFormatting>
  <conditionalFormatting sqref="H209:H210">
    <cfRule type="containsText" dxfId="2904" priority="4308" operator="containsText" text="BAJA">
      <formula>NOT(ISERROR(SEARCH("BAJA",H209)))</formula>
    </cfRule>
    <cfRule type="containsText" dxfId="2903" priority="4309" operator="containsText" text="ACTIVO">
      <formula>NOT(ISERROR(SEARCH("ACTIVO",H209)))</formula>
    </cfRule>
    <cfRule type="containsText" dxfId="2902" priority="4310" operator="containsText" text="ACTIVO">
      <formula>NOT(ISERROR(SEARCH("ACTIVO",H209)))</formula>
    </cfRule>
    <cfRule type="containsText" dxfId="2901" priority="4311" operator="containsText" text="BAJA">
      <formula>NOT(ISERROR(SEARCH("BAJA",H209)))</formula>
    </cfRule>
    <cfRule type="containsText" dxfId="2900" priority="4312" operator="containsText" text="ACTIVO">
      <formula>NOT(ISERROR(SEARCH("ACTIVO",H209)))</formula>
    </cfRule>
    <cfRule type="containsText" dxfId="2899" priority="4313" operator="containsText" text="ACTIVO">
      <formula>NOT(ISERROR(SEARCH("ACTIVO",H209)))</formula>
    </cfRule>
    <cfRule type="containsText" dxfId="2898" priority="4314" operator="containsText" text="BAJA">
      <formula>NOT(ISERROR(SEARCH("BAJA",H209)))</formula>
    </cfRule>
    <cfRule type="containsText" dxfId="2897" priority="4315" operator="containsText" text="ACTIVO">
      <formula>NOT(ISERROR(SEARCH("ACTIVO",H209)))</formula>
    </cfRule>
    <cfRule type="containsText" dxfId="2896" priority="4316" operator="containsText" text="ACTIVO">
      <formula>NOT(ISERROR(SEARCH("ACTIVO",H209)))</formula>
    </cfRule>
    <cfRule type="containsText" dxfId="2895" priority="4317" operator="containsText" text="ACTIVO">
      <formula>NOT(ISERROR(SEARCH("ACTIVO",H209)))</formula>
    </cfRule>
    <cfRule type="containsText" dxfId="2894" priority="4318" operator="containsText" text="ACTIVO">
      <formula>NOT(ISERROR(SEARCH("ACTIVO",H209)))</formula>
    </cfRule>
    <cfRule type="containsText" dxfId="2893" priority="4319" operator="containsText" text="BAJA">
      <formula>NOT(ISERROR(SEARCH("BAJA",H209)))</formula>
    </cfRule>
    <cfRule type="containsText" dxfId="2892" priority="4320" operator="containsText" text="INACTIVA">
      <formula>NOT(ISERROR(SEARCH("INACTIVA",H209)))</formula>
    </cfRule>
    <cfRule type="containsText" dxfId="2891" priority="4321" operator="containsText" text="ACTIVO">
      <formula>NOT(ISERROR(SEARCH("ACTIVO",H209)))</formula>
    </cfRule>
    <cfRule type="containsText" dxfId="2890" priority="4322" operator="containsText" text="BAJA">
      <formula>NOT(ISERROR(SEARCH("BAJA",H209)))</formula>
    </cfRule>
    <cfRule type="containsText" dxfId="2889" priority="4323" operator="containsText" text="ACTIVO">
      <formula>NOT(ISERROR(SEARCH("ACTIVO",H209)))</formula>
    </cfRule>
    <cfRule type="containsText" dxfId="2888" priority="4324" operator="containsText" text="INACTIVA">
      <formula>NOT(ISERROR(SEARCH("INACTIVA",H209)))</formula>
    </cfRule>
    <cfRule type="containsText" dxfId="2887" priority="4325" operator="containsText" text="BAJA">
      <formula>NOT(ISERROR(SEARCH("BAJA",H209)))</formula>
    </cfRule>
    <cfRule type="containsText" dxfId="2886" priority="4326" operator="containsText" text="ACTIVA">
      <formula>NOT(ISERROR(SEARCH("ACTIVA",H209)))</formula>
    </cfRule>
    <cfRule type="containsText" dxfId="2885" priority="4327" operator="containsText" text="ACTIVO">
      <formula>NOT(ISERROR(SEARCH("ACTIVO",H209)))</formula>
    </cfRule>
  </conditionalFormatting>
  <conditionalFormatting sqref="H209:H211">
    <cfRule type="containsText" dxfId="2884" priority="4328" operator="containsText" text="ACTIVO">
      <formula>NOT(ISERROR(SEARCH("ACTIVO",H209)))</formula>
    </cfRule>
    <cfRule type="containsText" dxfId="2883" priority="4329" operator="containsText" text="INACTIVA">
      <formula>NOT(ISERROR(SEARCH("INACTIVA",H209)))</formula>
    </cfRule>
  </conditionalFormatting>
  <conditionalFormatting sqref="H211">
    <cfRule type="containsText" dxfId="2882" priority="4665" operator="containsText" text="BAJA">
      <formula>NOT(ISERROR(SEARCH("BAJA",H211)))</formula>
    </cfRule>
    <cfRule type="containsText" dxfId="2881" priority="4666" operator="containsText" text="ACTIVO">
      <formula>NOT(ISERROR(SEARCH("ACTIVO",H211)))</formula>
    </cfRule>
    <cfRule type="containsText" dxfId="2880" priority="4667" operator="containsText" text="BAJA">
      <formula>NOT(ISERROR(SEARCH("BAJA",H211)))</formula>
    </cfRule>
    <cfRule type="colorScale" priority="46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6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7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79" priority="4672" operator="containsText" text="ACTIVO">
      <formula>NOT(ISERROR(SEARCH("ACTIVO",H211)))</formula>
    </cfRule>
    <cfRule type="containsText" dxfId="2878" priority="4673" operator="containsText" text="ACTIVO">
      <formula>NOT(ISERROR(SEARCH("ACTIVO",H211)))</formula>
    </cfRule>
    <cfRule type="containsText" dxfId="2877" priority="4674" operator="containsText" text="BAJA">
      <formula>NOT(ISERROR(SEARCH("BAJA",H211)))</formula>
    </cfRule>
    <cfRule type="containsText" dxfId="2876" priority="4675" operator="containsText" text="ACTIVO">
      <formula>NOT(ISERROR(SEARCH("ACTIVO",H211)))</formula>
    </cfRule>
    <cfRule type="containsText" dxfId="2875" priority="4676" operator="containsText" text="ACTIVO">
      <formula>NOT(ISERROR(SEARCH("ACTIVO",H211)))</formula>
    </cfRule>
    <cfRule type="colorScale" priority="46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7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74" priority="4679" operator="containsText" text="BAJA">
      <formula>NOT(ISERROR(SEARCH("BAJA",H211)))</formula>
    </cfRule>
    <cfRule type="containsText" dxfId="2873" priority="4680" operator="containsText" text="ACTIVO">
      <formula>NOT(ISERROR(SEARCH("ACTIVO",H211)))</formula>
    </cfRule>
    <cfRule type="containsText" dxfId="2872" priority="4681" operator="containsText" text="ACTIVO">
      <formula>NOT(ISERROR(SEARCH("ACTIVO",H211)))</formula>
    </cfRule>
    <cfRule type="containsText" dxfId="2871" priority="4682" operator="containsText" text="ACTIVO">
      <formula>NOT(ISERROR(SEARCH("ACTIVO",H211)))</formula>
    </cfRule>
    <cfRule type="containsText" dxfId="2870" priority="4683" operator="containsText" text="ACTIVO">
      <formula>NOT(ISERROR(SEARCH("ACTIVO",H211)))</formula>
    </cfRule>
    <cfRule type="containsText" dxfId="2869" priority="4684" operator="containsText" text="BAJA">
      <formula>NOT(ISERROR(SEARCH("BAJA",H211)))</formula>
    </cfRule>
    <cfRule type="containsText" dxfId="2868" priority="4685" operator="containsText" text="INACTIVA">
      <formula>NOT(ISERROR(SEARCH("INACTIVA",H211)))</formula>
    </cfRule>
    <cfRule type="colorScale" priority="468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8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8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8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67" priority="4690" operator="containsText" text="ACTIVO">
      <formula>NOT(ISERROR(SEARCH("ACTIVO",H211)))</formula>
    </cfRule>
    <cfRule type="containsText" dxfId="2866" priority="4691" operator="containsText" text="BAJA">
      <formula>NOT(ISERROR(SEARCH("BAJA",H211)))</formula>
    </cfRule>
    <cfRule type="containsText" dxfId="2865" priority="4692" operator="containsText" text="ACTIVO">
      <formula>NOT(ISERROR(SEARCH("ACTIVO",H211)))</formula>
    </cfRule>
    <cfRule type="colorScale" priority="469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9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9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9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64" priority="4697" operator="containsText" text="INACTIVA">
      <formula>NOT(ISERROR(SEARCH("INACTIVA",H211)))</formula>
    </cfRule>
    <cfRule type="containsText" dxfId="2863" priority="4698" operator="containsText" text="BAJA">
      <formula>NOT(ISERROR(SEARCH("BAJA",H211)))</formula>
    </cfRule>
    <cfRule type="containsText" dxfId="2862" priority="4699" operator="containsText" text="ACTIVO">
      <formula>NOT(ISERROR(SEARCH("ACTIVO",H211)))</formula>
    </cfRule>
    <cfRule type="containsText" dxfId="2861" priority="4700" operator="containsText" text="BAJA">
      <formula>NOT(ISERROR(SEARCH("BAJA",H211)))</formula>
    </cfRule>
    <cfRule type="colorScale" priority="470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0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60" priority="4703" operator="containsText" text="INACTIVA">
      <formula>NOT(ISERROR(SEARCH("INACTIVA",H211)))</formula>
    </cfRule>
    <cfRule type="containsText" dxfId="2859" priority="4704" operator="containsText" text="ACTIVA">
      <formula>NOT(ISERROR(SEARCH("ACTIVA",H211)))</formula>
    </cfRule>
    <cfRule type="colorScale" priority="470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0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58" priority="4707" operator="containsText" text="INACTIVA">
      <formula>NOT(ISERROR(SEARCH("INACTIVA",H211)))</formula>
    </cfRule>
    <cfRule type="colorScale" priority="470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0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1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1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57" priority="4712" operator="containsText" text="ACTIVO">
      <formula>NOT(ISERROR(SEARCH("ACTIVO",H211)))</formula>
    </cfRule>
    <cfRule type="colorScale" priority="47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1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12:H214">
    <cfRule type="containsText" dxfId="2856" priority="4286" operator="containsText" text="BAJA">
      <formula>NOT(ISERROR(SEARCH("BAJA",H212)))</formula>
    </cfRule>
    <cfRule type="containsText" dxfId="2855" priority="4287" operator="containsText" text="ACTIVO">
      <formula>NOT(ISERROR(SEARCH("ACTIVO",H212)))</formula>
    </cfRule>
    <cfRule type="containsText" dxfId="2854" priority="4288" operator="containsText" text="ACTIVO">
      <formula>NOT(ISERROR(SEARCH("ACTIVO",H212)))</formula>
    </cfRule>
    <cfRule type="containsText" dxfId="2853" priority="4289" operator="containsText" text="BAJA">
      <formula>NOT(ISERROR(SEARCH("BAJA",H212)))</formula>
    </cfRule>
    <cfRule type="containsText" dxfId="2852" priority="4290" operator="containsText" text="ACTIVO">
      <formula>NOT(ISERROR(SEARCH("ACTIVO",H212)))</formula>
    </cfRule>
    <cfRule type="containsText" dxfId="2851" priority="4291" operator="containsText" text="ACTIVO">
      <formula>NOT(ISERROR(SEARCH("ACTIVO",H212)))</formula>
    </cfRule>
    <cfRule type="containsText" dxfId="2850" priority="4292" operator="containsText" text="BAJA">
      <formula>NOT(ISERROR(SEARCH("BAJA",H212)))</formula>
    </cfRule>
    <cfRule type="containsText" dxfId="2849" priority="4293" operator="containsText" text="ACTIVO">
      <formula>NOT(ISERROR(SEARCH("ACTIVO",H212)))</formula>
    </cfRule>
    <cfRule type="containsText" dxfId="2848" priority="4294" operator="containsText" text="ACTIVO">
      <formula>NOT(ISERROR(SEARCH("ACTIVO",H212)))</formula>
    </cfRule>
    <cfRule type="containsText" dxfId="2847" priority="4295" operator="containsText" text="ACTIVO">
      <formula>NOT(ISERROR(SEARCH("ACTIVO",H212)))</formula>
    </cfRule>
    <cfRule type="containsText" dxfId="2846" priority="4296" operator="containsText" text="ACTIVO">
      <formula>NOT(ISERROR(SEARCH("ACTIVO",H212)))</formula>
    </cfRule>
    <cfRule type="containsText" dxfId="2845" priority="4297" operator="containsText" text="BAJA">
      <formula>NOT(ISERROR(SEARCH("BAJA",H212)))</formula>
    </cfRule>
    <cfRule type="containsText" dxfId="2844" priority="4298" operator="containsText" text="INACTIVA">
      <formula>NOT(ISERROR(SEARCH("INACTIVA",H212)))</formula>
    </cfRule>
    <cfRule type="containsText" dxfId="2843" priority="4299" operator="containsText" text="ACTIVO">
      <formula>NOT(ISERROR(SEARCH("ACTIVO",H212)))</formula>
    </cfRule>
    <cfRule type="containsText" dxfId="2842" priority="4300" operator="containsText" text="BAJA">
      <formula>NOT(ISERROR(SEARCH("BAJA",H212)))</formula>
    </cfRule>
    <cfRule type="containsText" dxfId="2841" priority="4301" operator="containsText" text="ACTIVO">
      <formula>NOT(ISERROR(SEARCH("ACTIVO",H212)))</formula>
    </cfRule>
    <cfRule type="containsText" dxfId="2840" priority="4302" operator="containsText" text="INACTIVA">
      <formula>NOT(ISERROR(SEARCH("INACTIVA",H212)))</formula>
    </cfRule>
    <cfRule type="containsText" dxfId="2839" priority="4303" operator="containsText" text="BAJA">
      <formula>NOT(ISERROR(SEARCH("BAJA",H212)))</formula>
    </cfRule>
    <cfRule type="containsText" dxfId="2838" priority="4304" operator="containsText" text="ACTIVA">
      <formula>NOT(ISERROR(SEARCH("ACTIVA",H212)))</formula>
    </cfRule>
    <cfRule type="containsText" dxfId="2837" priority="4305" operator="containsText" text="ACTIVO">
      <formula>NOT(ISERROR(SEARCH("ACTIVO",H212)))</formula>
    </cfRule>
    <cfRule type="containsText" dxfId="2836" priority="4306" operator="containsText" text="ACTIVO">
      <formula>NOT(ISERROR(SEARCH("ACTIVO",H212)))</formula>
    </cfRule>
    <cfRule type="containsText" dxfId="2835" priority="4307" operator="containsText" text="INACTIVA">
      <formula>NOT(ISERROR(SEARCH("INACTIVA",H212)))</formula>
    </cfRule>
  </conditionalFormatting>
  <conditionalFormatting sqref="H212:H218">
    <cfRule type="containsText" dxfId="2834" priority="2474" operator="containsText" text="ACTIVO">
      <formula>NOT(ISERROR(SEARCH("ACTIVO",H212)))</formula>
    </cfRule>
    <cfRule type="containsText" dxfId="2833" priority="2477" operator="containsText" text="INACTIVA">
      <formula>NOT(ISERROR(SEARCH("INACTIVA",H212)))</formula>
    </cfRule>
  </conditionalFormatting>
  <conditionalFormatting sqref="H215">
    <cfRule type="containsText" dxfId="2832" priority="2454" operator="containsText" text="ACTIVO">
      <formula>NOT(ISERROR(SEARCH("ACTIVO",H215)))</formula>
    </cfRule>
    <cfRule type="containsText" dxfId="2831" priority="2455" operator="containsText" text="INACTIVA">
      <formula>NOT(ISERROR(SEARCH("INACTIVA",H215)))</formula>
    </cfRule>
    <cfRule type="containsText" dxfId="2830" priority="2456" operator="containsText" text="BAJA">
      <formula>NOT(ISERROR(SEARCH("BAJA",H215)))</formula>
    </cfRule>
    <cfRule type="containsText" dxfId="2829" priority="2457" operator="containsText" text="ACTIVO">
      <formula>NOT(ISERROR(SEARCH("ACTIVO",H215)))</formula>
    </cfRule>
    <cfRule type="containsText" dxfId="2828" priority="2458" operator="containsText" text="ACTIVO">
      <formula>NOT(ISERROR(SEARCH("ACTIVO",H215)))</formula>
    </cfRule>
    <cfRule type="containsText" dxfId="2827" priority="2459" operator="containsText" text="BAJA">
      <formula>NOT(ISERROR(SEARCH("BAJA",H215)))</formula>
    </cfRule>
    <cfRule type="containsText" dxfId="2826" priority="2460" operator="containsText" text="ACTIVO">
      <formula>NOT(ISERROR(SEARCH("ACTIVO",H215)))</formula>
    </cfRule>
    <cfRule type="containsText" dxfId="2825" priority="2461" operator="containsText" text="ACTIVO">
      <formula>NOT(ISERROR(SEARCH("ACTIVO",H215)))</formula>
    </cfRule>
    <cfRule type="containsText" dxfId="2824" priority="2462" operator="containsText" text="BAJA">
      <formula>NOT(ISERROR(SEARCH("BAJA",H215)))</formula>
    </cfRule>
    <cfRule type="containsText" dxfId="2823" priority="2463" operator="containsText" text="ACTIVO">
      <formula>NOT(ISERROR(SEARCH("ACTIVO",H215)))</formula>
    </cfRule>
    <cfRule type="containsText" dxfId="2822" priority="2464" operator="containsText" text="ACTIVO">
      <formula>NOT(ISERROR(SEARCH("ACTIVO",H215)))</formula>
    </cfRule>
    <cfRule type="containsText" dxfId="2821" priority="2465" operator="containsText" text="ACTIVO">
      <formula>NOT(ISERROR(SEARCH("ACTIVO",H215)))</formula>
    </cfRule>
    <cfRule type="containsText" dxfId="2820" priority="2466" operator="containsText" text="ACTIVO">
      <formula>NOT(ISERROR(SEARCH("ACTIVO",H215)))</formula>
    </cfRule>
    <cfRule type="containsText" dxfId="2819" priority="2467" operator="containsText" text="BAJA">
      <formula>NOT(ISERROR(SEARCH("BAJA",H215)))</formula>
    </cfRule>
    <cfRule type="containsText" dxfId="2818" priority="2468" operator="containsText" text="INACTIVA">
      <formula>NOT(ISERROR(SEARCH("INACTIVA",H215)))</formula>
    </cfRule>
    <cfRule type="containsText" dxfId="2817" priority="2469" operator="containsText" text="ACTIVO">
      <formula>NOT(ISERROR(SEARCH("ACTIVO",H215)))</formula>
    </cfRule>
    <cfRule type="containsText" dxfId="2816" priority="2470" operator="containsText" text="BAJA">
      <formula>NOT(ISERROR(SEARCH("BAJA",H215)))</formula>
    </cfRule>
    <cfRule type="containsText" dxfId="2815" priority="2471" operator="containsText" text="ACTIVO">
      <formula>NOT(ISERROR(SEARCH("ACTIVO",H215)))</formula>
    </cfRule>
    <cfRule type="containsText" dxfId="2814" priority="2472" operator="containsText" text="INACTIVA">
      <formula>NOT(ISERROR(SEARCH("INACTIVA",H215)))</formula>
    </cfRule>
    <cfRule type="containsText" dxfId="2813" priority="2473" operator="containsText" text="BAJA">
      <formula>NOT(ISERROR(SEARCH("BAJA",H215)))</formula>
    </cfRule>
    <cfRule type="containsText" dxfId="2812" priority="2475" operator="containsText" text="BAJA">
      <formula>NOT(ISERROR(SEARCH("BAJA",H215)))</formula>
    </cfRule>
    <cfRule type="containsText" dxfId="2811" priority="2476" operator="containsText" text="ACTIVA">
      <formula>NOT(ISERROR(SEARCH("ACTIVA",H215)))</formula>
    </cfRule>
    <cfRule type="containsText" dxfId="2810" priority="2478" operator="containsText" text="ACTIVO">
      <formula>NOT(ISERROR(SEARCH("ACTIVO",H215)))</formula>
    </cfRule>
  </conditionalFormatting>
  <conditionalFormatting sqref="H216:H218">
    <cfRule type="containsText" dxfId="2809" priority="4264" operator="containsText" text="BAJA">
      <formula>NOT(ISERROR(SEARCH("BAJA",H216)))</formula>
    </cfRule>
    <cfRule type="containsText" dxfId="2808" priority="4265" operator="containsText" text="ACTIVO">
      <formula>NOT(ISERROR(SEARCH("ACTIVO",H216)))</formula>
    </cfRule>
    <cfRule type="containsText" dxfId="2807" priority="4266" operator="containsText" text="ACTIVO">
      <formula>NOT(ISERROR(SEARCH("ACTIVO",H216)))</formula>
    </cfRule>
    <cfRule type="containsText" dxfId="2806" priority="4267" operator="containsText" text="BAJA">
      <formula>NOT(ISERROR(SEARCH("BAJA",H216)))</formula>
    </cfRule>
    <cfRule type="containsText" dxfId="2805" priority="4268" operator="containsText" text="ACTIVO">
      <formula>NOT(ISERROR(SEARCH("ACTIVO",H216)))</formula>
    </cfRule>
    <cfRule type="containsText" dxfId="2804" priority="4269" operator="containsText" text="ACTIVO">
      <formula>NOT(ISERROR(SEARCH("ACTIVO",H216)))</formula>
    </cfRule>
    <cfRule type="containsText" dxfId="2803" priority="4270" operator="containsText" text="BAJA">
      <formula>NOT(ISERROR(SEARCH("BAJA",H216)))</formula>
    </cfRule>
    <cfRule type="containsText" dxfId="2802" priority="4271" operator="containsText" text="ACTIVO">
      <formula>NOT(ISERROR(SEARCH("ACTIVO",H216)))</formula>
    </cfRule>
    <cfRule type="containsText" dxfId="2801" priority="4272" operator="containsText" text="ACTIVO">
      <formula>NOT(ISERROR(SEARCH("ACTIVO",H216)))</formula>
    </cfRule>
    <cfRule type="containsText" dxfId="2800" priority="4273" operator="containsText" text="ACTIVO">
      <formula>NOT(ISERROR(SEARCH("ACTIVO",H216)))</formula>
    </cfRule>
    <cfRule type="containsText" dxfId="2799" priority="4274" operator="containsText" text="ACTIVO">
      <formula>NOT(ISERROR(SEARCH("ACTIVO",H216)))</formula>
    </cfRule>
    <cfRule type="containsText" dxfId="2798" priority="4275" operator="containsText" text="BAJA">
      <formula>NOT(ISERROR(SEARCH("BAJA",H216)))</formula>
    </cfRule>
    <cfRule type="containsText" dxfId="2797" priority="4276" operator="containsText" text="INACTIVA">
      <formula>NOT(ISERROR(SEARCH("INACTIVA",H216)))</formula>
    </cfRule>
    <cfRule type="containsText" dxfId="2796" priority="4277" operator="containsText" text="ACTIVO">
      <formula>NOT(ISERROR(SEARCH("ACTIVO",H216)))</formula>
    </cfRule>
    <cfRule type="containsText" dxfId="2795" priority="4278" operator="containsText" text="BAJA">
      <formula>NOT(ISERROR(SEARCH("BAJA",H216)))</formula>
    </cfRule>
    <cfRule type="containsText" dxfId="2794" priority="4279" operator="containsText" text="ACTIVO">
      <formula>NOT(ISERROR(SEARCH("ACTIVO",H216)))</formula>
    </cfRule>
    <cfRule type="containsText" dxfId="2793" priority="4280" operator="containsText" text="INACTIVA">
      <formula>NOT(ISERROR(SEARCH("INACTIVA",H216)))</formula>
    </cfRule>
    <cfRule type="containsText" dxfId="2792" priority="4281" operator="containsText" text="BAJA">
      <formula>NOT(ISERROR(SEARCH("BAJA",H216)))</formula>
    </cfRule>
    <cfRule type="containsText" dxfId="2791" priority="4282" operator="containsText" text="ACTIVA">
      <formula>NOT(ISERROR(SEARCH("ACTIVA",H216)))</formula>
    </cfRule>
    <cfRule type="containsText" dxfId="2790" priority="4283" operator="containsText" text="ACTIVO">
      <formula>NOT(ISERROR(SEARCH("ACTIVO",H216)))</formula>
    </cfRule>
    <cfRule type="containsText" dxfId="2789" priority="4284" operator="containsText" text="ACTIVO">
      <formula>NOT(ISERROR(SEARCH("ACTIVO",H216)))</formula>
    </cfRule>
    <cfRule type="containsText" dxfId="2788" priority="4285" operator="containsText" text="INACTIVA">
      <formula>NOT(ISERROR(SEARCH("INACTIVA",H216)))</formula>
    </cfRule>
  </conditionalFormatting>
  <conditionalFormatting sqref="H219">
    <cfRule type="containsText" dxfId="2787" priority="2382" operator="containsText" text="ACTIVO">
      <formula>NOT(ISERROR(SEARCH("ACTIVO",H219)))</formula>
    </cfRule>
    <cfRule type="containsText" dxfId="2786" priority="2383" operator="containsText" text="INACTIVA">
      <formula>NOT(ISERROR(SEARCH("INACTIVA",H219)))</formula>
    </cfRule>
    <cfRule type="containsText" dxfId="2785" priority="2384" operator="containsText" text="BAJA">
      <formula>NOT(ISERROR(SEARCH("BAJA",H219)))</formula>
    </cfRule>
    <cfRule type="containsText" dxfId="2784" priority="2385" operator="containsText" text="ACTIVO">
      <formula>NOT(ISERROR(SEARCH("ACTIVO",H219)))</formula>
    </cfRule>
    <cfRule type="containsText" dxfId="2783" priority="2386" operator="containsText" text="ACTIVO">
      <formula>NOT(ISERROR(SEARCH("ACTIVO",H219)))</formula>
    </cfRule>
    <cfRule type="containsText" dxfId="2782" priority="2387" operator="containsText" text="BAJA">
      <formula>NOT(ISERROR(SEARCH("BAJA",H219)))</formula>
    </cfRule>
    <cfRule type="containsText" dxfId="2781" priority="2388" operator="containsText" text="ACTIVO">
      <formula>NOT(ISERROR(SEARCH("ACTIVO",H219)))</formula>
    </cfRule>
    <cfRule type="containsText" dxfId="2780" priority="2389" operator="containsText" text="ACTIVO">
      <formula>NOT(ISERROR(SEARCH("ACTIVO",H219)))</formula>
    </cfRule>
    <cfRule type="containsText" dxfId="2779" priority="2390" operator="containsText" text="BAJA">
      <formula>NOT(ISERROR(SEARCH("BAJA",H219)))</formula>
    </cfRule>
    <cfRule type="containsText" dxfId="2778" priority="2391" operator="containsText" text="ACTIVO">
      <formula>NOT(ISERROR(SEARCH("ACTIVO",H219)))</formula>
    </cfRule>
    <cfRule type="containsText" dxfId="2777" priority="2392" operator="containsText" text="ACTIVO">
      <formula>NOT(ISERROR(SEARCH("ACTIVO",H219)))</formula>
    </cfRule>
    <cfRule type="containsText" dxfId="2776" priority="2393" operator="containsText" text="ACTIVO">
      <formula>NOT(ISERROR(SEARCH("ACTIVO",H219)))</formula>
    </cfRule>
    <cfRule type="containsText" dxfId="2775" priority="2394" operator="containsText" text="ACTIVO">
      <formula>NOT(ISERROR(SEARCH("ACTIVO",H219)))</formula>
    </cfRule>
    <cfRule type="containsText" dxfId="2774" priority="2395" operator="containsText" text="BAJA">
      <formula>NOT(ISERROR(SEARCH("BAJA",H219)))</formula>
    </cfRule>
    <cfRule type="containsText" dxfId="2773" priority="2396" operator="containsText" text="INACTIVA">
      <formula>NOT(ISERROR(SEARCH("INACTIVA",H219)))</formula>
    </cfRule>
    <cfRule type="containsText" dxfId="2772" priority="2397" operator="containsText" text="ACTIVO">
      <formula>NOT(ISERROR(SEARCH("ACTIVO",H219)))</formula>
    </cfRule>
    <cfRule type="containsText" dxfId="2771" priority="2398" operator="containsText" text="BAJA">
      <formula>NOT(ISERROR(SEARCH("BAJA",H219)))</formula>
    </cfRule>
    <cfRule type="containsText" dxfId="2770" priority="2399" operator="containsText" text="ACTIVO">
      <formula>NOT(ISERROR(SEARCH("ACTIVO",H219)))</formula>
    </cfRule>
    <cfRule type="containsText" dxfId="2769" priority="2400" operator="containsText" text="INACTIVA">
      <formula>NOT(ISERROR(SEARCH("INACTIVA",H219)))</formula>
    </cfRule>
    <cfRule type="containsText" dxfId="2768" priority="2401" operator="containsText" text="BAJA">
      <formula>NOT(ISERROR(SEARCH("BAJA",H219)))</formula>
    </cfRule>
    <cfRule type="containsText" dxfId="2767" priority="2403" operator="containsText" text="BAJA">
      <formula>NOT(ISERROR(SEARCH("BAJA",H219)))</formula>
    </cfRule>
    <cfRule type="containsText" dxfId="2766" priority="2404" operator="containsText" text="ACTIVA">
      <formula>NOT(ISERROR(SEARCH("ACTIVA",H219)))</formula>
    </cfRule>
    <cfRule type="containsText" dxfId="2765" priority="2406" operator="containsText" text="ACTIVO">
      <formula>NOT(ISERROR(SEARCH("ACTIVO",H219)))</formula>
    </cfRule>
  </conditionalFormatting>
  <conditionalFormatting sqref="H219:H223">
    <cfRule type="containsText" dxfId="2764" priority="2402" operator="containsText" text="ACTIVO">
      <formula>NOT(ISERROR(SEARCH("ACTIVO",H219)))</formula>
    </cfRule>
    <cfRule type="containsText" dxfId="2763" priority="2405" operator="containsText" text="INACTIVA">
      <formula>NOT(ISERROR(SEARCH("INACTIVA",H219)))</formula>
    </cfRule>
  </conditionalFormatting>
  <conditionalFormatting sqref="H220:H221">
    <cfRule type="containsText" dxfId="2762" priority="4242" operator="containsText" text="BAJA">
      <formula>NOT(ISERROR(SEARCH("BAJA",H220)))</formula>
    </cfRule>
    <cfRule type="containsText" dxfId="2761" priority="4243" operator="containsText" text="ACTIVO">
      <formula>NOT(ISERROR(SEARCH("ACTIVO",H220)))</formula>
    </cfRule>
    <cfRule type="containsText" dxfId="2760" priority="4244" operator="containsText" text="ACTIVO">
      <formula>NOT(ISERROR(SEARCH("ACTIVO",H220)))</formula>
    </cfRule>
    <cfRule type="containsText" dxfId="2759" priority="4245" operator="containsText" text="BAJA">
      <formula>NOT(ISERROR(SEARCH("BAJA",H220)))</formula>
    </cfRule>
    <cfRule type="containsText" dxfId="2758" priority="4246" operator="containsText" text="ACTIVO">
      <formula>NOT(ISERROR(SEARCH("ACTIVO",H220)))</formula>
    </cfRule>
    <cfRule type="containsText" dxfId="2757" priority="4247" operator="containsText" text="ACTIVO">
      <formula>NOT(ISERROR(SEARCH("ACTIVO",H220)))</formula>
    </cfRule>
    <cfRule type="containsText" dxfId="2756" priority="4248" operator="containsText" text="BAJA">
      <formula>NOT(ISERROR(SEARCH("BAJA",H220)))</formula>
    </cfRule>
    <cfRule type="containsText" dxfId="2755" priority="4249" operator="containsText" text="ACTIVO">
      <formula>NOT(ISERROR(SEARCH("ACTIVO",H220)))</formula>
    </cfRule>
    <cfRule type="containsText" dxfId="2754" priority="4250" operator="containsText" text="ACTIVO">
      <formula>NOT(ISERROR(SEARCH("ACTIVO",H220)))</formula>
    </cfRule>
    <cfRule type="containsText" dxfId="2753" priority="4251" operator="containsText" text="ACTIVO">
      <formula>NOT(ISERROR(SEARCH("ACTIVO",H220)))</formula>
    </cfRule>
    <cfRule type="containsText" dxfId="2752" priority="4252" operator="containsText" text="ACTIVO">
      <formula>NOT(ISERROR(SEARCH("ACTIVO",H220)))</formula>
    </cfRule>
    <cfRule type="containsText" dxfId="2751" priority="4253" operator="containsText" text="BAJA">
      <formula>NOT(ISERROR(SEARCH("BAJA",H220)))</formula>
    </cfRule>
    <cfRule type="containsText" dxfId="2750" priority="4254" operator="containsText" text="INACTIVA">
      <formula>NOT(ISERROR(SEARCH("INACTIVA",H220)))</formula>
    </cfRule>
    <cfRule type="containsText" dxfId="2749" priority="4255" operator="containsText" text="ACTIVO">
      <formula>NOT(ISERROR(SEARCH("ACTIVO",H220)))</formula>
    </cfRule>
    <cfRule type="containsText" dxfId="2748" priority="4256" operator="containsText" text="BAJA">
      <formula>NOT(ISERROR(SEARCH("BAJA",H220)))</formula>
    </cfRule>
    <cfRule type="containsText" dxfId="2747" priority="4257" operator="containsText" text="ACTIVO">
      <formula>NOT(ISERROR(SEARCH("ACTIVO",H220)))</formula>
    </cfRule>
    <cfRule type="containsText" dxfId="2746" priority="4258" operator="containsText" text="INACTIVA">
      <formula>NOT(ISERROR(SEARCH("INACTIVA",H220)))</formula>
    </cfRule>
    <cfRule type="containsText" dxfId="2745" priority="4259" operator="containsText" text="BAJA">
      <formula>NOT(ISERROR(SEARCH("BAJA",H220)))</formula>
    </cfRule>
    <cfRule type="containsText" dxfId="2744" priority="4260" operator="containsText" text="ACTIVA">
      <formula>NOT(ISERROR(SEARCH("ACTIVA",H220)))</formula>
    </cfRule>
    <cfRule type="containsText" dxfId="2743" priority="4261" operator="containsText" text="ACTIVO">
      <formula>NOT(ISERROR(SEARCH("ACTIVO",H220)))</formula>
    </cfRule>
    <cfRule type="containsText" dxfId="2742" priority="4262" operator="containsText" text="ACTIVO">
      <formula>NOT(ISERROR(SEARCH("ACTIVO",H220)))</formula>
    </cfRule>
    <cfRule type="containsText" dxfId="2741" priority="4263" operator="containsText" text="INACTIVA">
      <formula>NOT(ISERROR(SEARCH("INACTIVA",H220)))</formula>
    </cfRule>
  </conditionalFormatting>
  <conditionalFormatting sqref="H222:H223">
    <cfRule type="containsText" dxfId="2740" priority="1343" operator="containsText" text="ACTIVO">
      <formula>NOT(ISERROR(SEARCH("ACTIVO",H222)))</formula>
    </cfRule>
    <cfRule type="containsText" dxfId="2739" priority="1344" operator="containsText" text="INACTIVA">
      <formula>NOT(ISERROR(SEARCH("INACTIVA",H222)))</formula>
    </cfRule>
    <cfRule type="containsText" dxfId="2738" priority="1345" operator="containsText" text="BAJA">
      <formula>NOT(ISERROR(SEARCH("BAJA",H222)))</formula>
    </cfRule>
    <cfRule type="containsText" dxfId="2737" priority="1346" operator="containsText" text="ACTIVO">
      <formula>NOT(ISERROR(SEARCH("ACTIVO",H222)))</formula>
    </cfRule>
    <cfRule type="containsText" dxfId="2736" priority="1347" operator="containsText" text="ACTIVO">
      <formula>NOT(ISERROR(SEARCH("ACTIVO",H222)))</formula>
    </cfRule>
    <cfRule type="containsText" dxfId="2735" priority="1348" operator="containsText" text="BAJA">
      <formula>NOT(ISERROR(SEARCH("BAJA",H222)))</formula>
    </cfRule>
    <cfRule type="containsText" dxfId="2734" priority="1349" operator="containsText" text="ACTIVO">
      <formula>NOT(ISERROR(SEARCH("ACTIVO",H222)))</formula>
    </cfRule>
    <cfRule type="containsText" dxfId="2733" priority="1350" operator="containsText" text="ACTIVO">
      <formula>NOT(ISERROR(SEARCH("ACTIVO",H222)))</formula>
    </cfRule>
    <cfRule type="containsText" dxfId="2732" priority="1351" operator="containsText" text="BAJA">
      <formula>NOT(ISERROR(SEARCH("BAJA",H222)))</formula>
    </cfRule>
    <cfRule type="containsText" dxfId="2731" priority="1352" operator="containsText" text="ACTIVO">
      <formula>NOT(ISERROR(SEARCH("ACTIVO",H222)))</formula>
    </cfRule>
    <cfRule type="containsText" dxfId="2730" priority="1353" operator="containsText" text="ACTIVO">
      <formula>NOT(ISERROR(SEARCH("ACTIVO",H222)))</formula>
    </cfRule>
    <cfRule type="containsText" dxfId="2729" priority="1354" operator="containsText" text="ACTIVO">
      <formula>NOT(ISERROR(SEARCH("ACTIVO",H222)))</formula>
    </cfRule>
    <cfRule type="containsText" dxfId="2728" priority="1355" operator="containsText" text="ACTIVO">
      <formula>NOT(ISERROR(SEARCH("ACTIVO",H222)))</formula>
    </cfRule>
    <cfRule type="containsText" dxfId="2727" priority="1356" operator="containsText" text="BAJA">
      <formula>NOT(ISERROR(SEARCH("BAJA",H222)))</formula>
    </cfRule>
    <cfRule type="containsText" dxfId="2726" priority="1357" operator="containsText" text="INACTIVA">
      <formula>NOT(ISERROR(SEARCH("INACTIVA",H222)))</formula>
    </cfRule>
    <cfRule type="containsText" dxfId="2725" priority="1358" operator="containsText" text="ACTIVO">
      <formula>NOT(ISERROR(SEARCH("ACTIVO",H222)))</formula>
    </cfRule>
    <cfRule type="containsText" dxfId="2724" priority="1359" operator="containsText" text="BAJA">
      <formula>NOT(ISERROR(SEARCH("BAJA",H222)))</formula>
    </cfRule>
    <cfRule type="containsText" dxfId="2723" priority="1360" operator="containsText" text="ACTIVO">
      <formula>NOT(ISERROR(SEARCH("ACTIVO",H222)))</formula>
    </cfRule>
    <cfRule type="containsText" dxfId="2722" priority="1361" operator="containsText" text="INACTIVA">
      <formula>NOT(ISERROR(SEARCH("INACTIVA",H222)))</formula>
    </cfRule>
    <cfRule type="containsText" dxfId="2721" priority="1362" operator="containsText" text="BAJA">
      <formula>NOT(ISERROR(SEARCH("BAJA",H222)))</formula>
    </cfRule>
    <cfRule type="containsText" dxfId="2720" priority="1363" operator="containsText" text="ACTIVA">
      <formula>NOT(ISERROR(SEARCH("ACTIVA",H222)))</formula>
    </cfRule>
    <cfRule type="containsText" dxfId="2719" priority="1364" operator="containsText" text="ACTIVO">
      <formula>NOT(ISERROR(SEARCH("ACTIVO",H222)))</formula>
    </cfRule>
  </conditionalFormatting>
  <conditionalFormatting sqref="H224:H227">
    <cfRule type="containsText" dxfId="2718" priority="4221" operator="containsText" text="ACTIVO">
      <formula>NOT(ISERROR(SEARCH("ACTIVO",H224)))</formula>
    </cfRule>
    <cfRule type="containsText" dxfId="2717" priority="4222" operator="containsText" text="ACTIVO">
      <formula>NOT(ISERROR(SEARCH("ACTIVO",H224)))</formula>
    </cfRule>
    <cfRule type="containsText" dxfId="2716" priority="4223" operator="containsText" text="BAJA">
      <formula>NOT(ISERROR(SEARCH("BAJA",H224)))</formula>
    </cfRule>
    <cfRule type="containsText" dxfId="2715" priority="4224" operator="containsText" text="ACTIVO">
      <formula>NOT(ISERROR(SEARCH("ACTIVO",H224)))</formula>
    </cfRule>
    <cfRule type="containsText" dxfId="2714" priority="4225" operator="containsText" text="ACTIVO">
      <formula>NOT(ISERROR(SEARCH("ACTIVO",H224)))</formula>
    </cfRule>
    <cfRule type="containsText" dxfId="2713" priority="4226" operator="containsText" text="BAJA">
      <formula>NOT(ISERROR(SEARCH("BAJA",H224)))</formula>
    </cfRule>
    <cfRule type="containsText" dxfId="2712" priority="4227" operator="containsText" text="ACTIVO">
      <formula>NOT(ISERROR(SEARCH("ACTIVO",H224)))</formula>
    </cfRule>
    <cfRule type="containsText" dxfId="2711" priority="4228" operator="containsText" text="ACTIVO">
      <formula>NOT(ISERROR(SEARCH("ACTIVO",H224)))</formula>
    </cfRule>
    <cfRule type="containsText" dxfId="2710" priority="4229" operator="containsText" text="ACTIVO">
      <formula>NOT(ISERROR(SEARCH("ACTIVO",H224)))</formula>
    </cfRule>
    <cfRule type="containsText" dxfId="2709" priority="4230" operator="containsText" text="ACTIVO">
      <formula>NOT(ISERROR(SEARCH("ACTIVO",H224)))</formula>
    </cfRule>
    <cfRule type="containsText" dxfId="2708" priority="4231" operator="containsText" text="BAJA">
      <formula>NOT(ISERROR(SEARCH("BAJA",H224)))</formula>
    </cfRule>
    <cfRule type="containsText" dxfId="2707" priority="4232" operator="containsText" text="INACTIVA">
      <formula>NOT(ISERROR(SEARCH("INACTIVA",H224)))</formula>
    </cfRule>
    <cfRule type="containsText" dxfId="2706" priority="4233" operator="containsText" text="ACTIVO">
      <formula>NOT(ISERROR(SEARCH("ACTIVO",H224)))</formula>
    </cfRule>
    <cfRule type="containsText" dxfId="2705" priority="4234" operator="containsText" text="BAJA">
      <formula>NOT(ISERROR(SEARCH("BAJA",H224)))</formula>
    </cfRule>
    <cfRule type="containsText" dxfId="2704" priority="4235" operator="containsText" text="ACTIVO">
      <formula>NOT(ISERROR(SEARCH("ACTIVO",H224)))</formula>
    </cfRule>
    <cfRule type="containsText" dxfId="2703" priority="4236" operator="containsText" text="INACTIVA">
      <formula>NOT(ISERROR(SEARCH("INACTIVA",H224)))</formula>
    </cfRule>
    <cfRule type="containsText" dxfId="2702" priority="4237" operator="containsText" text="BAJA">
      <formula>NOT(ISERROR(SEARCH("BAJA",H224)))</formula>
    </cfRule>
    <cfRule type="containsText" dxfId="2701" priority="4238" operator="containsText" text="ACTIVA">
      <formula>NOT(ISERROR(SEARCH("ACTIVA",H224)))</formula>
    </cfRule>
    <cfRule type="containsText" dxfId="2700" priority="4239" operator="containsText" text="ACTIVO">
      <formula>NOT(ISERROR(SEARCH("ACTIVO",H224)))</formula>
    </cfRule>
    <cfRule type="containsText" dxfId="2699" priority="4240" operator="containsText" text="ACTIVO">
      <formula>NOT(ISERROR(SEARCH("ACTIVO",H224)))</formula>
    </cfRule>
    <cfRule type="containsText" dxfId="2698" priority="4241" operator="containsText" text="INACTIVA">
      <formula>NOT(ISERROR(SEARCH("INACTIVA",H224)))</formula>
    </cfRule>
  </conditionalFormatting>
  <conditionalFormatting sqref="H224:H233">
    <cfRule type="containsText" dxfId="2697" priority="2524" operator="containsText" text="BAJA">
      <formula>NOT(ISERROR(SEARCH("BAJA",H224)))</formula>
    </cfRule>
  </conditionalFormatting>
  <conditionalFormatting sqref="H228">
    <cfRule type="containsText" dxfId="2696" priority="2408" operator="containsText" text="ACTIVO">
      <formula>NOT(ISERROR(SEARCH("ACTIVO",H228)))</formula>
    </cfRule>
    <cfRule type="containsText" dxfId="2695" priority="2409" operator="containsText" text="INACTIVA">
      <formula>NOT(ISERROR(SEARCH("INACTIVA",H228)))</formula>
    </cfRule>
    <cfRule type="containsText" dxfId="2694" priority="2410" operator="containsText" text="BAJA">
      <formula>NOT(ISERROR(SEARCH("BAJA",H228)))</formula>
    </cfRule>
    <cfRule type="containsText" dxfId="2693" priority="2411" operator="containsText" text="ACTIVO">
      <formula>NOT(ISERROR(SEARCH("ACTIVO",H228)))</formula>
    </cfRule>
    <cfRule type="containsText" dxfId="2692" priority="2412" operator="containsText" text="ACTIVO">
      <formula>NOT(ISERROR(SEARCH("ACTIVO",H228)))</formula>
    </cfRule>
    <cfRule type="containsText" dxfId="2691" priority="2413" operator="containsText" text="BAJA">
      <formula>NOT(ISERROR(SEARCH("BAJA",H228)))</formula>
    </cfRule>
    <cfRule type="containsText" dxfId="2690" priority="2414" operator="containsText" text="ACTIVO">
      <formula>NOT(ISERROR(SEARCH("ACTIVO",H228)))</formula>
    </cfRule>
    <cfRule type="containsText" dxfId="2689" priority="2415" operator="containsText" text="ACTIVO">
      <formula>NOT(ISERROR(SEARCH("ACTIVO",H228)))</formula>
    </cfRule>
    <cfRule type="containsText" dxfId="2688" priority="2416" operator="containsText" text="BAJA">
      <formula>NOT(ISERROR(SEARCH("BAJA",H228)))</formula>
    </cfRule>
    <cfRule type="containsText" dxfId="2687" priority="2417" operator="containsText" text="ACTIVO">
      <formula>NOT(ISERROR(SEARCH("ACTIVO",H228)))</formula>
    </cfRule>
    <cfRule type="containsText" dxfId="2686" priority="2418" operator="containsText" text="ACTIVO">
      <formula>NOT(ISERROR(SEARCH("ACTIVO",H228)))</formula>
    </cfRule>
    <cfRule type="containsText" dxfId="2685" priority="2419" operator="containsText" text="ACTIVO">
      <formula>NOT(ISERROR(SEARCH("ACTIVO",H228)))</formula>
    </cfRule>
    <cfRule type="containsText" dxfId="2684" priority="2420" operator="containsText" text="ACTIVO">
      <formula>NOT(ISERROR(SEARCH("ACTIVO",H228)))</formula>
    </cfRule>
    <cfRule type="containsText" dxfId="2683" priority="2421" operator="containsText" text="BAJA">
      <formula>NOT(ISERROR(SEARCH("BAJA",H228)))</formula>
    </cfRule>
    <cfRule type="containsText" dxfId="2682" priority="2422" operator="containsText" text="INACTIVA">
      <formula>NOT(ISERROR(SEARCH("INACTIVA",H228)))</formula>
    </cfRule>
    <cfRule type="containsText" dxfId="2681" priority="2423" operator="containsText" text="ACTIVO">
      <formula>NOT(ISERROR(SEARCH("ACTIVO",H228)))</formula>
    </cfRule>
    <cfRule type="containsText" dxfId="2680" priority="2424" operator="containsText" text="BAJA">
      <formula>NOT(ISERROR(SEARCH("BAJA",H228)))</formula>
    </cfRule>
    <cfRule type="containsText" dxfId="2679" priority="2425" operator="containsText" text="ACTIVO">
      <formula>NOT(ISERROR(SEARCH("ACTIVO",H228)))</formula>
    </cfRule>
    <cfRule type="containsText" dxfId="2678" priority="2426" operator="containsText" text="INACTIVA">
      <formula>NOT(ISERROR(SEARCH("INACTIVA",H228)))</formula>
    </cfRule>
    <cfRule type="containsText" dxfId="2677" priority="2427" operator="containsText" text="BAJA">
      <formula>NOT(ISERROR(SEARCH("BAJA",H228)))</formula>
    </cfRule>
    <cfRule type="containsText" dxfId="2676" priority="2429" operator="containsText" text="ACTIVA">
      <formula>NOT(ISERROR(SEARCH("ACTIVA",H228)))</formula>
    </cfRule>
    <cfRule type="containsText" dxfId="2675" priority="2431" operator="containsText" text="ACTIVO">
      <formula>NOT(ISERROR(SEARCH("ACTIVO",H228)))</formula>
    </cfRule>
  </conditionalFormatting>
  <conditionalFormatting sqref="H228:H233">
    <cfRule type="containsText" dxfId="2674" priority="2428" operator="containsText" text="ACTIVO">
      <formula>NOT(ISERROR(SEARCH("ACTIVO",H228)))</formula>
    </cfRule>
    <cfRule type="containsText" dxfId="2673" priority="2430" operator="containsText" text="INACTIVA">
      <formula>NOT(ISERROR(SEARCH("INACTIVA",H228)))</formula>
    </cfRule>
  </conditionalFormatting>
  <conditionalFormatting sqref="H229:H233">
    <cfRule type="containsText" dxfId="2672" priority="4200" operator="containsText" text="ACTIVO">
      <formula>NOT(ISERROR(SEARCH("ACTIVO",H229)))</formula>
    </cfRule>
    <cfRule type="containsText" dxfId="2671" priority="4201" operator="containsText" text="ACTIVO">
      <formula>NOT(ISERROR(SEARCH("ACTIVO",H229)))</formula>
    </cfRule>
    <cfRule type="containsText" dxfId="2670" priority="4202" operator="containsText" text="BAJA">
      <formula>NOT(ISERROR(SEARCH("BAJA",H229)))</formula>
    </cfRule>
    <cfRule type="containsText" dxfId="2669" priority="4203" operator="containsText" text="ACTIVO">
      <formula>NOT(ISERROR(SEARCH("ACTIVO",H229)))</formula>
    </cfRule>
    <cfRule type="containsText" dxfId="2668" priority="4204" operator="containsText" text="ACTIVO">
      <formula>NOT(ISERROR(SEARCH("ACTIVO",H229)))</formula>
    </cfRule>
    <cfRule type="containsText" dxfId="2667" priority="4205" operator="containsText" text="BAJA">
      <formula>NOT(ISERROR(SEARCH("BAJA",H229)))</formula>
    </cfRule>
    <cfRule type="containsText" dxfId="2666" priority="4206" operator="containsText" text="ACTIVO">
      <formula>NOT(ISERROR(SEARCH("ACTIVO",H229)))</formula>
    </cfRule>
    <cfRule type="containsText" dxfId="2665" priority="4207" operator="containsText" text="ACTIVO">
      <formula>NOT(ISERROR(SEARCH("ACTIVO",H229)))</formula>
    </cfRule>
    <cfRule type="containsText" dxfId="2664" priority="4208" operator="containsText" text="ACTIVO">
      <formula>NOT(ISERROR(SEARCH("ACTIVO",H229)))</formula>
    </cfRule>
    <cfRule type="containsText" dxfId="2663" priority="4209" operator="containsText" text="ACTIVO">
      <formula>NOT(ISERROR(SEARCH("ACTIVO",H229)))</formula>
    </cfRule>
    <cfRule type="containsText" dxfId="2662" priority="4210" operator="containsText" text="BAJA">
      <formula>NOT(ISERROR(SEARCH("BAJA",H229)))</formula>
    </cfRule>
    <cfRule type="containsText" dxfId="2661" priority="4211" operator="containsText" text="INACTIVA">
      <formula>NOT(ISERROR(SEARCH("INACTIVA",H229)))</formula>
    </cfRule>
    <cfRule type="containsText" dxfId="2660" priority="4212" operator="containsText" text="ACTIVO">
      <formula>NOT(ISERROR(SEARCH("ACTIVO",H229)))</formula>
    </cfRule>
    <cfRule type="containsText" dxfId="2659" priority="4213" operator="containsText" text="BAJA">
      <formula>NOT(ISERROR(SEARCH("BAJA",H229)))</formula>
    </cfRule>
    <cfRule type="containsText" dxfId="2658" priority="4214" operator="containsText" text="ACTIVO">
      <formula>NOT(ISERROR(SEARCH("ACTIVO",H229)))</formula>
    </cfRule>
    <cfRule type="containsText" dxfId="2657" priority="4215" operator="containsText" text="INACTIVA">
      <formula>NOT(ISERROR(SEARCH("INACTIVA",H229)))</formula>
    </cfRule>
    <cfRule type="containsText" dxfId="2656" priority="4216" operator="containsText" text="BAJA">
      <formula>NOT(ISERROR(SEARCH("BAJA",H229)))</formula>
    </cfRule>
    <cfRule type="containsText" dxfId="2655" priority="4217" operator="containsText" text="ACTIVA">
      <formula>NOT(ISERROR(SEARCH("ACTIVA",H229)))</formula>
    </cfRule>
    <cfRule type="containsText" dxfId="2654" priority="4218" operator="containsText" text="ACTIVO">
      <formula>NOT(ISERROR(SEARCH("ACTIVO",H229)))</formula>
    </cfRule>
    <cfRule type="containsText" dxfId="2653" priority="4219" operator="containsText" text="ACTIVO">
      <formula>NOT(ISERROR(SEARCH("ACTIVO",H229)))</formula>
    </cfRule>
    <cfRule type="containsText" dxfId="2652" priority="4220" operator="containsText" text="INACTIVA">
      <formula>NOT(ISERROR(SEARCH("INACTIVA",H229)))</formula>
    </cfRule>
  </conditionalFormatting>
  <conditionalFormatting sqref="H234">
    <cfRule type="containsText" dxfId="2651" priority="1390" operator="containsText" text="ACTIVO">
      <formula>NOT(ISERROR(SEARCH("ACTIVO",H234)))</formula>
    </cfRule>
    <cfRule type="containsText" dxfId="2650" priority="1391" operator="containsText" text="INACTIVA">
      <formula>NOT(ISERROR(SEARCH("INACTIVA",H234)))</formula>
    </cfRule>
    <cfRule type="containsText" dxfId="2649" priority="1392" operator="containsText" text="BAJA">
      <formula>NOT(ISERROR(SEARCH("BAJA",H234)))</formula>
    </cfRule>
    <cfRule type="containsText" dxfId="2648" priority="1393" operator="containsText" text="ACTIVO">
      <formula>NOT(ISERROR(SEARCH("ACTIVO",H234)))</formula>
    </cfRule>
    <cfRule type="containsText" dxfId="2647" priority="1394" operator="containsText" text="ACTIVO">
      <formula>NOT(ISERROR(SEARCH("ACTIVO",H234)))</formula>
    </cfRule>
    <cfRule type="containsText" dxfId="2646" priority="1395" operator="containsText" text="BAJA">
      <formula>NOT(ISERROR(SEARCH("BAJA",H234)))</formula>
    </cfRule>
    <cfRule type="containsText" dxfId="2645" priority="1396" operator="containsText" text="ACTIVO">
      <formula>NOT(ISERROR(SEARCH("ACTIVO",H234)))</formula>
    </cfRule>
    <cfRule type="containsText" dxfId="2644" priority="1397" operator="containsText" text="ACTIVO">
      <formula>NOT(ISERROR(SEARCH("ACTIVO",H234)))</formula>
    </cfRule>
    <cfRule type="containsText" dxfId="2643" priority="1398" operator="containsText" text="BAJA">
      <formula>NOT(ISERROR(SEARCH("BAJA",H234)))</formula>
    </cfRule>
    <cfRule type="containsText" dxfId="2642" priority="1399" operator="containsText" text="ACTIVO">
      <formula>NOT(ISERROR(SEARCH("ACTIVO",H234)))</formula>
    </cfRule>
    <cfRule type="containsText" dxfId="2641" priority="1400" operator="containsText" text="ACTIVO">
      <formula>NOT(ISERROR(SEARCH("ACTIVO",H234)))</formula>
    </cfRule>
    <cfRule type="containsText" dxfId="2640" priority="1401" operator="containsText" text="ACTIVO">
      <formula>NOT(ISERROR(SEARCH("ACTIVO",H234)))</formula>
    </cfRule>
    <cfRule type="containsText" dxfId="2639" priority="1402" operator="containsText" text="ACTIVO">
      <formula>NOT(ISERROR(SEARCH("ACTIVO",H234)))</formula>
    </cfRule>
    <cfRule type="containsText" dxfId="2638" priority="1403" operator="containsText" text="BAJA">
      <formula>NOT(ISERROR(SEARCH("BAJA",H234)))</formula>
    </cfRule>
    <cfRule type="containsText" dxfId="2637" priority="1404" operator="containsText" text="INACTIVA">
      <formula>NOT(ISERROR(SEARCH("INACTIVA",H234)))</formula>
    </cfRule>
    <cfRule type="containsText" dxfId="2636" priority="1405" operator="containsText" text="ACTIVO">
      <formula>NOT(ISERROR(SEARCH("ACTIVO",H234)))</formula>
    </cfRule>
    <cfRule type="containsText" dxfId="2635" priority="1406" operator="containsText" text="BAJA">
      <formula>NOT(ISERROR(SEARCH("BAJA",H234)))</formula>
    </cfRule>
    <cfRule type="containsText" dxfId="2634" priority="1407" operator="containsText" text="ACTIVO">
      <formula>NOT(ISERROR(SEARCH("ACTIVO",H234)))</formula>
    </cfRule>
    <cfRule type="containsText" dxfId="2633" priority="1408" operator="containsText" text="INACTIVA">
      <formula>NOT(ISERROR(SEARCH("INACTIVA",H234)))</formula>
    </cfRule>
    <cfRule type="containsText" dxfId="2632" priority="1409" operator="containsText" text="BAJA">
      <formula>NOT(ISERROR(SEARCH("BAJA",H234)))</formula>
    </cfRule>
    <cfRule type="containsText" dxfId="2631" priority="1410" operator="containsText" text="ACTIVA">
      <formula>NOT(ISERROR(SEARCH("ACTIVA",H234)))</formula>
    </cfRule>
    <cfRule type="containsText" dxfId="2630" priority="1411" operator="containsText" text="ACTIVO">
      <formula>NOT(ISERROR(SEARCH("ACTIVO",H234)))</formula>
    </cfRule>
  </conditionalFormatting>
  <conditionalFormatting sqref="H235:H241">
    <cfRule type="containsText" dxfId="2629" priority="2303" operator="containsText" text="BAJA">
      <formula>NOT(ISERROR(SEARCH("BAJA",H235)))</formula>
    </cfRule>
    <cfRule type="containsText" dxfId="2628" priority="4179" operator="containsText" text="ACTIVO">
      <formula>NOT(ISERROR(SEARCH("ACTIVO",H235)))</formula>
    </cfRule>
    <cfRule type="containsText" dxfId="2627" priority="4180" operator="containsText" text="ACTIVO">
      <formula>NOT(ISERROR(SEARCH("ACTIVO",H235)))</formula>
    </cfRule>
    <cfRule type="containsText" dxfId="2626" priority="4181" operator="containsText" text="BAJA">
      <formula>NOT(ISERROR(SEARCH("BAJA",H235)))</formula>
    </cfRule>
    <cfRule type="containsText" dxfId="2625" priority="4182" operator="containsText" text="ACTIVO">
      <formula>NOT(ISERROR(SEARCH("ACTIVO",H235)))</formula>
    </cfRule>
    <cfRule type="containsText" dxfId="2624" priority="4183" operator="containsText" text="ACTIVO">
      <formula>NOT(ISERROR(SEARCH("ACTIVO",H235)))</formula>
    </cfRule>
    <cfRule type="containsText" dxfId="2623" priority="4184" operator="containsText" text="BAJA">
      <formula>NOT(ISERROR(SEARCH("BAJA",H235)))</formula>
    </cfRule>
    <cfRule type="containsText" dxfId="2622" priority="4185" operator="containsText" text="ACTIVO">
      <formula>NOT(ISERROR(SEARCH("ACTIVO",H235)))</formula>
    </cfRule>
    <cfRule type="containsText" dxfId="2621" priority="4186" operator="containsText" text="ACTIVO">
      <formula>NOT(ISERROR(SEARCH("ACTIVO",H235)))</formula>
    </cfRule>
    <cfRule type="containsText" dxfId="2620" priority="4187" operator="containsText" text="ACTIVO">
      <formula>NOT(ISERROR(SEARCH("ACTIVO",H235)))</formula>
    </cfRule>
    <cfRule type="containsText" dxfId="2619" priority="4188" operator="containsText" text="ACTIVO">
      <formula>NOT(ISERROR(SEARCH("ACTIVO",H235)))</formula>
    </cfRule>
    <cfRule type="containsText" dxfId="2618" priority="4189" operator="containsText" text="BAJA">
      <formula>NOT(ISERROR(SEARCH("BAJA",H235)))</formula>
    </cfRule>
    <cfRule type="containsText" dxfId="2617" priority="4190" operator="containsText" text="INACTIVA">
      <formula>NOT(ISERROR(SEARCH("INACTIVA",H235)))</formula>
    </cfRule>
    <cfRule type="containsText" dxfId="2616" priority="4191" operator="containsText" text="ACTIVO">
      <formula>NOT(ISERROR(SEARCH("ACTIVO",H235)))</formula>
    </cfRule>
    <cfRule type="containsText" dxfId="2615" priority="4192" operator="containsText" text="BAJA">
      <formula>NOT(ISERROR(SEARCH("BAJA",H235)))</formula>
    </cfRule>
    <cfRule type="containsText" dxfId="2614" priority="4193" operator="containsText" text="ACTIVO">
      <formula>NOT(ISERROR(SEARCH("ACTIVO",H235)))</formula>
    </cfRule>
    <cfRule type="containsText" dxfId="2613" priority="4194" operator="containsText" text="INACTIVA">
      <formula>NOT(ISERROR(SEARCH("INACTIVA",H235)))</formula>
    </cfRule>
    <cfRule type="containsText" dxfId="2612" priority="4195" operator="containsText" text="BAJA">
      <formula>NOT(ISERROR(SEARCH("BAJA",H235)))</formula>
    </cfRule>
    <cfRule type="containsText" dxfId="2611" priority="4196" operator="containsText" text="ACTIVA">
      <formula>NOT(ISERROR(SEARCH("ACTIVA",H235)))</formula>
    </cfRule>
    <cfRule type="containsText" dxfId="2610" priority="4197" operator="containsText" text="ACTIVO">
      <formula>NOT(ISERROR(SEARCH("ACTIVO",H235)))</formula>
    </cfRule>
    <cfRule type="containsText" dxfId="2609" priority="4198" operator="containsText" text="ACTIVO">
      <formula>NOT(ISERROR(SEARCH("ACTIVO",H235)))</formula>
    </cfRule>
    <cfRule type="containsText" dxfId="2608" priority="4199" operator="containsText" text="INACTIVA">
      <formula>NOT(ISERROR(SEARCH("INACTIVA",H235)))</formula>
    </cfRule>
  </conditionalFormatting>
  <conditionalFormatting sqref="H242">
    <cfRule type="containsText" dxfId="2607" priority="1116" operator="containsText" text="ACTIVO">
      <formula>NOT(ISERROR(SEARCH("ACTIVO",H242)))</formula>
    </cfRule>
    <cfRule type="containsText" dxfId="2606" priority="1117" operator="containsText" text="INACTIVA">
      <formula>NOT(ISERROR(SEARCH("INACTIVA",H242)))</formula>
    </cfRule>
    <cfRule type="containsText" dxfId="2605" priority="1118" operator="containsText" text="BAJA">
      <formula>NOT(ISERROR(SEARCH("BAJA",H242)))</formula>
    </cfRule>
    <cfRule type="containsText" dxfId="2604" priority="1119" operator="containsText" text="ACTIVO">
      <formula>NOT(ISERROR(SEARCH("ACTIVO",H242)))</formula>
    </cfRule>
    <cfRule type="containsText" dxfId="2603" priority="1120" operator="containsText" text="BAJA">
      <formula>NOT(ISERROR(SEARCH("BAJA",H242)))</formula>
    </cfRule>
    <cfRule type="colorScale" priority="112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2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2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602" priority="1125" operator="containsText" text="ACTIVO">
      <formula>NOT(ISERROR(SEARCH("ACTIVO",H242)))</formula>
    </cfRule>
    <cfRule type="containsText" dxfId="2601" priority="1126" operator="containsText" text="ACTIVO">
      <formula>NOT(ISERROR(SEARCH("ACTIVO",H242)))</formula>
    </cfRule>
    <cfRule type="containsText" dxfId="2600" priority="1127" operator="containsText" text="BAJA">
      <formula>NOT(ISERROR(SEARCH("BAJA",H242)))</formula>
    </cfRule>
    <cfRule type="containsText" dxfId="2599" priority="1128" operator="containsText" text="ACTIVO">
      <formula>NOT(ISERROR(SEARCH("ACTIVO",H242)))</formula>
    </cfRule>
    <cfRule type="containsText" dxfId="2598" priority="1129" operator="containsText" text="ACTIVO">
      <formula>NOT(ISERROR(SEARCH("ACTIVO",H242)))</formula>
    </cfRule>
    <cfRule type="colorScale" priority="11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3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97" priority="1132" operator="containsText" text="BAJA">
      <formula>NOT(ISERROR(SEARCH("BAJA",H242)))</formula>
    </cfRule>
    <cfRule type="containsText" dxfId="2596" priority="1133" operator="containsText" text="ACTIVO">
      <formula>NOT(ISERROR(SEARCH("ACTIVO",H242)))</formula>
    </cfRule>
    <cfRule type="containsText" dxfId="2595" priority="1134" operator="containsText" text="ACTIVO">
      <formula>NOT(ISERROR(SEARCH("ACTIVO",H242)))</formula>
    </cfRule>
    <cfRule type="containsText" dxfId="2594" priority="1135" operator="containsText" text="ACTIVO">
      <formula>NOT(ISERROR(SEARCH("ACTIVO",H242)))</formula>
    </cfRule>
    <cfRule type="containsText" dxfId="2593" priority="1136" operator="containsText" text="ACTIVO">
      <formula>NOT(ISERROR(SEARCH("ACTIVO",H242)))</formula>
    </cfRule>
    <cfRule type="containsText" dxfId="2592" priority="1137" operator="containsText" text="BAJA">
      <formula>NOT(ISERROR(SEARCH("BAJA",H242)))</formula>
    </cfRule>
    <cfRule type="containsText" dxfId="2591" priority="1138" operator="containsText" text="INACTIVA">
      <formula>NOT(ISERROR(SEARCH("INACTIVA",H242)))</formula>
    </cfRule>
    <cfRule type="colorScale" priority="11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4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90" priority="1143" operator="containsText" text="ACTIVO">
      <formula>NOT(ISERROR(SEARCH("ACTIVO",H242)))</formula>
    </cfRule>
    <cfRule type="containsText" dxfId="2589" priority="1144" operator="containsText" text="BAJA">
      <formula>NOT(ISERROR(SEARCH("BAJA",H242)))</formula>
    </cfRule>
    <cfRule type="containsText" dxfId="2588" priority="1145" operator="containsText" text="ACTIVO">
      <formula>NOT(ISERROR(SEARCH("ACTIVO",H242)))</formula>
    </cfRule>
    <cfRule type="colorScale" priority="114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4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4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87" priority="1150" operator="containsText" text="INACTIVA">
      <formula>NOT(ISERROR(SEARCH("INACTIVA",H242)))</formula>
    </cfRule>
    <cfRule type="containsText" dxfId="2586" priority="1151" operator="containsText" text="BAJA">
      <formula>NOT(ISERROR(SEARCH("BAJA",H242)))</formula>
    </cfRule>
    <cfRule type="containsText" dxfId="2585" priority="1152" operator="containsText" text="ACTIVO">
      <formula>NOT(ISERROR(SEARCH("ACTIVO",H242)))</formula>
    </cfRule>
    <cfRule type="containsText" dxfId="2584" priority="1153" operator="containsText" text="BAJA">
      <formula>NOT(ISERROR(SEARCH("BAJA",H242)))</formula>
    </cfRule>
    <cfRule type="colorScale" priority="115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5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83" priority="1156" operator="containsText" text="INACTIVA">
      <formula>NOT(ISERROR(SEARCH("INACTIVA",H242)))</formula>
    </cfRule>
    <cfRule type="containsText" dxfId="2582" priority="1157" operator="containsText" text="ACTIVA">
      <formula>NOT(ISERROR(SEARCH("ACTIVA",H242)))</formula>
    </cfRule>
    <cfRule type="colorScale" priority="11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5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81" priority="1160" operator="containsText" text="INACTIVA">
      <formula>NOT(ISERROR(SEARCH("INACTIVA",H242)))</formula>
    </cfRule>
    <cfRule type="colorScale" priority="11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6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80" priority="1165" operator="containsText" text="ACTIVO">
      <formula>NOT(ISERROR(SEARCH("ACTIVO",H242)))</formula>
    </cfRule>
    <cfRule type="colorScale" priority="11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6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43:H248">
    <cfRule type="containsText" dxfId="2579" priority="4157" operator="containsText" text="BAJA">
      <formula>NOT(ISERROR(SEARCH("BAJA",H243)))</formula>
    </cfRule>
    <cfRule type="containsText" dxfId="2578" priority="4158" operator="containsText" text="ACTIVO">
      <formula>NOT(ISERROR(SEARCH("ACTIVO",H243)))</formula>
    </cfRule>
    <cfRule type="containsText" dxfId="2577" priority="4159" operator="containsText" text="ACTIVO">
      <formula>NOT(ISERROR(SEARCH("ACTIVO",H243)))</formula>
    </cfRule>
    <cfRule type="containsText" dxfId="2576" priority="4160" operator="containsText" text="BAJA">
      <formula>NOT(ISERROR(SEARCH("BAJA",H243)))</formula>
    </cfRule>
    <cfRule type="containsText" dxfId="2575" priority="4161" operator="containsText" text="ACTIVO">
      <formula>NOT(ISERROR(SEARCH("ACTIVO",H243)))</formula>
    </cfRule>
    <cfRule type="containsText" dxfId="2574" priority="4162" operator="containsText" text="ACTIVO">
      <formula>NOT(ISERROR(SEARCH("ACTIVO",H243)))</formula>
    </cfRule>
    <cfRule type="containsText" dxfId="2573" priority="4163" operator="containsText" text="BAJA">
      <formula>NOT(ISERROR(SEARCH("BAJA",H243)))</formula>
    </cfRule>
    <cfRule type="containsText" dxfId="2572" priority="4164" operator="containsText" text="ACTIVO">
      <formula>NOT(ISERROR(SEARCH("ACTIVO",H243)))</formula>
    </cfRule>
    <cfRule type="containsText" dxfId="2571" priority="4165" operator="containsText" text="ACTIVO">
      <formula>NOT(ISERROR(SEARCH("ACTIVO",H243)))</formula>
    </cfRule>
    <cfRule type="containsText" dxfId="2570" priority="4166" operator="containsText" text="ACTIVO">
      <formula>NOT(ISERROR(SEARCH("ACTIVO",H243)))</formula>
    </cfRule>
    <cfRule type="containsText" dxfId="2569" priority="4167" operator="containsText" text="ACTIVO">
      <formula>NOT(ISERROR(SEARCH("ACTIVO",H243)))</formula>
    </cfRule>
    <cfRule type="containsText" dxfId="2568" priority="4168" operator="containsText" text="BAJA">
      <formula>NOT(ISERROR(SEARCH("BAJA",H243)))</formula>
    </cfRule>
    <cfRule type="containsText" dxfId="2567" priority="4169" operator="containsText" text="INACTIVA">
      <formula>NOT(ISERROR(SEARCH("INACTIVA",H243)))</formula>
    </cfRule>
    <cfRule type="containsText" dxfId="2566" priority="4170" operator="containsText" text="ACTIVO">
      <formula>NOT(ISERROR(SEARCH("ACTIVO",H243)))</formula>
    </cfRule>
    <cfRule type="containsText" dxfId="2565" priority="4171" operator="containsText" text="BAJA">
      <formula>NOT(ISERROR(SEARCH("BAJA",H243)))</formula>
    </cfRule>
    <cfRule type="containsText" dxfId="2564" priority="4172" operator="containsText" text="ACTIVO">
      <formula>NOT(ISERROR(SEARCH("ACTIVO",H243)))</formula>
    </cfRule>
    <cfRule type="containsText" dxfId="2563" priority="4173" operator="containsText" text="INACTIVA">
      <formula>NOT(ISERROR(SEARCH("INACTIVA",H243)))</formula>
    </cfRule>
    <cfRule type="containsText" dxfId="2562" priority="4174" operator="containsText" text="BAJA">
      <formula>NOT(ISERROR(SEARCH("BAJA",H243)))</formula>
    </cfRule>
    <cfRule type="containsText" dxfId="2561" priority="4175" operator="containsText" text="ACTIVA">
      <formula>NOT(ISERROR(SEARCH("ACTIVA",H243)))</formula>
    </cfRule>
    <cfRule type="containsText" dxfId="2560" priority="4176" operator="containsText" text="ACTIVO">
      <formula>NOT(ISERROR(SEARCH("ACTIVO",H243)))</formula>
    </cfRule>
    <cfRule type="containsText" dxfId="2559" priority="4177" operator="containsText" text="ACTIVO">
      <formula>NOT(ISERROR(SEARCH("ACTIVO",H243)))</formula>
    </cfRule>
    <cfRule type="containsText" dxfId="2558" priority="4178" operator="containsText" text="INACTIVA">
      <formula>NOT(ISERROR(SEARCH("INACTIVA",H243)))</formula>
    </cfRule>
  </conditionalFormatting>
  <conditionalFormatting sqref="H243:H253 H234:H241">
    <cfRule type="containsText" dxfId="2557" priority="1694" operator="containsText" text="ACTIVO">
      <formula>NOT(ISERROR(SEARCH("ACTIVO",H234)))</formula>
    </cfRule>
    <cfRule type="containsText" dxfId="2556" priority="1697" operator="containsText" text="INACTIVA">
      <formula>NOT(ISERROR(SEARCH("INACTIVA",H234)))</formula>
    </cfRule>
  </conditionalFormatting>
  <conditionalFormatting sqref="H249">
    <cfRule type="containsText" dxfId="2555" priority="1674" operator="containsText" text="ACTIVO">
      <formula>NOT(ISERROR(SEARCH("ACTIVO",H249)))</formula>
    </cfRule>
    <cfRule type="containsText" dxfId="2554" priority="1675" operator="containsText" text="INACTIVA">
      <formula>NOT(ISERROR(SEARCH("INACTIVA",H249)))</formula>
    </cfRule>
    <cfRule type="containsText" dxfId="2553" priority="1676" operator="containsText" text="BAJA">
      <formula>NOT(ISERROR(SEARCH("BAJA",H249)))</formula>
    </cfRule>
    <cfRule type="containsText" dxfId="2552" priority="1677" operator="containsText" text="ACTIVO">
      <formula>NOT(ISERROR(SEARCH("ACTIVO",H249)))</formula>
    </cfRule>
    <cfRule type="containsText" dxfId="2551" priority="1678" operator="containsText" text="ACTIVO">
      <formula>NOT(ISERROR(SEARCH("ACTIVO",H249)))</formula>
    </cfRule>
    <cfRule type="containsText" dxfId="2550" priority="1679" operator="containsText" text="BAJA">
      <formula>NOT(ISERROR(SEARCH("BAJA",H249)))</formula>
    </cfRule>
    <cfRule type="containsText" dxfId="2549" priority="1680" operator="containsText" text="ACTIVO">
      <formula>NOT(ISERROR(SEARCH("ACTIVO",H249)))</formula>
    </cfRule>
    <cfRule type="containsText" dxfId="2548" priority="1681" operator="containsText" text="ACTIVO">
      <formula>NOT(ISERROR(SEARCH("ACTIVO",H249)))</formula>
    </cfRule>
    <cfRule type="containsText" dxfId="2547" priority="1682" operator="containsText" text="BAJA">
      <formula>NOT(ISERROR(SEARCH("BAJA",H249)))</formula>
    </cfRule>
    <cfRule type="containsText" dxfId="2546" priority="1683" operator="containsText" text="ACTIVO">
      <formula>NOT(ISERROR(SEARCH("ACTIVO",H249)))</formula>
    </cfRule>
    <cfRule type="containsText" dxfId="2545" priority="1684" operator="containsText" text="ACTIVO">
      <formula>NOT(ISERROR(SEARCH("ACTIVO",H249)))</formula>
    </cfRule>
    <cfRule type="containsText" dxfId="2544" priority="1685" operator="containsText" text="ACTIVO">
      <formula>NOT(ISERROR(SEARCH("ACTIVO",H249)))</formula>
    </cfRule>
    <cfRule type="containsText" dxfId="2543" priority="1686" operator="containsText" text="ACTIVO">
      <formula>NOT(ISERROR(SEARCH("ACTIVO",H249)))</formula>
    </cfRule>
    <cfRule type="containsText" dxfId="2542" priority="1687" operator="containsText" text="BAJA">
      <formula>NOT(ISERROR(SEARCH("BAJA",H249)))</formula>
    </cfRule>
    <cfRule type="containsText" dxfId="2541" priority="1688" operator="containsText" text="INACTIVA">
      <formula>NOT(ISERROR(SEARCH("INACTIVA",H249)))</formula>
    </cfRule>
    <cfRule type="containsText" dxfId="2540" priority="1689" operator="containsText" text="ACTIVO">
      <formula>NOT(ISERROR(SEARCH("ACTIVO",H249)))</formula>
    </cfRule>
    <cfRule type="containsText" dxfId="2539" priority="1690" operator="containsText" text="BAJA">
      <formula>NOT(ISERROR(SEARCH("BAJA",H249)))</formula>
    </cfRule>
    <cfRule type="containsText" dxfId="2538" priority="1691" operator="containsText" text="ACTIVO">
      <formula>NOT(ISERROR(SEARCH("ACTIVO",H249)))</formula>
    </cfRule>
    <cfRule type="containsText" dxfId="2537" priority="1692" operator="containsText" text="INACTIVA">
      <formula>NOT(ISERROR(SEARCH("INACTIVA",H249)))</formula>
    </cfRule>
    <cfRule type="containsText" dxfId="2536" priority="1693" operator="containsText" text="BAJA">
      <formula>NOT(ISERROR(SEARCH("BAJA",H249)))</formula>
    </cfRule>
    <cfRule type="containsText" dxfId="2535" priority="1695" operator="containsText" text="BAJA">
      <formula>NOT(ISERROR(SEARCH("BAJA",H249)))</formula>
    </cfRule>
    <cfRule type="containsText" dxfId="2534" priority="1696" operator="containsText" text="ACTIVA">
      <formula>NOT(ISERROR(SEARCH("ACTIVA",H249)))</formula>
    </cfRule>
    <cfRule type="containsText" dxfId="2533" priority="1698" operator="containsText" text="ACTIVO">
      <formula>NOT(ISERROR(SEARCH("ACTIVO",H249)))</formula>
    </cfRule>
  </conditionalFormatting>
  <conditionalFormatting sqref="H250:H253">
    <cfRule type="containsText" dxfId="2532" priority="4135" operator="containsText" text="BAJA">
      <formula>NOT(ISERROR(SEARCH("BAJA",H250)))</formula>
    </cfRule>
    <cfRule type="containsText" dxfId="2531" priority="4136" operator="containsText" text="ACTIVO">
      <formula>NOT(ISERROR(SEARCH("ACTIVO",H250)))</formula>
    </cfRule>
    <cfRule type="containsText" dxfId="2530" priority="4137" operator="containsText" text="ACTIVO">
      <formula>NOT(ISERROR(SEARCH("ACTIVO",H250)))</formula>
    </cfRule>
    <cfRule type="containsText" dxfId="2529" priority="4138" operator="containsText" text="BAJA">
      <formula>NOT(ISERROR(SEARCH("BAJA",H250)))</formula>
    </cfRule>
    <cfRule type="containsText" dxfId="2528" priority="4139" operator="containsText" text="ACTIVO">
      <formula>NOT(ISERROR(SEARCH("ACTIVO",H250)))</formula>
    </cfRule>
    <cfRule type="containsText" dxfId="2527" priority="4140" operator="containsText" text="ACTIVO">
      <formula>NOT(ISERROR(SEARCH("ACTIVO",H250)))</formula>
    </cfRule>
    <cfRule type="containsText" dxfId="2526" priority="4141" operator="containsText" text="BAJA">
      <formula>NOT(ISERROR(SEARCH("BAJA",H250)))</formula>
    </cfRule>
    <cfRule type="containsText" dxfId="2525" priority="4142" operator="containsText" text="ACTIVO">
      <formula>NOT(ISERROR(SEARCH("ACTIVO",H250)))</formula>
    </cfRule>
    <cfRule type="containsText" dxfId="2524" priority="4143" operator="containsText" text="ACTIVO">
      <formula>NOT(ISERROR(SEARCH("ACTIVO",H250)))</formula>
    </cfRule>
    <cfRule type="containsText" dxfId="2523" priority="4144" operator="containsText" text="ACTIVO">
      <formula>NOT(ISERROR(SEARCH("ACTIVO",H250)))</formula>
    </cfRule>
    <cfRule type="containsText" dxfId="2522" priority="4145" operator="containsText" text="ACTIVO">
      <formula>NOT(ISERROR(SEARCH("ACTIVO",H250)))</formula>
    </cfRule>
    <cfRule type="containsText" dxfId="2521" priority="4146" operator="containsText" text="BAJA">
      <formula>NOT(ISERROR(SEARCH("BAJA",H250)))</formula>
    </cfRule>
    <cfRule type="containsText" dxfId="2520" priority="4147" operator="containsText" text="INACTIVA">
      <formula>NOT(ISERROR(SEARCH("INACTIVA",H250)))</formula>
    </cfRule>
    <cfRule type="containsText" dxfId="2519" priority="4148" operator="containsText" text="ACTIVO">
      <formula>NOT(ISERROR(SEARCH("ACTIVO",H250)))</formula>
    </cfRule>
    <cfRule type="containsText" dxfId="2518" priority="4149" operator="containsText" text="BAJA">
      <formula>NOT(ISERROR(SEARCH("BAJA",H250)))</formula>
    </cfRule>
    <cfRule type="containsText" dxfId="2517" priority="4150" operator="containsText" text="ACTIVO">
      <formula>NOT(ISERROR(SEARCH("ACTIVO",H250)))</formula>
    </cfRule>
    <cfRule type="containsText" dxfId="2516" priority="4151" operator="containsText" text="INACTIVA">
      <formula>NOT(ISERROR(SEARCH("INACTIVA",H250)))</formula>
    </cfRule>
    <cfRule type="containsText" dxfId="2515" priority="4152" operator="containsText" text="BAJA">
      <formula>NOT(ISERROR(SEARCH("BAJA",H250)))</formula>
    </cfRule>
    <cfRule type="containsText" dxfId="2514" priority="4153" operator="containsText" text="ACTIVA">
      <formula>NOT(ISERROR(SEARCH("ACTIVA",H250)))</formula>
    </cfRule>
    <cfRule type="containsText" dxfId="2513" priority="4154" operator="containsText" text="ACTIVO">
      <formula>NOT(ISERROR(SEARCH("ACTIVO",H250)))</formula>
    </cfRule>
  </conditionalFormatting>
  <conditionalFormatting sqref="H250:H254">
    <cfRule type="containsText" dxfId="2512" priority="4155" operator="containsText" text="ACTIVO">
      <formula>NOT(ISERROR(SEARCH("ACTIVO",H250)))</formula>
    </cfRule>
    <cfRule type="containsText" dxfId="2511" priority="4156" operator="containsText" text="INACTIVA">
      <formula>NOT(ISERROR(SEARCH("INACTIVA",H250)))</formula>
    </cfRule>
  </conditionalFormatting>
  <conditionalFormatting sqref="H254">
    <cfRule type="containsText" dxfId="2510" priority="4642" operator="containsText" text="BAJA">
      <formula>NOT(ISERROR(SEARCH("BAJA",H254)))</formula>
    </cfRule>
    <cfRule type="containsText" dxfId="2509" priority="4643" operator="containsText" text="ACTIVO">
      <formula>NOT(ISERROR(SEARCH("ACTIVO",H254)))</formula>
    </cfRule>
    <cfRule type="containsText" dxfId="2508" priority="4644" operator="containsText" text="ACTIVO">
      <formula>NOT(ISERROR(SEARCH("ACTIVO",H254)))</formula>
    </cfRule>
    <cfRule type="containsText" dxfId="2507" priority="4645" operator="containsText" text="BAJA">
      <formula>NOT(ISERROR(SEARCH("BAJA",H254)))</formula>
    </cfRule>
    <cfRule type="containsText" dxfId="2506" priority="4646" operator="containsText" text="ACTIVO">
      <formula>NOT(ISERROR(SEARCH("ACTIVO",H254)))</formula>
    </cfRule>
    <cfRule type="containsText" dxfId="2505" priority="4647" operator="containsText" text="ACTIVO">
      <formula>NOT(ISERROR(SEARCH("ACTIVO",H254)))</formula>
    </cfRule>
    <cfRule type="containsText" dxfId="2504" priority="4648" operator="containsText" text="BAJA">
      <formula>NOT(ISERROR(SEARCH("BAJA",H254)))</formula>
    </cfRule>
    <cfRule type="containsText" dxfId="2503" priority="4649" operator="containsText" text="ACTIVO">
      <formula>NOT(ISERROR(SEARCH("ACTIVO",H254)))</formula>
    </cfRule>
    <cfRule type="containsText" dxfId="2502" priority="4650" operator="containsText" text="ACTIVO">
      <formula>NOT(ISERROR(SEARCH("ACTIVO",H254)))</formula>
    </cfRule>
    <cfRule type="containsText" dxfId="2501" priority="4651" operator="containsText" text="ACTIVO">
      <formula>NOT(ISERROR(SEARCH("ACTIVO",H254)))</formula>
    </cfRule>
    <cfRule type="containsText" dxfId="2500" priority="4652" operator="containsText" text="ACTIVO">
      <formula>NOT(ISERROR(SEARCH("ACTIVO",H254)))</formula>
    </cfRule>
    <cfRule type="containsText" dxfId="2499" priority="4653" operator="containsText" text="BAJA">
      <formula>NOT(ISERROR(SEARCH("BAJA",H254)))</formula>
    </cfRule>
    <cfRule type="containsText" dxfId="2498" priority="4654" operator="containsText" text="INACTIVA">
      <formula>NOT(ISERROR(SEARCH("INACTIVA",H254)))</formula>
    </cfRule>
    <cfRule type="containsText" dxfId="2497" priority="4655" operator="containsText" text="ACTIVO">
      <formula>NOT(ISERROR(SEARCH("ACTIVO",H254)))</formula>
    </cfRule>
    <cfRule type="containsText" dxfId="2496" priority="4656" operator="containsText" text="BAJA">
      <formula>NOT(ISERROR(SEARCH("BAJA",H254)))</formula>
    </cfRule>
    <cfRule type="containsText" dxfId="2495" priority="4657" operator="containsText" text="ACTIVO">
      <formula>NOT(ISERROR(SEARCH("ACTIVO",H254)))</formula>
    </cfRule>
    <cfRule type="containsText" dxfId="2494" priority="4658" operator="containsText" text="INACTIVA">
      <formula>NOT(ISERROR(SEARCH("INACTIVA",H254)))</formula>
    </cfRule>
    <cfRule type="containsText" dxfId="2493" priority="4659" operator="containsText" text="BAJA">
      <formula>NOT(ISERROR(SEARCH("BAJA",H254)))</formula>
    </cfRule>
    <cfRule type="containsText" dxfId="2492" priority="4660" operator="containsText" text="ACTIVO">
      <formula>NOT(ISERROR(SEARCH("ACTIVO",H254)))</formula>
    </cfRule>
    <cfRule type="containsText" dxfId="2491" priority="4661" operator="containsText" text="BAJA">
      <formula>NOT(ISERROR(SEARCH("BAJA",H254)))</formula>
    </cfRule>
    <cfRule type="containsText" dxfId="2490" priority="4662" operator="containsText" text="ACTIVA">
      <formula>NOT(ISERROR(SEARCH("ACTIVA",H254)))</formula>
    </cfRule>
    <cfRule type="containsText" dxfId="2489" priority="4663" operator="containsText" text="INACTIVA">
      <formula>NOT(ISERROR(SEARCH("INACTIVA",H254)))</formula>
    </cfRule>
    <cfRule type="containsText" dxfId="2488" priority="4664" operator="containsText" text="ACTIVO">
      <formula>NOT(ISERROR(SEARCH("ACTIVO",H254)))</formula>
    </cfRule>
  </conditionalFormatting>
  <conditionalFormatting sqref="H255 H257 H259 H261 H263:I266 H268:H272 I269:I272">
    <cfRule type="containsText" dxfId="2487" priority="4116" operator="containsText" text="BAJA">
      <formula>NOT(ISERROR(SEARCH("BAJA",H255)))</formula>
    </cfRule>
    <cfRule type="containsText" dxfId="2486" priority="4117" operator="containsText" text="ACTIVO">
      <formula>NOT(ISERROR(SEARCH("ACTIVO",H255)))</formula>
    </cfRule>
    <cfRule type="containsText" dxfId="2485" priority="4118" operator="containsText" text="ACTIVO">
      <formula>NOT(ISERROR(SEARCH("ACTIVO",H255)))</formula>
    </cfRule>
    <cfRule type="containsText" dxfId="2484" priority="4119" operator="containsText" text="BAJA">
      <formula>NOT(ISERROR(SEARCH("BAJA",H255)))</formula>
    </cfRule>
    <cfRule type="containsText" dxfId="2483" priority="4120" operator="containsText" text="ACTIVO">
      <formula>NOT(ISERROR(SEARCH("ACTIVO",H255)))</formula>
    </cfRule>
    <cfRule type="containsText" dxfId="2482" priority="4121" operator="containsText" text="ACTIVO">
      <formula>NOT(ISERROR(SEARCH("ACTIVO",H255)))</formula>
    </cfRule>
    <cfRule type="containsText" dxfId="2481" priority="4122" operator="containsText" text="ACTIVO">
      <formula>NOT(ISERROR(SEARCH("ACTIVO",H255)))</formula>
    </cfRule>
    <cfRule type="containsText" dxfId="2480" priority="4123" operator="containsText" text="ACTIVO">
      <formula>NOT(ISERROR(SEARCH("ACTIVO",H255)))</formula>
    </cfRule>
    <cfRule type="containsText" dxfId="2479" priority="4124" operator="containsText" text="BAJA">
      <formula>NOT(ISERROR(SEARCH("BAJA",H255)))</formula>
    </cfRule>
    <cfRule type="containsText" dxfId="2478" priority="4125" operator="containsText" text="INACTIVA">
      <formula>NOT(ISERROR(SEARCH("INACTIVA",H255)))</formula>
    </cfRule>
    <cfRule type="containsText" dxfId="2477" priority="4126" operator="containsText" text="ACTIVO">
      <formula>NOT(ISERROR(SEARCH("ACTIVO",H255)))</formula>
    </cfRule>
    <cfRule type="containsText" dxfId="2476" priority="4127" operator="containsText" text="BAJA">
      <formula>NOT(ISERROR(SEARCH("BAJA",H255)))</formula>
    </cfRule>
    <cfRule type="containsText" dxfId="2475" priority="4128" operator="containsText" text="ACTIVO">
      <formula>NOT(ISERROR(SEARCH("ACTIVO",H255)))</formula>
    </cfRule>
    <cfRule type="containsText" dxfId="2474" priority="4129" operator="containsText" text="INACTIVA">
      <formula>NOT(ISERROR(SEARCH("INACTIVA",H255)))</formula>
    </cfRule>
    <cfRule type="containsText" dxfId="2473" priority="4130" operator="containsText" text="BAJA">
      <formula>NOT(ISERROR(SEARCH("BAJA",H255)))</formula>
    </cfRule>
    <cfRule type="containsText" dxfId="2472" priority="4131" operator="containsText" text="ACTIVA">
      <formula>NOT(ISERROR(SEARCH("ACTIVA",H255)))</formula>
    </cfRule>
    <cfRule type="containsText" dxfId="2471" priority="4132" operator="containsText" text="ACTIVO">
      <formula>NOT(ISERROR(SEARCH("ACTIVO",H255)))</formula>
    </cfRule>
    <cfRule type="containsText" dxfId="2470" priority="4133" operator="containsText" text="ACTIVO">
      <formula>NOT(ISERROR(SEARCH("ACTIVO",H255)))</formula>
    </cfRule>
    <cfRule type="containsText" dxfId="2469" priority="4134" operator="containsText" text="INACTIVA">
      <formula>NOT(ISERROR(SEARCH("INACTIVA",H255)))</formula>
    </cfRule>
  </conditionalFormatting>
  <conditionalFormatting sqref="H255 H257 H259 H263:I266 H268:H272 I269:I272 H261">
    <cfRule type="containsText" dxfId="2468" priority="4115" operator="containsText" text="ACTIVO">
      <formula>NOT(ISERROR(SEARCH("ACTIVO",H255)))</formula>
    </cfRule>
  </conditionalFormatting>
  <conditionalFormatting sqref="H255 H257 H259 H263:I266 H268:H272 I269:I272">
    <cfRule type="containsText" dxfId="2467" priority="4114" operator="containsText" text="ACTIVO">
      <formula>NOT(ISERROR(SEARCH("ACTIVO",H255)))</formula>
    </cfRule>
  </conditionalFormatting>
  <conditionalFormatting sqref="H255:H257 H259:H260">
    <cfRule type="containsText" dxfId="2466" priority="1742" operator="containsText" text="ACTIVO">
      <formula>NOT(ISERROR(SEARCH("ACTIVO",H255)))</formula>
    </cfRule>
    <cfRule type="containsText" dxfId="2465" priority="1745" operator="containsText" text="INACTIVA">
      <formula>NOT(ISERROR(SEARCH("INACTIVA",H255)))</formula>
    </cfRule>
  </conditionalFormatting>
  <conditionalFormatting sqref="H256">
    <cfRule type="containsText" dxfId="2464" priority="1722" operator="containsText" text="ACTIVO">
      <formula>NOT(ISERROR(SEARCH("ACTIVO",H256)))</formula>
    </cfRule>
    <cfRule type="containsText" dxfId="2463" priority="1723" operator="containsText" text="INACTIVA">
      <formula>NOT(ISERROR(SEARCH("INACTIVA",H256)))</formula>
    </cfRule>
    <cfRule type="containsText" dxfId="2462" priority="1724" operator="containsText" text="BAJA">
      <formula>NOT(ISERROR(SEARCH("BAJA",H256)))</formula>
    </cfRule>
    <cfRule type="containsText" dxfId="2461" priority="1725" operator="containsText" text="ACTIVO">
      <formula>NOT(ISERROR(SEARCH("ACTIVO",H256)))</formula>
    </cfRule>
    <cfRule type="containsText" dxfId="2460" priority="1726" operator="containsText" text="ACTIVO">
      <formula>NOT(ISERROR(SEARCH("ACTIVO",H256)))</formula>
    </cfRule>
    <cfRule type="containsText" dxfId="2459" priority="1727" operator="containsText" text="BAJA">
      <formula>NOT(ISERROR(SEARCH("BAJA",H256)))</formula>
    </cfRule>
    <cfRule type="containsText" dxfId="2458" priority="1728" operator="containsText" text="ACTIVO">
      <formula>NOT(ISERROR(SEARCH("ACTIVO",H256)))</formula>
    </cfRule>
    <cfRule type="containsText" dxfId="2457" priority="1729" operator="containsText" text="ACTIVO">
      <formula>NOT(ISERROR(SEARCH("ACTIVO",H256)))</formula>
    </cfRule>
    <cfRule type="containsText" dxfId="2456" priority="1730" operator="containsText" text="BAJA">
      <formula>NOT(ISERROR(SEARCH("BAJA",H256)))</formula>
    </cfRule>
    <cfRule type="containsText" dxfId="2455" priority="1731" operator="containsText" text="ACTIVO">
      <formula>NOT(ISERROR(SEARCH("ACTIVO",H256)))</formula>
    </cfRule>
    <cfRule type="containsText" dxfId="2454" priority="1732" operator="containsText" text="ACTIVO">
      <formula>NOT(ISERROR(SEARCH("ACTIVO",H256)))</formula>
    </cfRule>
    <cfRule type="containsText" dxfId="2453" priority="1733" operator="containsText" text="ACTIVO">
      <formula>NOT(ISERROR(SEARCH("ACTIVO",H256)))</formula>
    </cfRule>
    <cfRule type="containsText" dxfId="2452" priority="1734" operator="containsText" text="ACTIVO">
      <formula>NOT(ISERROR(SEARCH("ACTIVO",H256)))</formula>
    </cfRule>
    <cfRule type="containsText" dxfId="2451" priority="1735" operator="containsText" text="BAJA">
      <formula>NOT(ISERROR(SEARCH("BAJA",H256)))</formula>
    </cfRule>
    <cfRule type="containsText" dxfId="2450" priority="1736" operator="containsText" text="INACTIVA">
      <formula>NOT(ISERROR(SEARCH("INACTIVA",H256)))</formula>
    </cfRule>
    <cfRule type="containsText" dxfId="2449" priority="1737" operator="containsText" text="ACTIVO">
      <formula>NOT(ISERROR(SEARCH("ACTIVO",H256)))</formula>
    </cfRule>
    <cfRule type="containsText" dxfId="2448" priority="1738" operator="containsText" text="BAJA">
      <formula>NOT(ISERROR(SEARCH("BAJA",H256)))</formula>
    </cfRule>
    <cfRule type="containsText" dxfId="2447" priority="1739" operator="containsText" text="ACTIVO">
      <formula>NOT(ISERROR(SEARCH("ACTIVO",H256)))</formula>
    </cfRule>
    <cfRule type="containsText" dxfId="2446" priority="1740" operator="containsText" text="INACTIVA">
      <formula>NOT(ISERROR(SEARCH("INACTIVA",H256)))</formula>
    </cfRule>
    <cfRule type="containsText" dxfId="2445" priority="1741" operator="containsText" text="BAJA">
      <formula>NOT(ISERROR(SEARCH("BAJA",H256)))</formula>
    </cfRule>
    <cfRule type="containsText" dxfId="2444" priority="1743" operator="containsText" text="BAJA">
      <formula>NOT(ISERROR(SEARCH("BAJA",H256)))</formula>
    </cfRule>
    <cfRule type="containsText" dxfId="2443" priority="1744" operator="containsText" text="ACTIVA">
      <formula>NOT(ISERROR(SEARCH("ACTIVA",H256)))</formula>
    </cfRule>
    <cfRule type="containsText" dxfId="2442" priority="1746" operator="containsText" text="ACTIVO">
      <formula>NOT(ISERROR(SEARCH("ACTIVO",H256)))</formula>
    </cfRule>
  </conditionalFormatting>
  <conditionalFormatting sqref="H258">
    <cfRule type="containsText" dxfId="2441" priority="367" operator="containsText" text="ACTIVO">
      <formula>NOT(ISERROR(SEARCH("ACTIVO",H258)))</formula>
    </cfRule>
    <cfRule type="containsText" dxfId="2440" priority="368" operator="containsText" text="INACTIVA">
      <formula>NOT(ISERROR(SEARCH("INACTIVA",H258)))</formula>
    </cfRule>
    <cfRule type="containsText" dxfId="2439" priority="369" operator="containsText" text="BAJA">
      <formula>NOT(ISERROR(SEARCH("BAJA",H258)))</formula>
    </cfRule>
    <cfRule type="containsText" dxfId="2438" priority="370" operator="containsText" text="ACTIVO">
      <formula>NOT(ISERROR(SEARCH("ACTIVO",H258)))</formula>
    </cfRule>
    <cfRule type="containsText" dxfId="2437" priority="371" operator="containsText" text="ACTIVO">
      <formula>NOT(ISERROR(SEARCH("ACTIVO",H258)))</formula>
    </cfRule>
    <cfRule type="containsText" dxfId="2436" priority="372" operator="containsText" text="BAJA">
      <formula>NOT(ISERROR(SEARCH("BAJA",H258)))</formula>
    </cfRule>
    <cfRule type="containsText" dxfId="2435" priority="373" operator="containsText" text="ACTIVO">
      <formula>NOT(ISERROR(SEARCH("ACTIVO",H258)))</formula>
    </cfRule>
    <cfRule type="containsText" dxfId="2434" priority="374" operator="containsText" text="ACTIVO">
      <formula>NOT(ISERROR(SEARCH("ACTIVO",H258)))</formula>
    </cfRule>
    <cfRule type="containsText" dxfId="2433" priority="375" operator="containsText" text="BAJA">
      <formula>NOT(ISERROR(SEARCH("BAJA",H258)))</formula>
    </cfRule>
    <cfRule type="containsText" dxfId="2432" priority="376" operator="containsText" text="ACTIVO">
      <formula>NOT(ISERROR(SEARCH("ACTIVO",H258)))</formula>
    </cfRule>
    <cfRule type="containsText" dxfId="2431" priority="377" operator="containsText" text="ACTIVO">
      <formula>NOT(ISERROR(SEARCH("ACTIVO",H258)))</formula>
    </cfRule>
    <cfRule type="containsText" dxfId="2430" priority="378" operator="containsText" text="ACTIVO">
      <formula>NOT(ISERROR(SEARCH("ACTIVO",H258)))</formula>
    </cfRule>
    <cfRule type="containsText" dxfId="2429" priority="379" operator="containsText" text="ACTIVO">
      <formula>NOT(ISERROR(SEARCH("ACTIVO",H258)))</formula>
    </cfRule>
    <cfRule type="containsText" dxfId="2428" priority="380" operator="containsText" text="BAJA">
      <formula>NOT(ISERROR(SEARCH("BAJA",H258)))</formula>
    </cfRule>
    <cfRule type="containsText" dxfId="2427" priority="381" operator="containsText" text="INACTIVA">
      <formula>NOT(ISERROR(SEARCH("INACTIVA",H258)))</formula>
    </cfRule>
    <cfRule type="containsText" dxfId="2426" priority="382" operator="containsText" text="ACTIVO">
      <formula>NOT(ISERROR(SEARCH("ACTIVO",H258)))</formula>
    </cfRule>
    <cfRule type="containsText" dxfId="2425" priority="383" operator="containsText" text="BAJA">
      <formula>NOT(ISERROR(SEARCH("BAJA",H258)))</formula>
    </cfRule>
    <cfRule type="containsText" dxfId="2424" priority="384" operator="containsText" text="ACTIVO">
      <formula>NOT(ISERROR(SEARCH("ACTIVO",H258)))</formula>
    </cfRule>
    <cfRule type="containsText" dxfId="2423" priority="385" operator="containsText" text="INACTIVA">
      <formula>NOT(ISERROR(SEARCH("INACTIVA",H258)))</formula>
    </cfRule>
    <cfRule type="containsText" dxfId="2422" priority="386" operator="containsText" text="BAJA">
      <formula>NOT(ISERROR(SEARCH("BAJA",H258)))</formula>
    </cfRule>
    <cfRule type="containsText" dxfId="2421" priority="387" operator="containsText" text="ACTIVO">
      <formula>NOT(ISERROR(SEARCH("ACTIVO",H258)))</formula>
    </cfRule>
    <cfRule type="containsText" dxfId="2420" priority="388" operator="containsText" text="BAJA">
      <formula>NOT(ISERROR(SEARCH("BAJA",H258)))</formula>
    </cfRule>
    <cfRule type="containsText" dxfId="2419" priority="389" operator="containsText" text="ACTIVA">
      <formula>NOT(ISERROR(SEARCH("ACTIVA",H258)))</formula>
    </cfRule>
    <cfRule type="containsText" dxfId="2418" priority="390" operator="containsText" text="INACTIVA">
      <formula>NOT(ISERROR(SEARCH("INACTIVA",H258)))</formula>
    </cfRule>
    <cfRule type="containsText" dxfId="2417" priority="391" operator="containsText" text="ACTIVO">
      <formula>NOT(ISERROR(SEARCH("ACTIVO",H258)))</formula>
    </cfRule>
  </conditionalFormatting>
  <conditionalFormatting sqref="H260">
    <cfRule type="containsText" dxfId="2416" priority="605" operator="containsText" text="ACTIVO">
      <formula>NOT(ISERROR(SEARCH("ACTIVO",H260)))</formula>
    </cfRule>
    <cfRule type="containsText" dxfId="2415" priority="606" operator="containsText" text="INACTIVA">
      <formula>NOT(ISERROR(SEARCH("INACTIVA",H260)))</formula>
    </cfRule>
    <cfRule type="containsText" dxfId="2414" priority="607" operator="containsText" text="BAJA">
      <formula>NOT(ISERROR(SEARCH("BAJA",H260)))</formula>
    </cfRule>
    <cfRule type="containsText" dxfId="2413" priority="608" operator="containsText" text="ACTIVO">
      <formula>NOT(ISERROR(SEARCH("ACTIVO",H260)))</formula>
    </cfRule>
    <cfRule type="containsText" dxfId="2412" priority="609" operator="containsText" text="ACTIVO">
      <formula>NOT(ISERROR(SEARCH("ACTIVO",H260)))</formula>
    </cfRule>
    <cfRule type="containsText" dxfId="2411" priority="610" operator="containsText" text="BAJA">
      <formula>NOT(ISERROR(SEARCH("BAJA",H260)))</formula>
    </cfRule>
    <cfRule type="containsText" dxfId="2410" priority="611" operator="containsText" text="ACTIVO">
      <formula>NOT(ISERROR(SEARCH("ACTIVO",H260)))</formula>
    </cfRule>
    <cfRule type="containsText" dxfId="2409" priority="612" operator="containsText" text="ACTIVO">
      <formula>NOT(ISERROR(SEARCH("ACTIVO",H260)))</formula>
    </cfRule>
    <cfRule type="containsText" dxfId="2408" priority="613" operator="containsText" text="BAJA">
      <formula>NOT(ISERROR(SEARCH("BAJA",H260)))</formula>
    </cfRule>
    <cfRule type="containsText" dxfId="2407" priority="614" operator="containsText" text="ACTIVO">
      <formula>NOT(ISERROR(SEARCH("ACTIVO",H260)))</formula>
    </cfRule>
    <cfRule type="containsText" dxfId="2406" priority="615" operator="containsText" text="ACTIVO">
      <formula>NOT(ISERROR(SEARCH("ACTIVO",H260)))</formula>
    </cfRule>
    <cfRule type="containsText" dxfId="2405" priority="616" operator="containsText" text="ACTIVO">
      <formula>NOT(ISERROR(SEARCH("ACTIVO",H260)))</formula>
    </cfRule>
    <cfRule type="containsText" dxfId="2404" priority="617" operator="containsText" text="ACTIVO">
      <formula>NOT(ISERROR(SEARCH("ACTIVO",H260)))</formula>
    </cfRule>
    <cfRule type="containsText" dxfId="2403" priority="618" operator="containsText" text="BAJA">
      <formula>NOT(ISERROR(SEARCH("BAJA",H260)))</formula>
    </cfRule>
    <cfRule type="containsText" dxfId="2402" priority="619" operator="containsText" text="INACTIVA">
      <formula>NOT(ISERROR(SEARCH("INACTIVA",H260)))</formula>
    </cfRule>
    <cfRule type="containsText" dxfId="2401" priority="620" operator="containsText" text="ACTIVO">
      <formula>NOT(ISERROR(SEARCH("ACTIVO",H260)))</formula>
    </cfRule>
    <cfRule type="containsText" dxfId="2400" priority="621" operator="containsText" text="BAJA">
      <formula>NOT(ISERROR(SEARCH("BAJA",H260)))</formula>
    </cfRule>
    <cfRule type="containsText" dxfId="2399" priority="622" operator="containsText" text="ACTIVO">
      <formula>NOT(ISERROR(SEARCH("ACTIVO",H260)))</formula>
    </cfRule>
    <cfRule type="containsText" dxfId="2398" priority="623" operator="containsText" text="INACTIVA">
      <formula>NOT(ISERROR(SEARCH("INACTIVA",H260)))</formula>
    </cfRule>
    <cfRule type="containsText" dxfId="2397" priority="624" operator="containsText" text="BAJA">
      <formula>NOT(ISERROR(SEARCH("BAJA",H260)))</formula>
    </cfRule>
    <cfRule type="containsText" dxfId="2396" priority="625" operator="containsText" text="ACTIVA">
      <formula>NOT(ISERROR(SEARCH("ACTIVA",H260)))</formula>
    </cfRule>
    <cfRule type="containsText" dxfId="2395" priority="626" operator="containsText" text="ACTIVO">
      <formula>NOT(ISERROR(SEARCH("ACTIVO",H260)))</formula>
    </cfRule>
  </conditionalFormatting>
  <conditionalFormatting sqref="H261">
    <cfRule type="containsText" dxfId="2394" priority="2407" operator="containsText" text="BAJA">
      <formula>NOT(ISERROR(SEARCH("BAJA",H261)))</formula>
    </cfRule>
    <cfRule type="containsText" dxfId="2393" priority="2547" operator="containsText" text="ACTIVO">
      <formula>NOT(ISERROR(SEARCH("ACTIVO",H261)))</formula>
    </cfRule>
  </conditionalFormatting>
  <conditionalFormatting sqref="H261:H266 I263:I266">
    <cfRule type="containsText" dxfId="2392" priority="2362" operator="containsText" text="ACTIVO">
      <formula>NOT(ISERROR(SEARCH("ACTIVO",H261)))</formula>
    </cfRule>
    <cfRule type="containsText" dxfId="2391" priority="2370" operator="containsText" text="INACTIVA">
      <formula>NOT(ISERROR(SEARCH("INACTIVA",H261)))</formula>
    </cfRule>
  </conditionalFormatting>
  <conditionalFormatting sqref="H262">
    <cfRule type="containsText" dxfId="2390" priority="2326" operator="containsText" text="ACTIVO">
      <formula>NOT(ISERROR(SEARCH("ACTIVO",H262)))</formula>
    </cfRule>
    <cfRule type="containsText" dxfId="2389" priority="2327" operator="containsText" text="INACTIVA">
      <formula>NOT(ISERROR(SEARCH("INACTIVA",H262)))</formula>
    </cfRule>
    <cfRule type="containsText" dxfId="2388" priority="2328" operator="containsText" text="BAJA">
      <formula>NOT(ISERROR(SEARCH("BAJA",H262)))</formula>
    </cfRule>
    <cfRule type="containsText" dxfId="2387" priority="2329" operator="containsText" text="ACTIVO">
      <formula>NOT(ISERROR(SEARCH("ACTIVO",H262)))</formula>
    </cfRule>
    <cfRule type="containsText" dxfId="2386" priority="2330" operator="containsText" text="BAJA">
      <formula>NOT(ISERROR(SEARCH("BAJA",H262)))</formula>
    </cfRule>
    <cfRule type="colorScale" priority="233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3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3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3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385" priority="2335" operator="containsText" text="ACTIVO">
      <formula>NOT(ISERROR(SEARCH("ACTIVO",H262)))</formula>
    </cfRule>
    <cfRule type="containsText" dxfId="2384" priority="2336" operator="containsText" text="ACTIVO">
      <formula>NOT(ISERROR(SEARCH("ACTIVO",H262)))</formula>
    </cfRule>
    <cfRule type="containsText" dxfId="2383" priority="2337" operator="containsText" text="BAJA">
      <formula>NOT(ISERROR(SEARCH("BAJA",H262)))</formula>
    </cfRule>
    <cfRule type="containsText" dxfId="2382" priority="2338" operator="containsText" text="ACTIVO">
      <formula>NOT(ISERROR(SEARCH("ACTIVO",H262)))</formula>
    </cfRule>
    <cfRule type="containsText" dxfId="2381" priority="2339" operator="containsText" text="ACTIVO">
      <formula>NOT(ISERROR(SEARCH("ACTIVO",H262)))</formula>
    </cfRule>
    <cfRule type="colorScale" priority="23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4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380" priority="2342" operator="containsText" text="BAJA">
      <formula>NOT(ISERROR(SEARCH("BAJA",H262)))</formula>
    </cfRule>
    <cfRule type="containsText" dxfId="2379" priority="2343" operator="containsText" text="ACTIVO">
      <formula>NOT(ISERROR(SEARCH("ACTIVO",H262)))</formula>
    </cfRule>
    <cfRule type="containsText" dxfId="2378" priority="2344" operator="containsText" text="ACTIVO">
      <formula>NOT(ISERROR(SEARCH("ACTIVO",H262)))</formula>
    </cfRule>
    <cfRule type="containsText" dxfId="2377" priority="2345" operator="containsText" text="ACTIVO">
      <formula>NOT(ISERROR(SEARCH("ACTIVO",H262)))</formula>
    </cfRule>
    <cfRule type="containsText" dxfId="2376" priority="2346" operator="containsText" text="ACTIVO">
      <formula>NOT(ISERROR(SEARCH("ACTIVO",H262)))</formula>
    </cfRule>
    <cfRule type="containsText" dxfId="2375" priority="2347" operator="containsText" text="BAJA">
      <formula>NOT(ISERROR(SEARCH("BAJA",H262)))</formula>
    </cfRule>
    <cfRule type="containsText" dxfId="2374" priority="2348" operator="containsText" text="INACTIVA">
      <formula>NOT(ISERROR(SEARCH("INACTIVA",H262)))</formula>
    </cfRule>
    <cfRule type="colorScale" priority="234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5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5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5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373" priority="2353" operator="containsText" text="ACTIVO">
      <formula>NOT(ISERROR(SEARCH("ACTIVO",H262)))</formula>
    </cfRule>
    <cfRule type="containsText" dxfId="2372" priority="2354" operator="containsText" text="BAJA">
      <formula>NOT(ISERROR(SEARCH("BAJA",H262)))</formula>
    </cfRule>
    <cfRule type="containsText" dxfId="2371" priority="2355" operator="containsText" text="ACTIVO">
      <formula>NOT(ISERROR(SEARCH("ACTIVO",H262)))</formula>
    </cfRule>
    <cfRule type="colorScale" priority="23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5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370" priority="2360" operator="containsText" text="INACTIVA">
      <formula>NOT(ISERROR(SEARCH("INACTIVA",H262)))</formula>
    </cfRule>
    <cfRule type="containsText" dxfId="2369" priority="2361" operator="containsText" text="BAJA">
      <formula>NOT(ISERROR(SEARCH("BAJA",H262)))</formula>
    </cfRule>
    <cfRule type="containsText" dxfId="2368" priority="2363" operator="containsText" text="BAJA">
      <formula>NOT(ISERROR(SEARCH("BAJA",H262)))</formula>
    </cfRule>
    <cfRule type="colorScale" priority="236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6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367" priority="2366" operator="containsText" text="INACTIVA">
      <formula>NOT(ISERROR(SEARCH("INACTIVA",H262)))</formula>
    </cfRule>
    <cfRule type="containsText" dxfId="2366" priority="2367" operator="containsText" text="ACTIVA">
      <formula>NOT(ISERROR(SEARCH("ACTIVA",H262)))</formula>
    </cfRule>
    <cfRule type="colorScale" priority="23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6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365" priority="2375" operator="containsText" text="ACTIVO">
      <formula>NOT(ISERROR(SEARCH("ACTIVO",H262)))</formula>
    </cfRule>
    <cfRule type="colorScale" priority="23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67">
    <cfRule type="containsText" dxfId="2364" priority="343" operator="containsText" text="ACTIVO">
      <formula>NOT(ISERROR(SEARCH("ACTIVO",H267)))</formula>
    </cfRule>
    <cfRule type="containsText" dxfId="2363" priority="344" operator="containsText" text="INACTIVA">
      <formula>NOT(ISERROR(SEARCH("INACTIVA",H267)))</formula>
    </cfRule>
    <cfRule type="containsText" dxfId="2362" priority="345" operator="containsText" text="BAJA">
      <formula>NOT(ISERROR(SEARCH("BAJA",H267)))</formula>
    </cfRule>
    <cfRule type="containsText" dxfId="2361" priority="346" operator="containsText" text="ACTIVO">
      <formula>NOT(ISERROR(SEARCH("ACTIVO",H267)))</formula>
    </cfRule>
    <cfRule type="containsText" dxfId="2360" priority="347" operator="containsText" text="ACTIVO">
      <formula>NOT(ISERROR(SEARCH("ACTIVO",H267)))</formula>
    </cfRule>
    <cfRule type="containsText" dxfId="2359" priority="348" operator="containsText" text="BAJA">
      <formula>NOT(ISERROR(SEARCH("BAJA",H267)))</formula>
    </cfRule>
    <cfRule type="containsText" dxfId="2358" priority="349" operator="containsText" text="ACTIVO">
      <formula>NOT(ISERROR(SEARCH("ACTIVO",H267)))</formula>
    </cfRule>
    <cfRule type="containsText" dxfId="2357" priority="350" operator="containsText" text="ACTIVO">
      <formula>NOT(ISERROR(SEARCH("ACTIVO",H267)))</formula>
    </cfRule>
    <cfRule type="containsText" dxfId="2356" priority="351" operator="containsText" text="BAJA">
      <formula>NOT(ISERROR(SEARCH("BAJA",H267)))</formula>
    </cfRule>
    <cfRule type="containsText" dxfId="2355" priority="352" operator="containsText" text="ACTIVO">
      <formula>NOT(ISERROR(SEARCH("ACTIVO",H267)))</formula>
    </cfRule>
    <cfRule type="containsText" dxfId="2354" priority="353" operator="containsText" text="ACTIVO">
      <formula>NOT(ISERROR(SEARCH("ACTIVO",H267)))</formula>
    </cfRule>
    <cfRule type="containsText" dxfId="2353" priority="354" operator="containsText" text="ACTIVO">
      <formula>NOT(ISERROR(SEARCH("ACTIVO",H267)))</formula>
    </cfRule>
    <cfRule type="containsText" dxfId="2352" priority="355" operator="containsText" text="ACTIVO">
      <formula>NOT(ISERROR(SEARCH("ACTIVO",H267)))</formula>
    </cfRule>
    <cfRule type="containsText" dxfId="2351" priority="356" operator="containsText" text="BAJA">
      <formula>NOT(ISERROR(SEARCH("BAJA",H267)))</formula>
    </cfRule>
    <cfRule type="containsText" dxfId="2350" priority="357" operator="containsText" text="INACTIVA">
      <formula>NOT(ISERROR(SEARCH("INACTIVA",H267)))</formula>
    </cfRule>
    <cfRule type="containsText" dxfId="2349" priority="358" operator="containsText" text="ACTIVO">
      <formula>NOT(ISERROR(SEARCH("ACTIVO",H267)))</formula>
    </cfRule>
    <cfRule type="containsText" dxfId="2348" priority="359" operator="containsText" text="BAJA">
      <formula>NOT(ISERROR(SEARCH("BAJA",H267)))</formula>
    </cfRule>
    <cfRule type="containsText" dxfId="2347" priority="360" operator="containsText" text="ACTIVO">
      <formula>NOT(ISERROR(SEARCH("ACTIVO",H267)))</formula>
    </cfRule>
    <cfRule type="containsText" dxfId="2346" priority="361" operator="containsText" text="INACTIVA">
      <formula>NOT(ISERROR(SEARCH("INACTIVA",H267)))</formula>
    </cfRule>
    <cfRule type="containsText" dxfId="2345" priority="362" operator="containsText" text="BAJA">
      <formula>NOT(ISERROR(SEARCH("BAJA",H267)))</formula>
    </cfRule>
    <cfRule type="containsText" dxfId="2344" priority="363" operator="containsText" text="ACTIVA">
      <formula>NOT(ISERROR(SEARCH("ACTIVA",H267)))</formula>
    </cfRule>
    <cfRule type="containsText" dxfId="2343" priority="364" operator="containsText" text="ACTIVO">
      <formula>NOT(ISERROR(SEARCH("ACTIVO",H267)))</formula>
    </cfRule>
    <cfRule type="containsText" dxfId="2342" priority="366" operator="containsText" text="INACTIVA">
      <formula>NOT(ISERROR(SEARCH("INACTIVA",H267)))</formula>
    </cfRule>
  </conditionalFormatting>
  <conditionalFormatting sqref="H267:H272">
    <cfRule type="containsText" dxfId="2341" priority="365" operator="containsText" text="ACTIVO">
      <formula>NOT(ISERROR(SEARCH("ACTIVO",H267)))</formula>
    </cfRule>
  </conditionalFormatting>
  <conditionalFormatting sqref="H268:H272">
    <cfRule type="containsText" dxfId="2340" priority="1064" operator="containsText" text="INACTIVA">
      <formula>NOT(ISERROR(SEARCH("INACTIVA",H268)))</formula>
    </cfRule>
  </conditionalFormatting>
  <conditionalFormatting sqref="H273">
    <cfRule type="containsText" dxfId="2339" priority="26" operator="containsText" text="ACTIVO">
      <formula>NOT(ISERROR(SEARCH("ACTIVO",H273)))</formula>
    </cfRule>
    <cfRule type="containsText" dxfId="2338" priority="27" operator="containsText" text="INACTIVA">
      <formula>NOT(ISERROR(SEARCH("INACTIVA",H273)))</formula>
    </cfRule>
    <cfRule type="containsText" dxfId="2337" priority="28" operator="containsText" text="BAJA">
      <formula>NOT(ISERROR(SEARCH("BAJA",H273)))</formula>
    </cfRule>
    <cfRule type="containsText" dxfId="2336" priority="29" operator="containsText" text="ACTIVO">
      <formula>NOT(ISERROR(SEARCH("ACTIVO",H273)))</formula>
    </cfRule>
    <cfRule type="containsText" dxfId="2335" priority="30" operator="containsText" text="ACTIVO">
      <formula>NOT(ISERROR(SEARCH("ACTIVO",H273)))</formula>
    </cfRule>
    <cfRule type="containsText" dxfId="2334" priority="31" operator="containsText" text="BAJA">
      <formula>NOT(ISERROR(SEARCH("BAJA",H273)))</formula>
    </cfRule>
    <cfRule type="containsText" dxfId="2333" priority="32" operator="containsText" text="ACTIVO">
      <formula>NOT(ISERROR(SEARCH("ACTIVO",H273)))</formula>
    </cfRule>
    <cfRule type="containsText" dxfId="2332" priority="33" operator="containsText" text="ACTIVO">
      <formula>NOT(ISERROR(SEARCH("ACTIVO",H273)))</formula>
    </cfRule>
    <cfRule type="containsText" dxfId="2331" priority="34" operator="containsText" text="BAJA">
      <formula>NOT(ISERROR(SEARCH("BAJA",H273)))</formula>
    </cfRule>
    <cfRule type="containsText" dxfId="2330" priority="35" operator="containsText" text="ACTIVO">
      <formula>NOT(ISERROR(SEARCH("ACTIVO",H273)))</formula>
    </cfRule>
    <cfRule type="containsText" dxfId="2329" priority="36" operator="containsText" text="ACTIVO">
      <formula>NOT(ISERROR(SEARCH("ACTIVO",H273)))</formula>
    </cfRule>
    <cfRule type="containsText" dxfId="2328" priority="37" operator="containsText" text="ACTIVO">
      <formula>NOT(ISERROR(SEARCH("ACTIVO",H273)))</formula>
    </cfRule>
    <cfRule type="containsText" dxfId="2327" priority="38" operator="containsText" text="ACTIVO">
      <formula>NOT(ISERROR(SEARCH("ACTIVO",H273)))</formula>
    </cfRule>
    <cfRule type="containsText" dxfId="2326" priority="39" operator="containsText" text="BAJA">
      <formula>NOT(ISERROR(SEARCH("BAJA",H273)))</formula>
    </cfRule>
    <cfRule type="containsText" dxfId="2325" priority="40" operator="containsText" text="INACTIVA">
      <formula>NOT(ISERROR(SEARCH("INACTIVA",H273)))</formula>
    </cfRule>
    <cfRule type="containsText" dxfId="2324" priority="41" operator="containsText" text="ACTIVO">
      <formula>NOT(ISERROR(SEARCH("ACTIVO",H273)))</formula>
    </cfRule>
    <cfRule type="containsText" dxfId="2323" priority="42" operator="containsText" text="BAJA">
      <formula>NOT(ISERROR(SEARCH("BAJA",H273)))</formula>
    </cfRule>
    <cfRule type="containsText" dxfId="2322" priority="43" operator="containsText" text="ACTIVO">
      <formula>NOT(ISERROR(SEARCH("ACTIVO",H273)))</formula>
    </cfRule>
    <cfRule type="containsText" dxfId="2321" priority="44" operator="containsText" text="INACTIVA">
      <formula>NOT(ISERROR(SEARCH("INACTIVA",H273)))</formula>
    </cfRule>
    <cfRule type="containsText" dxfId="2320" priority="45" operator="containsText" text="BAJA">
      <formula>NOT(ISERROR(SEARCH("BAJA",H273)))</formula>
    </cfRule>
    <cfRule type="containsText" dxfId="2319" priority="46" operator="containsText" text="ACTIVA">
      <formula>NOT(ISERROR(SEARCH("ACTIVA",H273)))</formula>
    </cfRule>
    <cfRule type="containsText" dxfId="2318" priority="47" operator="containsText" text="ACTIVO">
      <formula>NOT(ISERROR(SEARCH("ACTIVO",H273)))</formula>
    </cfRule>
    <cfRule type="containsText" dxfId="2317" priority="48" operator="containsText" text="ACTIVO">
      <formula>NOT(ISERROR(SEARCH("ACTIVO",H273)))</formula>
    </cfRule>
    <cfRule type="containsText" dxfId="2316" priority="49" operator="containsText" text="INACTIVA">
      <formula>NOT(ISERROR(SEARCH("INACTIVA",H273)))</formula>
    </cfRule>
  </conditionalFormatting>
  <conditionalFormatting sqref="H274:H280">
    <cfRule type="containsText" dxfId="2315" priority="4091" operator="containsText" text="BAJA">
      <formula>NOT(ISERROR(SEARCH("BAJA",H274)))</formula>
    </cfRule>
    <cfRule type="containsText" dxfId="2314" priority="4092" operator="containsText" text="ACTIVO">
      <formula>NOT(ISERROR(SEARCH("ACTIVO",H274)))</formula>
    </cfRule>
    <cfRule type="containsText" dxfId="2313" priority="4093" operator="containsText" text="ACTIVO">
      <formula>NOT(ISERROR(SEARCH("ACTIVO",H274)))</formula>
    </cfRule>
    <cfRule type="containsText" dxfId="2312" priority="4094" operator="containsText" text="BAJA">
      <formula>NOT(ISERROR(SEARCH("BAJA",H274)))</formula>
    </cfRule>
    <cfRule type="containsText" dxfId="2311" priority="4095" operator="containsText" text="ACTIVO">
      <formula>NOT(ISERROR(SEARCH("ACTIVO",H274)))</formula>
    </cfRule>
    <cfRule type="containsText" dxfId="2310" priority="4096" operator="containsText" text="ACTIVO">
      <formula>NOT(ISERROR(SEARCH("ACTIVO",H274)))</formula>
    </cfRule>
    <cfRule type="containsText" dxfId="2309" priority="4097" operator="containsText" text="BAJA">
      <formula>NOT(ISERROR(SEARCH("BAJA",H274)))</formula>
    </cfRule>
    <cfRule type="containsText" dxfId="2308" priority="4098" operator="containsText" text="ACTIVO">
      <formula>NOT(ISERROR(SEARCH("ACTIVO",H274)))</formula>
    </cfRule>
    <cfRule type="containsText" dxfId="2307" priority="4099" operator="containsText" text="ACTIVO">
      <formula>NOT(ISERROR(SEARCH("ACTIVO",H274)))</formula>
    </cfRule>
    <cfRule type="containsText" dxfId="2306" priority="4100" operator="containsText" text="ACTIVO">
      <formula>NOT(ISERROR(SEARCH("ACTIVO",H274)))</formula>
    </cfRule>
    <cfRule type="containsText" dxfId="2305" priority="4101" operator="containsText" text="ACTIVO">
      <formula>NOT(ISERROR(SEARCH("ACTIVO",H274)))</formula>
    </cfRule>
    <cfRule type="containsText" dxfId="2304" priority="4102" operator="containsText" text="BAJA">
      <formula>NOT(ISERROR(SEARCH("BAJA",H274)))</formula>
    </cfRule>
    <cfRule type="containsText" dxfId="2303" priority="4103" operator="containsText" text="INACTIVA">
      <formula>NOT(ISERROR(SEARCH("INACTIVA",H274)))</formula>
    </cfRule>
    <cfRule type="containsText" dxfId="2302" priority="4104" operator="containsText" text="ACTIVO">
      <formula>NOT(ISERROR(SEARCH("ACTIVO",H274)))</formula>
    </cfRule>
    <cfRule type="containsText" dxfId="2301" priority="4105" operator="containsText" text="BAJA">
      <formula>NOT(ISERROR(SEARCH("BAJA",H274)))</formula>
    </cfRule>
    <cfRule type="containsText" dxfId="2300" priority="4106" operator="containsText" text="ACTIVO">
      <formula>NOT(ISERROR(SEARCH("ACTIVO",H274)))</formula>
    </cfRule>
    <cfRule type="containsText" dxfId="2299" priority="4107" operator="containsText" text="INACTIVA">
      <formula>NOT(ISERROR(SEARCH("INACTIVA",H274)))</formula>
    </cfRule>
    <cfRule type="containsText" dxfId="2298" priority="4108" operator="containsText" text="BAJA">
      <formula>NOT(ISERROR(SEARCH("BAJA",H274)))</formula>
    </cfRule>
    <cfRule type="containsText" dxfId="2297" priority="4109" operator="containsText" text="ACTIVA">
      <formula>NOT(ISERROR(SEARCH("ACTIVA",H274)))</formula>
    </cfRule>
    <cfRule type="containsText" dxfId="2296" priority="4110" operator="containsText" text="ACTIVO">
      <formula>NOT(ISERROR(SEARCH("ACTIVO",H274)))</formula>
    </cfRule>
    <cfRule type="containsText" dxfId="2295" priority="4111" operator="containsText" text="ACTIVO">
      <formula>NOT(ISERROR(SEARCH("ACTIVO",H274)))</formula>
    </cfRule>
    <cfRule type="containsText" dxfId="2294" priority="4112" operator="containsText" text="INACTIVA">
      <formula>NOT(ISERROR(SEARCH("INACTIVA",H274)))</formula>
    </cfRule>
  </conditionalFormatting>
  <conditionalFormatting sqref="H274:H284">
    <cfRule type="containsText" dxfId="2293" priority="1341" operator="containsText" text="ACTIVO">
      <formula>NOT(ISERROR(SEARCH("ACTIVO",H274)))</formula>
    </cfRule>
    <cfRule type="containsText" dxfId="2292" priority="1342" operator="containsText" text="INACTIVA">
      <formula>NOT(ISERROR(SEARCH("INACTIVA",H274)))</formula>
    </cfRule>
  </conditionalFormatting>
  <conditionalFormatting sqref="H281">
    <cfRule type="containsText" dxfId="2291" priority="1319" operator="containsText" text="ACTIVO">
      <formula>NOT(ISERROR(SEARCH("ACTIVO",H281)))</formula>
    </cfRule>
    <cfRule type="containsText" dxfId="2290" priority="1320" operator="containsText" text="INACTIVA">
      <formula>NOT(ISERROR(SEARCH("INACTIVA",H281)))</formula>
    </cfRule>
    <cfRule type="containsText" dxfId="2289" priority="1321" operator="containsText" text="BAJA">
      <formula>NOT(ISERROR(SEARCH("BAJA",H281)))</formula>
    </cfRule>
    <cfRule type="containsText" dxfId="2288" priority="1322" operator="containsText" text="ACTIVO">
      <formula>NOT(ISERROR(SEARCH("ACTIVO",H281)))</formula>
    </cfRule>
    <cfRule type="containsText" dxfId="2287" priority="1323" operator="containsText" text="ACTIVO">
      <formula>NOT(ISERROR(SEARCH("ACTIVO",H281)))</formula>
    </cfRule>
    <cfRule type="containsText" dxfId="2286" priority="1324" operator="containsText" text="BAJA">
      <formula>NOT(ISERROR(SEARCH("BAJA",H281)))</formula>
    </cfRule>
    <cfRule type="containsText" dxfId="2285" priority="1325" operator="containsText" text="ACTIVO">
      <formula>NOT(ISERROR(SEARCH("ACTIVO",H281)))</formula>
    </cfRule>
    <cfRule type="containsText" dxfId="2284" priority="1326" operator="containsText" text="ACTIVO">
      <formula>NOT(ISERROR(SEARCH("ACTIVO",H281)))</formula>
    </cfRule>
    <cfRule type="containsText" dxfId="2283" priority="1327" operator="containsText" text="BAJA">
      <formula>NOT(ISERROR(SEARCH("BAJA",H281)))</formula>
    </cfRule>
    <cfRule type="containsText" dxfId="2282" priority="1328" operator="containsText" text="ACTIVO">
      <formula>NOT(ISERROR(SEARCH("ACTIVO",H281)))</formula>
    </cfRule>
    <cfRule type="containsText" dxfId="2281" priority="1329" operator="containsText" text="ACTIVO">
      <formula>NOT(ISERROR(SEARCH("ACTIVO",H281)))</formula>
    </cfRule>
    <cfRule type="containsText" dxfId="2280" priority="1330" operator="containsText" text="ACTIVO">
      <formula>NOT(ISERROR(SEARCH("ACTIVO",H281)))</formula>
    </cfRule>
    <cfRule type="containsText" dxfId="2279" priority="1331" operator="containsText" text="ACTIVO">
      <formula>NOT(ISERROR(SEARCH("ACTIVO",H281)))</formula>
    </cfRule>
    <cfRule type="containsText" dxfId="2278" priority="1332" operator="containsText" text="BAJA">
      <formula>NOT(ISERROR(SEARCH("BAJA",H281)))</formula>
    </cfRule>
    <cfRule type="containsText" dxfId="2277" priority="1333" operator="containsText" text="INACTIVA">
      <formula>NOT(ISERROR(SEARCH("INACTIVA",H281)))</formula>
    </cfRule>
    <cfRule type="containsText" dxfId="2276" priority="1334" operator="containsText" text="ACTIVO">
      <formula>NOT(ISERROR(SEARCH("ACTIVO",H281)))</formula>
    </cfRule>
    <cfRule type="containsText" dxfId="2275" priority="1335" operator="containsText" text="BAJA">
      <formula>NOT(ISERROR(SEARCH("BAJA",H281)))</formula>
    </cfRule>
    <cfRule type="containsText" dxfId="2274" priority="1336" operator="containsText" text="ACTIVO">
      <formula>NOT(ISERROR(SEARCH("ACTIVO",H281)))</formula>
    </cfRule>
    <cfRule type="containsText" dxfId="2273" priority="1337" operator="containsText" text="INACTIVA">
      <formula>NOT(ISERROR(SEARCH("INACTIVA",H281)))</formula>
    </cfRule>
    <cfRule type="containsText" dxfId="2272" priority="1338" operator="containsText" text="BAJA">
      <formula>NOT(ISERROR(SEARCH("BAJA",H281)))</formula>
    </cfRule>
    <cfRule type="containsText" dxfId="2271" priority="1339" operator="containsText" text="ACTIVA">
      <formula>NOT(ISERROR(SEARCH("ACTIVA",H281)))</formula>
    </cfRule>
    <cfRule type="containsText" dxfId="2270" priority="1340" operator="containsText" text="ACTIVO">
      <formula>NOT(ISERROR(SEARCH("ACTIVO",H281)))</formula>
    </cfRule>
  </conditionalFormatting>
  <conditionalFormatting sqref="H282:H284">
    <cfRule type="containsText" dxfId="2269" priority="4069" operator="containsText" text="BAJA">
      <formula>NOT(ISERROR(SEARCH("BAJA",H282)))</formula>
    </cfRule>
    <cfRule type="containsText" dxfId="2268" priority="4070" operator="containsText" text="ACTIVO">
      <formula>NOT(ISERROR(SEARCH("ACTIVO",H282)))</formula>
    </cfRule>
    <cfRule type="containsText" dxfId="2267" priority="4071" operator="containsText" text="ACTIVO">
      <formula>NOT(ISERROR(SEARCH("ACTIVO",H282)))</formula>
    </cfRule>
    <cfRule type="containsText" dxfId="2266" priority="4072" operator="containsText" text="BAJA">
      <formula>NOT(ISERROR(SEARCH("BAJA",H282)))</formula>
    </cfRule>
    <cfRule type="containsText" dxfId="2265" priority="4073" operator="containsText" text="ACTIVO">
      <formula>NOT(ISERROR(SEARCH("ACTIVO",H282)))</formula>
    </cfRule>
    <cfRule type="containsText" dxfId="2264" priority="4074" operator="containsText" text="ACTIVO">
      <formula>NOT(ISERROR(SEARCH("ACTIVO",H282)))</formula>
    </cfRule>
    <cfRule type="containsText" dxfId="2263" priority="4075" operator="containsText" text="BAJA">
      <formula>NOT(ISERROR(SEARCH("BAJA",H282)))</formula>
    </cfRule>
    <cfRule type="containsText" dxfId="2262" priority="4076" operator="containsText" text="ACTIVO">
      <formula>NOT(ISERROR(SEARCH("ACTIVO",H282)))</formula>
    </cfRule>
    <cfRule type="containsText" dxfId="2261" priority="4077" operator="containsText" text="ACTIVO">
      <formula>NOT(ISERROR(SEARCH("ACTIVO",H282)))</formula>
    </cfRule>
    <cfRule type="containsText" dxfId="2260" priority="4078" operator="containsText" text="ACTIVO">
      <formula>NOT(ISERROR(SEARCH("ACTIVO",H282)))</formula>
    </cfRule>
    <cfRule type="containsText" dxfId="2259" priority="4079" operator="containsText" text="ACTIVO">
      <formula>NOT(ISERROR(SEARCH("ACTIVO",H282)))</formula>
    </cfRule>
    <cfRule type="containsText" dxfId="2258" priority="4080" operator="containsText" text="BAJA">
      <formula>NOT(ISERROR(SEARCH("BAJA",H282)))</formula>
    </cfRule>
    <cfRule type="containsText" dxfId="2257" priority="4081" operator="containsText" text="INACTIVA">
      <formula>NOT(ISERROR(SEARCH("INACTIVA",H282)))</formula>
    </cfRule>
    <cfRule type="containsText" dxfId="2256" priority="4082" operator="containsText" text="ACTIVO">
      <formula>NOT(ISERROR(SEARCH("ACTIVO",H282)))</formula>
    </cfRule>
    <cfRule type="containsText" dxfId="2255" priority="4083" operator="containsText" text="BAJA">
      <formula>NOT(ISERROR(SEARCH("BAJA",H282)))</formula>
    </cfRule>
    <cfRule type="containsText" dxfId="2254" priority="4084" operator="containsText" text="ACTIVO">
      <formula>NOT(ISERROR(SEARCH("ACTIVO",H282)))</formula>
    </cfRule>
    <cfRule type="containsText" dxfId="2253" priority="4085" operator="containsText" text="INACTIVA">
      <formula>NOT(ISERROR(SEARCH("INACTIVA",H282)))</formula>
    </cfRule>
    <cfRule type="containsText" dxfId="2252" priority="4086" operator="containsText" text="BAJA">
      <formula>NOT(ISERROR(SEARCH("BAJA",H282)))</formula>
    </cfRule>
    <cfRule type="containsText" dxfId="2251" priority="4087" operator="containsText" text="ACTIVA">
      <formula>NOT(ISERROR(SEARCH("ACTIVA",H282)))</formula>
    </cfRule>
    <cfRule type="containsText" dxfId="2250" priority="4088" operator="containsText" text="ACTIVO">
      <formula>NOT(ISERROR(SEARCH("ACTIVO",H282)))</formula>
    </cfRule>
    <cfRule type="containsText" dxfId="2249" priority="4089" operator="containsText" text="ACTIVO">
      <formula>NOT(ISERROR(SEARCH("ACTIVO",H282)))</formula>
    </cfRule>
    <cfRule type="containsText" dxfId="2248" priority="4090" operator="containsText" text="INACTIVA">
      <formula>NOT(ISERROR(SEARCH("INACTIVA",H282)))</formula>
    </cfRule>
  </conditionalFormatting>
  <conditionalFormatting sqref="H285">
    <cfRule type="containsText" dxfId="2247" priority="50" operator="containsText" text="ACTIVO">
      <formula>NOT(ISERROR(SEARCH("ACTIVO",H285)))</formula>
    </cfRule>
    <cfRule type="containsText" dxfId="2246" priority="51" operator="containsText" text="INACTIVA">
      <formula>NOT(ISERROR(SEARCH("INACTIVA",H285)))</formula>
    </cfRule>
    <cfRule type="containsText" dxfId="2245" priority="52" operator="containsText" text="BAJA">
      <formula>NOT(ISERROR(SEARCH("BAJA",H285)))</formula>
    </cfRule>
    <cfRule type="containsText" dxfId="2244" priority="53" operator="containsText" text="ACTIVO">
      <formula>NOT(ISERROR(SEARCH("ACTIVO",H285)))</formula>
    </cfRule>
    <cfRule type="containsText" dxfId="2243" priority="54" operator="containsText" text="ACTIVO">
      <formula>NOT(ISERROR(SEARCH("ACTIVO",H285)))</formula>
    </cfRule>
    <cfRule type="containsText" dxfId="2242" priority="55" operator="containsText" text="BAJA">
      <formula>NOT(ISERROR(SEARCH("BAJA",H285)))</formula>
    </cfRule>
    <cfRule type="containsText" dxfId="2241" priority="56" operator="containsText" text="ACTIVO">
      <formula>NOT(ISERROR(SEARCH("ACTIVO",H285)))</formula>
    </cfRule>
    <cfRule type="containsText" dxfId="2240" priority="57" operator="containsText" text="ACTIVO">
      <formula>NOT(ISERROR(SEARCH("ACTIVO",H285)))</formula>
    </cfRule>
    <cfRule type="containsText" dxfId="2239" priority="58" operator="containsText" text="BAJA">
      <formula>NOT(ISERROR(SEARCH("BAJA",H285)))</formula>
    </cfRule>
    <cfRule type="containsText" dxfId="2238" priority="59" operator="containsText" text="ACTIVO">
      <formula>NOT(ISERROR(SEARCH("ACTIVO",H285)))</formula>
    </cfRule>
    <cfRule type="containsText" dxfId="2237" priority="60" operator="containsText" text="ACTIVO">
      <formula>NOT(ISERROR(SEARCH("ACTIVO",H285)))</formula>
    </cfRule>
    <cfRule type="containsText" dxfId="2236" priority="61" operator="containsText" text="ACTIVO">
      <formula>NOT(ISERROR(SEARCH("ACTIVO",H285)))</formula>
    </cfRule>
    <cfRule type="containsText" dxfId="2235" priority="62" operator="containsText" text="ACTIVO">
      <formula>NOT(ISERROR(SEARCH("ACTIVO",H285)))</formula>
    </cfRule>
    <cfRule type="containsText" dxfId="2234" priority="63" operator="containsText" text="BAJA">
      <formula>NOT(ISERROR(SEARCH("BAJA",H285)))</formula>
    </cfRule>
    <cfRule type="containsText" dxfId="2233" priority="64" operator="containsText" text="INACTIVA">
      <formula>NOT(ISERROR(SEARCH("INACTIVA",H285)))</formula>
    </cfRule>
    <cfRule type="containsText" dxfId="2232" priority="65" operator="containsText" text="ACTIVO">
      <formula>NOT(ISERROR(SEARCH("ACTIVO",H285)))</formula>
    </cfRule>
    <cfRule type="containsText" dxfId="2231" priority="66" operator="containsText" text="BAJA">
      <formula>NOT(ISERROR(SEARCH("BAJA",H285)))</formula>
    </cfRule>
    <cfRule type="containsText" dxfId="2230" priority="67" operator="containsText" text="ACTIVO">
      <formula>NOT(ISERROR(SEARCH("ACTIVO",H285)))</formula>
    </cfRule>
    <cfRule type="containsText" dxfId="2229" priority="68" operator="containsText" text="INACTIVA">
      <formula>NOT(ISERROR(SEARCH("INACTIVA",H285)))</formula>
    </cfRule>
    <cfRule type="containsText" dxfId="2228" priority="69" operator="containsText" text="BAJA">
      <formula>NOT(ISERROR(SEARCH("BAJA",H285)))</formula>
    </cfRule>
    <cfRule type="containsText" dxfId="2227" priority="70" operator="containsText" text="ACTIVA">
      <formula>NOT(ISERROR(SEARCH("ACTIVA",H285)))</formula>
    </cfRule>
    <cfRule type="containsText" dxfId="2226" priority="71" operator="containsText" text="ACTIVO">
      <formula>NOT(ISERROR(SEARCH("ACTIVO",H285)))</formula>
    </cfRule>
    <cfRule type="containsText" dxfId="2225" priority="72" operator="containsText" text="ACTIVO">
      <formula>NOT(ISERROR(SEARCH("ACTIVO",H285)))</formula>
    </cfRule>
    <cfRule type="containsText" dxfId="2224" priority="73" operator="containsText" text="INACTIVA">
      <formula>NOT(ISERROR(SEARCH("INACTIVA",H285)))</formula>
    </cfRule>
  </conditionalFormatting>
  <conditionalFormatting sqref="H286">
    <cfRule type="containsText" dxfId="2223" priority="4047" operator="containsText" text="BAJA">
      <formula>NOT(ISERROR(SEARCH("BAJA",H286)))</formula>
    </cfRule>
    <cfRule type="containsText" dxfId="2222" priority="4048" operator="containsText" text="ACTIVO">
      <formula>NOT(ISERROR(SEARCH("ACTIVO",H286)))</formula>
    </cfRule>
    <cfRule type="containsText" dxfId="2221" priority="4049" operator="containsText" text="ACTIVO">
      <formula>NOT(ISERROR(SEARCH("ACTIVO",H286)))</formula>
    </cfRule>
    <cfRule type="containsText" dxfId="2220" priority="4050" operator="containsText" text="BAJA">
      <formula>NOT(ISERROR(SEARCH("BAJA",H286)))</formula>
    </cfRule>
    <cfRule type="containsText" dxfId="2219" priority="4051" operator="containsText" text="ACTIVO">
      <formula>NOT(ISERROR(SEARCH("ACTIVO",H286)))</formula>
    </cfRule>
    <cfRule type="containsText" dxfId="2218" priority="4052" operator="containsText" text="ACTIVO">
      <formula>NOT(ISERROR(SEARCH("ACTIVO",H286)))</formula>
    </cfRule>
    <cfRule type="containsText" dxfId="2217" priority="4053" operator="containsText" text="BAJA">
      <formula>NOT(ISERROR(SEARCH("BAJA",H286)))</formula>
    </cfRule>
    <cfRule type="containsText" dxfId="2216" priority="4054" operator="containsText" text="ACTIVO">
      <formula>NOT(ISERROR(SEARCH("ACTIVO",H286)))</formula>
    </cfRule>
    <cfRule type="containsText" dxfId="2215" priority="4055" operator="containsText" text="ACTIVO">
      <formula>NOT(ISERROR(SEARCH("ACTIVO",H286)))</formula>
    </cfRule>
    <cfRule type="containsText" dxfId="2214" priority="4056" operator="containsText" text="ACTIVO">
      <formula>NOT(ISERROR(SEARCH("ACTIVO",H286)))</formula>
    </cfRule>
    <cfRule type="containsText" dxfId="2213" priority="4057" operator="containsText" text="ACTIVO">
      <formula>NOT(ISERROR(SEARCH("ACTIVO",H286)))</formula>
    </cfRule>
    <cfRule type="containsText" dxfId="2212" priority="4058" operator="containsText" text="BAJA">
      <formula>NOT(ISERROR(SEARCH("BAJA",H286)))</formula>
    </cfRule>
    <cfRule type="containsText" dxfId="2211" priority="4059" operator="containsText" text="INACTIVA">
      <formula>NOT(ISERROR(SEARCH("INACTIVA",H286)))</formula>
    </cfRule>
    <cfRule type="containsText" dxfId="2210" priority="4060" operator="containsText" text="ACTIVO">
      <formula>NOT(ISERROR(SEARCH("ACTIVO",H286)))</formula>
    </cfRule>
    <cfRule type="containsText" dxfId="2209" priority="4061" operator="containsText" text="BAJA">
      <formula>NOT(ISERROR(SEARCH("BAJA",H286)))</formula>
    </cfRule>
    <cfRule type="containsText" dxfId="2208" priority="4062" operator="containsText" text="ACTIVO">
      <formula>NOT(ISERROR(SEARCH("ACTIVO",H286)))</formula>
    </cfRule>
    <cfRule type="containsText" dxfId="2207" priority="4063" operator="containsText" text="INACTIVA">
      <formula>NOT(ISERROR(SEARCH("INACTIVA",H286)))</formula>
    </cfRule>
    <cfRule type="containsText" dxfId="2206" priority="4064" operator="containsText" text="BAJA">
      <formula>NOT(ISERROR(SEARCH("BAJA",H286)))</formula>
    </cfRule>
    <cfRule type="containsText" dxfId="2205" priority="4065" operator="containsText" text="ACTIVA">
      <formula>NOT(ISERROR(SEARCH("ACTIVA",H286)))</formula>
    </cfRule>
    <cfRule type="containsText" dxfId="2204" priority="4066" operator="containsText" text="ACTIVO">
      <formula>NOT(ISERROR(SEARCH("ACTIVO",H286)))</formula>
    </cfRule>
    <cfRule type="containsText" dxfId="2203" priority="4067" operator="containsText" text="ACTIVO">
      <formula>NOT(ISERROR(SEARCH("ACTIVO",H286)))</formula>
    </cfRule>
    <cfRule type="containsText" dxfId="2202" priority="4068" operator="containsText" text="INACTIVA">
      <formula>NOT(ISERROR(SEARCH("INACTIVA",H286)))</formula>
    </cfRule>
  </conditionalFormatting>
  <conditionalFormatting sqref="H286:H287">
    <cfRule type="containsText" dxfId="2201" priority="1045" operator="containsText" text="ACTIVO">
      <formula>NOT(ISERROR(SEARCH("ACTIVO",H286)))</formula>
    </cfRule>
    <cfRule type="containsText" dxfId="2200" priority="1053" operator="containsText" text="INACTIVA">
      <formula>NOT(ISERROR(SEARCH("INACTIVA",H286)))</formula>
    </cfRule>
  </conditionalFormatting>
  <conditionalFormatting sqref="H287">
    <cfRule type="containsText" dxfId="2199" priority="1009" operator="containsText" text="ACTIVO">
      <formula>NOT(ISERROR(SEARCH("ACTIVO",H287)))</formula>
    </cfRule>
    <cfRule type="containsText" dxfId="2198" priority="1010" operator="containsText" text="INACTIVA">
      <formula>NOT(ISERROR(SEARCH("INACTIVA",H287)))</formula>
    </cfRule>
    <cfRule type="containsText" dxfId="2197" priority="1011" operator="containsText" text="BAJA">
      <formula>NOT(ISERROR(SEARCH("BAJA",H287)))</formula>
    </cfRule>
    <cfRule type="containsText" dxfId="2196" priority="1012" operator="containsText" text="ACTIVO">
      <formula>NOT(ISERROR(SEARCH("ACTIVO",H287)))</formula>
    </cfRule>
    <cfRule type="containsText" dxfId="2195" priority="1013" operator="containsText" text="BAJA">
      <formula>NOT(ISERROR(SEARCH("BAJA",H287)))</formula>
    </cfRule>
    <cfRule type="colorScale" priority="10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1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194" priority="1018" operator="containsText" text="ACTIVO">
      <formula>NOT(ISERROR(SEARCH("ACTIVO",H287)))</formula>
    </cfRule>
    <cfRule type="containsText" dxfId="2193" priority="1019" operator="containsText" text="ACTIVO">
      <formula>NOT(ISERROR(SEARCH("ACTIVO",H287)))</formula>
    </cfRule>
    <cfRule type="containsText" dxfId="2192" priority="1020" operator="containsText" text="BAJA">
      <formula>NOT(ISERROR(SEARCH("BAJA",H287)))</formula>
    </cfRule>
    <cfRule type="containsText" dxfId="2191" priority="1021" operator="containsText" text="ACTIVO">
      <formula>NOT(ISERROR(SEARCH("ACTIVO",H287)))</formula>
    </cfRule>
    <cfRule type="containsText" dxfId="2190" priority="1022" operator="containsText" text="ACTIVO">
      <formula>NOT(ISERROR(SEARCH("ACTIVO",H287)))</formula>
    </cfRule>
    <cfRule type="colorScale" priority="10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2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189" priority="1025" operator="containsText" text="BAJA">
      <formula>NOT(ISERROR(SEARCH("BAJA",H287)))</formula>
    </cfRule>
    <cfRule type="containsText" dxfId="2188" priority="1026" operator="containsText" text="ACTIVO">
      <formula>NOT(ISERROR(SEARCH("ACTIVO",H287)))</formula>
    </cfRule>
    <cfRule type="containsText" dxfId="2187" priority="1027" operator="containsText" text="ACTIVO">
      <formula>NOT(ISERROR(SEARCH("ACTIVO",H287)))</formula>
    </cfRule>
    <cfRule type="containsText" dxfId="2186" priority="1028" operator="containsText" text="ACTIVO">
      <formula>NOT(ISERROR(SEARCH("ACTIVO",H287)))</formula>
    </cfRule>
    <cfRule type="containsText" dxfId="2185" priority="1029" operator="containsText" text="ACTIVO">
      <formula>NOT(ISERROR(SEARCH("ACTIVO",H287)))</formula>
    </cfRule>
    <cfRule type="containsText" dxfId="2184" priority="1030" operator="containsText" text="BAJA">
      <formula>NOT(ISERROR(SEARCH("BAJA",H287)))</formula>
    </cfRule>
    <cfRule type="containsText" dxfId="2183" priority="1031" operator="containsText" text="INACTIVA">
      <formula>NOT(ISERROR(SEARCH("INACTIVA",H287)))</formula>
    </cfRule>
    <cfRule type="colorScale" priority="103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3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3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182" priority="1036" operator="containsText" text="ACTIVO">
      <formula>NOT(ISERROR(SEARCH("ACTIVO",H287)))</formula>
    </cfRule>
    <cfRule type="containsText" dxfId="2181" priority="1037" operator="containsText" text="BAJA">
      <formula>NOT(ISERROR(SEARCH("BAJA",H287)))</formula>
    </cfRule>
    <cfRule type="containsText" dxfId="2180" priority="1038" operator="containsText" text="ACTIVO">
      <formula>NOT(ISERROR(SEARCH("ACTIVO",H287)))</formula>
    </cfRule>
    <cfRule type="colorScale" priority="10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4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179" priority="1043" operator="containsText" text="INACTIVA">
      <formula>NOT(ISERROR(SEARCH("INACTIVA",H287)))</formula>
    </cfRule>
    <cfRule type="containsText" dxfId="2178" priority="1044" operator="containsText" text="BAJA">
      <formula>NOT(ISERROR(SEARCH("BAJA",H287)))</formula>
    </cfRule>
    <cfRule type="containsText" dxfId="2177" priority="1046" operator="containsText" text="BAJA">
      <formula>NOT(ISERROR(SEARCH("BAJA",H287)))</formula>
    </cfRule>
    <cfRule type="colorScale" priority="104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4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176" priority="1049" operator="containsText" text="INACTIVA">
      <formula>NOT(ISERROR(SEARCH("INACTIVA",H287)))</formula>
    </cfRule>
    <cfRule type="containsText" dxfId="2175" priority="1050" operator="containsText" text="ACTIVA">
      <formula>NOT(ISERROR(SEARCH("ACTIVA",H287)))</formula>
    </cfRule>
    <cfRule type="colorScale" priority="105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5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5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5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174" priority="1058" operator="containsText" text="ACTIVO">
      <formula>NOT(ISERROR(SEARCH("ACTIVO",H287)))</formula>
    </cfRule>
    <cfRule type="colorScale" priority="105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6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88:H294">
    <cfRule type="containsText" dxfId="2173" priority="4025" operator="containsText" text="BAJA">
      <formula>NOT(ISERROR(SEARCH("BAJA",H288)))</formula>
    </cfRule>
    <cfRule type="containsText" dxfId="2172" priority="4026" operator="containsText" text="ACTIVO">
      <formula>NOT(ISERROR(SEARCH("ACTIVO",H288)))</formula>
    </cfRule>
    <cfRule type="containsText" dxfId="2171" priority="4027" operator="containsText" text="ACTIVO">
      <formula>NOT(ISERROR(SEARCH("ACTIVO",H288)))</formula>
    </cfRule>
    <cfRule type="containsText" dxfId="2170" priority="4028" operator="containsText" text="BAJA">
      <formula>NOT(ISERROR(SEARCH("BAJA",H288)))</formula>
    </cfRule>
    <cfRule type="containsText" dxfId="2169" priority="4029" operator="containsText" text="ACTIVO">
      <formula>NOT(ISERROR(SEARCH("ACTIVO",H288)))</formula>
    </cfRule>
    <cfRule type="containsText" dxfId="2168" priority="4030" operator="containsText" text="ACTIVO">
      <formula>NOT(ISERROR(SEARCH("ACTIVO",H288)))</formula>
    </cfRule>
    <cfRule type="containsText" dxfId="2167" priority="4031" operator="containsText" text="BAJA">
      <formula>NOT(ISERROR(SEARCH("BAJA",H288)))</formula>
    </cfRule>
    <cfRule type="containsText" dxfId="2166" priority="4032" operator="containsText" text="ACTIVO">
      <formula>NOT(ISERROR(SEARCH("ACTIVO",H288)))</formula>
    </cfRule>
    <cfRule type="containsText" dxfId="2165" priority="4033" operator="containsText" text="ACTIVO">
      <formula>NOT(ISERROR(SEARCH("ACTIVO",H288)))</formula>
    </cfRule>
    <cfRule type="containsText" dxfId="2164" priority="4034" operator="containsText" text="ACTIVO">
      <formula>NOT(ISERROR(SEARCH("ACTIVO",H288)))</formula>
    </cfRule>
    <cfRule type="containsText" dxfId="2163" priority="4035" operator="containsText" text="ACTIVO">
      <formula>NOT(ISERROR(SEARCH("ACTIVO",H288)))</formula>
    </cfRule>
    <cfRule type="containsText" dxfId="2162" priority="4036" operator="containsText" text="BAJA">
      <formula>NOT(ISERROR(SEARCH("BAJA",H288)))</formula>
    </cfRule>
    <cfRule type="containsText" dxfId="2161" priority="4037" operator="containsText" text="INACTIVA">
      <formula>NOT(ISERROR(SEARCH("INACTIVA",H288)))</formula>
    </cfRule>
    <cfRule type="containsText" dxfId="2160" priority="4038" operator="containsText" text="ACTIVO">
      <formula>NOT(ISERROR(SEARCH("ACTIVO",H288)))</formula>
    </cfRule>
    <cfRule type="containsText" dxfId="2159" priority="4039" operator="containsText" text="BAJA">
      <formula>NOT(ISERROR(SEARCH("BAJA",H288)))</formula>
    </cfRule>
    <cfRule type="containsText" dxfId="2158" priority="4040" operator="containsText" text="ACTIVO">
      <formula>NOT(ISERROR(SEARCH("ACTIVO",H288)))</formula>
    </cfRule>
    <cfRule type="containsText" dxfId="2157" priority="4041" operator="containsText" text="INACTIVA">
      <formula>NOT(ISERROR(SEARCH("INACTIVA",H288)))</formula>
    </cfRule>
    <cfRule type="containsText" dxfId="2156" priority="4042" operator="containsText" text="BAJA">
      <formula>NOT(ISERROR(SEARCH("BAJA",H288)))</formula>
    </cfRule>
    <cfRule type="containsText" dxfId="2155" priority="4043" operator="containsText" text="ACTIVA">
      <formula>NOT(ISERROR(SEARCH("ACTIVA",H288)))</formula>
    </cfRule>
    <cfRule type="containsText" dxfId="2154" priority="4044" operator="containsText" text="ACTIVO">
      <formula>NOT(ISERROR(SEARCH("ACTIVO",H288)))</formula>
    </cfRule>
    <cfRule type="containsText" dxfId="2153" priority="4045" operator="containsText" text="ACTIVO">
      <formula>NOT(ISERROR(SEARCH("ACTIVO",H288)))</formula>
    </cfRule>
    <cfRule type="containsText" dxfId="2152" priority="4046" operator="containsText" text="INACTIVA">
      <formula>NOT(ISERROR(SEARCH("INACTIVA",H288)))</formula>
    </cfRule>
  </conditionalFormatting>
  <conditionalFormatting sqref="H288:H305">
    <cfRule type="containsText" dxfId="2151" priority="2613" operator="containsText" text="ACTIVO">
      <formula>NOT(ISERROR(SEARCH("ACTIVO",H288)))</formula>
    </cfRule>
    <cfRule type="containsText" dxfId="2150" priority="2616" operator="containsText" text="INACTIVA">
      <formula>NOT(ISERROR(SEARCH("INACTIVA",H288)))</formula>
    </cfRule>
  </conditionalFormatting>
  <conditionalFormatting sqref="H295">
    <cfRule type="containsText" dxfId="2149" priority="753" operator="containsText" text="ACTIVO">
      <formula>NOT(ISERROR(SEARCH("ACTIVO",H295)))</formula>
    </cfRule>
    <cfRule type="containsText" dxfId="2148" priority="754" operator="containsText" text="INACTIVA">
      <formula>NOT(ISERROR(SEARCH("INACTIVA",H295)))</formula>
    </cfRule>
    <cfRule type="containsText" dxfId="2147" priority="755" operator="containsText" text="BAJA">
      <formula>NOT(ISERROR(SEARCH("BAJA",H295)))</formula>
    </cfRule>
    <cfRule type="containsText" dxfId="2146" priority="756" operator="containsText" text="ACTIVO">
      <formula>NOT(ISERROR(SEARCH("ACTIVO",H295)))</formula>
    </cfRule>
    <cfRule type="containsText" dxfId="2145" priority="757" operator="containsText" text="ACTIVO">
      <formula>NOT(ISERROR(SEARCH("ACTIVO",H295)))</formula>
    </cfRule>
    <cfRule type="containsText" dxfId="2144" priority="758" operator="containsText" text="BAJA">
      <formula>NOT(ISERROR(SEARCH("BAJA",H295)))</formula>
    </cfRule>
    <cfRule type="containsText" dxfId="2143" priority="759" operator="containsText" text="ACTIVO">
      <formula>NOT(ISERROR(SEARCH("ACTIVO",H295)))</formula>
    </cfRule>
    <cfRule type="containsText" dxfId="2142" priority="760" operator="containsText" text="ACTIVO">
      <formula>NOT(ISERROR(SEARCH("ACTIVO",H295)))</formula>
    </cfRule>
    <cfRule type="containsText" dxfId="2141" priority="761" operator="containsText" text="BAJA">
      <formula>NOT(ISERROR(SEARCH("BAJA",H295)))</formula>
    </cfRule>
    <cfRule type="containsText" dxfId="2140" priority="762" operator="containsText" text="ACTIVO">
      <formula>NOT(ISERROR(SEARCH("ACTIVO",H295)))</formula>
    </cfRule>
    <cfRule type="containsText" dxfId="2139" priority="763" operator="containsText" text="ACTIVO">
      <formula>NOT(ISERROR(SEARCH("ACTIVO",H295)))</formula>
    </cfRule>
    <cfRule type="containsText" dxfId="2138" priority="764" operator="containsText" text="ACTIVO">
      <formula>NOT(ISERROR(SEARCH("ACTIVO",H295)))</formula>
    </cfRule>
    <cfRule type="containsText" dxfId="2137" priority="765" operator="containsText" text="ACTIVO">
      <formula>NOT(ISERROR(SEARCH("ACTIVO",H295)))</formula>
    </cfRule>
    <cfRule type="containsText" dxfId="2136" priority="766" operator="containsText" text="BAJA">
      <formula>NOT(ISERROR(SEARCH("BAJA",H295)))</formula>
    </cfRule>
    <cfRule type="containsText" dxfId="2135" priority="767" operator="containsText" text="INACTIVA">
      <formula>NOT(ISERROR(SEARCH("INACTIVA",H295)))</formula>
    </cfRule>
    <cfRule type="containsText" dxfId="2134" priority="768" operator="containsText" text="ACTIVO">
      <formula>NOT(ISERROR(SEARCH("ACTIVO",H295)))</formula>
    </cfRule>
    <cfRule type="containsText" dxfId="2133" priority="769" operator="containsText" text="BAJA">
      <formula>NOT(ISERROR(SEARCH("BAJA",H295)))</formula>
    </cfRule>
    <cfRule type="containsText" dxfId="2132" priority="770" operator="containsText" text="ACTIVO">
      <formula>NOT(ISERROR(SEARCH("ACTIVO",H295)))</formula>
    </cfRule>
    <cfRule type="containsText" dxfId="2131" priority="771" operator="containsText" text="INACTIVA">
      <formula>NOT(ISERROR(SEARCH("INACTIVA",H295)))</formula>
    </cfRule>
    <cfRule type="containsText" dxfId="2130" priority="772" operator="containsText" text="BAJA">
      <formula>NOT(ISERROR(SEARCH("BAJA",H295)))</formula>
    </cfRule>
    <cfRule type="containsText" dxfId="2129" priority="773" operator="containsText" text="ACTIVA">
      <formula>NOT(ISERROR(SEARCH("ACTIVA",H295)))</formula>
    </cfRule>
    <cfRule type="containsText" dxfId="2128" priority="774" operator="containsText" text="ACTIVO">
      <formula>NOT(ISERROR(SEARCH("ACTIVO",H295)))</formula>
    </cfRule>
  </conditionalFormatting>
  <conditionalFormatting sqref="H296:H302">
    <cfRule type="containsText" dxfId="2127" priority="3951" operator="containsText" text="BAJA">
      <formula>NOT(ISERROR(SEARCH("BAJA",H296)))</formula>
    </cfRule>
    <cfRule type="containsText" dxfId="2126" priority="3952" operator="containsText" text="ACTIVO">
      <formula>NOT(ISERROR(SEARCH("ACTIVO",H296)))</formula>
    </cfRule>
    <cfRule type="containsText" dxfId="2125" priority="3953" operator="containsText" text="ACTIVO">
      <formula>NOT(ISERROR(SEARCH("ACTIVO",H296)))</formula>
    </cfRule>
    <cfRule type="containsText" dxfId="2124" priority="3954" operator="containsText" text="BAJA">
      <formula>NOT(ISERROR(SEARCH("BAJA",H296)))</formula>
    </cfRule>
    <cfRule type="containsText" dxfId="2123" priority="3955" operator="containsText" text="ACTIVO">
      <formula>NOT(ISERROR(SEARCH("ACTIVO",H296)))</formula>
    </cfRule>
    <cfRule type="containsText" dxfId="2122" priority="3956" operator="containsText" text="ACTIVO">
      <formula>NOT(ISERROR(SEARCH("ACTIVO",H296)))</formula>
    </cfRule>
    <cfRule type="containsText" dxfId="2121" priority="3957" operator="containsText" text="BAJA">
      <formula>NOT(ISERROR(SEARCH("BAJA",H296)))</formula>
    </cfRule>
    <cfRule type="containsText" dxfId="2120" priority="3958" operator="containsText" text="ACTIVO">
      <formula>NOT(ISERROR(SEARCH("ACTIVO",H296)))</formula>
    </cfRule>
    <cfRule type="containsText" dxfId="2119" priority="3959" operator="containsText" text="ACTIVO">
      <formula>NOT(ISERROR(SEARCH("ACTIVO",H296)))</formula>
    </cfRule>
    <cfRule type="containsText" dxfId="2118" priority="3960" operator="containsText" text="ACTIVO">
      <formula>NOT(ISERROR(SEARCH("ACTIVO",H296)))</formula>
    </cfRule>
    <cfRule type="containsText" dxfId="2117" priority="3961" operator="containsText" text="ACTIVO">
      <formula>NOT(ISERROR(SEARCH("ACTIVO",H296)))</formula>
    </cfRule>
    <cfRule type="containsText" dxfId="2116" priority="3962" operator="containsText" text="BAJA">
      <formula>NOT(ISERROR(SEARCH("BAJA",H296)))</formula>
    </cfRule>
    <cfRule type="containsText" dxfId="2115" priority="3963" operator="containsText" text="INACTIVA">
      <formula>NOT(ISERROR(SEARCH("INACTIVA",H296)))</formula>
    </cfRule>
    <cfRule type="containsText" dxfId="2114" priority="3964" operator="containsText" text="ACTIVO">
      <formula>NOT(ISERROR(SEARCH("ACTIVO",H296)))</formula>
    </cfRule>
    <cfRule type="containsText" dxfId="2113" priority="3965" operator="containsText" text="BAJA">
      <formula>NOT(ISERROR(SEARCH("BAJA",H296)))</formula>
    </cfRule>
    <cfRule type="containsText" dxfId="2112" priority="3966" operator="containsText" text="ACTIVO">
      <formula>NOT(ISERROR(SEARCH("ACTIVO",H296)))</formula>
    </cfRule>
    <cfRule type="containsText" dxfId="2111" priority="3967" operator="containsText" text="INACTIVA">
      <formula>NOT(ISERROR(SEARCH("INACTIVA",H296)))</formula>
    </cfRule>
    <cfRule type="containsText" dxfId="2110" priority="3968" operator="containsText" text="BAJA">
      <formula>NOT(ISERROR(SEARCH("BAJA",H296)))</formula>
    </cfRule>
    <cfRule type="containsText" dxfId="2109" priority="3969" operator="containsText" text="ACTIVA">
      <formula>NOT(ISERROR(SEARCH("ACTIVA",H296)))</formula>
    </cfRule>
    <cfRule type="containsText" dxfId="2108" priority="3970" operator="containsText" text="ACTIVO">
      <formula>NOT(ISERROR(SEARCH("ACTIVO",H296)))</formula>
    </cfRule>
    <cfRule type="containsText" dxfId="2107" priority="3971" operator="containsText" text="ACTIVO">
      <formula>NOT(ISERROR(SEARCH("ACTIVO",H296)))</formula>
    </cfRule>
    <cfRule type="containsText" dxfId="2106" priority="3972" operator="containsText" text="INACTIVA">
      <formula>NOT(ISERROR(SEARCH("INACTIVA",H296)))</formula>
    </cfRule>
  </conditionalFormatting>
  <conditionalFormatting sqref="H303">
    <cfRule type="containsText" dxfId="2105" priority="2593" operator="containsText" text="ACTIVO">
      <formula>NOT(ISERROR(SEARCH("ACTIVO",H303)))</formula>
    </cfRule>
    <cfRule type="containsText" dxfId="2104" priority="2594" operator="containsText" text="INACTIVA">
      <formula>NOT(ISERROR(SEARCH("INACTIVA",H303)))</formula>
    </cfRule>
    <cfRule type="containsText" dxfId="2103" priority="2595" operator="containsText" text="BAJA">
      <formula>NOT(ISERROR(SEARCH("BAJA",H303)))</formula>
    </cfRule>
    <cfRule type="containsText" dxfId="2102" priority="2596" operator="containsText" text="ACTIVO">
      <formula>NOT(ISERROR(SEARCH("ACTIVO",H303)))</formula>
    </cfRule>
    <cfRule type="containsText" dxfId="2101" priority="2597" operator="containsText" text="ACTIVO">
      <formula>NOT(ISERROR(SEARCH("ACTIVO",H303)))</formula>
    </cfRule>
    <cfRule type="containsText" dxfId="2100" priority="2598" operator="containsText" text="BAJA">
      <formula>NOT(ISERROR(SEARCH("BAJA",H303)))</formula>
    </cfRule>
    <cfRule type="containsText" dxfId="2099" priority="2599" operator="containsText" text="ACTIVO">
      <formula>NOT(ISERROR(SEARCH("ACTIVO",H303)))</formula>
    </cfRule>
    <cfRule type="containsText" dxfId="2098" priority="2600" operator="containsText" text="ACTIVO">
      <formula>NOT(ISERROR(SEARCH("ACTIVO",H303)))</formula>
    </cfRule>
    <cfRule type="containsText" dxfId="2097" priority="2601" operator="containsText" text="BAJA">
      <formula>NOT(ISERROR(SEARCH("BAJA",H303)))</formula>
    </cfRule>
    <cfRule type="containsText" dxfId="2096" priority="2602" operator="containsText" text="ACTIVO">
      <formula>NOT(ISERROR(SEARCH("ACTIVO",H303)))</formula>
    </cfRule>
    <cfRule type="containsText" dxfId="2095" priority="2603" operator="containsText" text="ACTIVO">
      <formula>NOT(ISERROR(SEARCH("ACTIVO",H303)))</formula>
    </cfRule>
    <cfRule type="containsText" dxfId="2094" priority="2604" operator="containsText" text="ACTIVO">
      <formula>NOT(ISERROR(SEARCH("ACTIVO",H303)))</formula>
    </cfRule>
    <cfRule type="containsText" dxfId="2093" priority="2605" operator="containsText" text="ACTIVO">
      <formula>NOT(ISERROR(SEARCH("ACTIVO",H303)))</formula>
    </cfRule>
    <cfRule type="containsText" dxfId="2092" priority="2606" operator="containsText" text="BAJA">
      <formula>NOT(ISERROR(SEARCH("BAJA",H303)))</formula>
    </cfRule>
    <cfRule type="containsText" dxfId="2091" priority="2607" operator="containsText" text="INACTIVA">
      <formula>NOT(ISERROR(SEARCH("INACTIVA",H303)))</formula>
    </cfRule>
    <cfRule type="containsText" dxfId="2090" priority="2608" operator="containsText" text="ACTIVO">
      <formula>NOT(ISERROR(SEARCH("ACTIVO",H303)))</formula>
    </cfRule>
    <cfRule type="containsText" dxfId="2089" priority="2609" operator="containsText" text="BAJA">
      <formula>NOT(ISERROR(SEARCH("BAJA",H303)))</formula>
    </cfRule>
    <cfRule type="containsText" dxfId="2088" priority="2610" operator="containsText" text="ACTIVO">
      <formula>NOT(ISERROR(SEARCH("ACTIVO",H303)))</formula>
    </cfRule>
    <cfRule type="containsText" dxfId="2087" priority="2611" operator="containsText" text="INACTIVA">
      <formula>NOT(ISERROR(SEARCH("INACTIVA",H303)))</formula>
    </cfRule>
    <cfRule type="containsText" dxfId="2086" priority="2612" operator="containsText" text="BAJA">
      <formula>NOT(ISERROR(SEARCH("BAJA",H303)))</formula>
    </cfRule>
    <cfRule type="containsText" dxfId="2085" priority="2614" operator="containsText" text="BAJA">
      <formula>NOT(ISERROR(SEARCH("BAJA",H303)))</formula>
    </cfRule>
    <cfRule type="containsText" dxfId="2084" priority="2615" operator="containsText" text="ACTIVA">
      <formula>NOT(ISERROR(SEARCH("ACTIVA",H303)))</formula>
    </cfRule>
    <cfRule type="containsText" dxfId="2083" priority="2617" operator="containsText" text="ACTIVO">
      <formula>NOT(ISERROR(SEARCH("ACTIVO",H303)))</formula>
    </cfRule>
  </conditionalFormatting>
  <conditionalFormatting sqref="H304:H305">
    <cfRule type="containsText" dxfId="2082" priority="3929" operator="containsText" text="BAJA">
      <formula>NOT(ISERROR(SEARCH("BAJA",H304)))</formula>
    </cfRule>
    <cfRule type="containsText" dxfId="2081" priority="3930" operator="containsText" text="ACTIVO">
      <formula>NOT(ISERROR(SEARCH("ACTIVO",H304)))</formula>
    </cfRule>
    <cfRule type="containsText" dxfId="2080" priority="3931" operator="containsText" text="ACTIVO">
      <formula>NOT(ISERROR(SEARCH("ACTIVO",H304)))</formula>
    </cfRule>
    <cfRule type="containsText" dxfId="2079" priority="3932" operator="containsText" text="BAJA">
      <formula>NOT(ISERROR(SEARCH("BAJA",H304)))</formula>
    </cfRule>
    <cfRule type="containsText" dxfId="2078" priority="3933" operator="containsText" text="ACTIVO">
      <formula>NOT(ISERROR(SEARCH("ACTIVO",H304)))</formula>
    </cfRule>
    <cfRule type="containsText" dxfId="2077" priority="3934" operator="containsText" text="ACTIVO">
      <formula>NOT(ISERROR(SEARCH("ACTIVO",H304)))</formula>
    </cfRule>
    <cfRule type="containsText" dxfId="2076" priority="3935" operator="containsText" text="BAJA">
      <formula>NOT(ISERROR(SEARCH("BAJA",H304)))</formula>
    </cfRule>
    <cfRule type="containsText" dxfId="2075" priority="3936" operator="containsText" text="ACTIVO">
      <formula>NOT(ISERROR(SEARCH("ACTIVO",H304)))</formula>
    </cfRule>
    <cfRule type="containsText" dxfId="2074" priority="3937" operator="containsText" text="ACTIVO">
      <formula>NOT(ISERROR(SEARCH("ACTIVO",H304)))</formula>
    </cfRule>
    <cfRule type="containsText" dxfId="2073" priority="3938" operator="containsText" text="ACTIVO">
      <formula>NOT(ISERROR(SEARCH("ACTIVO",H304)))</formula>
    </cfRule>
    <cfRule type="containsText" dxfId="2072" priority="3939" operator="containsText" text="ACTIVO">
      <formula>NOT(ISERROR(SEARCH("ACTIVO",H304)))</formula>
    </cfRule>
    <cfRule type="containsText" dxfId="2071" priority="3940" operator="containsText" text="BAJA">
      <formula>NOT(ISERROR(SEARCH("BAJA",H304)))</formula>
    </cfRule>
    <cfRule type="containsText" dxfId="2070" priority="3941" operator="containsText" text="INACTIVA">
      <formula>NOT(ISERROR(SEARCH("INACTIVA",H304)))</formula>
    </cfRule>
    <cfRule type="containsText" dxfId="2069" priority="3942" operator="containsText" text="ACTIVO">
      <formula>NOT(ISERROR(SEARCH("ACTIVO",H304)))</formula>
    </cfRule>
    <cfRule type="containsText" dxfId="2068" priority="3943" operator="containsText" text="BAJA">
      <formula>NOT(ISERROR(SEARCH("BAJA",H304)))</formula>
    </cfRule>
    <cfRule type="containsText" dxfId="2067" priority="3944" operator="containsText" text="ACTIVO">
      <formula>NOT(ISERROR(SEARCH("ACTIVO",H304)))</formula>
    </cfRule>
    <cfRule type="containsText" dxfId="2066" priority="3945" operator="containsText" text="INACTIVA">
      <formula>NOT(ISERROR(SEARCH("INACTIVA",H304)))</formula>
    </cfRule>
    <cfRule type="containsText" dxfId="2065" priority="3946" operator="containsText" text="BAJA">
      <formula>NOT(ISERROR(SEARCH("BAJA",H304)))</formula>
    </cfRule>
    <cfRule type="containsText" dxfId="2064" priority="3947" operator="containsText" text="ACTIVA">
      <formula>NOT(ISERROR(SEARCH("ACTIVA",H304)))</formula>
    </cfRule>
    <cfRule type="containsText" dxfId="2063" priority="3948" operator="containsText" text="ACTIVO">
      <formula>NOT(ISERROR(SEARCH("ACTIVO",H304)))</formula>
    </cfRule>
    <cfRule type="containsText" dxfId="2062" priority="3949" operator="containsText" text="ACTIVO">
      <formula>NOT(ISERROR(SEARCH("ACTIVO",H304)))</formula>
    </cfRule>
    <cfRule type="containsText" dxfId="2061" priority="3950" operator="containsText" text="INACTIVA">
      <formula>NOT(ISERROR(SEARCH("INACTIVA",H304)))</formula>
    </cfRule>
  </conditionalFormatting>
  <conditionalFormatting sqref="H306">
    <cfRule type="containsText" dxfId="2060" priority="1170" operator="containsText" text="ACTIVO">
      <formula>NOT(ISERROR(SEARCH("ACTIVO",H306)))</formula>
    </cfRule>
    <cfRule type="containsText" dxfId="2059" priority="1171" operator="containsText" text="INACTIVA">
      <formula>NOT(ISERROR(SEARCH("INACTIVA",H306)))</formula>
    </cfRule>
    <cfRule type="containsText" dxfId="2058" priority="1172" operator="containsText" text="BAJA">
      <formula>NOT(ISERROR(SEARCH("BAJA",H306)))</formula>
    </cfRule>
    <cfRule type="containsText" dxfId="2057" priority="1173" operator="containsText" text="ACTIVO">
      <formula>NOT(ISERROR(SEARCH("ACTIVO",H306)))</formula>
    </cfRule>
    <cfRule type="containsText" dxfId="2056" priority="1174" operator="containsText" text="ACTIVO">
      <formula>NOT(ISERROR(SEARCH("ACTIVO",H306)))</formula>
    </cfRule>
    <cfRule type="containsText" dxfId="2055" priority="1175" operator="containsText" text="BAJA">
      <formula>NOT(ISERROR(SEARCH("BAJA",H306)))</formula>
    </cfRule>
    <cfRule type="containsText" dxfId="2054" priority="1176" operator="containsText" text="ACTIVO">
      <formula>NOT(ISERROR(SEARCH("ACTIVO",H306)))</formula>
    </cfRule>
    <cfRule type="containsText" dxfId="2053" priority="1177" operator="containsText" text="ACTIVO">
      <formula>NOT(ISERROR(SEARCH("ACTIVO",H306)))</formula>
    </cfRule>
    <cfRule type="containsText" dxfId="2052" priority="1178" operator="containsText" text="BAJA">
      <formula>NOT(ISERROR(SEARCH("BAJA",H306)))</formula>
    </cfRule>
    <cfRule type="containsText" dxfId="2051" priority="1179" operator="containsText" text="ACTIVO">
      <formula>NOT(ISERROR(SEARCH("ACTIVO",H306)))</formula>
    </cfRule>
    <cfRule type="containsText" dxfId="2050" priority="1180" operator="containsText" text="ACTIVO">
      <formula>NOT(ISERROR(SEARCH("ACTIVO",H306)))</formula>
    </cfRule>
    <cfRule type="containsText" dxfId="2049" priority="1181" operator="containsText" text="ACTIVO">
      <formula>NOT(ISERROR(SEARCH("ACTIVO",H306)))</formula>
    </cfRule>
    <cfRule type="containsText" dxfId="2048" priority="1182" operator="containsText" text="ACTIVO">
      <formula>NOT(ISERROR(SEARCH("ACTIVO",H306)))</formula>
    </cfRule>
    <cfRule type="containsText" dxfId="2047" priority="1183" operator="containsText" text="BAJA">
      <formula>NOT(ISERROR(SEARCH("BAJA",H306)))</formula>
    </cfRule>
    <cfRule type="containsText" dxfId="2046" priority="1184" operator="containsText" text="INACTIVA">
      <formula>NOT(ISERROR(SEARCH("INACTIVA",H306)))</formula>
    </cfRule>
    <cfRule type="containsText" dxfId="2045" priority="1185" operator="containsText" text="ACTIVO">
      <formula>NOT(ISERROR(SEARCH("ACTIVO",H306)))</formula>
    </cfRule>
    <cfRule type="containsText" dxfId="2044" priority="1186" operator="containsText" text="BAJA">
      <formula>NOT(ISERROR(SEARCH("BAJA",H306)))</formula>
    </cfRule>
    <cfRule type="containsText" dxfId="2043" priority="1187" operator="containsText" text="ACTIVO">
      <formula>NOT(ISERROR(SEARCH("ACTIVO",H306)))</formula>
    </cfRule>
    <cfRule type="containsText" dxfId="2042" priority="1188" operator="containsText" text="INACTIVA">
      <formula>NOT(ISERROR(SEARCH("INACTIVA",H306)))</formula>
    </cfRule>
    <cfRule type="containsText" dxfId="2041" priority="1189" operator="containsText" text="BAJA">
      <formula>NOT(ISERROR(SEARCH("BAJA",H306)))</formula>
    </cfRule>
    <cfRule type="containsText" dxfId="2040" priority="1190" operator="containsText" text="ACTIVA">
      <formula>NOT(ISERROR(SEARCH("ACTIVA",H306)))</formula>
    </cfRule>
    <cfRule type="containsText" dxfId="2039" priority="1191" operator="containsText" text="ACTIVO">
      <formula>NOT(ISERROR(SEARCH("ACTIVO",H306)))</formula>
    </cfRule>
    <cfRule type="containsText" dxfId="2038" priority="1192" operator="containsText" text="ACTIVO">
      <formula>NOT(ISERROR(SEARCH("ACTIVO",H306)))</formula>
    </cfRule>
    <cfRule type="containsText" dxfId="2037" priority="1193" operator="containsText" text="INACTIVA">
      <formula>NOT(ISERROR(SEARCH("INACTIVA",H306)))</formula>
    </cfRule>
  </conditionalFormatting>
  <conditionalFormatting sqref="H307">
    <cfRule type="containsText" dxfId="2036" priority="3907" operator="containsText" text="BAJA">
      <formula>NOT(ISERROR(SEARCH("BAJA",H307)))</formula>
    </cfRule>
    <cfRule type="containsText" dxfId="2035" priority="3908" operator="containsText" text="ACTIVO">
      <formula>NOT(ISERROR(SEARCH("ACTIVO",H307)))</formula>
    </cfRule>
    <cfRule type="containsText" dxfId="2034" priority="3909" operator="containsText" text="ACTIVO">
      <formula>NOT(ISERROR(SEARCH("ACTIVO",H307)))</formula>
    </cfRule>
    <cfRule type="containsText" dxfId="2033" priority="3910" operator="containsText" text="BAJA">
      <formula>NOT(ISERROR(SEARCH("BAJA",H307)))</formula>
    </cfRule>
    <cfRule type="containsText" dxfId="2032" priority="3911" operator="containsText" text="ACTIVO">
      <formula>NOT(ISERROR(SEARCH("ACTIVO",H307)))</formula>
    </cfRule>
    <cfRule type="containsText" dxfId="2031" priority="3912" operator="containsText" text="ACTIVO">
      <formula>NOT(ISERROR(SEARCH("ACTIVO",H307)))</formula>
    </cfRule>
    <cfRule type="containsText" dxfId="2030" priority="3913" operator="containsText" text="BAJA">
      <formula>NOT(ISERROR(SEARCH("BAJA",H307)))</formula>
    </cfRule>
    <cfRule type="containsText" dxfId="2029" priority="3914" operator="containsText" text="ACTIVO">
      <formula>NOT(ISERROR(SEARCH("ACTIVO",H307)))</formula>
    </cfRule>
    <cfRule type="containsText" dxfId="2028" priority="3915" operator="containsText" text="ACTIVO">
      <formula>NOT(ISERROR(SEARCH("ACTIVO",H307)))</formula>
    </cfRule>
    <cfRule type="containsText" dxfId="2027" priority="3916" operator="containsText" text="ACTIVO">
      <formula>NOT(ISERROR(SEARCH("ACTIVO",H307)))</formula>
    </cfRule>
    <cfRule type="containsText" dxfId="2026" priority="3917" operator="containsText" text="ACTIVO">
      <formula>NOT(ISERROR(SEARCH("ACTIVO",H307)))</formula>
    </cfRule>
    <cfRule type="containsText" dxfId="2025" priority="3918" operator="containsText" text="BAJA">
      <formula>NOT(ISERROR(SEARCH("BAJA",H307)))</formula>
    </cfRule>
    <cfRule type="containsText" dxfId="2024" priority="3919" operator="containsText" text="INACTIVA">
      <formula>NOT(ISERROR(SEARCH("INACTIVA",H307)))</formula>
    </cfRule>
    <cfRule type="containsText" dxfId="2023" priority="3920" operator="containsText" text="ACTIVO">
      <formula>NOT(ISERROR(SEARCH("ACTIVO",H307)))</formula>
    </cfRule>
    <cfRule type="containsText" dxfId="2022" priority="3921" operator="containsText" text="BAJA">
      <formula>NOT(ISERROR(SEARCH("BAJA",H307)))</formula>
    </cfRule>
    <cfRule type="containsText" dxfId="2021" priority="3922" operator="containsText" text="ACTIVO">
      <formula>NOT(ISERROR(SEARCH("ACTIVO",H307)))</formula>
    </cfRule>
    <cfRule type="containsText" dxfId="2020" priority="3923" operator="containsText" text="INACTIVA">
      <formula>NOT(ISERROR(SEARCH("INACTIVA",H307)))</formula>
    </cfRule>
    <cfRule type="containsText" dxfId="2019" priority="3924" operator="containsText" text="BAJA">
      <formula>NOT(ISERROR(SEARCH("BAJA",H307)))</formula>
    </cfRule>
    <cfRule type="containsText" dxfId="2018" priority="3925" operator="containsText" text="ACTIVA">
      <formula>NOT(ISERROR(SEARCH("ACTIVA",H307)))</formula>
    </cfRule>
    <cfRule type="containsText" dxfId="2017" priority="3926" operator="containsText" text="ACTIVO">
      <formula>NOT(ISERROR(SEARCH("ACTIVO",H307)))</formula>
    </cfRule>
    <cfRule type="containsText" dxfId="2016" priority="3927" operator="containsText" text="ACTIVO">
      <formula>NOT(ISERROR(SEARCH("ACTIVO",H307)))</formula>
    </cfRule>
    <cfRule type="containsText" dxfId="2015" priority="3928" operator="containsText" text="INACTIVA">
      <formula>NOT(ISERROR(SEARCH("INACTIVA",H307)))</formula>
    </cfRule>
  </conditionalFormatting>
  <conditionalFormatting sqref="H307:H309">
    <cfRule type="containsText" dxfId="2014" priority="3905" operator="containsText" text="ACTIVO">
      <formula>NOT(ISERROR(SEARCH("ACTIVO",H307)))</formula>
    </cfRule>
    <cfRule type="containsText" dxfId="2013" priority="3906" operator="containsText" text="INACTIVA">
      <formula>NOT(ISERROR(SEARCH("INACTIVA",H307)))</formula>
    </cfRule>
  </conditionalFormatting>
  <conditionalFormatting sqref="H308:H309 H311:H324">
    <cfRule type="containsText" dxfId="2012" priority="1063" operator="containsText" text="INACTIVA">
      <formula>NOT(ISERROR(SEARCH("INACTIVA",H308)))</formula>
    </cfRule>
  </conditionalFormatting>
  <conditionalFormatting sqref="H308:H309">
    <cfRule type="containsText" dxfId="2011" priority="3885" operator="containsText" text="BAJA">
      <formula>NOT(ISERROR(SEARCH("BAJA",H308)))</formula>
    </cfRule>
    <cfRule type="containsText" dxfId="2010" priority="3886" operator="containsText" text="ACTIVO">
      <formula>NOT(ISERROR(SEARCH("ACTIVO",H308)))</formula>
    </cfRule>
    <cfRule type="containsText" dxfId="2009" priority="3887" operator="containsText" text="ACTIVO">
      <formula>NOT(ISERROR(SEARCH("ACTIVO",H308)))</formula>
    </cfRule>
    <cfRule type="containsText" dxfId="2008" priority="3888" operator="containsText" text="BAJA">
      <formula>NOT(ISERROR(SEARCH("BAJA",H308)))</formula>
    </cfRule>
    <cfRule type="containsText" dxfId="2007" priority="3889" operator="containsText" text="ACTIVO">
      <formula>NOT(ISERROR(SEARCH("ACTIVO",H308)))</formula>
    </cfRule>
    <cfRule type="containsText" dxfId="2006" priority="3890" operator="containsText" text="ACTIVO">
      <formula>NOT(ISERROR(SEARCH("ACTIVO",H308)))</formula>
    </cfRule>
    <cfRule type="containsText" dxfId="2005" priority="3891" operator="containsText" text="BAJA">
      <formula>NOT(ISERROR(SEARCH("BAJA",H308)))</formula>
    </cfRule>
    <cfRule type="containsText" dxfId="2004" priority="3892" operator="containsText" text="ACTIVO">
      <formula>NOT(ISERROR(SEARCH("ACTIVO",H308)))</formula>
    </cfRule>
    <cfRule type="containsText" dxfId="2003" priority="3893" operator="containsText" text="ACTIVO">
      <formula>NOT(ISERROR(SEARCH("ACTIVO",H308)))</formula>
    </cfRule>
    <cfRule type="containsText" dxfId="2002" priority="3894" operator="containsText" text="ACTIVO">
      <formula>NOT(ISERROR(SEARCH("ACTIVO",H308)))</formula>
    </cfRule>
    <cfRule type="containsText" dxfId="2001" priority="3895" operator="containsText" text="ACTIVO">
      <formula>NOT(ISERROR(SEARCH("ACTIVO",H308)))</formula>
    </cfRule>
    <cfRule type="containsText" dxfId="2000" priority="3896" operator="containsText" text="BAJA">
      <formula>NOT(ISERROR(SEARCH("BAJA",H308)))</formula>
    </cfRule>
    <cfRule type="containsText" dxfId="1999" priority="3897" operator="containsText" text="INACTIVA">
      <formula>NOT(ISERROR(SEARCH("INACTIVA",H308)))</formula>
    </cfRule>
    <cfRule type="containsText" dxfId="1998" priority="3898" operator="containsText" text="ACTIVO">
      <formula>NOT(ISERROR(SEARCH("ACTIVO",H308)))</formula>
    </cfRule>
    <cfRule type="containsText" dxfId="1997" priority="3899" operator="containsText" text="BAJA">
      <formula>NOT(ISERROR(SEARCH("BAJA",H308)))</formula>
    </cfRule>
    <cfRule type="containsText" dxfId="1996" priority="3900" operator="containsText" text="ACTIVO">
      <formula>NOT(ISERROR(SEARCH("ACTIVO",H308)))</formula>
    </cfRule>
    <cfRule type="containsText" dxfId="1995" priority="3901" operator="containsText" text="INACTIVA">
      <formula>NOT(ISERROR(SEARCH("INACTIVA",H308)))</formula>
    </cfRule>
    <cfRule type="containsText" dxfId="1994" priority="3902" operator="containsText" text="BAJA">
      <formula>NOT(ISERROR(SEARCH("BAJA",H308)))</formula>
    </cfRule>
    <cfRule type="containsText" dxfId="1993" priority="3903" operator="containsText" text="ACTIVA">
      <formula>NOT(ISERROR(SEARCH("ACTIVA",H308)))</formula>
    </cfRule>
    <cfRule type="containsText" dxfId="1992" priority="3904" operator="containsText" text="ACTIVO">
      <formula>NOT(ISERROR(SEARCH("ACTIVO",H308)))</formula>
    </cfRule>
  </conditionalFormatting>
  <conditionalFormatting sqref="H308:H324">
    <cfRule type="containsText" dxfId="1991" priority="21" operator="containsText" text="ACTIVO">
      <formula>NOT(ISERROR(SEARCH("ACTIVO",H308)))</formula>
    </cfRule>
  </conditionalFormatting>
  <conditionalFormatting sqref="H310">
    <cfRule type="containsText" dxfId="1990" priority="1" operator="containsText" text="ACTIVO">
      <formula>NOT(ISERROR(SEARCH("ACTIVO",H310)))</formula>
    </cfRule>
    <cfRule type="containsText" dxfId="1989" priority="2" operator="containsText" text="INACTIVA">
      <formula>NOT(ISERROR(SEARCH("INACTIVA",H310)))</formula>
    </cfRule>
    <cfRule type="containsText" dxfId="1988" priority="3" operator="containsText" text="BAJA">
      <formula>NOT(ISERROR(SEARCH("BAJA",H310)))</formula>
    </cfRule>
    <cfRule type="containsText" dxfId="1987" priority="4" operator="containsText" text="ACTIVO">
      <formula>NOT(ISERROR(SEARCH("ACTIVO",H310)))</formula>
    </cfRule>
    <cfRule type="containsText" dxfId="1986" priority="5" operator="containsText" text="ACTIVO">
      <formula>NOT(ISERROR(SEARCH("ACTIVO",H310)))</formula>
    </cfRule>
    <cfRule type="containsText" dxfId="1985" priority="6" operator="containsText" text="BAJA">
      <formula>NOT(ISERROR(SEARCH("BAJA",H310)))</formula>
    </cfRule>
    <cfRule type="containsText" dxfId="1984" priority="7" operator="containsText" text="ACTIVO">
      <formula>NOT(ISERROR(SEARCH("ACTIVO",H310)))</formula>
    </cfRule>
    <cfRule type="containsText" dxfId="1983" priority="8" operator="containsText" text="ACTIVO">
      <formula>NOT(ISERROR(SEARCH("ACTIVO",H310)))</formula>
    </cfRule>
    <cfRule type="containsText" dxfId="1982" priority="9" operator="containsText" text="BAJA">
      <formula>NOT(ISERROR(SEARCH("BAJA",H310)))</formula>
    </cfRule>
    <cfRule type="containsText" dxfId="1981" priority="10" operator="containsText" text="ACTIVO">
      <formula>NOT(ISERROR(SEARCH("ACTIVO",H310)))</formula>
    </cfRule>
    <cfRule type="containsText" dxfId="1980" priority="11" operator="containsText" text="ACTIVO">
      <formula>NOT(ISERROR(SEARCH("ACTIVO",H310)))</formula>
    </cfRule>
    <cfRule type="containsText" dxfId="1979" priority="12" operator="containsText" text="ACTIVO">
      <formula>NOT(ISERROR(SEARCH("ACTIVO",H310)))</formula>
    </cfRule>
    <cfRule type="containsText" dxfId="1978" priority="13" operator="containsText" text="ACTIVO">
      <formula>NOT(ISERROR(SEARCH("ACTIVO",H310)))</formula>
    </cfRule>
    <cfRule type="containsText" dxfId="1977" priority="14" operator="containsText" text="BAJA">
      <formula>NOT(ISERROR(SEARCH("BAJA",H310)))</formula>
    </cfRule>
    <cfRule type="containsText" dxfId="1976" priority="15" operator="containsText" text="INACTIVA">
      <formula>NOT(ISERROR(SEARCH("INACTIVA",H310)))</formula>
    </cfRule>
    <cfRule type="containsText" dxfId="1975" priority="16" operator="containsText" text="ACTIVO">
      <formula>NOT(ISERROR(SEARCH("ACTIVO",H310)))</formula>
    </cfRule>
    <cfRule type="containsText" dxfId="1974" priority="17" operator="containsText" text="BAJA">
      <formula>NOT(ISERROR(SEARCH("BAJA",H310)))</formula>
    </cfRule>
    <cfRule type="containsText" dxfId="1973" priority="18" operator="containsText" text="ACTIVO">
      <formula>NOT(ISERROR(SEARCH("ACTIVO",H310)))</formula>
    </cfRule>
    <cfRule type="containsText" dxfId="1972" priority="19" operator="containsText" text="INACTIVA">
      <formula>NOT(ISERROR(SEARCH("INACTIVA",H310)))</formula>
    </cfRule>
    <cfRule type="containsText" dxfId="1971" priority="20" operator="containsText" text="BAJA">
      <formula>NOT(ISERROR(SEARCH("BAJA",H310)))</formula>
    </cfRule>
    <cfRule type="containsText" dxfId="1970" priority="22" operator="containsText" text="BAJA">
      <formula>NOT(ISERROR(SEARCH("BAJA",H310)))</formula>
    </cfRule>
    <cfRule type="containsText" dxfId="1969" priority="23" operator="containsText" text="ACTIVA">
      <formula>NOT(ISERROR(SEARCH("ACTIVA",H310)))</formula>
    </cfRule>
    <cfRule type="containsText" dxfId="1968" priority="24" operator="containsText" text="INACTIVA">
      <formula>NOT(ISERROR(SEARCH("INACTIVA",H310)))</formula>
    </cfRule>
    <cfRule type="containsText" dxfId="1967" priority="25" operator="containsText" text="ACTIVO">
      <formula>NOT(ISERROR(SEARCH("ACTIVO",H310)))</formula>
    </cfRule>
  </conditionalFormatting>
  <conditionalFormatting sqref="H311:H324">
    <cfRule type="containsText" dxfId="1966" priority="3863" operator="containsText" text="BAJA">
      <formula>NOT(ISERROR(SEARCH("BAJA",H311)))</formula>
    </cfRule>
    <cfRule type="containsText" dxfId="1965" priority="3864" operator="containsText" text="ACTIVO">
      <formula>NOT(ISERROR(SEARCH("ACTIVO",H311)))</formula>
    </cfRule>
    <cfRule type="containsText" dxfId="1964" priority="3865" operator="containsText" text="ACTIVO">
      <formula>NOT(ISERROR(SEARCH("ACTIVO",H311)))</formula>
    </cfRule>
    <cfRule type="containsText" dxfId="1963" priority="3866" operator="containsText" text="BAJA">
      <formula>NOT(ISERROR(SEARCH("BAJA",H311)))</formula>
    </cfRule>
    <cfRule type="containsText" dxfId="1962" priority="3867" operator="containsText" text="ACTIVO">
      <formula>NOT(ISERROR(SEARCH("ACTIVO",H311)))</formula>
    </cfRule>
    <cfRule type="containsText" dxfId="1961" priority="3868" operator="containsText" text="ACTIVO">
      <formula>NOT(ISERROR(SEARCH("ACTIVO",H311)))</formula>
    </cfRule>
    <cfRule type="containsText" dxfId="1960" priority="3869" operator="containsText" text="BAJA">
      <formula>NOT(ISERROR(SEARCH("BAJA",H311)))</formula>
    </cfRule>
    <cfRule type="containsText" dxfId="1959" priority="3870" operator="containsText" text="ACTIVO">
      <formula>NOT(ISERROR(SEARCH("ACTIVO",H311)))</formula>
    </cfRule>
    <cfRule type="containsText" dxfId="1958" priority="3871" operator="containsText" text="ACTIVO">
      <formula>NOT(ISERROR(SEARCH("ACTIVO",H311)))</formula>
    </cfRule>
    <cfRule type="containsText" dxfId="1957" priority="3872" operator="containsText" text="ACTIVO">
      <formula>NOT(ISERROR(SEARCH("ACTIVO",H311)))</formula>
    </cfRule>
    <cfRule type="containsText" dxfId="1956" priority="3873" operator="containsText" text="ACTIVO">
      <formula>NOT(ISERROR(SEARCH("ACTIVO",H311)))</formula>
    </cfRule>
    <cfRule type="containsText" dxfId="1955" priority="3874" operator="containsText" text="BAJA">
      <formula>NOT(ISERROR(SEARCH("BAJA",H311)))</formula>
    </cfRule>
    <cfRule type="containsText" dxfId="1954" priority="3875" operator="containsText" text="INACTIVA">
      <formula>NOT(ISERROR(SEARCH("INACTIVA",H311)))</formula>
    </cfRule>
    <cfRule type="containsText" dxfId="1953" priority="3876" operator="containsText" text="ACTIVO">
      <formula>NOT(ISERROR(SEARCH("ACTIVO",H311)))</formula>
    </cfRule>
    <cfRule type="containsText" dxfId="1952" priority="3877" operator="containsText" text="BAJA">
      <formula>NOT(ISERROR(SEARCH("BAJA",H311)))</formula>
    </cfRule>
    <cfRule type="containsText" dxfId="1951" priority="3878" operator="containsText" text="ACTIVO">
      <formula>NOT(ISERROR(SEARCH("ACTIVO",H311)))</formula>
    </cfRule>
    <cfRule type="containsText" dxfId="1950" priority="3879" operator="containsText" text="INACTIVA">
      <formula>NOT(ISERROR(SEARCH("INACTIVA",H311)))</formula>
    </cfRule>
    <cfRule type="containsText" dxfId="1949" priority="3880" operator="containsText" text="BAJA">
      <formula>NOT(ISERROR(SEARCH("BAJA",H311)))</formula>
    </cfRule>
    <cfRule type="containsText" dxfId="1948" priority="3881" operator="containsText" text="ACTIVA">
      <formula>NOT(ISERROR(SEARCH("ACTIVA",H311)))</formula>
    </cfRule>
    <cfRule type="containsText" dxfId="1947" priority="3882" operator="containsText" text="ACTIVO">
      <formula>NOT(ISERROR(SEARCH("ACTIVO",H311)))</formula>
    </cfRule>
  </conditionalFormatting>
  <conditionalFormatting sqref="H311:H325">
    <cfRule type="containsText" dxfId="1946" priority="3883" operator="containsText" text="ACTIVO">
      <formula>NOT(ISERROR(SEARCH("ACTIVO",H311)))</formula>
    </cfRule>
    <cfRule type="containsText" dxfId="1945" priority="3884" operator="containsText" text="INACTIVA">
      <formula>NOT(ISERROR(SEARCH("INACTIVA",H311)))</formula>
    </cfRule>
  </conditionalFormatting>
  <conditionalFormatting sqref="H325">
    <cfRule type="containsText" dxfId="1944" priority="3973" operator="containsText" text="BAJA">
      <formula>NOT(ISERROR(SEARCH("BAJA",H325)))</formula>
    </cfRule>
    <cfRule type="containsText" dxfId="1943" priority="3974" operator="containsText" text="ACTIVO">
      <formula>NOT(ISERROR(SEARCH("ACTIVO",H325)))</formula>
    </cfRule>
    <cfRule type="containsText" dxfId="1942" priority="3975" operator="containsText" text="BAJA">
      <formula>NOT(ISERROR(SEARCH("BAJA",H325)))</formula>
    </cfRule>
    <cfRule type="colorScale" priority="39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7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41" priority="3980" operator="containsText" text="ACTIVO">
      <formula>NOT(ISERROR(SEARCH("ACTIVO",H325)))</formula>
    </cfRule>
    <cfRule type="containsText" dxfId="1940" priority="3981" operator="containsText" text="ACTIVO">
      <formula>NOT(ISERROR(SEARCH("ACTIVO",H325)))</formula>
    </cfRule>
    <cfRule type="containsText" dxfId="1939" priority="3982" operator="containsText" text="BAJA">
      <formula>NOT(ISERROR(SEARCH("BAJA",H325)))</formula>
    </cfRule>
    <cfRule type="containsText" dxfId="1938" priority="3983" operator="containsText" text="ACTIVO">
      <formula>NOT(ISERROR(SEARCH("ACTIVO",H325)))</formula>
    </cfRule>
    <cfRule type="containsText" dxfId="1937" priority="3984" operator="containsText" text="ACTIVO">
      <formula>NOT(ISERROR(SEARCH("ACTIVO",H325)))</formula>
    </cfRule>
    <cfRule type="colorScale" priority="398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8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36" priority="3987" operator="containsText" text="BAJA">
      <formula>NOT(ISERROR(SEARCH("BAJA",H325)))</formula>
    </cfRule>
    <cfRule type="containsText" dxfId="1935" priority="3988" operator="containsText" text="ACTIVO">
      <formula>NOT(ISERROR(SEARCH("ACTIVO",H325)))</formula>
    </cfRule>
    <cfRule type="containsText" dxfId="1934" priority="3989" operator="containsText" text="ACTIVO">
      <formula>NOT(ISERROR(SEARCH("ACTIVO",H325)))</formula>
    </cfRule>
    <cfRule type="containsText" dxfId="1933" priority="3990" operator="containsText" text="ACTIVO">
      <formula>NOT(ISERROR(SEARCH("ACTIVO",H325)))</formula>
    </cfRule>
    <cfRule type="containsText" dxfId="1932" priority="3991" operator="containsText" text="ACTIVO">
      <formula>NOT(ISERROR(SEARCH("ACTIVO",H325)))</formula>
    </cfRule>
    <cfRule type="containsText" dxfId="1931" priority="3992" operator="containsText" text="BAJA">
      <formula>NOT(ISERROR(SEARCH("BAJA",H325)))</formula>
    </cfRule>
    <cfRule type="containsText" dxfId="1930" priority="3993" operator="containsText" text="INACTIVA">
      <formula>NOT(ISERROR(SEARCH("INACTIVA",H325)))</formula>
    </cfRule>
    <cfRule type="colorScale" priority="399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9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9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29" priority="3998" operator="containsText" text="ACTIVO">
      <formula>NOT(ISERROR(SEARCH("ACTIVO",H325)))</formula>
    </cfRule>
    <cfRule type="containsText" dxfId="1928" priority="3999" operator="containsText" text="BAJA">
      <formula>NOT(ISERROR(SEARCH("BAJA",H325)))</formula>
    </cfRule>
    <cfRule type="containsText" dxfId="1927" priority="4000" operator="containsText" text="ACTIVO">
      <formula>NOT(ISERROR(SEARCH("ACTIVO",H325)))</formula>
    </cfRule>
    <cfRule type="colorScale" priority="400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0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0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0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26" priority="4005" operator="containsText" text="INACTIVA">
      <formula>NOT(ISERROR(SEARCH("INACTIVA",H325)))</formula>
    </cfRule>
    <cfRule type="containsText" dxfId="1925" priority="4006" operator="containsText" text="BAJA">
      <formula>NOT(ISERROR(SEARCH("BAJA",H325)))</formula>
    </cfRule>
    <cfRule type="containsText" dxfId="1924" priority="4007" operator="containsText" text="ACTIVO">
      <formula>NOT(ISERROR(SEARCH("ACTIVO",H325)))</formula>
    </cfRule>
    <cfRule type="containsText" dxfId="1923" priority="4008" operator="containsText" text="BAJA">
      <formula>NOT(ISERROR(SEARCH("BAJA",H325)))</formula>
    </cfRule>
    <cfRule type="colorScale" priority="400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1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22" priority="4011" operator="containsText" text="INACTIVA">
      <formula>NOT(ISERROR(SEARCH("INACTIVA",H325)))</formula>
    </cfRule>
    <cfRule type="containsText" dxfId="1921" priority="4012" operator="containsText" text="ACTIVA">
      <formula>NOT(ISERROR(SEARCH("ACTIVA",H325)))</formula>
    </cfRule>
    <cfRule type="colorScale" priority="40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1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20" priority="4015" operator="containsText" text="INACTIVA">
      <formula>NOT(ISERROR(SEARCH("INACTIVA",H325)))</formula>
    </cfRule>
    <cfRule type="colorScale" priority="40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1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19" priority="4020" operator="containsText" text="ACTIVO">
      <formula>NOT(ISERROR(SEARCH("ACTIVO",H325)))</formula>
    </cfRule>
    <cfRule type="colorScale" priority="402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2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2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326:H331">
    <cfRule type="containsText" dxfId="1918" priority="3843" operator="containsText" text="ACTIVO">
      <formula>NOT(ISERROR(SEARCH("ACTIVO",H326)))</formula>
    </cfRule>
    <cfRule type="containsText" dxfId="1917" priority="3844" operator="containsText" text="BAJA">
      <formula>NOT(ISERROR(SEARCH("BAJA",H326)))</formula>
    </cfRule>
    <cfRule type="containsText" dxfId="1916" priority="3845" operator="containsText" text="ACTIVO">
      <formula>NOT(ISERROR(SEARCH("ACTIVO",H326)))</formula>
    </cfRule>
    <cfRule type="containsText" dxfId="1915" priority="3846" operator="containsText" text="ACTIVO">
      <formula>NOT(ISERROR(SEARCH("ACTIVO",H326)))</formula>
    </cfRule>
    <cfRule type="containsText" dxfId="1914" priority="3847" operator="containsText" text="BAJA">
      <formula>NOT(ISERROR(SEARCH("BAJA",H326)))</formula>
    </cfRule>
    <cfRule type="containsText" dxfId="1913" priority="3848" operator="containsText" text="ACTIVO">
      <formula>NOT(ISERROR(SEARCH("ACTIVO",H326)))</formula>
    </cfRule>
    <cfRule type="containsText" dxfId="1912" priority="3849" operator="containsText" text="ACTIVO">
      <formula>NOT(ISERROR(SEARCH("ACTIVO",H326)))</formula>
    </cfRule>
    <cfRule type="containsText" dxfId="1911" priority="3850" operator="containsText" text="ACTIVO">
      <formula>NOT(ISERROR(SEARCH("ACTIVO",H326)))</formula>
    </cfRule>
    <cfRule type="containsText" dxfId="1910" priority="3851" operator="containsText" text="ACTIVO">
      <formula>NOT(ISERROR(SEARCH("ACTIVO",H326)))</formula>
    </cfRule>
    <cfRule type="containsText" dxfId="1909" priority="3852" operator="containsText" text="BAJA">
      <formula>NOT(ISERROR(SEARCH("BAJA",H326)))</formula>
    </cfRule>
    <cfRule type="containsText" dxfId="1908" priority="3853" operator="containsText" text="INACTIVA">
      <formula>NOT(ISERROR(SEARCH("INACTIVA",H326)))</formula>
    </cfRule>
    <cfRule type="containsText" dxfId="1907" priority="3854" operator="containsText" text="ACTIVO">
      <formula>NOT(ISERROR(SEARCH("ACTIVO",H326)))</formula>
    </cfRule>
    <cfRule type="containsText" dxfId="1906" priority="3855" operator="containsText" text="BAJA">
      <formula>NOT(ISERROR(SEARCH("BAJA",H326)))</formula>
    </cfRule>
    <cfRule type="containsText" dxfId="1905" priority="3856" operator="containsText" text="ACTIVO">
      <formula>NOT(ISERROR(SEARCH("ACTIVO",H326)))</formula>
    </cfRule>
    <cfRule type="containsText" dxfId="1904" priority="3857" operator="containsText" text="INACTIVA">
      <formula>NOT(ISERROR(SEARCH("INACTIVA",H326)))</formula>
    </cfRule>
    <cfRule type="containsText" dxfId="1903" priority="3858" operator="containsText" text="BAJA">
      <formula>NOT(ISERROR(SEARCH("BAJA",H326)))</formula>
    </cfRule>
    <cfRule type="containsText" dxfId="1902" priority="3859" operator="containsText" text="ACTIVA">
      <formula>NOT(ISERROR(SEARCH("ACTIVA",H326)))</formula>
    </cfRule>
    <cfRule type="containsText" dxfId="1901" priority="3860" operator="containsText" text="ACTIVO">
      <formula>NOT(ISERROR(SEARCH("ACTIVO",H326)))</formula>
    </cfRule>
    <cfRule type="containsText" dxfId="1900" priority="3861" operator="containsText" text="ACTIVO">
      <formula>NOT(ISERROR(SEARCH("ACTIVO",H326)))</formula>
    </cfRule>
    <cfRule type="containsText" dxfId="1899" priority="3862" operator="containsText" text="INACTIVA">
      <formula>NOT(ISERROR(SEARCH("INACTIVA",H326)))</formula>
    </cfRule>
  </conditionalFormatting>
  <conditionalFormatting sqref="H326:H332">
    <cfRule type="containsText" dxfId="1898" priority="2519" operator="containsText" text="ACTIVO">
      <formula>NOT(ISERROR(SEARCH("ACTIVO",H326)))</formula>
    </cfRule>
    <cfRule type="containsText" dxfId="1897" priority="2520" operator="containsText" text="INACTIVA">
      <formula>NOT(ISERROR(SEARCH("INACTIVA",H326)))</formula>
    </cfRule>
    <cfRule type="containsText" dxfId="1896" priority="2521" operator="containsText" text="BAJA">
      <formula>NOT(ISERROR(SEARCH("BAJA",H326)))</formula>
    </cfRule>
  </conditionalFormatting>
  <conditionalFormatting sqref="H326:H334">
    <cfRule type="containsText" dxfId="1895" priority="3815" operator="containsText" text="ACTIVO">
      <formula>NOT(ISERROR(SEARCH("ACTIVO",H326)))</formula>
    </cfRule>
  </conditionalFormatting>
  <conditionalFormatting sqref="H332">
    <cfRule type="containsText" dxfId="1894" priority="2502" operator="containsText" text="ACTIVO">
      <formula>NOT(ISERROR(SEARCH("ACTIVO",H332)))</formula>
    </cfRule>
    <cfRule type="containsText" dxfId="1893" priority="2503" operator="containsText" text="INACTIVA">
      <formula>NOT(ISERROR(SEARCH("INACTIVA",H332)))</formula>
    </cfRule>
    <cfRule type="containsText" dxfId="1892" priority="2504" operator="containsText" text="BAJA">
      <formula>NOT(ISERROR(SEARCH("BAJA",H332)))</formula>
    </cfRule>
    <cfRule type="containsText" dxfId="1891" priority="2505" operator="containsText" text="ACTIVO">
      <formula>NOT(ISERROR(SEARCH("ACTIVO",H332)))</formula>
    </cfRule>
    <cfRule type="containsText" dxfId="1890" priority="2506" operator="containsText" text="ACTIVO">
      <formula>NOT(ISERROR(SEARCH("ACTIVO",H332)))</formula>
    </cfRule>
    <cfRule type="containsText" dxfId="1889" priority="2507" operator="containsText" text="BAJA">
      <formula>NOT(ISERROR(SEARCH("BAJA",H332)))</formula>
    </cfRule>
    <cfRule type="containsText" dxfId="1888" priority="2508" operator="containsText" text="ACTIVO">
      <formula>NOT(ISERROR(SEARCH("ACTIVO",H332)))</formula>
    </cfRule>
    <cfRule type="containsText" dxfId="1887" priority="2509" operator="containsText" text="ACTIVO">
      <formula>NOT(ISERROR(SEARCH("ACTIVO",H332)))</formula>
    </cfRule>
    <cfRule type="containsText" dxfId="1886" priority="2510" operator="containsText" text="BAJA">
      <formula>NOT(ISERROR(SEARCH("BAJA",H332)))</formula>
    </cfRule>
    <cfRule type="containsText" dxfId="1885" priority="2511" operator="containsText" text="ACTIVO">
      <formula>NOT(ISERROR(SEARCH("ACTIVO",H332)))</formula>
    </cfRule>
    <cfRule type="containsText" dxfId="1884" priority="2512" operator="containsText" text="ACTIVO">
      <formula>NOT(ISERROR(SEARCH("ACTIVO",H332)))</formula>
    </cfRule>
    <cfRule type="containsText" dxfId="1883" priority="2513" operator="containsText" text="ACTIVO">
      <formula>NOT(ISERROR(SEARCH("ACTIVO",H332)))</formula>
    </cfRule>
    <cfRule type="containsText" dxfId="1882" priority="2514" operator="containsText" text="ACTIVO">
      <formula>NOT(ISERROR(SEARCH("ACTIVO",H332)))</formula>
    </cfRule>
    <cfRule type="containsText" dxfId="1881" priority="2515" operator="containsText" text="BAJA">
      <formula>NOT(ISERROR(SEARCH("BAJA",H332)))</formula>
    </cfRule>
    <cfRule type="containsText" dxfId="1880" priority="2516" operator="containsText" text="INACTIVA">
      <formula>NOT(ISERROR(SEARCH("INACTIVA",H332)))</formula>
    </cfRule>
    <cfRule type="containsText" dxfId="1879" priority="2517" operator="containsText" text="ACTIVO">
      <formula>NOT(ISERROR(SEARCH("ACTIVO",H332)))</formula>
    </cfRule>
    <cfRule type="containsText" dxfId="1878" priority="2518" operator="containsText" text="BAJA">
      <formula>NOT(ISERROR(SEARCH("BAJA",H332)))</formula>
    </cfRule>
    <cfRule type="containsText" dxfId="1877" priority="2522" operator="containsText" text="ACTIVA">
      <formula>NOT(ISERROR(SEARCH("ACTIVA",H332)))</formula>
    </cfRule>
    <cfRule type="containsText" dxfId="1876" priority="2523" operator="containsText" text="ACTIVO">
      <formula>NOT(ISERROR(SEARCH("ACTIVO",H332)))</formula>
    </cfRule>
  </conditionalFormatting>
  <conditionalFormatting sqref="H332:H334">
    <cfRule type="containsText" dxfId="1875" priority="3818" operator="containsText" text="INACTIVA">
      <formula>NOT(ISERROR(SEARCH("INACTIVA",H332)))</formula>
    </cfRule>
  </conditionalFormatting>
  <conditionalFormatting sqref="H333">
    <cfRule type="containsText" dxfId="1874" priority="3820" operator="containsText" text="BAJA">
      <formula>NOT(ISERROR(SEARCH("BAJA",H333)))</formula>
    </cfRule>
    <cfRule type="containsText" dxfId="1873" priority="3821" operator="containsText" text="ACTIVO">
      <formula>NOT(ISERROR(SEARCH("ACTIVO",H333)))</formula>
    </cfRule>
    <cfRule type="containsText" dxfId="1872" priority="3822" operator="containsText" text="ACTIVO">
      <formula>NOT(ISERROR(SEARCH("ACTIVO",H333)))</formula>
    </cfRule>
    <cfRule type="containsText" dxfId="1871" priority="3823" operator="containsText" text="BAJA">
      <formula>NOT(ISERROR(SEARCH("BAJA",H333)))</formula>
    </cfRule>
    <cfRule type="containsText" dxfId="1870" priority="3824" operator="containsText" text="ACTIVO">
      <formula>NOT(ISERROR(SEARCH("ACTIVO",H333)))</formula>
    </cfRule>
    <cfRule type="containsText" dxfId="1869" priority="3825" operator="containsText" text="ACTIVO">
      <formula>NOT(ISERROR(SEARCH("ACTIVO",H333)))</formula>
    </cfRule>
    <cfRule type="containsText" dxfId="1868" priority="3826" operator="containsText" text="BAJA">
      <formula>NOT(ISERROR(SEARCH("BAJA",H333)))</formula>
    </cfRule>
    <cfRule type="containsText" dxfId="1867" priority="3827" operator="containsText" text="ACTIVO">
      <formula>NOT(ISERROR(SEARCH("ACTIVO",H333)))</formula>
    </cfRule>
    <cfRule type="containsText" dxfId="1866" priority="3828" operator="containsText" text="ACTIVO">
      <formula>NOT(ISERROR(SEARCH("ACTIVO",H333)))</formula>
    </cfRule>
    <cfRule type="containsText" dxfId="1865" priority="3829" operator="containsText" text="ACTIVO">
      <formula>NOT(ISERROR(SEARCH("ACTIVO",H333)))</formula>
    </cfRule>
    <cfRule type="containsText" dxfId="1864" priority="3830" operator="containsText" text="ACTIVO">
      <formula>NOT(ISERROR(SEARCH("ACTIVO",H333)))</formula>
    </cfRule>
    <cfRule type="containsText" dxfId="1863" priority="3831" operator="containsText" text="BAJA">
      <formula>NOT(ISERROR(SEARCH("BAJA",H333)))</formula>
    </cfRule>
    <cfRule type="containsText" dxfId="1862" priority="3832" operator="containsText" text="INACTIVA">
      <formula>NOT(ISERROR(SEARCH("INACTIVA",H333)))</formula>
    </cfRule>
    <cfRule type="containsText" dxfId="1861" priority="3833" operator="containsText" text="ACTIVO">
      <formula>NOT(ISERROR(SEARCH("ACTIVO",H333)))</formula>
    </cfRule>
    <cfRule type="containsText" dxfId="1860" priority="3834" operator="containsText" text="BAJA">
      <formula>NOT(ISERROR(SEARCH("BAJA",H333)))</formula>
    </cfRule>
    <cfRule type="containsText" dxfId="1859" priority="3835" operator="containsText" text="ACTIVO">
      <formula>NOT(ISERROR(SEARCH("ACTIVO",H333)))</formula>
    </cfRule>
    <cfRule type="containsText" dxfId="1858" priority="3836" operator="containsText" text="INACTIVA">
      <formula>NOT(ISERROR(SEARCH("INACTIVA",H333)))</formula>
    </cfRule>
    <cfRule type="containsText" dxfId="1857" priority="3837" operator="containsText" text="BAJA">
      <formula>NOT(ISERROR(SEARCH("BAJA",H333)))</formula>
    </cfRule>
    <cfRule type="containsText" dxfId="1856" priority="3838" operator="containsText" text="ACTIVO">
      <formula>NOT(ISERROR(SEARCH("ACTIVO",H333)))</formula>
    </cfRule>
    <cfRule type="containsText" dxfId="1855" priority="3839" operator="containsText" text="BAJA">
      <formula>NOT(ISERROR(SEARCH("BAJA",H333)))</formula>
    </cfRule>
    <cfRule type="containsText" dxfId="1854" priority="3840" operator="containsText" text="ACTIVA">
      <formula>NOT(ISERROR(SEARCH("ACTIVA",H333)))</formula>
    </cfRule>
    <cfRule type="containsText" dxfId="1853" priority="3841" operator="containsText" text="INACTIVA">
      <formula>NOT(ISERROR(SEARCH("INACTIVA",H333)))</formula>
    </cfRule>
    <cfRule type="containsText" dxfId="1852" priority="3842" operator="containsText" text="ACTIVO">
      <formula>NOT(ISERROR(SEARCH("ACTIVO",H333)))</formula>
    </cfRule>
  </conditionalFormatting>
  <conditionalFormatting sqref="H334">
    <cfRule type="containsText" dxfId="1851" priority="3797" operator="containsText" text="BAJA">
      <formula>NOT(ISERROR(SEARCH("BAJA",H334)))</formula>
    </cfRule>
    <cfRule type="containsText" dxfId="1850" priority="3798" operator="containsText" text="ACTIVO">
      <formula>NOT(ISERROR(SEARCH("ACTIVO",H334)))</formula>
    </cfRule>
    <cfRule type="containsText" dxfId="1849" priority="3799" operator="containsText" text="ACTIVO">
      <formula>NOT(ISERROR(SEARCH("ACTIVO",H334)))</formula>
    </cfRule>
    <cfRule type="containsText" dxfId="1848" priority="3800" operator="containsText" text="BAJA">
      <formula>NOT(ISERROR(SEARCH("BAJA",H334)))</formula>
    </cfRule>
    <cfRule type="containsText" dxfId="1847" priority="3801" operator="containsText" text="ACTIVO">
      <formula>NOT(ISERROR(SEARCH("ACTIVO",H334)))</formula>
    </cfRule>
    <cfRule type="containsText" dxfId="1846" priority="3802" operator="containsText" text="ACTIVO">
      <formula>NOT(ISERROR(SEARCH("ACTIVO",H334)))</formula>
    </cfRule>
    <cfRule type="containsText" dxfId="1845" priority="3803" operator="containsText" text="BAJA">
      <formula>NOT(ISERROR(SEARCH("BAJA",H334)))</formula>
    </cfRule>
    <cfRule type="containsText" dxfId="1844" priority="3804" operator="containsText" text="ACTIVO">
      <formula>NOT(ISERROR(SEARCH("ACTIVO",H334)))</formula>
    </cfRule>
    <cfRule type="containsText" dxfId="1843" priority="3805" operator="containsText" text="ACTIVO">
      <formula>NOT(ISERROR(SEARCH("ACTIVO",H334)))</formula>
    </cfRule>
    <cfRule type="containsText" dxfId="1842" priority="3806" operator="containsText" text="ACTIVO">
      <formula>NOT(ISERROR(SEARCH("ACTIVO",H334)))</formula>
    </cfRule>
    <cfRule type="containsText" dxfId="1841" priority="3807" operator="containsText" text="ACTIVO">
      <formula>NOT(ISERROR(SEARCH("ACTIVO",H334)))</formula>
    </cfRule>
    <cfRule type="containsText" dxfId="1840" priority="3808" operator="containsText" text="BAJA">
      <formula>NOT(ISERROR(SEARCH("BAJA",H334)))</formula>
    </cfRule>
    <cfRule type="containsText" dxfId="1839" priority="3809" operator="containsText" text="INACTIVA">
      <formula>NOT(ISERROR(SEARCH("INACTIVA",H334)))</formula>
    </cfRule>
    <cfRule type="containsText" dxfId="1838" priority="3810" operator="containsText" text="ACTIVO">
      <formula>NOT(ISERROR(SEARCH("ACTIVO",H334)))</formula>
    </cfRule>
    <cfRule type="containsText" dxfId="1837" priority="3811" operator="containsText" text="BAJA">
      <formula>NOT(ISERROR(SEARCH("BAJA",H334)))</formula>
    </cfRule>
    <cfRule type="containsText" dxfId="1836" priority="3812" operator="containsText" text="ACTIVO">
      <formula>NOT(ISERROR(SEARCH("ACTIVO",H334)))</formula>
    </cfRule>
    <cfRule type="containsText" dxfId="1835" priority="3813" operator="containsText" text="INACTIVA">
      <formula>NOT(ISERROR(SEARCH("INACTIVA",H334)))</formula>
    </cfRule>
    <cfRule type="containsText" dxfId="1834" priority="3814" operator="containsText" text="BAJA">
      <formula>NOT(ISERROR(SEARCH("BAJA",H334)))</formula>
    </cfRule>
    <cfRule type="containsText" dxfId="1833" priority="3816" operator="containsText" text="BAJA">
      <formula>NOT(ISERROR(SEARCH("BAJA",H334)))</formula>
    </cfRule>
    <cfRule type="containsText" dxfId="1832" priority="3817" operator="containsText" text="ACTIVA">
      <formula>NOT(ISERROR(SEARCH("ACTIVA",H334)))</formula>
    </cfRule>
    <cfRule type="containsText" dxfId="1831" priority="3819" operator="containsText" text="ACTIVO">
      <formula>NOT(ISERROR(SEARCH("ACTIVO",H334)))</formula>
    </cfRule>
  </conditionalFormatting>
  <conditionalFormatting sqref="H334:H337">
    <cfRule type="containsText" dxfId="1830" priority="3795" operator="containsText" text="ACTIVO">
      <formula>NOT(ISERROR(SEARCH("ACTIVO",H334)))</formula>
    </cfRule>
    <cfRule type="containsText" dxfId="1829" priority="3796" operator="containsText" text="INACTIVA">
      <formula>NOT(ISERROR(SEARCH("INACTIVA",H334)))</formula>
    </cfRule>
  </conditionalFormatting>
  <conditionalFormatting sqref="H335:H336">
    <cfRule type="containsText" dxfId="1828" priority="3775" operator="containsText" text="BAJA">
      <formula>NOT(ISERROR(SEARCH("BAJA",H335)))</formula>
    </cfRule>
    <cfRule type="containsText" dxfId="1827" priority="3776" operator="containsText" text="ACTIVO">
      <formula>NOT(ISERROR(SEARCH("ACTIVO",H335)))</formula>
    </cfRule>
    <cfRule type="containsText" dxfId="1826" priority="3777" operator="containsText" text="ACTIVO">
      <formula>NOT(ISERROR(SEARCH("ACTIVO",H335)))</formula>
    </cfRule>
    <cfRule type="containsText" dxfId="1825" priority="3778" operator="containsText" text="BAJA">
      <formula>NOT(ISERROR(SEARCH("BAJA",H335)))</formula>
    </cfRule>
    <cfRule type="containsText" dxfId="1824" priority="3779" operator="containsText" text="ACTIVO">
      <formula>NOT(ISERROR(SEARCH("ACTIVO",H335)))</formula>
    </cfRule>
    <cfRule type="containsText" dxfId="1823" priority="3780" operator="containsText" text="ACTIVO">
      <formula>NOT(ISERROR(SEARCH("ACTIVO",H335)))</formula>
    </cfRule>
    <cfRule type="containsText" dxfId="1822" priority="3781" operator="containsText" text="BAJA">
      <formula>NOT(ISERROR(SEARCH("BAJA",H335)))</formula>
    </cfRule>
    <cfRule type="containsText" dxfId="1821" priority="3782" operator="containsText" text="ACTIVO">
      <formula>NOT(ISERROR(SEARCH("ACTIVO",H335)))</formula>
    </cfRule>
    <cfRule type="containsText" dxfId="1820" priority="3783" operator="containsText" text="ACTIVO">
      <formula>NOT(ISERROR(SEARCH("ACTIVO",H335)))</formula>
    </cfRule>
    <cfRule type="containsText" dxfId="1819" priority="3784" operator="containsText" text="ACTIVO">
      <formula>NOT(ISERROR(SEARCH("ACTIVO",H335)))</formula>
    </cfRule>
    <cfRule type="containsText" dxfId="1818" priority="3785" operator="containsText" text="ACTIVO">
      <formula>NOT(ISERROR(SEARCH("ACTIVO",H335)))</formula>
    </cfRule>
    <cfRule type="containsText" dxfId="1817" priority="3786" operator="containsText" text="BAJA">
      <formula>NOT(ISERROR(SEARCH("BAJA",H335)))</formula>
    </cfRule>
    <cfRule type="containsText" dxfId="1816" priority="3787" operator="containsText" text="INACTIVA">
      <formula>NOT(ISERROR(SEARCH("INACTIVA",H335)))</formula>
    </cfRule>
    <cfRule type="containsText" dxfId="1815" priority="3788" operator="containsText" text="ACTIVO">
      <formula>NOT(ISERROR(SEARCH("ACTIVO",H335)))</formula>
    </cfRule>
    <cfRule type="containsText" dxfId="1814" priority="3789" operator="containsText" text="BAJA">
      <formula>NOT(ISERROR(SEARCH("BAJA",H335)))</formula>
    </cfRule>
    <cfRule type="containsText" dxfId="1813" priority="3790" operator="containsText" text="ACTIVO">
      <formula>NOT(ISERROR(SEARCH("ACTIVO",H335)))</formula>
    </cfRule>
    <cfRule type="containsText" dxfId="1812" priority="3791" operator="containsText" text="INACTIVA">
      <formula>NOT(ISERROR(SEARCH("INACTIVA",H335)))</formula>
    </cfRule>
    <cfRule type="containsText" dxfId="1811" priority="3792" operator="containsText" text="BAJA">
      <formula>NOT(ISERROR(SEARCH("BAJA",H335)))</formula>
    </cfRule>
    <cfRule type="containsText" dxfId="1810" priority="3793" operator="containsText" text="ACTIVA">
      <formula>NOT(ISERROR(SEARCH("ACTIVA",H335)))</formula>
    </cfRule>
    <cfRule type="containsText" dxfId="1809" priority="3794" operator="containsText" text="ACTIVO">
      <formula>NOT(ISERROR(SEARCH("ACTIVO",H335)))</formula>
    </cfRule>
  </conditionalFormatting>
  <conditionalFormatting sqref="H335:H337">
    <cfRule type="containsText" dxfId="1808" priority="1004" operator="containsText" text="ACTIVO">
      <formula>NOT(ISERROR(SEARCH("ACTIVO",H335)))</formula>
    </cfRule>
    <cfRule type="containsText" dxfId="1807" priority="1007" operator="containsText" text="INACTIVA">
      <formula>NOT(ISERROR(SEARCH("INACTIVA",H335)))</formula>
    </cfRule>
  </conditionalFormatting>
  <conditionalFormatting sqref="H337">
    <cfRule type="containsText" dxfId="1806" priority="986" operator="containsText" text="BAJA">
      <formula>NOT(ISERROR(SEARCH("BAJA",H337)))</formula>
    </cfRule>
    <cfRule type="containsText" dxfId="1805" priority="987" operator="containsText" text="ACTIVO">
      <formula>NOT(ISERROR(SEARCH("ACTIVO",H337)))</formula>
    </cfRule>
    <cfRule type="containsText" dxfId="1804" priority="988" operator="containsText" text="ACTIVO">
      <formula>NOT(ISERROR(SEARCH("ACTIVO",H337)))</formula>
    </cfRule>
    <cfRule type="containsText" dxfId="1803" priority="989" operator="containsText" text="BAJA">
      <formula>NOT(ISERROR(SEARCH("BAJA",H337)))</formula>
    </cfRule>
    <cfRule type="containsText" dxfId="1802" priority="990" operator="containsText" text="ACTIVO">
      <formula>NOT(ISERROR(SEARCH("ACTIVO",H337)))</formula>
    </cfRule>
    <cfRule type="containsText" dxfId="1801" priority="991" operator="containsText" text="ACTIVO">
      <formula>NOT(ISERROR(SEARCH("ACTIVO",H337)))</formula>
    </cfRule>
    <cfRule type="containsText" dxfId="1800" priority="992" operator="containsText" text="BAJA">
      <formula>NOT(ISERROR(SEARCH("BAJA",H337)))</formula>
    </cfRule>
    <cfRule type="containsText" dxfId="1799" priority="993" operator="containsText" text="ACTIVO">
      <formula>NOT(ISERROR(SEARCH("ACTIVO",H337)))</formula>
    </cfRule>
    <cfRule type="containsText" dxfId="1798" priority="994" operator="containsText" text="ACTIVO">
      <formula>NOT(ISERROR(SEARCH("ACTIVO",H337)))</formula>
    </cfRule>
    <cfRule type="containsText" dxfId="1797" priority="995" operator="containsText" text="ACTIVO">
      <formula>NOT(ISERROR(SEARCH("ACTIVO",H337)))</formula>
    </cfRule>
    <cfRule type="containsText" dxfId="1796" priority="996" operator="containsText" text="ACTIVO">
      <formula>NOT(ISERROR(SEARCH("ACTIVO",H337)))</formula>
    </cfRule>
    <cfRule type="containsText" dxfId="1795" priority="997" operator="containsText" text="BAJA">
      <formula>NOT(ISERROR(SEARCH("BAJA",H337)))</formula>
    </cfRule>
    <cfRule type="containsText" dxfId="1794" priority="998" operator="containsText" text="INACTIVA">
      <formula>NOT(ISERROR(SEARCH("INACTIVA",H337)))</formula>
    </cfRule>
    <cfRule type="containsText" dxfId="1793" priority="999" operator="containsText" text="ACTIVO">
      <formula>NOT(ISERROR(SEARCH("ACTIVO",H337)))</formula>
    </cfRule>
    <cfRule type="containsText" dxfId="1792" priority="1000" operator="containsText" text="BAJA">
      <formula>NOT(ISERROR(SEARCH("BAJA",H337)))</formula>
    </cfRule>
    <cfRule type="containsText" dxfId="1791" priority="1001" operator="containsText" text="ACTIVO">
      <formula>NOT(ISERROR(SEARCH("ACTIVO",H337)))</formula>
    </cfRule>
    <cfRule type="containsText" dxfId="1790" priority="1002" operator="containsText" text="INACTIVA">
      <formula>NOT(ISERROR(SEARCH("INACTIVA",H337)))</formula>
    </cfRule>
    <cfRule type="containsText" dxfId="1789" priority="1003" operator="containsText" text="BAJA">
      <formula>NOT(ISERROR(SEARCH("BAJA",H337)))</formula>
    </cfRule>
    <cfRule type="containsText" dxfId="1788" priority="1005" operator="containsText" text="BAJA">
      <formula>NOT(ISERROR(SEARCH("BAJA",H337)))</formula>
    </cfRule>
    <cfRule type="containsText" dxfId="1787" priority="1006" operator="containsText" text="ACTIVA">
      <formula>NOT(ISERROR(SEARCH("ACTIVA",H337)))</formula>
    </cfRule>
    <cfRule type="containsText" dxfId="1786" priority="1008" operator="containsText" text="ACTIVO">
      <formula>NOT(ISERROR(SEARCH("ACTIVO",H337)))</formula>
    </cfRule>
  </conditionalFormatting>
  <conditionalFormatting sqref="H338">
    <cfRule type="containsText" dxfId="1785" priority="143" operator="containsText" text="ACTIVO">
      <formula>NOT(ISERROR(SEARCH("ACTIVO",H338)))</formula>
    </cfRule>
    <cfRule type="containsText" dxfId="1784" priority="144" operator="containsText" text="INACTIVA">
      <formula>NOT(ISERROR(SEARCH("INACTIVA",H338)))</formula>
    </cfRule>
    <cfRule type="containsText" dxfId="1783" priority="145" operator="containsText" text="BAJA">
      <formula>NOT(ISERROR(SEARCH("BAJA",H338)))</formula>
    </cfRule>
    <cfRule type="containsText" dxfId="1782" priority="146" operator="containsText" text="ACTIVO">
      <formula>NOT(ISERROR(SEARCH("ACTIVO",H338)))</formula>
    </cfRule>
    <cfRule type="containsText" dxfId="1781" priority="147" operator="containsText" text="ACTIVO">
      <formula>NOT(ISERROR(SEARCH("ACTIVO",H338)))</formula>
    </cfRule>
    <cfRule type="containsText" dxfId="1780" priority="148" operator="containsText" text="BAJA">
      <formula>NOT(ISERROR(SEARCH("BAJA",H338)))</formula>
    </cfRule>
    <cfRule type="containsText" dxfId="1779" priority="149" operator="containsText" text="ACTIVO">
      <formula>NOT(ISERROR(SEARCH("ACTIVO",H338)))</formula>
    </cfRule>
    <cfRule type="containsText" dxfId="1778" priority="150" operator="containsText" text="ACTIVO">
      <formula>NOT(ISERROR(SEARCH("ACTIVO",H338)))</formula>
    </cfRule>
    <cfRule type="containsText" dxfId="1777" priority="151" operator="containsText" text="BAJA">
      <formula>NOT(ISERROR(SEARCH("BAJA",H338)))</formula>
    </cfRule>
    <cfRule type="containsText" dxfId="1776" priority="152" operator="containsText" text="ACTIVO">
      <formula>NOT(ISERROR(SEARCH("ACTIVO",H338)))</formula>
    </cfRule>
    <cfRule type="containsText" dxfId="1775" priority="153" operator="containsText" text="ACTIVO">
      <formula>NOT(ISERROR(SEARCH("ACTIVO",H338)))</formula>
    </cfRule>
    <cfRule type="containsText" dxfId="1774" priority="154" operator="containsText" text="ACTIVO">
      <formula>NOT(ISERROR(SEARCH("ACTIVO",H338)))</formula>
    </cfRule>
    <cfRule type="containsText" dxfId="1773" priority="155" operator="containsText" text="ACTIVO">
      <formula>NOT(ISERROR(SEARCH("ACTIVO",H338)))</formula>
    </cfRule>
    <cfRule type="containsText" dxfId="1772" priority="156" operator="containsText" text="BAJA">
      <formula>NOT(ISERROR(SEARCH("BAJA",H338)))</formula>
    </cfRule>
    <cfRule type="containsText" dxfId="1771" priority="157" operator="containsText" text="INACTIVA">
      <formula>NOT(ISERROR(SEARCH("INACTIVA",H338)))</formula>
    </cfRule>
    <cfRule type="containsText" dxfId="1770" priority="158" operator="containsText" text="ACTIVO">
      <formula>NOT(ISERROR(SEARCH("ACTIVO",H338)))</formula>
    </cfRule>
    <cfRule type="containsText" dxfId="1769" priority="159" operator="containsText" text="BAJA">
      <formula>NOT(ISERROR(SEARCH("BAJA",H338)))</formula>
    </cfRule>
    <cfRule type="containsText" dxfId="1768" priority="160" operator="containsText" text="ACTIVO">
      <formula>NOT(ISERROR(SEARCH("ACTIVO",H338)))</formula>
    </cfRule>
    <cfRule type="containsText" dxfId="1767" priority="161" operator="containsText" text="INACTIVA">
      <formula>NOT(ISERROR(SEARCH("INACTIVA",H338)))</formula>
    </cfRule>
    <cfRule type="containsText" dxfId="1766" priority="162" operator="containsText" text="BAJA">
      <formula>NOT(ISERROR(SEARCH("BAJA",H338)))</formula>
    </cfRule>
    <cfRule type="containsText" dxfId="1765" priority="163" operator="containsText" text="BAJA">
      <formula>NOT(ISERROR(SEARCH("BAJA",H338)))</formula>
    </cfRule>
    <cfRule type="containsText" dxfId="1764" priority="164" operator="containsText" text="ACTIVA">
      <formula>NOT(ISERROR(SEARCH("ACTIVA",H338)))</formula>
    </cfRule>
    <cfRule type="containsText" dxfId="1763" priority="165" operator="containsText" text="ACTIVO">
      <formula>NOT(ISERROR(SEARCH("ACTIVO",H338)))</formula>
    </cfRule>
  </conditionalFormatting>
  <conditionalFormatting sqref="H338:H345">
    <cfRule type="containsText" dxfId="1762" priority="1669" operator="containsText" text="ACTIVO">
      <formula>NOT(ISERROR(SEARCH("ACTIVO",H338)))</formula>
    </cfRule>
    <cfRule type="containsText" dxfId="1761" priority="1672" operator="containsText" text="INACTIVA">
      <formula>NOT(ISERROR(SEARCH("INACTIVA",H338)))</formula>
    </cfRule>
  </conditionalFormatting>
  <conditionalFormatting sqref="H339:H344">
    <cfRule type="containsText" dxfId="1760" priority="3753" operator="containsText" text="BAJA">
      <formula>NOT(ISERROR(SEARCH("BAJA",H339)))</formula>
    </cfRule>
    <cfRule type="containsText" dxfId="1759" priority="3754" operator="containsText" text="ACTIVO">
      <formula>NOT(ISERROR(SEARCH("ACTIVO",H339)))</formula>
    </cfRule>
    <cfRule type="containsText" dxfId="1758" priority="3755" operator="containsText" text="ACTIVO">
      <formula>NOT(ISERROR(SEARCH("ACTIVO",H339)))</formula>
    </cfRule>
    <cfRule type="containsText" dxfId="1757" priority="3756" operator="containsText" text="BAJA">
      <formula>NOT(ISERROR(SEARCH("BAJA",H339)))</formula>
    </cfRule>
    <cfRule type="containsText" dxfId="1756" priority="3757" operator="containsText" text="ACTIVO">
      <formula>NOT(ISERROR(SEARCH("ACTIVO",H339)))</formula>
    </cfRule>
    <cfRule type="containsText" dxfId="1755" priority="3758" operator="containsText" text="ACTIVO">
      <formula>NOT(ISERROR(SEARCH("ACTIVO",H339)))</formula>
    </cfRule>
    <cfRule type="containsText" dxfId="1754" priority="3759" operator="containsText" text="BAJA">
      <formula>NOT(ISERROR(SEARCH("BAJA",H339)))</formula>
    </cfRule>
    <cfRule type="containsText" dxfId="1753" priority="3760" operator="containsText" text="ACTIVO">
      <formula>NOT(ISERROR(SEARCH("ACTIVO",H339)))</formula>
    </cfRule>
    <cfRule type="containsText" dxfId="1752" priority="3761" operator="containsText" text="ACTIVO">
      <formula>NOT(ISERROR(SEARCH("ACTIVO",H339)))</formula>
    </cfRule>
    <cfRule type="containsText" dxfId="1751" priority="3762" operator="containsText" text="ACTIVO">
      <formula>NOT(ISERROR(SEARCH("ACTIVO",H339)))</formula>
    </cfRule>
    <cfRule type="containsText" dxfId="1750" priority="3763" operator="containsText" text="ACTIVO">
      <formula>NOT(ISERROR(SEARCH("ACTIVO",H339)))</formula>
    </cfRule>
    <cfRule type="containsText" dxfId="1749" priority="3764" operator="containsText" text="BAJA">
      <formula>NOT(ISERROR(SEARCH("BAJA",H339)))</formula>
    </cfRule>
    <cfRule type="containsText" dxfId="1748" priority="3765" operator="containsText" text="INACTIVA">
      <formula>NOT(ISERROR(SEARCH("INACTIVA",H339)))</formula>
    </cfRule>
    <cfRule type="containsText" dxfId="1747" priority="3766" operator="containsText" text="ACTIVO">
      <formula>NOT(ISERROR(SEARCH("ACTIVO",H339)))</formula>
    </cfRule>
    <cfRule type="containsText" dxfId="1746" priority="3767" operator="containsText" text="BAJA">
      <formula>NOT(ISERROR(SEARCH("BAJA",H339)))</formula>
    </cfRule>
    <cfRule type="containsText" dxfId="1745" priority="3768" operator="containsText" text="ACTIVO">
      <formula>NOT(ISERROR(SEARCH("ACTIVO",H339)))</formula>
    </cfRule>
    <cfRule type="containsText" dxfId="1744" priority="3769" operator="containsText" text="INACTIVA">
      <formula>NOT(ISERROR(SEARCH("INACTIVA",H339)))</formula>
    </cfRule>
    <cfRule type="containsText" dxfId="1743" priority="3770" operator="containsText" text="BAJA">
      <formula>NOT(ISERROR(SEARCH("BAJA",H339)))</formula>
    </cfRule>
    <cfRule type="containsText" dxfId="1742" priority="3771" operator="containsText" text="ACTIVA">
      <formula>NOT(ISERROR(SEARCH("ACTIVA",H339)))</formula>
    </cfRule>
    <cfRule type="containsText" dxfId="1741" priority="3772" operator="containsText" text="ACTIVO">
      <formula>NOT(ISERROR(SEARCH("ACTIVO",H339)))</formula>
    </cfRule>
    <cfRule type="containsText" dxfId="1740" priority="3773" operator="containsText" text="ACTIVO">
      <formula>NOT(ISERROR(SEARCH("ACTIVO",H339)))</formula>
    </cfRule>
    <cfRule type="containsText" dxfId="1739" priority="3774" operator="containsText" text="INACTIVA">
      <formula>NOT(ISERROR(SEARCH("INACTIVA",H339)))</formula>
    </cfRule>
  </conditionalFormatting>
  <conditionalFormatting sqref="H345">
    <cfRule type="containsText" dxfId="1738" priority="1649" operator="containsText" text="ACTIVO">
      <formula>NOT(ISERROR(SEARCH("ACTIVO",H345)))</formula>
    </cfRule>
    <cfRule type="containsText" dxfId="1737" priority="1650" operator="containsText" text="INACTIVA">
      <formula>NOT(ISERROR(SEARCH("INACTIVA",H345)))</formula>
    </cfRule>
    <cfRule type="containsText" dxfId="1736" priority="1651" operator="containsText" text="BAJA">
      <formula>NOT(ISERROR(SEARCH("BAJA",H345)))</formula>
    </cfRule>
    <cfRule type="containsText" dxfId="1735" priority="1652" operator="containsText" text="ACTIVO">
      <formula>NOT(ISERROR(SEARCH("ACTIVO",H345)))</formula>
    </cfRule>
    <cfRule type="containsText" dxfId="1734" priority="1653" operator="containsText" text="ACTIVO">
      <formula>NOT(ISERROR(SEARCH("ACTIVO",H345)))</formula>
    </cfRule>
    <cfRule type="containsText" dxfId="1733" priority="1654" operator="containsText" text="BAJA">
      <formula>NOT(ISERROR(SEARCH("BAJA",H345)))</formula>
    </cfRule>
    <cfRule type="containsText" dxfId="1732" priority="1655" operator="containsText" text="ACTIVO">
      <formula>NOT(ISERROR(SEARCH("ACTIVO",H345)))</formula>
    </cfRule>
    <cfRule type="containsText" dxfId="1731" priority="1656" operator="containsText" text="ACTIVO">
      <formula>NOT(ISERROR(SEARCH("ACTIVO",H345)))</formula>
    </cfRule>
    <cfRule type="containsText" dxfId="1730" priority="1657" operator="containsText" text="BAJA">
      <formula>NOT(ISERROR(SEARCH("BAJA",H345)))</formula>
    </cfRule>
    <cfRule type="containsText" dxfId="1729" priority="1658" operator="containsText" text="ACTIVO">
      <formula>NOT(ISERROR(SEARCH("ACTIVO",H345)))</formula>
    </cfRule>
    <cfRule type="containsText" dxfId="1728" priority="1659" operator="containsText" text="ACTIVO">
      <formula>NOT(ISERROR(SEARCH("ACTIVO",H345)))</formula>
    </cfRule>
    <cfRule type="containsText" dxfId="1727" priority="1660" operator="containsText" text="ACTIVO">
      <formula>NOT(ISERROR(SEARCH("ACTIVO",H345)))</formula>
    </cfRule>
    <cfRule type="containsText" dxfId="1726" priority="1661" operator="containsText" text="ACTIVO">
      <formula>NOT(ISERROR(SEARCH("ACTIVO",H345)))</formula>
    </cfRule>
    <cfRule type="containsText" dxfId="1725" priority="1662" operator="containsText" text="BAJA">
      <formula>NOT(ISERROR(SEARCH("BAJA",H345)))</formula>
    </cfRule>
    <cfRule type="containsText" dxfId="1724" priority="1663" operator="containsText" text="INACTIVA">
      <formula>NOT(ISERROR(SEARCH("INACTIVA",H345)))</formula>
    </cfRule>
    <cfRule type="containsText" dxfId="1723" priority="1664" operator="containsText" text="ACTIVO">
      <formula>NOT(ISERROR(SEARCH("ACTIVO",H345)))</formula>
    </cfRule>
    <cfRule type="containsText" dxfId="1722" priority="1665" operator="containsText" text="BAJA">
      <formula>NOT(ISERROR(SEARCH("BAJA",H345)))</formula>
    </cfRule>
    <cfRule type="containsText" dxfId="1721" priority="1666" operator="containsText" text="ACTIVO">
      <formula>NOT(ISERROR(SEARCH("ACTIVO",H345)))</formula>
    </cfRule>
    <cfRule type="containsText" dxfId="1720" priority="1667" operator="containsText" text="INACTIVA">
      <formula>NOT(ISERROR(SEARCH("INACTIVA",H345)))</formula>
    </cfRule>
    <cfRule type="containsText" dxfId="1719" priority="1668" operator="containsText" text="BAJA">
      <formula>NOT(ISERROR(SEARCH("BAJA",H345)))</formula>
    </cfRule>
    <cfRule type="containsText" dxfId="1718" priority="1670" operator="containsText" text="BAJA">
      <formula>NOT(ISERROR(SEARCH("BAJA",H345)))</formula>
    </cfRule>
    <cfRule type="containsText" dxfId="1717" priority="1671" operator="containsText" text="ACTIVA">
      <formula>NOT(ISERROR(SEARCH("ACTIVA",H345)))</formula>
    </cfRule>
    <cfRule type="containsText" dxfId="1716" priority="1673" operator="containsText" text="ACTIVO">
      <formula>NOT(ISERROR(SEARCH("ACTIVO",H345)))</formula>
    </cfRule>
  </conditionalFormatting>
  <conditionalFormatting sqref="H346:H353">
    <cfRule type="containsText" dxfId="1715" priority="3731" operator="containsText" text="BAJA">
      <formula>NOT(ISERROR(SEARCH("BAJA",H346)))</formula>
    </cfRule>
    <cfRule type="containsText" dxfId="1714" priority="3732" operator="containsText" text="ACTIVO">
      <formula>NOT(ISERROR(SEARCH("ACTIVO",H346)))</formula>
    </cfRule>
    <cfRule type="containsText" dxfId="1713" priority="3733" operator="containsText" text="ACTIVO">
      <formula>NOT(ISERROR(SEARCH("ACTIVO",H346)))</formula>
    </cfRule>
    <cfRule type="containsText" dxfId="1712" priority="3734" operator="containsText" text="BAJA">
      <formula>NOT(ISERROR(SEARCH("BAJA",H346)))</formula>
    </cfRule>
    <cfRule type="containsText" dxfId="1711" priority="3735" operator="containsText" text="ACTIVO">
      <formula>NOT(ISERROR(SEARCH("ACTIVO",H346)))</formula>
    </cfRule>
    <cfRule type="containsText" dxfId="1710" priority="3736" operator="containsText" text="ACTIVO">
      <formula>NOT(ISERROR(SEARCH("ACTIVO",H346)))</formula>
    </cfRule>
    <cfRule type="containsText" dxfId="1709" priority="3737" operator="containsText" text="BAJA">
      <formula>NOT(ISERROR(SEARCH("BAJA",H346)))</formula>
    </cfRule>
    <cfRule type="containsText" dxfId="1708" priority="3738" operator="containsText" text="ACTIVO">
      <formula>NOT(ISERROR(SEARCH("ACTIVO",H346)))</formula>
    </cfRule>
    <cfRule type="containsText" dxfId="1707" priority="3739" operator="containsText" text="ACTIVO">
      <formula>NOT(ISERROR(SEARCH("ACTIVO",H346)))</formula>
    </cfRule>
    <cfRule type="containsText" dxfId="1706" priority="3740" operator="containsText" text="ACTIVO">
      <formula>NOT(ISERROR(SEARCH("ACTIVO",H346)))</formula>
    </cfRule>
    <cfRule type="containsText" dxfId="1705" priority="3741" operator="containsText" text="ACTIVO">
      <formula>NOT(ISERROR(SEARCH("ACTIVO",H346)))</formula>
    </cfRule>
    <cfRule type="containsText" dxfId="1704" priority="3742" operator="containsText" text="BAJA">
      <formula>NOT(ISERROR(SEARCH("BAJA",H346)))</formula>
    </cfRule>
    <cfRule type="containsText" dxfId="1703" priority="3743" operator="containsText" text="INACTIVA">
      <formula>NOT(ISERROR(SEARCH("INACTIVA",H346)))</formula>
    </cfRule>
    <cfRule type="containsText" dxfId="1702" priority="3744" operator="containsText" text="ACTIVO">
      <formula>NOT(ISERROR(SEARCH("ACTIVO",H346)))</formula>
    </cfRule>
    <cfRule type="containsText" dxfId="1701" priority="3745" operator="containsText" text="BAJA">
      <formula>NOT(ISERROR(SEARCH("BAJA",H346)))</formula>
    </cfRule>
    <cfRule type="containsText" dxfId="1700" priority="3746" operator="containsText" text="ACTIVO">
      <formula>NOT(ISERROR(SEARCH("ACTIVO",H346)))</formula>
    </cfRule>
    <cfRule type="containsText" dxfId="1699" priority="3747" operator="containsText" text="INACTIVA">
      <formula>NOT(ISERROR(SEARCH("INACTIVA",H346)))</formula>
    </cfRule>
    <cfRule type="containsText" dxfId="1698" priority="3748" operator="containsText" text="BAJA">
      <formula>NOT(ISERROR(SEARCH("BAJA",H346)))</formula>
    </cfRule>
    <cfRule type="containsText" dxfId="1697" priority="3749" operator="containsText" text="ACTIVA">
      <formula>NOT(ISERROR(SEARCH("ACTIVA",H346)))</formula>
    </cfRule>
    <cfRule type="containsText" dxfId="1696" priority="3750" operator="containsText" text="ACTIVO">
      <formula>NOT(ISERROR(SEARCH("ACTIVO",H346)))</formula>
    </cfRule>
    <cfRule type="containsText" dxfId="1695" priority="3751" operator="containsText" text="ACTIVO">
      <formula>NOT(ISERROR(SEARCH("ACTIVO",H346)))</formula>
    </cfRule>
    <cfRule type="containsText" dxfId="1694" priority="3752" operator="containsText" text="INACTIVA">
      <formula>NOT(ISERROR(SEARCH("INACTIVA",H346)))</formula>
    </cfRule>
  </conditionalFormatting>
  <conditionalFormatting sqref="H346:H365">
    <cfRule type="containsText" dxfId="1693" priority="1717" operator="containsText" text="ACTIVO">
      <formula>NOT(ISERROR(SEARCH("ACTIVO",H346)))</formula>
    </cfRule>
    <cfRule type="containsText" dxfId="1692" priority="1720" operator="containsText" text="INACTIVA">
      <formula>NOT(ISERROR(SEARCH("INACTIVA",H346)))</formula>
    </cfRule>
  </conditionalFormatting>
  <conditionalFormatting sqref="H354">
    <cfRule type="containsText" dxfId="1691" priority="1699" operator="containsText" text="BAJA">
      <formula>NOT(ISERROR(SEARCH("BAJA",H354)))</formula>
    </cfRule>
    <cfRule type="containsText" dxfId="1690" priority="1700" operator="containsText" text="ACTIVO">
      <formula>NOT(ISERROR(SEARCH("ACTIVO",H354)))</formula>
    </cfRule>
    <cfRule type="containsText" dxfId="1689" priority="1701" operator="containsText" text="ACTIVO">
      <formula>NOT(ISERROR(SEARCH("ACTIVO",H354)))</formula>
    </cfRule>
    <cfRule type="containsText" dxfId="1688" priority="1702" operator="containsText" text="BAJA">
      <formula>NOT(ISERROR(SEARCH("BAJA",H354)))</formula>
    </cfRule>
    <cfRule type="containsText" dxfId="1687" priority="1703" operator="containsText" text="ACTIVO">
      <formula>NOT(ISERROR(SEARCH("ACTIVO",H354)))</formula>
    </cfRule>
    <cfRule type="containsText" dxfId="1686" priority="1704" operator="containsText" text="ACTIVO">
      <formula>NOT(ISERROR(SEARCH("ACTIVO",H354)))</formula>
    </cfRule>
    <cfRule type="containsText" dxfId="1685" priority="1705" operator="containsText" text="BAJA">
      <formula>NOT(ISERROR(SEARCH("BAJA",H354)))</formula>
    </cfRule>
    <cfRule type="containsText" dxfId="1684" priority="1706" operator="containsText" text="ACTIVO">
      <formula>NOT(ISERROR(SEARCH("ACTIVO",H354)))</formula>
    </cfRule>
    <cfRule type="containsText" dxfId="1683" priority="1707" operator="containsText" text="ACTIVO">
      <formula>NOT(ISERROR(SEARCH("ACTIVO",H354)))</formula>
    </cfRule>
    <cfRule type="containsText" dxfId="1682" priority="1708" operator="containsText" text="ACTIVO">
      <formula>NOT(ISERROR(SEARCH("ACTIVO",H354)))</formula>
    </cfRule>
    <cfRule type="containsText" dxfId="1681" priority="1709" operator="containsText" text="ACTIVO">
      <formula>NOT(ISERROR(SEARCH("ACTIVO",H354)))</formula>
    </cfRule>
    <cfRule type="containsText" dxfId="1680" priority="1710" operator="containsText" text="BAJA">
      <formula>NOT(ISERROR(SEARCH("BAJA",H354)))</formula>
    </cfRule>
    <cfRule type="containsText" dxfId="1679" priority="1711" operator="containsText" text="INACTIVA">
      <formula>NOT(ISERROR(SEARCH("INACTIVA",H354)))</formula>
    </cfRule>
    <cfRule type="containsText" dxfId="1678" priority="1712" operator="containsText" text="ACTIVO">
      <formula>NOT(ISERROR(SEARCH("ACTIVO",H354)))</formula>
    </cfRule>
    <cfRule type="containsText" dxfId="1677" priority="1713" operator="containsText" text="BAJA">
      <formula>NOT(ISERROR(SEARCH("BAJA",H354)))</formula>
    </cfRule>
    <cfRule type="containsText" dxfId="1676" priority="1714" operator="containsText" text="ACTIVO">
      <formula>NOT(ISERROR(SEARCH("ACTIVO",H354)))</formula>
    </cfRule>
    <cfRule type="containsText" dxfId="1675" priority="1715" operator="containsText" text="INACTIVA">
      <formula>NOT(ISERROR(SEARCH("INACTIVA",H354)))</formula>
    </cfRule>
    <cfRule type="containsText" dxfId="1674" priority="1716" operator="containsText" text="BAJA">
      <formula>NOT(ISERROR(SEARCH("BAJA",H354)))</formula>
    </cfRule>
    <cfRule type="containsText" dxfId="1673" priority="1718" operator="containsText" text="BAJA">
      <formula>NOT(ISERROR(SEARCH("BAJA",H354)))</formula>
    </cfRule>
    <cfRule type="containsText" dxfId="1672" priority="1719" operator="containsText" text="ACTIVA">
      <formula>NOT(ISERROR(SEARCH("ACTIVA",H354)))</formula>
    </cfRule>
    <cfRule type="containsText" dxfId="1671" priority="1721" operator="containsText" text="ACTIVO">
      <formula>NOT(ISERROR(SEARCH("ACTIVO",H354)))</formula>
    </cfRule>
  </conditionalFormatting>
  <conditionalFormatting sqref="H354:H361">
    <cfRule type="containsText" dxfId="1670" priority="3729" operator="containsText" text="ACTIVO">
      <formula>NOT(ISERROR(SEARCH("ACTIVO",H354)))</formula>
    </cfRule>
    <cfRule type="containsText" dxfId="1669" priority="3730" operator="containsText" text="INACTIVA">
      <formula>NOT(ISERROR(SEARCH("INACTIVA",H354)))</formula>
    </cfRule>
  </conditionalFormatting>
  <conditionalFormatting sqref="H355:H361">
    <cfRule type="containsText" dxfId="1668" priority="3709" operator="containsText" text="BAJA">
      <formula>NOT(ISERROR(SEARCH("BAJA",H355)))</formula>
    </cfRule>
    <cfRule type="containsText" dxfId="1667" priority="3710" operator="containsText" text="ACTIVO">
      <formula>NOT(ISERROR(SEARCH("ACTIVO",H355)))</formula>
    </cfRule>
    <cfRule type="containsText" dxfId="1666" priority="3711" operator="containsText" text="ACTIVO">
      <formula>NOT(ISERROR(SEARCH("ACTIVO",H355)))</formula>
    </cfRule>
    <cfRule type="containsText" dxfId="1665" priority="3712" operator="containsText" text="BAJA">
      <formula>NOT(ISERROR(SEARCH("BAJA",H355)))</formula>
    </cfRule>
    <cfRule type="containsText" dxfId="1664" priority="3713" operator="containsText" text="ACTIVO">
      <formula>NOT(ISERROR(SEARCH("ACTIVO",H355)))</formula>
    </cfRule>
    <cfRule type="containsText" dxfId="1663" priority="3714" operator="containsText" text="ACTIVO">
      <formula>NOT(ISERROR(SEARCH("ACTIVO",H355)))</formula>
    </cfRule>
    <cfRule type="containsText" dxfId="1662" priority="3715" operator="containsText" text="BAJA">
      <formula>NOT(ISERROR(SEARCH("BAJA",H355)))</formula>
    </cfRule>
    <cfRule type="containsText" dxfId="1661" priority="3716" operator="containsText" text="ACTIVO">
      <formula>NOT(ISERROR(SEARCH("ACTIVO",H355)))</formula>
    </cfRule>
    <cfRule type="containsText" dxfId="1660" priority="3717" operator="containsText" text="ACTIVO">
      <formula>NOT(ISERROR(SEARCH("ACTIVO",H355)))</formula>
    </cfRule>
    <cfRule type="containsText" dxfId="1659" priority="3718" operator="containsText" text="ACTIVO">
      <formula>NOT(ISERROR(SEARCH("ACTIVO",H355)))</formula>
    </cfRule>
    <cfRule type="containsText" dxfId="1658" priority="3719" operator="containsText" text="ACTIVO">
      <formula>NOT(ISERROR(SEARCH("ACTIVO",H355)))</formula>
    </cfRule>
    <cfRule type="containsText" dxfId="1657" priority="3720" operator="containsText" text="BAJA">
      <formula>NOT(ISERROR(SEARCH("BAJA",H355)))</formula>
    </cfRule>
    <cfRule type="containsText" dxfId="1656" priority="3721" operator="containsText" text="INACTIVA">
      <formula>NOT(ISERROR(SEARCH("INACTIVA",H355)))</formula>
    </cfRule>
    <cfRule type="containsText" dxfId="1655" priority="3722" operator="containsText" text="ACTIVO">
      <formula>NOT(ISERROR(SEARCH("ACTIVO",H355)))</formula>
    </cfRule>
    <cfRule type="containsText" dxfId="1654" priority="3723" operator="containsText" text="BAJA">
      <formula>NOT(ISERROR(SEARCH("BAJA",H355)))</formula>
    </cfRule>
    <cfRule type="containsText" dxfId="1653" priority="3724" operator="containsText" text="ACTIVO">
      <formula>NOT(ISERROR(SEARCH("ACTIVO",H355)))</formula>
    </cfRule>
    <cfRule type="containsText" dxfId="1652" priority="3725" operator="containsText" text="INACTIVA">
      <formula>NOT(ISERROR(SEARCH("INACTIVA",H355)))</formula>
    </cfRule>
    <cfRule type="containsText" dxfId="1651" priority="3726" operator="containsText" text="BAJA">
      <formula>NOT(ISERROR(SEARCH("BAJA",H355)))</formula>
    </cfRule>
    <cfRule type="containsText" dxfId="1650" priority="3727" operator="containsText" text="ACTIVA">
      <formula>NOT(ISERROR(SEARCH("ACTIVA",H355)))</formula>
    </cfRule>
    <cfRule type="containsText" dxfId="1649" priority="3728" operator="containsText" text="ACTIVO">
      <formula>NOT(ISERROR(SEARCH("ACTIVO",H355)))</formula>
    </cfRule>
  </conditionalFormatting>
  <conditionalFormatting sqref="H362">
    <cfRule type="containsText" dxfId="1648" priority="1268" operator="containsText" text="ACTIVO">
      <formula>NOT(ISERROR(SEARCH("ACTIVO",H362)))</formula>
    </cfRule>
    <cfRule type="containsText" dxfId="1647" priority="1269" operator="containsText" text="INACTIVA">
      <formula>NOT(ISERROR(SEARCH("INACTIVA",H362)))</formula>
    </cfRule>
    <cfRule type="containsText" dxfId="1646" priority="1270" operator="containsText" text="BAJA">
      <formula>NOT(ISERROR(SEARCH("BAJA",H362)))</formula>
    </cfRule>
    <cfRule type="containsText" dxfId="1645" priority="1271" operator="containsText" text="ACTIVO">
      <formula>NOT(ISERROR(SEARCH("ACTIVO",H362)))</formula>
    </cfRule>
    <cfRule type="containsText" dxfId="1644" priority="1272" operator="containsText" text="BAJA">
      <formula>NOT(ISERROR(SEARCH("BAJA",H362)))</formula>
    </cfRule>
    <cfRule type="colorScale" priority="12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7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7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43" priority="1277" operator="containsText" text="ACTIVO">
      <formula>NOT(ISERROR(SEARCH("ACTIVO",H362)))</formula>
    </cfRule>
    <cfRule type="containsText" dxfId="1642" priority="1278" operator="containsText" text="ACTIVO">
      <formula>NOT(ISERROR(SEARCH("ACTIVO",H362)))</formula>
    </cfRule>
    <cfRule type="containsText" dxfId="1641" priority="1279" operator="containsText" text="BAJA">
      <formula>NOT(ISERROR(SEARCH("BAJA",H362)))</formula>
    </cfRule>
    <cfRule type="containsText" dxfId="1640" priority="1280" operator="containsText" text="ACTIVO">
      <formula>NOT(ISERROR(SEARCH("ACTIVO",H362)))</formula>
    </cfRule>
    <cfRule type="containsText" dxfId="1639" priority="1281" operator="containsText" text="ACTIVO">
      <formula>NOT(ISERROR(SEARCH("ACTIVO",H362)))</formula>
    </cfRule>
    <cfRule type="colorScale" priority="12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8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38" priority="1284" operator="containsText" text="BAJA">
      <formula>NOT(ISERROR(SEARCH("BAJA",H362)))</formula>
    </cfRule>
    <cfRule type="containsText" dxfId="1637" priority="1285" operator="containsText" text="ACTIVO">
      <formula>NOT(ISERROR(SEARCH("ACTIVO",H362)))</formula>
    </cfRule>
    <cfRule type="containsText" dxfId="1636" priority="1286" operator="containsText" text="ACTIVO">
      <formula>NOT(ISERROR(SEARCH("ACTIVO",H362)))</formula>
    </cfRule>
    <cfRule type="containsText" dxfId="1635" priority="1287" operator="containsText" text="ACTIVO">
      <formula>NOT(ISERROR(SEARCH("ACTIVO",H362)))</formula>
    </cfRule>
    <cfRule type="containsText" dxfId="1634" priority="1288" operator="containsText" text="ACTIVO">
      <formula>NOT(ISERROR(SEARCH("ACTIVO",H362)))</formula>
    </cfRule>
    <cfRule type="containsText" dxfId="1633" priority="1289" operator="containsText" text="BAJA">
      <formula>NOT(ISERROR(SEARCH("BAJA",H362)))</formula>
    </cfRule>
    <cfRule type="containsText" dxfId="1632" priority="1290" operator="containsText" text="INACTIVA">
      <formula>NOT(ISERROR(SEARCH("INACTIVA",H362)))</formula>
    </cfRule>
    <cfRule type="colorScale" priority="12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9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9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31" priority="1295" operator="containsText" text="ACTIVO">
      <formula>NOT(ISERROR(SEARCH("ACTIVO",H362)))</formula>
    </cfRule>
    <cfRule type="containsText" dxfId="1630" priority="1296" operator="containsText" text="BAJA">
      <formula>NOT(ISERROR(SEARCH("BAJA",H362)))</formula>
    </cfRule>
    <cfRule type="containsText" dxfId="1629" priority="1297" operator="containsText" text="ACTIVO">
      <formula>NOT(ISERROR(SEARCH("ACTIVO",H362)))</formula>
    </cfRule>
    <cfRule type="colorScale" priority="12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9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0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0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28" priority="1302" operator="containsText" text="INACTIVA">
      <formula>NOT(ISERROR(SEARCH("INACTIVA",H362)))</formula>
    </cfRule>
    <cfRule type="containsText" dxfId="1627" priority="1303" operator="containsText" text="BAJA">
      <formula>NOT(ISERROR(SEARCH("BAJA",H362)))</formula>
    </cfRule>
    <cfRule type="colorScale" priority="130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0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26" priority="1306" operator="containsText" text="INACTIVA">
      <formula>NOT(ISERROR(SEARCH("INACTIVA",H362)))</formula>
    </cfRule>
    <cfRule type="containsText" dxfId="1625" priority="1307" operator="containsText" text="ACTIVA">
      <formula>NOT(ISERROR(SEARCH("ACTIVA",H362)))</formula>
    </cfRule>
    <cfRule type="colorScale" priority="130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0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24" priority="1314" operator="containsText" text="ACTIVO">
      <formula>NOT(ISERROR(SEARCH("ACTIVO",H362)))</formula>
    </cfRule>
    <cfRule type="colorScale" priority="13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363:H365">
    <cfRule type="containsText" dxfId="1623" priority="2165" operator="containsText" text="BAJA">
      <formula>NOT(ISERROR(SEARCH("BAJA",H363)))</formula>
    </cfRule>
    <cfRule type="containsText" dxfId="1622" priority="3689" operator="containsText" text="ACTIVO">
      <formula>NOT(ISERROR(SEARCH("ACTIVO",H363)))</formula>
    </cfRule>
    <cfRule type="containsText" dxfId="1621" priority="3690" operator="containsText" text="BAJA">
      <formula>NOT(ISERROR(SEARCH("BAJA",H363)))</formula>
    </cfRule>
    <cfRule type="containsText" dxfId="1620" priority="3691" operator="containsText" text="ACTIVO">
      <formula>NOT(ISERROR(SEARCH("ACTIVO",H363)))</formula>
    </cfRule>
    <cfRule type="containsText" dxfId="1619" priority="3692" operator="containsText" text="ACTIVO">
      <formula>NOT(ISERROR(SEARCH("ACTIVO",H363)))</formula>
    </cfRule>
    <cfRule type="containsText" dxfId="1618" priority="3693" operator="containsText" text="BAJA">
      <formula>NOT(ISERROR(SEARCH("BAJA",H363)))</formula>
    </cfRule>
    <cfRule type="containsText" dxfId="1617" priority="3694" operator="containsText" text="ACTIVO">
      <formula>NOT(ISERROR(SEARCH("ACTIVO",H363)))</formula>
    </cfRule>
    <cfRule type="containsText" dxfId="1616" priority="3695" operator="containsText" text="ACTIVO">
      <formula>NOT(ISERROR(SEARCH("ACTIVO",H363)))</formula>
    </cfRule>
    <cfRule type="containsText" dxfId="1615" priority="3696" operator="containsText" text="ACTIVO">
      <formula>NOT(ISERROR(SEARCH("ACTIVO",H363)))</formula>
    </cfRule>
    <cfRule type="containsText" dxfId="1614" priority="3697" operator="containsText" text="ACTIVO">
      <formula>NOT(ISERROR(SEARCH("ACTIVO",H363)))</formula>
    </cfRule>
    <cfRule type="containsText" dxfId="1613" priority="3698" operator="containsText" text="BAJA">
      <formula>NOT(ISERROR(SEARCH("BAJA",H363)))</formula>
    </cfRule>
    <cfRule type="containsText" dxfId="1612" priority="3699" operator="containsText" text="INACTIVA">
      <formula>NOT(ISERROR(SEARCH("INACTIVA",H363)))</formula>
    </cfRule>
    <cfRule type="containsText" dxfId="1611" priority="3700" operator="containsText" text="ACTIVO">
      <formula>NOT(ISERROR(SEARCH("ACTIVO",H363)))</formula>
    </cfRule>
    <cfRule type="containsText" dxfId="1610" priority="3701" operator="containsText" text="BAJA">
      <formula>NOT(ISERROR(SEARCH("BAJA",H363)))</formula>
    </cfRule>
    <cfRule type="containsText" dxfId="1609" priority="3702" operator="containsText" text="ACTIVO">
      <formula>NOT(ISERROR(SEARCH("ACTIVO",H363)))</formula>
    </cfRule>
    <cfRule type="containsText" dxfId="1608" priority="3703" operator="containsText" text="INACTIVA">
      <formula>NOT(ISERROR(SEARCH("INACTIVA",H363)))</formula>
    </cfRule>
    <cfRule type="containsText" dxfId="1607" priority="3704" operator="containsText" text="BAJA">
      <formula>NOT(ISERROR(SEARCH("BAJA",H363)))</formula>
    </cfRule>
    <cfRule type="containsText" dxfId="1606" priority="3705" operator="containsText" text="ACTIVA">
      <formula>NOT(ISERROR(SEARCH("ACTIVA",H363)))</formula>
    </cfRule>
    <cfRule type="containsText" dxfId="1605" priority="3706" operator="containsText" text="ACTIVO">
      <formula>NOT(ISERROR(SEARCH("ACTIVO",H363)))</formula>
    </cfRule>
    <cfRule type="containsText" dxfId="1604" priority="3707" operator="containsText" text="ACTIVO">
      <formula>NOT(ISERROR(SEARCH("ACTIVO",H363)))</formula>
    </cfRule>
    <cfRule type="containsText" dxfId="1603" priority="3708" operator="containsText" text="INACTIVA">
      <formula>NOT(ISERROR(SEARCH("INACTIVA",H363)))</formula>
    </cfRule>
  </conditionalFormatting>
  <conditionalFormatting sqref="H366">
    <cfRule type="containsText" dxfId="1602" priority="500" operator="containsText" text="BAJA">
      <formula>NOT(ISERROR(SEARCH("BAJA",H366)))</formula>
    </cfRule>
    <cfRule type="containsText" dxfId="1601" priority="501" operator="containsText" text="ACTIVO">
      <formula>NOT(ISERROR(SEARCH("ACTIVO",H366)))</formula>
    </cfRule>
    <cfRule type="containsText" dxfId="1600" priority="502" operator="containsText" text="ACTIVO">
      <formula>NOT(ISERROR(SEARCH("ACTIVO",H366)))</formula>
    </cfRule>
    <cfRule type="containsText" dxfId="1599" priority="503" operator="containsText" text="BAJA">
      <formula>NOT(ISERROR(SEARCH("BAJA",H366)))</formula>
    </cfRule>
    <cfRule type="containsText" dxfId="1598" priority="504" operator="containsText" text="ACTIVO">
      <formula>NOT(ISERROR(SEARCH("ACTIVO",H366)))</formula>
    </cfRule>
    <cfRule type="containsText" dxfId="1597" priority="505" operator="containsText" text="ACTIVO">
      <formula>NOT(ISERROR(SEARCH("ACTIVO",H366)))</formula>
    </cfRule>
    <cfRule type="containsText" dxfId="1596" priority="506" operator="containsText" text="BAJA">
      <formula>NOT(ISERROR(SEARCH("BAJA",H366)))</formula>
    </cfRule>
    <cfRule type="containsText" dxfId="1595" priority="507" operator="containsText" text="ACTIVO">
      <formula>NOT(ISERROR(SEARCH("ACTIVO",H366)))</formula>
    </cfRule>
    <cfRule type="containsText" dxfId="1594" priority="508" operator="containsText" text="ACTIVO">
      <formula>NOT(ISERROR(SEARCH("ACTIVO",H366)))</formula>
    </cfRule>
    <cfRule type="containsText" dxfId="1593" priority="509" operator="containsText" text="ACTIVO">
      <formula>NOT(ISERROR(SEARCH("ACTIVO",H366)))</formula>
    </cfRule>
    <cfRule type="containsText" dxfId="1592" priority="510" operator="containsText" text="ACTIVO">
      <formula>NOT(ISERROR(SEARCH("ACTIVO",H366)))</formula>
    </cfRule>
    <cfRule type="containsText" dxfId="1591" priority="511" operator="containsText" text="BAJA">
      <formula>NOT(ISERROR(SEARCH("BAJA",H366)))</formula>
    </cfRule>
    <cfRule type="containsText" dxfId="1590" priority="512" operator="containsText" text="INACTIVA">
      <formula>NOT(ISERROR(SEARCH("INACTIVA",H366)))</formula>
    </cfRule>
    <cfRule type="containsText" dxfId="1589" priority="513" operator="containsText" text="ACTIVO">
      <formula>NOT(ISERROR(SEARCH("ACTIVO",H366)))</formula>
    </cfRule>
    <cfRule type="containsText" dxfId="1588" priority="514" operator="containsText" text="BAJA">
      <formula>NOT(ISERROR(SEARCH("BAJA",H366)))</formula>
    </cfRule>
    <cfRule type="containsText" dxfId="1587" priority="515" operator="containsText" text="ACTIVO">
      <formula>NOT(ISERROR(SEARCH("ACTIVO",H366)))</formula>
    </cfRule>
    <cfRule type="containsText" dxfId="1586" priority="516" operator="containsText" text="INACTIVA">
      <formula>NOT(ISERROR(SEARCH("INACTIVA",H366)))</formula>
    </cfRule>
    <cfRule type="containsText" dxfId="1585" priority="517" operator="containsText" text="BAJA">
      <formula>NOT(ISERROR(SEARCH("BAJA",H366)))</formula>
    </cfRule>
    <cfRule type="containsText" dxfId="1584" priority="518" operator="containsText" text="ACTIVO">
      <formula>NOT(ISERROR(SEARCH("ACTIVO",H366)))</formula>
    </cfRule>
    <cfRule type="containsText" dxfId="1583" priority="519" operator="containsText" text="BAJA">
      <formula>NOT(ISERROR(SEARCH("BAJA",H366)))</formula>
    </cfRule>
    <cfRule type="containsText" dxfId="1582" priority="520" operator="containsText" text="ACTIVA">
      <formula>NOT(ISERROR(SEARCH("ACTIVA",H366)))</formula>
    </cfRule>
    <cfRule type="containsText" dxfId="1581" priority="521" operator="containsText" text="INACTIVA">
      <formula>NOT(ISERROR(SEARCH("INACTIVA",H366)))</formula>
    </cfRule>
    <cfRule type="containsText" dxfId="1580" priority="522" operator="containsText" text="ACTIVO">
      <formula>NOT(ISERROR(SEARCH("ACTIVO",H366)))</formula>
    </cfRule>
    <cfRule type="containsText" dxfId="1579" priority="523" operator="containsText" text="ACTIVO">
      <formula>NOT(ISERROR(SEARCH("ACTIVO",H366)))</formula>
    </cfRule>
    <cfRule type="containsText" dxfId="1578" priority="524" operator="containsText" text="INACTIVA">
      <formula>NOT(ISERROR(SEARCH("INACTIVA",H366)))</formula>
    </cfRule>
  </conditionalFormatting>
  <conditionalFormatting sqref="H367:H372">
    <cfRule type="containsText" dxfId="1577" priority="3667" operator="containsText" text="BAJA">
      <formula>NOT(ISERROR(SEARCH("BAJA",H367)))</formula>
    </cfRule>
    <cfRule type="containsText" dxfId="1576" priority="3668" operator="containsText" text="ACTIVO">
      <formula>NOT(ISERROR(SEARCH("ACTIVO",H367)))</formula>
    </cfRule>
    <cfRule type="containsText" dxfId="1575" priority="3669" operator="containsText" text="ACTIVO">
      <formula>NOT(ISERROR(SEARCH("ACTIVO",H367)))</formula>
    </cfRule>
    <cfRule type="containsText" dxfId="1574" priority="3670" operator="containsText" text="BAJA">
      <formula>NOT(ISERROR(SEARCH("BAJA",H367)))</formula>
    </cfRule>
    <cfRule type="containsText" dxfId="1573" priority="3671" operator="containsText" text="ACTIVO">
      <formula>NOT(ISERROR(SEARCH("ACTIVO",H367)))</formula>
    </cfRule>
    <cfRule type="containsText" dxfId="1572" priority="3672" operator="containsText" text="ACTIVO">
      <formula>NOT(ISERROR(SEARCH("ACTIVO",H367)))</formula>
    </cfRule>
    <cfRule type="containsText" dxfId="1571" priority="3673" operator="containsText" text="BAJA">
      <formula>NOT(ISERROR(SEARCH("BAJA",H367)))</formula>
    </cfRule>
    <cfRule type="containsText" dxfId="1570" priority="3674" operator="containsText" text="ACTIVO">
      <formula>NOT(ISERROR(SEARCH("ACTIVO",H367)))</formula>
    </cfRule>
    <cfRule type="containsText" dxfId="1569" priority="3675" operator="containsText" text="ACTIVO">
      <formula>NOT(ISERROR(SEARCH("ACTIVO",H367)))</formula>
    </cfRule>
    <cfRule type="containsText" dxfId="1568" priority="3676" operator="containsText" text="ACTIVO">
      <formula>NOT(ISERROR(SEARCH("ACTIVO",H367)))</formula>
    </cfRule>
    <cfRule type="containsText" dxfId="1567" priority="3677" operator="containsText" text="ACTIVO">
      <formula>NOT(ISERROR(SEARCH("ACTIVO",H367)))</formula>
    </cfRule>
    <cfRule type="containsText" dxfId="1566" priority="3678" operator="containsText" text="BAJA">
      <formula>NOT(ISERROR(SEARCH("BAJA",H367)))</formula>
    </cfRule>
    <cfRule type="containsText" dxfId="1565" priority="3679" operator="containsText" text="INACTIVA">
      <formula>NOT(ISERROR(SEARCH("INACTIVA",H367)))</formula>
    </cfRule>
    <cfRule type="containsText" dxfId="1564" priority="3680" operator="containsText" text="ACTIVO">
      <formula>NOT(ISERROR(SEARCH("ACTIVO",H367)))</formula>
    </cfRule>
    <cfRule type="containsText" dxfId="1563" priority="3681" operator="containsText" text="BAJA">
      <formula>NOT(ISERROR(SEARCH("BAJA",H367)))</formula>
    </cfRule>
    <cfRule type="containsText" dxfId="1562" priority="3682" operator="containsText" text="ACTIVO">
      <formula>NOT(ISERROR(SEARCH("ACTIVO",H367)))</formula>
    </cfRule>
    <cfRule type="containsText" dxfId="1561" priority="3683" operator="containsText" text="INACTIVA">
      <formula>NOT(ISERROR(SEARCH("INACTIVA",H367)))</formula>
    </cfRule>
    <cfRule type="containsText" dxfId="1560" priority="3684" operator="containsText" text="BAJA">
      <formula>NOT(ISERROR(SEARCH("BAJA",H367)))</formula>
    </cfRule>
    <cfRule type="containsText" dxfId="1559" priority="3685" operator="containsText" text="ACTIVA">
      <formula>NOT(ISERROR(SEARCH("ACTIVA",H367)))</formula>
    </cfRule>
    <cfRule type="containsText" dxfId="1558" priority="3686" operator="containsText" text="ACTIVO">
      <formula>NOT(ISERROR(SEARCH("ACTIVO",H367)))</formula>
    </cfRule>
    <cfRule type="containsText" dxfId="1557" priority="3687" operator="containsText" text="ACTIVO">
      <formula>NOT(ISERROR(SEARCH("ACTIVO",H367)))</formula>
    </cfRule>
    <cfRule type="containsText" dxfId="1556" priority="3688" operator="containsText" text="INACTIVA">
      <formula>NOT(ISERROR(SEARCH("INACTIVA",H367)))</formula>
    </cfRule>
  </conditionalFormatting>
  <conditionalFormatting sqref="H367:H380">
    <cfRule type="containsText" dxfId="1555" priority="1644" operator="containsText" text="ACTIVO">
      <formula>NOT(ISERROR(SEARCH("ACTIVO",H367)))</formula>
    </cfRule>
    <cfRule type="containsText" dxfId="1554" priority="1647" operator="containsText" text="INACTIVA">
      <formula>NOT(ISERROR(SEARCH("INACTIVA",H367)))</formula>
    </cfRule>
  </conditionalFormatting>
  <conditionalFormatting sqref="H373:H374">
    <cfRule type="containsText" dxfId="1553" priority="1626" operator="containsText" text="BAJA">
      <formula>NOT(ISERROR(SEARCH("BAJA",H373)))</formula>
    </cfRule>
    <cfRule type="containsText" dxfId="1552" priority="1627" operator="containsText" text="ACTIVO">
      <formula>NOT(ISERROR(SEARCH("ACTIVO",H373)))</formula>
    </cfRule>
    <cfRule type="containsText" dxfId="1551" priority="1628" operator="containsText" text="ACTIVO">
      <formula>NOT(ISERROR(SEARCH("ACTIVO",H373)))</formula>
    </cfRule>
    <cfRule type="containsText" dxfId="1550" priority="1629" operator="containsText" text="BAJA">
      <formula>NOT(ISERROR(SEARCH("BAJA",H373)))</formula>
    </cfRule>
    <cfRule type="containsText" dxfId="1549" priority="1630" operator="containsText" text="ACTIVO">
      <formula>NOT(ISERROR(SEARCH("ACTIVO",H373)))</formula>
    </cfRule>
    <cfRule type="containsText" dxfId="1548" priority="1631" operator="containsText" text="ACTIVO">
      <formula>NOT(ISERROR(SEARCH("ACTIVO",H373)))</formula>
    </cfRule>
    <cfRule type="containsText" dxfId="1547" priority="1632" operator="containsText" text="BAJA">
      <formula>NOT(ISERROR(SEARCH("BAJA",H373)))</formula>
    </cfRule>
    <cfRule type="containsText" dxfId="1546" priority="1633" operator="containsText" text="ACTIVO">
      <formula>NOT(ISERROR(SEARCH("ACTIVO",H373)))</formula>
    </cfRule>
    <cfRule type="containsText" dxfId="1545" priority="1634" operator="containsText" text="ACTIVO">
      <formula>NOT(ISERROR(SEARCH("ACTIVO",H373)))</formula>
    </cfRule>
    <cfRule type="containsText" dxfId="1544" priority="1635" operator="containsText" text="ACTIVO">
      <formula>NOT(ISERROR(SEARCH("ACTIVO",H373)))</formula>
    </cfRule>
    <cfRule type="containsText" dxfId="1543" priority="1636" operator="containsText" text="ACTIVO">
      <formula>NOT(ISERROR(SEARCH("ACTIVO",H373)))</formula>
    </cfRule>
    <cfRule type="containsText" dxfId="1542" priority="1637" operator="containsText" text="BAJA">
      <formula>NOT(ISERROR(SEARCH("BAJA",H373)))</formula>
    </cfRule>
    <cfRule type="containsText" dxfId="1541" priority="1638" operator="containsText" text="INACTIVA">
      <formula>NOT(ISERROR(SEARCH("INACTIVA",H373)))</formula>
    </cfRule>
    <cfRule type="containsText" dxfId="1540" priority="1639" operator="containsText" text="ACTIVO">
      <formula>NOT(ISERROR(SEARCH("ACTIVO",H373)))</formula>
    </cfRule>
    <cfRule type="containsText" dxfId="1539" priority="1640" operator="containsText" text="BAJA">
      <formula>NOT(ISERROR(SEARCH("BAJA",H373)))</formula>
    </cfRule>
    <cfRule type="containsText" dxfId="1538" priority="1641" operator="containsText" text="ACTIVO">
      <formula>NOT(ISERROR(SEARCH("ACTIVO",H373)))</formula>
    </cfRule>
    <cfRule type="containsText" dxfId="1537" priority="1642" operator="containsText" text="INACTIVA">
      <formula>NOT(ISERROR(SEARCH("INACTIVA",H373)))</formula>
    </cfRule>
    <cfRule type="containsText" dxfId="1536" priority="1643" operator="containsText" text="BAJA">
      <formula>NOT(ISERROR(SEARCH("BAJA",H373)))</formula>
    </cfRule>
    <cfRule type="containsText" dxfId="1535" priority="1645" operator="containsText" text="BAJA">
      <formula>NOT(ISERROR(SEARCH("BAJA",H373)))</formula>
    </cfRule>
    <cfRule type="containsText" dxfId="1534" priority="1646" operator="containsText" text="ACTIVA">
      <formula>NOT(ISERROR(SEARCH("ACTIVA",H373)))</formula>
    </cfRule>
    <cfRule type="containsText" dxfId="1533" priority="1648" operator="containsText" text="ACTIVO">
      <formula>NOT(ISERROR(SEARCH("ACTIVO",H373)))</formula>
    </cfRule>
  </conditionalFormatting>
  <conditionalFormatting sqref="H373:H381">
    <cfRule type="containsText" dxfId="1532" priority="3642" operator="containsText" text="ACTIVO">
      <formula>NOT(ISERROR(SEARCH("ACTIVO",H373)))</formula>
    </cfRule>
    <cfRule type="containsText" dxfId="1531" priority="3643" operator="containsText" text="INACTIVA">
      <formula>NOT(ISERROR(SEARCH("INACTIVA",H373)))</formula>
    </cfRule>
  </conditionalFormatting>
  <conditionalFormatting sqref="H375:H380">
    <cfRule type="containsText" dxfId="1530" priority="3622" operator="containsText" text="BAJA">
      <formula>NOT(ISERROR(SEARCH("BAJA",H375)))</formula>
    </cfRule>
    <cfRule type="containsText" dxfId="1529" priority="3623" operator="containsText" text="ACTIVO">
      <formula>NOT(ISERROR(SEARCH("ACTIVO",H375)))</formula>
    </cfRule>
    <cfRule type="containsText" dxfId="1528" priority="3624" operator="containsText" text="ACTIVO">
      <formula>NOT(ISERROR(SEARCH("ACTIVO",H375)))</formula>
    </cfRule>
    <cfRule type="containsText" dxfId="1527" priority="3625" operator="containsText" text="BAJA">
      <formula>NOT(ISERROR(SEARCH("BAJA",H375)))</formula>
    </cfRule>
    <cfRule type="containsText" dxfId="1526" priority="3626" operator="containsText" text="ACTIVO">
      <formula>NOT(ISERROR(SEARCH("ACTIVO",H375)))</formula>
    </cfRule>
    <cfRule type="containsText" dxfId="1525" priority="3627" operator="containsText" text="ACTIVO">
      <formula>NOT(ISERROR(SEARCH("ACTIVO",H375)))</formula>
    </cfRule>
    <cfRule type="containsText" dxfId="1524" priority="3628" operator="containsText" text="BAJA">
      <formula>NOT(ISERROR(SEARCH("BAJA",H375)))</formula>
    </cfRule>
    <cfRule type="containsText" dxfId="1523" priority="3629" operator="containsText" text="ACTIVO">
      <formula>NOT(ISERROR(SEARCH("ACTIVO",H375)))</formula>
    </cfRule>
    <cfRule type="containsText" dxfId="1522" priority="3630" operator="containsText" text="ACTIVO">
      <formula>NOT(ISERROR(SEARCH("ACTIVO",H375)))</formula>
    </cfRule>
    <cfRule type="containsText" dxfId="1521" priority="3631" operator="containsText" text="ACTIVO">
      <formula>NOT(ISERROR(SEARCH("ACTIVO",H375)))</formula>
    </cfRule>
    <cfRule type="containsText" dxfId="1520" priority="3632" operator="containsText" text="ACTIVO">
      <formula>NOT(ISERROR(SEARCH("ACTIVO",H375)))</formula>
    </cfRule>
    <cfRule type="containsText" dxfId="1519" priority="3633" operator="containsText" text="BAJA">
      <formula>NOT(ISERROR(SEARCH("BAJA",H375)))</formula>
    </cfRule>
    <cfRule type="containsText" dxfId="1518" priority="3634" operator="containsText" text="INACTIVA">
      <formula>NOT(ISERROR(SEARCH("INACTIVA",H375)))</formula>
    </cfRule>
    <cfRule type="containsText" dxfId="1517" priority="3635" operator="containsText" text="ACTIVO">
      <formula>NOT(ISERROR(SEARCH("ACTIVO",H375)))</formula>
    </cfRule>
    <cfRule type="containsText" dxfId="1516" priority="3636" operator="containsText" text="BAJA">
      <formula>NOT(ISERROR(SEARCH("BAJA",H375)))</formula>
    </cfRule>
    <cfRule type="containsText" dxfId="1515" priority="3637" operator="containsText" text="ACTIVO">
      <formula>NOT(ISERROR(SEARCH("ACTIVO",H375)))</formula>
    </cfRule>
    <cfRule type="containsText" dxfId="1514" priority="3638" operator="containsText" text="INACTIVA">
      <formula>NOT(ISERROR(SEARCH("INACTIVA",H375)))</formula>
    </cfRule>
    <cfRule type="containsText" dxfId="1513" priority="3639" operator="containsText" text="BAJA">
      <formula>NOT(ISERROR(SEARCH("BAJA",H375)))</formula>
    </cfRule>
    <cfRule type="containsText" dxfId="1512" priority="3640" operator="containsText" text="ACTIVA">
      <formula>NOT(ISERROR(SEARCH("ACTIVA",H375)))</formula>
    </cfRule>
    <cfRule type="containsText" dxfId="1511" priority="3641" operator="containsText" text="ACTIVO">
      <formula>NOT(ISERROR(SEARCH("ACTIVO",H375)))</formula>
    </cfRule>
  </conditionalFormatting>
  <conditionalFormatting sqref="H381 H363:H365">
    <cfRule type="containsText" dxfId="1510" priority="3662" operator="containsText" text="ACTIVO">
      <formula>NOT(ISERROR(SEARCH("ACTIVO",H363)))</formula>
    </cfRule>
  </conditionalFormatting>
  <conditionalFormatting sqref="H381">
    <cfRule type="containsText" dxfId="1509" priority="3644" operator="containsText" text="BAJA">
      <formula>NOT(ISERROR(SEARCH("BAJA",H381)))</formula>
    </cfRule>
    <cfRule type="containsText" dxfId="1508" priority="3645" operator="containsText" text="ACTIVO">
      <formula>NOT(ISERROR(SEARCH("ACTIVO",H381)))</formula>
    </cfRule>
    <cfRule type="containsText" dxfId="1507" priority="3646" operator="containsText" text="ACTIVO">
      <formula>NOT(ISERROR(SEARCH("ACTIVO",H381)))</formula>
    </cfRule>
    <cfRule type="containsText" dxfId="1506" priority="3647" operator="containsText" text="BAJA">
      <formula>NOT(ISERROR(SEARCH("BAJA",H381)))</formula>
    </cfRule>
    <cfRule type="containsText" dxfId="1505" priority="3648" operator="containsText" text="ACTIVO">
      <formula>NOT(ISERROR(SEARCH("ACTIVO",H381)))</formula>
    </cfRule>
    <cfRule type="containsText" dxfId="1504" priority="3649" operator="containsText" text="ACTIVO">
      <formula>NOT(ISERROR(SEARCH("ACTIVO",H381)))</formula>
    </cfRule>
    <cfRule type="containsText" dxfId="1503" priority="3650" operator="containsText" text="BAJA">
      <formula>NOT(ISERROR(SEARCH("BAJA",H381)))</formula>
    </cfRule>
    <cfRule type="containsText" dxfId="1502" priority="3651" operator="containsText" text="ACTIVO">
      <formula>NOT(ISERROR(SEARCH("ACTIVO",H381)))</formula>
    </cfRule>
    <cfRule type="containsText" dxfId="1501" priority="3652" operator="containsText" text="ACTIVO">
      <formula>NOT(ISERROR(SEARCH("ACTIVO",H381)))</formula>
    </cfRule>
    <cfRule type="containsText" dxfId="1500" priority="3653" operator="containsText" text="ACTIVO">
      <formula>NOT(ISERROR(SEARCH("ACTIVO",H381)))</formula>
    </cfRule>
    <cfRule type="containsText" dxfId="1499" priority="3654" operator="containsText" text="ACTIVO">
      <formula>NOT(ISERROR(SEARCH("ACTIVO",H381)))</formula>
    </cfRule>
    <cfRule type="containsText" dxfId="1498" priority="3655" operator="containsText" text="BAJA">
      <formula>NOT(ISERROR(SEARCH("BAJA",H381)))</formula>
    </cfRule>
    <cfRule type="containsText" dxfId="1497" priority="3656" operator="containsText" text="INACTIVA">
      <formula>NOT(ISERROR(SEARCH("INACTIVA",H381)))</formula>
    </cfRule>
    <cfRule type="containsText" dxfId="1496" priority="3657" operator="containsText" text="ACTIVO">
      <formula>NOT(ISERROR(SEARCH("ACTIVO",H381)))</formula>
    </cfRule>
    <cfRule type="containsText" dxfId="1495" priority="3658" operator="containsText" text="BAJA">
      <formula>NOT(ISERROR(SEARCH("BAJA",H381)))</formula>
    </cfRule>
    <cfRule type="containsText" dxfId="1494" priority="3659" operator="containsText" text="ACTIVO">
      <formula>NOT(ISERROR(SEARCH("ACTIVO",H381)))</formula>
    </cfRule>
    <cfRule type="containsText" dxfId="1493" priority="3660" operator="containsText" text="INACTIVA">
      <formula>NOT(ISERROR(SEARCH("INACTIVA",H381)))</formula>
    </cfRule>
    <cfRule type="containsText" dxfId="1492" priority="3661" operator="containsText" text="BAJA">
      <formula>NOT(ISERROR(SEARCH("BAJA",H381)))</formula>
    </cfRule>
    <cfRule type="containsText" dxfId="1491" priority="3663" operator="containsText" text="BAJA">
      <formula>NOT(ISERROR(SEARCH("BAJA",H381)))</formula>
    </cfRule>
    <cfRule type="containsText" dxfId="1490" priority="3664" operator="containsText" text="ACTIVA">
      <formula>NOT(ISERROR(SEARCH("ACTIVA",H381)))</formula>
    </cfRule>
    <cfRule type="containsText" dxfId="1489" priority="3665" operator="containsText" text="INACTIVA">
      <formula>NOT(ISERROR(SEARCH("INACTIVA",H381)))</formula>
    </cfRule>
    <cfRule type="containsText" dxfId="1488" priority="3666" operator="containsText" text="ACTIVO">
      <formula>NOT(ISERROR(SEARCH("ACTIVO",H381)))</formula>
    </cfRule>
  </conditionalFormatting>
  <conditionalFormatting sqref="H382:H383">
    <cfRule type="containsText" dxfId="1487" priority="3600" operator="containsText" text="BAJA">
      <formula>NOT(ISERROR(SEARCH("BAJA",H382)))</formula>
    </cfRule>
    <cfRule type="containsText" dxfId="1486" priority="3601" operator="containsText" text="ACTIVO">
      <formula>NOT(ISERROR(SEARCH("ACTIVO",H382)))</formula>
    </cfRule>
    <cfRule type="containsText" dxfId="1485" priority="3602" operator="containsText" text="ACTIVO">
      <formula>NOT(ISERROR(SEARCH("ACTIVO",H382)))</formula>
    </cfRule>
    <cfRule type="containsText" dxfId="1484" priority="3603" operator="containsText" text="BAJA">
      <formula>NOT(ISERROR(SEARCH("BAJA",H382)))</formula>
    </cfRule>
    <cfRule type="containsText" dxfId="1483" priority="3604" operator="containsText" text="ACTIVO">
      <formula>NOT(ISERROR(SEARCH("ACTIVO",H382)))</formula>
    </cfRule>
    <cfRule type="containsText" dxfId="1482" priority="3605" operator="containsText" text="ACTIVO">
      <formula>NOT(ISERROR(SEARCH("ACTIVO",H382)))</formula>
    </cfRule>
    <cfRule type="containsText" dxfId="1481" priority="3606" operator="containsText" text="BAJA">
      <formula>NOT(ISERROR(SEARCH("BAJA",H382)))</formula>
    </cfRule>
    <cfRule type="containsText" dxfId="1480" priority="3607" operator="containsText" text="ACTIVO">
      <formula>NOT(ISERROR(SEARCH("ACTIVO",H382)))</formula>
    </cfRule>
    <cfRule type="containsText" dxfId="1479" priority="3608" operator="containsText" text="ACTIVO">
      <formula>NOT(ISERROR(SEARCH("ACTIVO",H382)))</formula>
    </cfRule>
    <cfRule type="containsText" dxfId="1478" priority="3609" operator="containsText" text="ACTIVO">
      <formula>NOT(ISERROR(SEARCH("ACTIVO",H382)))</formula>
    </cfRule>
    <cfRule type="containsText" dxfId="1477" priority="3610" operator="containsText" text="ACTIVO">
      <formula>NOT(ISERROR(SEARCH("ACTIVO",H382)))</formula>
    </cfRule>
    <cfRule type="containsText" dxfId="1476" priority="3611" operator="containsText" text="BAJA">
      <formula>NOT(ISERROR(SEARCH("BAJA",H382)))</formula>
    </cfRule>
    <cfRule type="containsText" dxfId="1475" priority="3612" operator="containsText" text="INACTIVA">
      <formula>NOT(ISERROR(SEARCH("INACTIVA",H382)))</formula>
    </cfRule>
    <cfRule type="containsText" dxfId="1474" priority="3613" operator="containsText" text="ACTIVO">
      <formula>NOT(ISERROR(SEARCH("ACTIVO",H382)))</formula>
    </cfRule>
    <cfRule type="containsText" dxfId="1473" priority="3614" operator="containsText" text="BAJA">
      <formula>NOT(ISERROR(SEARCH("BAJA",H382)))</formula>
    </cfRule>
    <cfRule type="containsText" dxfId="1472" priority="3615" operator="containsText" text="ACTIVO">
      <formula>NOT(ISERROR(SEARCH("ACTIVO",H382)))</formula>
    </cfRule>
    <cfRule type="containsText" dxfId="1471" priority="3616" operator="containsText" text="INACTIVA">
      <formula>NOT(ISERROR(SEARCH("INACTIVA",H382)))</formula>
    </cfRule>
    <cfRule type="containsText" dxfId="1470" priority="3617" operator="containsText" text="BAJA">
      <formula>NOT(ISERROR(SEARCH("BAJA",H382)))</formula>
    </cfRule>
    <cfRule type="containsText" dxfId="1469" priority="3618" operator="containsText" text="ACTIVA">
      <formula>NOT(ISERROR(SEARCH("ACTIVA",H382)))</formula>
    </cfRule>
    <cfRule type="containsText" dxfId="1468" priority="3619" operator="containsText" text="ACTIVO">
      <formula>NOT(ISERROR(SEARCH("ACTIVO",H382)))</formula>
    </cfRule>
    <cfRule type="containsText" dxfId="1467" priority="3620" operator="containsText" text="ACTIVO">
      <formula>NOT(ISERROR(SEARCH("ACTIVO",H382)))</formula>
    </cfRule>
    <cfRule type="containsText" dxfId="1466" priority="3621" operator="containsText" text="INACTIVA">
      <formula>NOT(ISERROR(SEARCH("INACTIVA",H382)))</formula>
    </cfRule>
  </conditionalFormatting>
  <conditionalFormatting sqref="H382:H386">
    <cfRule type="containsText" dxfId="1465" priority="1841" operator="containsText" text="ACTIVO">
      <formula>NOT(ISERROR(SEARCH("ACTIVO",H382)))</formula>
    </cfRule>
    <cfRule type="containsText" dxfId="1464" priority="1844" operator="containsText" text="INACTIVA">
      <formula>NOT(ISERROR(SEARCH("INACTIVA",H382)))</formula>
    </cfRule>
  </conditionalFormatting>
  <conditionalFormatting sqref="H384">
    <cfRule type="containsText" dxfId="1463" priority="1821" operator="containsText" text="ACTIVO">
      <formula>NOT(ISERROR(SEARCH("ACTIVO",H384)))</formula>
    </cfRule>
    <cfRule type="containsText" dxfId="1462" priority="1822" operator="containsText" text="INACTIVA">
      <formula>NOT(ISERROR(SEARCH("INACTIVA",H384)))</formula>
    </cfRule>
    <cfRule type="containsText" dxfId="1461" priority="1823" operator="containsText" text="BAJA">
      <formula>NOT(ISERROR(SEARCH("BAJA",H384)))</formula>
    </cfRule>
    <cfRule type="containsText" dxfId="1460" priority="1824" operator="containsText" text="ACTIVO">
      <formula>NOT(ISERROR(SEARCH("ACTIVO",H384)))</formula>
    </cfRule>
    <cfRule type="containsText" dxfId="1459" priority="1825" operator="containsText" text="ACTIVO">
      <formula>NOT(ISERROR(SEARCH("ACTIVO",H384)))</formula>
    </cfRule>
    <cfRule type="containsText" dxfId="1458" priority="1826" operator="containsText" text="BAJA">
      <formula>NOT(ISERROR(SEARCH("BAJA",H384)))</formula>
    </cfRule>
    <cfRule type="containsText" dxfId="1457" priority="1827" operator="containsText" text="ACTIVO">
      <formula>NOT(ISERROR(SEARCH("ACTIVO",H384)))</formula>
    </cfRule>
    <cfRule type="containsText" dxfId="1456" priority="1828" operator="containsText" text="ACTIVO">
      <formula>NOT(ISERROR(SEARCH("ACTIVO",H384)))</formula>
    </cfRule>
    <cfRule type="containsText" dxfId="1455" priority="1829" operator="containsText" text="BAJA">
      <formula>NOT(ISERROR(SEARCH("BAJA",H384)))</formula>
    </cfRule>
    <cfRule type="containsText" dxfId="1454" priority="1830" operator="containsText" text="ACTIVO">
      <formula>NOT(ISERROR(SEARCH("ACTIVO",H384)))</formula>
    </cfRule>
    <cfRule type="containsText" dxfId="1453" priority="1831" operator="containsText" text="ACTIVO">
      <formula>NOT(ISERROR(SEARCH("ACTIVO",H384)))</formula>
    </cfRule>
    <cfRule type="containsText" dxfId="1452" priority="1832" operator="containsText" text="ACTIVO">
      <formula>NOT(ISERROR(SEARCH("ACTIVO",H384)))</formula>
    </cfRule>
    <cfRule type="containsText" dxfId="1451" priority="1833" operator="containsText" text="ACTIVO">
      <formula>NOT(ISERROR(SEARCH("ACTIVO",H384)))</formula>
    </cfRule>
    <cfRule type="containsText" dxfId="1450" priority="1834" operator="containsText" text="BAJA">
      <formula>NOT(ISERROR(SEARCH("BAJA",H384)))</formula>
    </cfRule>
    <cfRule type="containsText" dxfId="1449" priority="1835" operator="containsText" text="INACTIVA">
      <formula>NOT(ISERROR(SEARCH("INACTIVA",H384)))</formula>
    </cfRule>
    <cfRule type="containsText" dxfId="1448" priority="1836" operator="containsText" text="ACTIVO">
      <formula>NOT(ISERROR(SEARCH("ACTIVO",H384)))</formula>
    </cfRule>
    <cfRule type="containsText" dxfId="1447" priority="1837" operator="containsText" text="BAJA">
      <formula>NOT(ISERROR(SEARCH("BAJA",H384)))</formula>
    </cfRule>
    <cfRule type="containsText" dxfId="1446" priority="1838" operator="containsText" text="ACTIVO">
      <formula>NOT(ISERROR(SEARCH("ACTIVO",H384)))</formula>
    </cfRule>
    <cfRule type="containsText" dxfId="1445" priority="1839" operator="containsText" text="INACTIVA">
      <formula>NOT(ISERROR(SEARCH("INACTIVA",H384)))</formula>
    </cfRule>
    <cfRule type="containsText" dxfId="1444" priority="1840" operator="containsText" text="BAJA">
      <formula>NOT(ISERROR(SEARCH("BAJA",H384)))</formula>
    </cfRule>
    <cfRule type="containsText" dxfId="1443" priority="1842" operator="containsText" text="BAJA">
      <formula>NOT(ISERROR(SEARCH("BAJA",H384)))</formula>
    </cfRule>
    <cfRule type="containsText" dxfId="1442" priority="1843" operator="containsText" text="ACTIVA">
      <formula>NOT(ISERROR(SEARCH("ACTIVA",H384)))</formula>
    </cfRule>
    <cfRule type="containsText" dxfId="1441" priority="1845" operator="containsText" text="ACTIVO">
      <formula>NOT(ISERROR(SEARCH("ACTIVO",H384)))</formula>
    </cfRule>
  </conditionalFormatting>
  <conditionalFormatting sqref="H385:H386">
    <cfRule type="containsText" dxfId="1440" priority="3579" operator="containsText" text="ACTIVO">
      <formula>NOT(ISERROR(SEARCH("ACTIVO",H385)))</formula>
    </cfRule>
    <cfRule type="containsText" dxfId="1439" priority="3580" operator="containsText" text="BAJA">
      <formula>NOT(ISERROR(SEARCH("BAJA",H385)))</formula>
    </cfRule>
    <cfRule type="containsText" dxfId="1438" priority="3581" operator="containsText" text="ACTIVO">
      <formula>NOT(ISERROR(SEARCH("ACTIVO",H385)))</formula>
    </cfRule>
    <cfRule type="containsText" dxfId="1437" priority="3582" operator="containsText" text="ACTIVO">
      <formula>NOT(ISERROR(SEARCH("ACTIVO",H385)))</formula>
    </cfRule>
    <cfRule type="containsText" dxfId="1436" priority="3583" operator="containsText" text="BAJA">
      <formula>NOT(ISERROR(SEARCH("BAJA",H385)))</formula>
    </cfRule>
    <cfRule type="containsText" dxfId="1435" priority="3584" operator="containsText" text="ACTIVO">
      <formula>NOT(ISERROR(SEARCH("ACTIVO",H385)))</formula>
    </cfRule>
    <cfRule type="containsText" dxfId="1434" priority="3585" operator="containsText" text="ACTIVO">
      <formula>NOT(ISERROR(SEARCH("ACTIVO",H385)))</formula>
    </cfRule>
    <cfRule type="containsText" dxfId="1433" priority="3586" operator="containsText" text="ACTIVO">
      <formula>NOT(ISERROR(SEARCH("ACTIVO",H385)))</formula>
    </cfRule>
    <cfRule type="containsText" dxfId="1432" priority="3587" operator="containsText" text="ACTIVO">
      <formula>NOT(ISERROR(SEARCH("ACTIVO",H385)))</formula>
    </cfRule>
    <cfRule type="containsText" dxfId="1431" priority="3588" operator="containsText" text="BAJA">
      <formula>NOT(ISERROR(SEARCH("BAJA",H385)))</formula>
    </cfRule>
    <cfRule type="containsText" dxfId="1430" priority="3589" operator="containsText" text="INACTIVA">
      <formula>NOT(ISERROR(SEARCH("INACTIVA",H385)))</formula>
    </cfRule>
    <cfRule type="containsText" dxfId="1429" priority="3590" operator="containsText" text="ACTIVO">
      <formula>NOT(ISERROR(SEARCH("ACTIVO",H385)))</formula>
    </cfRule>
    <cfRule type="containsText" dxfId="1428" priority="3591" operator="containsText" text="BAJA">
      <formula>NOT(ISERROR(SEARCH("BAJA",H385)))</formula>
    </cfRule>
    <cfRule type="containsText" dxfId="1427" priority="3592" operator="containsText" text="ACTIVO">
      <formula>NOT(ISERROR(SEARCH("ACTIVO",H385)))</formula>
    </cfRule>
    <cfRule type="containsText" dxfId="1426" priority="3593" operator="containsText" text="INACTIVA">
      <formula>NOT(ISERROR(SEARCH("INACTIVA",H385)))</formula>
    </cfRule>
    <cfRule type="containsText" dxfId="1425" priority="3594" operator="containsText" text="BAJA">
      <formula>NOT(ISERROR(SEARCH("BAJA",H385)))</formula>
    </cfRule>
    <cfRule type="containsText" dxfId="1424" priority="3595" operator="containsText" text="ACTIVO">
      <formula>NOT(ISERROR(SEARCH("ACTIVO",H385)))</formula>
    </cfRule>
    <cfRule type="containsText" dxfId="1423" priority="3596" operator="containsText" text="BAJA">
      <formula>NOT(ISERROR(SEARCH("BAJA",H385)))</formula>
    </cfRule>
    <cfRule type="containsText" dxfId="1422" priority="3597" operator="containsText" text="ACTIVA">
      <formula>NOT(ISERROR(SEARCH("ACTIVA",H385)))</formula>
    </cfRule>
    <cfRule type="containsText" dxfId="1421" priority="3598" operator="containsText" text="INACTIVA">
      <formula>NOT(ISERROR(SEARCH("INACTIVA",H385)))</formula>
    </cfRule>
    <cfRule type="containsText" dxfId="1420" priority="3599" operator="containsText" text="ACTIVO">
      <formula>NOT(ISERROR(SEARCH("ACTIVO",H385)))</formula>
    </cfRule>
  </conditionalFormatting>
  <conditionalFormatting sqref="H385:H390">
    <cfRule type="containsText" dxfId="1419" priority="3015" operator="containsText" text="BAJA">
      <formula>NOT(ISERROR(SEARCH("BAJA",H385)))</formula>
    </cfRule>
    <cfRule type="containsText" dxfId="1418" priority="3018" operator="containsText" text="ACTIVO">
      <formula>NOT(ISERROR(SEARCH("ACTIVO",H385)))</formula>
    </cfRule>
  </conditionalFormatting>
  <conditionalFormatting sqref="H387:H390">
    <cfRule type="containsText" dxfId="1417" priority="2998" operator="containsText" text="BAJA">
      <formula>NOT(ISERROR(SEARCH("BAJA",H387)))</formula>
    </cfRule>
    <cfRule type="containsText" dxfId="1416" priority="2999" operator="containsText" text="ACTIVO">
      <formula>NOT(ISERROR(SEARCH("ACTIVO",H387)))</formula>
    </cfRule>
    <cfRule type="containsText" dxfId="1415" priority="3000" operator="containsText" text="ACTIVO">
      <formula>NOT(ISERROR(SEARCH("ACTIVO",H387)))</formula>
    </cfRule>
    <cfRule type="containsText" dxfId="1414" priority="3001" operator="containsText" text="BAJA">
      <formula>NOT(ISERROR(SEARCH("BAJA",H387)))</formula>
    </cfRule>
    <cfRule type="containsText" dxfId="1413" priority="3002" operator="containsText" text="ACTIVO">
      <formula>NOT(ISERROR(SEARCH("ACTIVO",H387)))</formula>
    </cfRule>
    <cfRule type="containsText" dxfId="1412" priority="3003" operator="containsText" text="ACTIVO">
      <formula>NOT(ISERROR(SEARCH("ACTIVO",H387)))</formula>
    </cfRule>
    <cfRule type="containsText" dxfId="1411" priority="3004" operator="containsText" text="BAJA">
      <formula>NOT(ISERROR(SEARCH("BAJA",H387)))</formula>
    </cfRule>
    <cfRule type="containsText" dxfId="1410" priority="3005" operator="containsText" text="ACTIVO">
      <formula>NOT(ISERROR(SEARCH("ACTIVO",H387)))</formula>
    </cfRule>
    <cfRule type="containsText" dxfId="1409" priority="3006" operator="containsText" text="ACTIVO">
      <formula>NOT(ISERROR(SEARCH("ACTIVO",H387)))</formula>
    </cfRule>
    <cfRule type="containsText" dxfId="1408" priority="3007" operator="containsText" text="ACTIVO">
      <formula>NOT(ISERROR(SEARCH("ACTIVO",H387)))</formula>
    </cfRule>
    <cfRule type="containsText" dxfId="1407" priority="3008" operator="containsText" text="ACTIVO">
      <formula>NOT(ISERROR(SEARCH("ACTIVO",H387)))</formula>
    </cfRule>
    <cfRule type="containsText" dxfId="1406" priority="3009" operator="containsText" text="BAJA">
      <formula>NOT(ISERROR(SEARCH("BAJA",H387)))</formula>
    </cfRule>
    <cfRule type="containsText" dxfId="1405" priority="3010" operator="containsText" text="INACTIVA">
      <formula>NOT(ISERROR(SEARCH("INACTIVA",H387)))</formula>
    </cfRule>
    <cfRule type="containsText" dxfId="1404" priority="3011" operator="containsText" text="ACTIVO">
      <formula>NOT(ISERROR(SEARCH("ACTIVO",H387)))</formula>
    </cfRule>
    <cfRule type="containsText" dxfId="1403" priority="3012" operator="containsText" text="BAJA">
      <formula>NOT(ISERROR(SEARCH("BAJA",H387)))</formula>
    </cfRule>
    <cfRule type="containsText" dxfId="1402" priority="3013" operator="containsText" text="ACTIVO">
      <formula>NOT(ISERROR(SEARCH("ACTIVO",H387)))</formula>
    </cfRule>
    <cfRule type="containsText" dxfId="1401" priority="3014" operator="containsText" text="INACTIVA">
      <formula>NOT(ISERROR(SEARCH("INACTIVA",H387)))</formula>
    </cfRule>
    <cfRule type="containsText" dxfId="1400" priority="3016" operator="containsText" text="ACTIVA">
      <formula>NOT(ISERROR(SEARCH("ACTIVA",H387)))</formula>
    </cfRule>
    <cfRule type="containsText" dxfId="1399" priority="3017" operator="containsText" text="ACTIVO">
      <formula>NOT(ISERROR(SEARCH("ACTIVO",H387)))</formula>
    </cfRule>
    <cfRule type="containsText" dxfId="1398" priority="3019" operator="containsText" text="INACTIVA">
      <formula>NOT(ISERROR(SEARCH("INACTIVA",H387)))</formula>
    </cfRule>
  </conditionalFormatting>
  <conditionalFormatting sqref="H387:H397">
    <cfRule type="containsText" dxfId="1397" priority="2996" operator="containsText" text="ACTIVO">
      <formula>NOT(ISERROR(SEARCH("ACTIVO",H387)))</formula>
    </cfRule>
    <cfRule type="containsText" dxfId="1396" priority="2997" operator="containsText" text="INACTIVA">
      <formula>NOT(ISERROR(SEARCH("INACTIVA",H387)))</formula>
    </cfRule>
  </conditionalFormatting>
  <conditionalFormatting sqref="H391">
    <cfRule type="containsText" dxfId="1395" priority="2548" operator="containsText" text="BAJA">
      <formula>NOT(ISERROR(SEARCH("BAJA",H391)))</formula>
    </cfRule>
    <cfRule type="containsText" dxfId="1394" priority="2549" operator="containsText" text="ACTIVO">
      <formula>NOT(ISERROR(SEARCH("ACTIVO",H391)))</formula>
    </cfRule>
    <cfRule type="containsText" dxfId="1393" priority="2550" operator="containsText" text="ACTIVO">
      <formula>NOT(ISERROR(SEARCH("ACTIVO",H391)))</formula>
    </cfRule>
    <cfRule type="containsText" dxfId="1392" priority="2551" operator="containsText" text="BAJA">
      <formula>NOT(ISERROR(SEARCH("BAJA",H391)))</formula>
    </cfRule>
    <cfRule type="containsText" dxfId="1391" priority="2552" operator="containsText" text="ACTIVO">
      <formula>NOT(ISERROR(SEARCH("ACTIVO",H391)))</formula>
    </cfRule>
    <cfRule type="containsText" dxfId="1390" priority="2553" operator="containsText" text="ACTIVO">
      <formula>NOT(ISERROR(SEARCH("ACTIVO",H391)))</formula>
    </cfRule>
    <cfRule type="containsText" dxfId="1389" priority="2554" operator="containsText" text="BAJA">
      <formula>NOT(ISERROR(SEARCH("BAJA",H391)))</formula>
    </cfRule>
    <cfRule type="containsText" dxfId="1388" priority="2555" operator="containsText" text="ACTIVO">
      <formula>NOT(ISERROR(SEARCH("ACTIVO",H391)))</formula>
    </cfRule>
    <cfRule type="containsText" dxfId="1387" priority="2556" operator="containsText" text="ACTIVO">
      <formula>NOT(ISERROR(SEARCH("ACTIVO",H391)))</formula>
    </cfRule>
    <cfRule type="containsText" dxfId="1386" priority="2557" operator="containsText" text="ACTIVO">
      <formula>NOT(ISERROR(SEARCH("ACTIVO",H391)))</formula>
    </cfRule>
    <cfRule type="containsText" dxfId="1385" priority="2558" operator="containsText" text="ACTIVO">
      <formula>NOT(ISERROR(SEARCH("ACTIVO",H391)))</formula>
    </cfRule>
    <cfRule type="containsText" dxfId="1384" priority="2559" operator="containsText" text="BAJA">
      <formula>NOT(ISERROR(SEARCH("BAJA",H391)))</formula>
    </cfRule>
    <cfRule type="containsText" dxfId="1383" priority="2560" operator="containsText" text="INACTIVA">
      <formula>NOT(ISERROR(SEARCH("INACTIVA",H391)))</formula>
    </cfRule>
    <cfRule type="containsText" dxfId="1382" priority="2561" operator="containsText" text="ACTIVO">
      <formula>NOT(ISERROR(SEARCH("ACTIVO",H391)))</formula>
    </cfRule>
    <cfRule type="containsText" dxfId="1381" priority="2562" operator="containsText" text="BAJA">
      <formula>NOT(ISERROR(SEARCH("BAJA",H391)))</formula>
    </cfRule>
    <cfRule type="containsText" dxfId="1380" priority="2563" operator="containsText" text="ACTIVO">
      <formula>NOT(ISERROR(SEARCH("ACTIVO",H391)))</formula>
    </cfRule>
    <cfRule type="containsText" dxfId="1379" priority="2564" operator="containsText" text="INACTIVA">
      <formula>NOT(ISERROR(SEARCH("INACTIVA",H391)))</formula>
    </cfRule>
    <cfRule type="containsText" dxfId="1378" priority="2565" operator="containsText" text="BAJA">
      <formula>NOT(ISERROR(SEARCH("BAJA",H391)))</formula>
    </cfRule>
    <cfRule type="containsText" dxfId="1377" priority="2567" operator="containsText" text="BAJA">
      <formula>NOT(ISERROR(SEARCH("BAJA",H391)))</formula>
    </cfRule>
    <cfRule type="containsText" dxfId="1376" priority="2568" operator="containsText" text="ACTIVA">
      <formula>NOT(ISERROR(SEARCH("ACTIVA",H391)))</formula>
    </cfRule>
    <cfRule type="containsText" dxfId="1375" priority="2570" operator="containsText" text="ACTIVO">
      <formula>NOT(ISERROR(SEARCH("ACTIVO",H391)))</formula>
    </cfRule>
  </conditionalFormatting>
  <conditionalFormatting sqref="H391:H397">
    <cfRule type="containsText" dxfId="1374" priority="2569" operator="containsText" text="INACTIVA">
      <formula>NOT(ISERROR(SEARCH("INACTIVA",H391)))</formula>
    </cfRule>
  </conditionalFormatting>
  <conditionalFormatting sqref="H391:H407">
    <cfRule type="containsText" dxfId="1373" priority="2566" operator="containsText" text="ACTIVO">
      <formula>NOT(ISERROR(SEARCH("ACTIVO",H391)))</formula>
    </cfRule>
  </conditionalFormatting>
  <conditionalFormatting sqref="H392:H396">
    <cfRule type="containsText" dxfId="1372" priority="2976" operator="containsText" text="BAJA">
      <formula>NOT(ISERROR(SEARCH("BAJA",H392)))</formula>
    </cfRule>
    <cfRule type="containsText" dxfId="1371" priority="2977" operator="containsText" text="ACTIVO">
      <formula>NOT(ISERROR(SEARCH("ACTIVO",H392)))</formula>
    </cfRule>
    <cfRule type="containsText" dxfId="1370" priority="2978" operator="containsText" text="ACTIVO">
      <formula>NOT(ISERROR(SEARCH("ACTIVO",H392)))</formula>
    </cfRule>
    <cfRule type="containsText" dxfId="1369" priority="2979" operator="containsText" text="BAJA">
      <formula>NOT(ISERROR(SEARCH("BAJA",H392)))</formula>
    </cfRule>
    <cfRule type="containsText" dxfId="1368" priority="2980" operator="containsText" text="ACTIVO">
      <formula>NOT(ISERROR(SEARCH("ACTIVO",H392)))</formula>
    </cfRule>
    <cfRule type="containsText" dxfId="1367" priority="2981" operator="containsText" text="ACTIVO">
      <formula>NOT(ISERROR(SEARCH("ACTIVO",H392)))</formula>
    </cfRule>
    <cfRule type="containsText" dxfId="1366" priority="2982" operator="containsText" text="BAJA">
      <formula>NOT(ISERROR(SEARCH("BAJA",H392)))</formula>
    </cfRule>
    <cfRule type="containsText" dxfId="1365" priority="2983" operator="containsText" text="ACTIVO">
      <formula>NOT(ISERROR(SEARCH("ACTIVO",H392)))</formula>
    </cfRule>
    <cfRule type="containsText" dxfId="1364" priority="2984" operator="containsText" text="ACTIVO">
      <formula>NOT(ISERROR(SEARCH("ACTIVO",H392)))</formula>
    </cfRule>
    <cfRule type="containsText" dxfId="1363" priority="2985" operator="containsText" text="ACTIVO">
      <formula>NOT(ISERROR(SEARCH("ACTIVO",H392)))</formula>
    </cfRule>
    <cfRule type="containsText" dxfId="1362" priority="2986" operator="containsText" text="ACTIVO">
      <formula>NOT(ISERROR(SEARCH("ACTIVO",H392)))</formula>
    </cfRule>
    <cfRule type="containsText" dxfId="1361" priority="2987" operator="containsText" text="BAJA">
      <formula>NOT(ISERROR(SEARCH("BAJA",H392)))</formula>
    </cfRule>
    <cfRule type="containsText" dxfId="1360" priority="2988" operator="containsText" text="INACTIVA">
      <formula>NOT(ISERROR(SEARCH("INACTIVA",H392)))</formula>
    </cfRule>
    <cfRule type="containsText" dxfId="1359" priority="2989" operator="containsText" text="ACTIVO">
      <formula>NOT(ISERROR(SEARCH("ACTIVO",H392)))</formula>
    </cfRule>
    <cfRule type="containsText" dxfId="1358" priority="2990" operator="containsText" text="BAJA">
      <formula>NOT(ISERROR(SEARCH("BAJA",H392)))</formula>
    </cfRule>
    <cfRule type="containsText" dxfId="1357" priority="2991" operator="containsText" text="ACTIVO">
      <formula>NOT(ISERROR(SEARCH("ACTIVO",H392)))</formula>
    </cfRule>
    <cfRule type="containsText" dxfId="1356" priority="2992" operator="containsText" text="INACTIVA">
      <formula>NOT(ISERROR(SEARCH("INACTIVA",H392)))</formula>
    </cfRule>
    <cfRule type="containsText" dxfId="1355" priority="2993" operator="containsText" text="BAJA">
      <formula>NOT(ISERROR(SEARCH("BAJA",H392)))</formula>
    </cfRule>
    <cfRule type="containsText" dxfId="1354" priority="2994" operator="containsText" text="ACTIVA">
      <formula>NOT(ISERROR(SEARCH("ACTIVA",H392)))</formula>
    </cfRule>
    <cfRule type="containsText" dxfId="1353" priority="2995" operator="containsText" text="ACTIVO">
      <formula>NOT(ISERROR(SEARCH("ACTIVO",H392)))</formula>
    </cfRule>
  </conditionalFormatting>
  <conditionalFormatting sqref="H397">
    <cfRule type="containsText" dxfId="1352" priority="1891" operator="containsText" text="BAJA">
      <formula>NOT(ISERROR(SEARCH("BAJA",H397)))</formula>
    </cfRule>
    <cfRule type="containsText" dxfId="1351" priority="1892" operator="containsText" text="ACTIVO">
      <formula>NOT(ISERROR(SEARCH("ACTIVO",H397)))</formula>
    </cfRule>
    <cfRule type="containsText" dxfId="1350" priority="1893" operator="containsText" text="ACTIVO">
      <formula>NOT(ISERROR(SEARCH("ACTIVO",H397)))</formula>
    </cfRule>
    <cfRule type="containsText" dxfId="1349" priority="1894" operator="containsText" text="BAJA">
      <formula>NOT(ISERROR(SEARCH("BAJA",H397)))</formula>
    </cfRule>
    <cfRule type="containsText" dxfId="1348" priority="1895" operator="containsText" text="ACTIVO">
      <formula>NOT(ISERROR(SEARCH("ACTIVO",H397)))</formula>
    </cfRule>
    <cfRule type="containsText" dxfId="1347" priority="1896" operator="containsText" text="ACTIVO">
      <formula>NOT(ISERROR(SEARCH("ACTIVO",H397)))</formula>
    </cfRule>
    <cfRule type="containsText" dxfId="1346" priority="1897" operator="containsText" text="BAJA">
      <formula>NOT(ISERROR(SEARCH("BAJA",H397)))</formula>
    </cfRule>
    <cfRule type="containsText" dxfId="1345" priority="1898" operator="containsText" text="ACTIVO">
      <formula>NOT(ISERROR(SEARCH("ACTIVO",H397)))</formula>
    </cfRule>
    <cfRule type="containsText" dxfId="1344" priority="1899" operator="containsText" text="ACTIVO">
      <formula>NOT(ISERROR(SEARCH("ACTIVO",H397)))</formula>
    </cfRule>
    <cfRule type="containsText" dxfId="1343" priority="1900" operator="containsText" text="ACTIVO">
      <formula>NOT(ISERROR(SEARCH("ACTIVO",H397)))</formula>
    </cfRule>
    <cfRule type="containsText" dxfId="1342" priority="1901" operator="containsText" text="ACTIVO">
      <formula>NOT(ISERROR(SEARCH("ACTIVO",H397)))</formula>
    </cfRule>
    <cfRule type="containsText" dxfId="1341" priority="1902" operator="containsText" text="BAJA">
      <formula>NOT(ISERROR(SEARCH("BAJA",H397)))</formula>
    </cfRule>
    <cfRule type="containsText" dxfId="1340" priority="1903" operator="containsText" text="INACTIVA">
      <formula>NOT(ISERROR(SEARCH("INACTIVA",H397)))</formula>
    </cfRule>
    <cfRule type="containsText" dxfId="1339" priority="1904" operator="containsText" text="ACTIVO">
      <formula>NOT(ISERROR(SEARCH("ACTIVO",H397)))</formula>
    </cfRule>
    <cfRule type="containsText" dxfId="1338" priority="1905" operator="containsText" text="BAJA">
      <formula>NOT(ISERROR(SEARCH("BAJA",H397)))</formula>
    </cfRule>
    <cfRule type="containsText" dxfId="1337" priority="1909" operator="containsText" text="ACTIVA">
      <formula>NOT(ISERROR(SEARCH("ACTIVA",H397)))</formula>
    </cfRule>
    <cfRule type="containsText" dxfId="1336" priority="1910" operator="containsText" text="ACTIVO">
      <formula>NOT(ISERROR(SEARCH("ACTIVO",H397)))</formula>
    </cfRule>
  </conditionalFormatting>
  <conditionalFormatting sqref="H397:H407">
    <cfRule type="containsText" dxfId="1335" priority="1906" operator="containsText" text="ACTIVO">
      <formula>NOT(ISERROR(SEARCH("ACTIVO",H397)))</formula>
    </cfRule>
    <cfRule type="containsText" dxfId="1334" priority="1907" operator="containsText" text="INACTIVA">
      <formula>NOT(ISERROR(SEARCH("INACTIVA",H397)))</formula>
    </cfRule>
    <cfRule type="containsText" dxfId="1333" priority="1908" operator="containsText" text="BAJA">
      <formula>NOT(ISERROR(SEARCH("BAJA",H397)))</formula>
    </cfRule>
  </conditionalFormatting>
  <conditionalFormatting sqref="H398:H401">
    <cfRule type="containsText" dxfId="1332" priority="2956" operator="containsText" text="ACTIVO">
      <formula>NOT(ISERROR(SEARCH("ACTIVO",H398)))</formula>
    </cfRule>
    <cfRule type="containsText" dxfId="1331" priority="2957" operator="containsText" text="BAJA">
      <formula>NOT(ISERROR(SEARCH("BAJA",H398)))</formula>
    </cfRule>
    <cfRule type="containsText" dxfId="1330" priority="2958" operator="containsText" text="ACTIVO">
      <formula>NOT(ISERROR(SEARCH("ACTIVO",H398)))</formula>
    </cfRule>
    <cfRule type="containsText" dxfId="1329" priority="2959" operator="containsText" text="ACTIVO">
      <formula>NOT(ISERROR(SEARCH("ACTIVO",H398)))</formula>
    </cfRule>
    <cfRule type="containsText" dxfId="1328" priority="2960" operator="containsText" text="BAJA">
      <formula>NOT(ISERROR(SEARCH("BAJA",H398)))</formula>
    </cfRule>
    <cfRule type="containsText" dxfId="1327" priority="2961" operator="containsText" text="ACTIVO">
      <formula>NOT(ISERROR(SEARCH("ACTIVO",H398)))</formula>
    </cfRule>
    <cfRule type="containsText" dxfId="1326" priority="2962" operator="containsText" text="ACTIVO">
      <formula>NOT(ISERROR(SEARCH("ACTIVO",H398)))</formula>
    </cfRule>
    <cfRule type="containsText" dxfId="1325" priority="2963" operator="containsText" text="ACTIVO">
      <formula>NOT(ISERROR(SEARCH("ACTIVO",H398)))</formula>
    </cfRule>
    <cfRule type="containsText" dxfId="1324" priority="2964" operator="containsText" text="ACTIVO">
      <formula>NOT(ISERROR(SEARCH("ACTIVO",H398)))</formula>
    </cfRule>
    <cfRule type="containsText" dxfId="1323" priority="2965" operator="containsText" text="BAJA">
      <formula>NOT(ISERROR(SEARCH("BAJA",H398)))</formula>
    </cfRule>
    <cfRule type="containsText" dxfId="1322" priority="2966" operator="containsText" text="INACTIVA">
      <formula>NOT(ISERROR(SEARCH("INACTIVA",H398)))</formula>
    </cfRule>
    <cfRule type="containsText" dxfId="1321" priority="2967" operator="containsText" text="ACTIVO">
      <formula>NOT(ISERROR(SEARCH("ACTIVO",H398)))</formula>
    </cfRule>
    <cfRule type="containsText" dxfId="1320" priority="2968" operator="containsText" text="BAJA">
      <formula>NOT(ISERROR(SEARCH("BAJA",H398)))</formula>
    </cfRule>
    <cfRule type="containsText" dxfId="1319" priority="2969" operator="containsText" text="ACTIVO">
      <formula>NOT(ISERROR(SEARCH("ACTIVO",H398)))</formula>
    </cfRule>
    <cfRule type="containsText" dxfId="1318" priority="2970" operator="containsText" text="INACTIVA">
      <formula>NOT(ISERROR(SEARCH("INACTIVA",H398)))</formula>
    </cfRule>
    <cfRule type="containsText" dxfId="1317" priority="2971" operator="containsText" text="BAJA">
      <formula>NOT(ISERROR(SEARCH("BAJA",H398)))</formula>
    </cfRule>
    <cfRule type="containsText" dxfId="1316" priority="2972" operator="containsText" text="ACTIVA">
      <formula>NOT(ISERROR(SEARCH("ACTIVA",H398)))</formula>
    </cfRule>
    <cfRule type="containsText" dxfId="1315" priority="2973" operator="containsText" text="ACTIVO">
      <formula>NOT(ISERROR(SEARCH("ACTIVO",H398)))</formula>
    </cfRule>
    <cfRule type="containsText" dxfId="1314" priority="2974" operator="containsText" text="ACTIVO">
      <formula>NOT(ISERROR(SEARCH("ACTIVO",H398)))</formula>
    </cfRule>
    <cfRule type="containsText" dxfId="1313" priority="2975" operator="containsText" text="INACTIVA">
      <formula>NOT(ISERROR(SEARCH("INACTIVA",H398)))</formula>
    </cfRule>
  </conditionalFormatting>
  <conditionalFormatting sqref="H402">
    <cfRule type="containsText" dxfId="1312" priority="299" operator="containsText" text="BAJA">
      <formula>NOT(ISERROR(SEARCH("BAJA",H402)))</formula>
    </cfRule>
    <cfRule type="containsText" dxfId="1311" priority="300" operator="containsText" text="ACTIVO">
      <formula>NOT(ISERROR(SEARCH("ACTIVO",H402)))</formula>
    </cfRule>
    <cfRule type="containsText" dxfId="1310" priority="301" operator="containsText" text="ACTIVO">
      <formula>NOT(ISERROR(SEARCH("ACTIVO",H402)))</formula>
    </cfRule>
    <cfRule type="containsText" dxfId="1309" priority="302" operator="containsText" text="BAJA">
      <formula>NOT(ISERROR(SEARCH("BAJA",H402)))</formula>
    </cfRule>
    <cfRule type="containsText" dxfId="1308" priority="303" operator="containsText" text="ACTIVO">
      <formula>NOT(ISERROR(SEARCH("ACTIVO",H402)))</formula>
    </cfRule>
    <cfRule type="containsText" dxfId="1307" priority="304" operator="containsText" text="ACTIVO">
      <formula>NOT(ISERROR(SEARCH("ACTIVO",H402)))</formula>
    </cfRule>
    <cfRule type="containsText" dxfId="1306" priority="305" operator="containsText" text="BAJA">
      <formula>NOT(ISERROR(SEARCH("BAJA",H402)))</formula>
    </cfRule>
    <cfRule type="containsText" dxfId="1305" priority="306" operator="containsText" text="ACTIVO">
      <formula>NOT(ISERROR(SEARCH("ACTIVO",H402)))</formula>
    </cfRule>
    <cfRule type="containsText" dxfId="1304" priority="307" operator="containsText" text="ACTIVO">
      <formula>NOT(ISERROR(SEARCH("ACTIVO",H402)))</formula>
    </cfRule>
    <cfRule type="containsText" dxfId="1303" priority="308" operator="containsText" text="ACTIVO">
      <formula>NOT(ISERROR(SEARCH("ACTIVO",H402)))</formula>
    </cfRule>
    <cfRule type="containsText" dxfId="1302" priority="309" operator="containsText" text="ACTIVO">
      <formula>NOT(ISERROR(SEARCH("ACTIVO",H402)))</formula>
    </cfRule>
    <cfRule type="containsText" dxfId="1301" priority="310" operator="containsText" text="BAJA">
      <formula>NOT(ISERROR(SEARCH("BAJA",H402)))</formula>
    </cfRule>
    <cfRule type="containsText" dxfId="1300" priority="311" operator="containsText" text="INACTIVA">
      <formula>NOT(ISERROR(SEARCH("INACTIVA",H402)))</formula>
    </cfRule>
    <cfRule type="containsText" dxfId="1299" priority="312" operator="containsText" text="ACTIVO">
      <formula>NOT(ISERROR(SEARCH("ACTIVO",H402)))</formula>
    </cfRule>
    <cfRule type="containsText" dxfId="1298" priority="313" operator="containsText" text="BAJA">
      <formula>NOT(ISERROR(SEARCH("BAJA",H402)))</formula>
    </cfRule>
    <cfRule type="containsText" dxfId="1297" priority="314" operator="containsText" text="ACTIVA">
      <formula>NOT(ISERROR(SEARCH("ACTIVA",H402)))</formula>
    </cfRule>
    <cfRule type="containsText" dxfId="1296" priority="315" operator="containsText" text="ACTIVO">
      <formula>NOT(ISERROR(SEARCH("ACTIVO",H402)))</formula>
    </cfRule>
    <cfRule type="containsText" dxfId="1295" priority="316" operator="containsText" text="INACTIVA">
      <formula>NOT(ISERROR(SEARCH("INACTIVA",H402)))</formula>
    </cfRule>
    <cfRule type="containsText" dxfId="1294" priority="317" operator="containsText" text="ACTIVO">
      <formula>NOT(ISERROR(SEARCH("ACTIVO",H402)))</formula>
    </cfRule>
  </conditionalFormatting>
  <conditionalFormatting sqref="H403:H407">
    <cfRule type="containsText" dxfId="1293" priority="2938" operator="containsText" text="ACTIVO">
      <formula>NOT(ISERROR(SEARCH("ACTIVO",H403)))</formula>
    </cfRule>
    <cfRule type="containsText" dxfId="1292" priority="2939" operator="containsText" text="BAJA">
      <formula>NOT(ISERROR(SEARCH("BAJA",H403)))</formula>
    </cfRule>
    <cfRule type="containsText" dxfId="1291" priority="2940" operator="containsText" text="ACTIVO">
      <formula>NOT(ISERROR(SEARCH("ACTIVO",H403)))</formula>
    </cfRule>
    <cfRule type="containsText" dxfId="1290" priority="2941" operator="containsText" text="ACTIVO">
      <formula>NOT(ISERROR(SEARCH("ACTIVO",H403)))</formula>
    </cfRule>
    <cfRule type="containsText" dxfId="1289" priority="2942" operator="containsText" text="BAJA">
      <formula>NOT(ISERROR(SEARCH("BAJA",H403)))</formula>
    </cfRule>
    <cfRule type="containsText" dxfId="1288" priority="2943" operator="containsText" text="ACTIVO">
      <formula>NOT(ISERROR(SEARCH("ACTIVO",H403)))</formula>
    </cfRule>
    <cfRule type="containsText" dxfId="1287" priority="2944" operator="containsText" text="ACTIVO">
      <formula>NOT(ISERROR(SEARCH("ACTIVO",H403)))</formula>
    </cfRule>
    <cfRule type="containsText" dxfId="1286" priority="2945" operator="containsText" text="ACTIVO">
      <formula>NOT(ISERROR(SEARCH("ACTIVO",H403)))</formula>
    </cfRule>
    <cfRule type="containsText" dxfId="1285" priority="2946" operator="containsText" text="ACTIVO">
      <formula>NOT(ISERROR(SEARCH("ACTIVO",H403)))</formula>
    </cfRule>
    <cfRule type="containsText" dxfId="1284" priority="2947" operator="containsText" text="BAJA">
      <formula>NOT(ISERROR(SEARCH("BAJA",H403)))</formula>
    </cfRule>
    <cfRule type="containsText" dxfId="1283" priority="2948" operator="containsText" text="INACTIVA">
      <formula>NOT(ISERROR(SEARCH("INACTIVA",H403)))</formula>
    </cfRule>
    <cfRule type="containsText" dxfId="1282" priority="2949" operator="containsText" text="ACTIVO">
      <formula>NOT(ISERROR(SEARCH("ACTIVO",H403)))</formula>
    </cfRule>
    <cfRule type="containsText" dxfId="1281" priority="2950" operator="containsText" text="BAJA">
      <formula>NOT(ISERROR(SEARCH("BAJA",H403)))</formula>
    </cfRule>
    <cfRule type="containsText" dxfId="1280" priority="2951" operator="containsText" text="ACTIVO">
      <formula>NOT(ISERROR(SEARCH("ACTIVO",H403)))</formula>
    </cfRule>
    <cfRule type="containsText" dxfId="1279" priority="2952" operator="containsText" text="INACTIVA">
      <formula>NOT(ISERROR(SEARCH("INACTIVA",H403)))</formula>
    </cfRule>
    <cfRule type="containsText" dxfId="1278" priority="2953" operator="containsText" text="BAJA">
      <formula>NOT(ISERROR(SEARCH("BAJA",H403)))</formula>
    </cfRule>
    <cfRule type="containsText" dxfId="1277" priority="2954" operator="containsText" text="ACTIVA">
      <formula>NOT(ISERROR(SEARCH("ACTIVA",H403)))</formula>
    </cfRule>
    <cfRule type="containsText" dxfId="1276" priority="2955" operator="containsText" text="ACTIVO">
      <formula>NOT(ISERROR(SEARCH("ACTIVO",H403)))</formula>
    </cfRule>
  </conditionalFormatting>
  <conditionalFormatting sqref="H408">
    <cfRule type="containsText" dxfId="1275" priority="706" operator="containsText" text="BAJA">
      <formula>NOT(ISERROR(SEARCH("BAJA",H408)))</formula>
    </cfRule>
    <cfRule type="containsText" dxfId="1274" priority="707" operator="containsText" text="ACTIVO">
      <formula>NOT(ISERROR(SEARCH("ACTIVO",H408)))</formula>
    </cfRule>
    <cfRule type="containsText" dxfId="1273" priority="708" operator="containsText" text="ACTIVO">
      <formula>NOT(ISERROR(SEARCH("ACTIVO",H408)))</formula>
    </cfRule>
    <cfRule type="containsText" dxfId="1272" priority="709" operator="containsText" text="BAJA">
      <formula>NOT(ISERROR(SEARCH("BAJA",H408)))</formula>
    </cfRule>
    <cfRule type="containsText" dxfId="1271" priority="710" operator="containsText" text="ACTIVO">
      <formula>NOT(ISERROR(SEARCH("ACTIVO",H408)))</formula>
    </cfRule>
    <cfRule type="containsText" dxfId="1270" priority="711" operator="containsText" text="ACTIVO">
      <formula>NOT(ISERROR(SEARCH("ACTIVO",H408)))</formula>
    </cfRule>
    <cfRule type="containsText" dxfId="1269" priority="712" operator="containsText" text="BAJA">
      <formula>NOT(ISERROR(SEARCH("BAJA",H408)))</formula>
    </cfRule>
    <cfRule type="containsText" dxfId="1268" priority="713" operator="containsText" text="ACTIVO">
      <formula>NOT(ISERROR(SEARCH("ACTIVO",H408)))</formula>
    </cfRule>
    <cfRule type="containsText" dxfId="1267" priority="714" operator="containsText" text="ACTIVO">
      <formula>NOT(ISERROR(SEARCH("ACTIVO",H408)))</formula>
    </cfRule>
    <cfRule type="containsText" dxfId="1266" priority="715" operator="containsText" text="ACTIVO">
      <formula>NOT(ISERROR(SEARCH("ACTIVO",H408)))</formula>
    </cfRule>
    <cfRule type="containsText" dxfId="1265" priority="716" operator="containsText" text="ACTIVO">
      <formula>NOT(ISERROR(SEARCH("ACTIVO",H408)))</formula>
    </cfRule>
    <cfRule type="containsText" dxfId="1264" priority="717" operator="containsText" text="BAJA">
      <formula>NOT(ISERROR(SEARCH("BAJA",H408)))</formula>
    </cfRule>
    <cfRule type="containsText" dxfId="1263" priority="718" operator="containsText" text="INACTIVA">
      <formula>NOT(ISERROR(SEARCH("INACTIVA",H408)))</formula>
    </cfRule>
    <cfRule type="containsText" dxfId="1262" priority="719" operator="containsText" text="ACTIVO">
      <formula>NOT(ISERROR(SEARCH("ACTIVO",H408)))</formula>
    </cfRule>
    <cfRule type="containsText" dxfId="1261" priority="720" operator="containsText" text="BAJA">
      <formula>NOT(ISERROR(SEARCH("BAJA",H408)))</formula>
    </cfRule>
    <cfRule type="containsText" dxfId="1260" priority="721" operator="containsText" text="ACTIVO">
      <formula>NOT(ISERROR(SEARCH("ACTIVO",H408)))</formula>
    </cfRule>
    <cfRule type="containsText" dxfId="1259" priority="722" operator="containsText" text="INACTIVA">
      <formula>NOT(ISERROR(SEARCH("INACTIVA",H408)))</formula>
    </cfRule>
    <cfRule type="containsText" dxfId="1258" priority="723" operator="containsText" text="BAJA">
      <formula>NOT(ISERROR(SEARCH("BAJA",H408)))</formula>
    </cfRule>
    <cfRule type="containsText" dxfId="1257" priority="724" operator="containsText" text="ACTIVA">
      <formula>NOT(ISERROR(SEARCH("ACTIVA",H408)))</formula>
    </cfRule>
    <cfRule type="containsText" dxfId="1256" priority="725" operator="containsText" text="ACTIVO">
      <formula>NOT(ISERROR(SEARCH("ACTIVO",H408)))</formula>
    </cfRule>
    <cfRule type="containsText" dxfId="1255" priority="727" operator="containsText" text="INACTIVA">
      <formula>NOT(ISERROR(SEARCH("INACTIVA",H408)))</formula>
    </cfRule>
  </conditionalFormatting>
  <conditionalFormatting sqref="H408:H410">
    <cfRule type="containsText" dxfId="1254" priority="726" operator="containsText" text="ACTIVO">
      <formula>NOT(ISERROR(SEARCH("ACTIVO",H408)))</formula>
    </cfRule>
  </conditionalFormatting>
  <conditionalFormatting sqref="H409:H410 H412:H413">
    <cfRule type="containsText" dxfId="1253" priority="1217" operator="containsText" text="INACTIVA">
      <formula>NOT(ISERROR(SEARCH("INACTIVA",H409)))</formula>
    </cfRule>
    <cfRule type="containsText" dxfId="1252" priority="2044" operator="containsText" text="ACTIVO">
      <formula>NOT(ISERROR(SEARCH("ACTIVO",H409)))</formula>
    </cfRule>
    <cfRule type="containsText" dxfId="1251" priority="2045" operator="containsText" text="INACTIVA">
      <formula>NOT(ISERROR(SEARCH("INACTIVA",H409)))</formula>
    </cfRule>
  </conditionalFormatting>
  <conditionalFormatting sqref="H409:H410">
    <cfRule type="containsText" dxfId="1250" priority="2024" operator="containsText" text="BAJA">
      <formula>NOT(ISERROR(SEARCH("BAJA",H409)))</formula>
    </cfRule>
    <cfRule type="containsText" dxfId="1249" priority="2025" operator="containsText" text="ACTIVO">
      <formula>NOT(ISERROR(SEARCH("ACTIVO",H409)))</formula>
    </cfRule>
    <cfRule type="containsText" dxfId="1248" priority="2026" operator="containsText" text="ACTIVO">
      <formula>NOT(ISERROR(SEARCH("ACTIVO",H409)))</formula>
    </cfRule>
    <cfRule type="containsText" dxfId="1247" priority="2027" operator="containsText" text="BAJA">
      <formula>NOT(ISERROR(SEARCH("BAJA",H409)))</formula>
    </cfRule>
    <cfRule type="containsText" dxfId="1246" priority="2028" operator="containsText" text="ACTIVO">
      <formula>NOT(ISERROR(SEARCH("ACTIVO",H409)))</formula>
    </cfRule>
    <cfRule type="containsText" dxfId="1245" priority="2029" operator="containsText" text="ACTIVO">
      <formula>NOT(ISERROR(SEARCH("ACTIVO",H409)))</formula>
    </cfRule>
    <cfRule type="containsText" dxfId="1244" priority="2030" operator="containsText" text="BAJA">
      <formula>NOT(ISERROR(SEARCH("BAJA",H409)))</formula>
    </cfRule>
    <cfRule type="containsText" dxfId="1243" priority="2031" operator="containsText" text="ACTIVO">
      <formula>NOT(ISERROR(SEARCH("ACTIVO",H409)))</formula>
    </cfRule>
    <cfRule type="containsText" dxfId="1242" priority="2032" operator="containsText" text="ACTIVO">
      <formula>NOT(ISERROR(SEARCH("ACTIVO",H409)))</formula>
    </cfRule>
    <cfRule type="containsText" dxfId="1241" priority="2033" operator="containsText" text="ACTIVO">
      <formula>NOT(ISERROR(SEARCH("ACTIVO",H409)))</formula>
    </cfRule>
    <cfRule type="containsText" dxfId="1240" priority="2034" operator="containsText" text="ACTIVO">
      <formula>NOT(ISERROR(SEARCH("ACTIVO",H409)))</formula>
    </cfRule>
    <cfRule type="containsText" dxfId="1239" priority="2035" operator="containsText" text="BAJA">
      <formula>NOT(ISERROR(SEARCH("BAJA",H409)))</formula>
    </cfRule>
    <cfRule type="containsText" dxfId="1238" priority="2036" operator="containsText" text="INACTIVA">
      <formula>NOT(ISERROR(SEARCH("INACTIVA",H409)))</formula>
    </cfRule>
    <cfRule type="containsText" dxfId="1237" priority="2037" operator="containsText" text="ACTIVO">
      <formula>NOT(ISERROR(SEARCH("ACTIVO",H409)))</formula>
    </cfRule>
    <cfRule type="containsText" dxfId="1236" priority="2038" operator="containsText" text="BAJA">
      <formula>NOT(ISERROR(SEARCH("BAJA",H409)))</formula>
    </cfRule>
    <cfRule type="containsText" dxfId="1235" priority="2039" operator="containsText" text="ACTIVO">
      <formula>NOT(ISERROR(SEARCH("ACTIVO",H409)))</formula>
    </cfRule>
    <cfRule type="containsText" dxfId="1234" priority="2040" operator="containsText" text="INACTIVA">
      <formula>NOT(ISERROR(SEARCH("INACTIVA",H409)))</formula>
    </cfRule>
    <cfRule type="containsText" dxfId="1233" priority="2041" operator="containsText" text="BAJA">
      <formula>NOT(ISERROR(SEARCH("BAJA",H409)))</formula>
    </cfRule>
    <cfRule type="containsText" dxfId="1232" priority="2042" operator="containsText" text="ACTIVA">
      <formula>NOT(ISERROR(SEARCH("ACTIVA",H409)))</formula>
    </cfRule>
    <cfRule type="containsText" dxfId="1231" priority="2043" operator="containsText" text="ACTIVO">
      <formula>NOT(ISERROR(SEARCH("ACTIVO",H409)))</formula>
    </cfRule>
  </conditionalFormatting>
  <conditionalFormatting sqref="H411">
    <cfRule type="containsText" dxfId="1230" priority="121" operator="containsText" text="BAJA">
      <formula>NOT(ISERROR(SEARCH("BAJA",H411)))</formula>
    </cfRule>
    <cfRule type="containsText" dxfId="1229" priority="122" operator="containsText" text="ACTIVO">
      <formula>NOT(ISERROR(SEARCH("ACTIVO",H411)))</formula>
    </cfRule>
    <cfRule type="containsText" dxfId="1228" priority="123" operator="containsText" text="ACTIVO">
      <formula>NOT(ISERROR(SEARCH("ACTIVO",H411)))</formula>
    </cfRule>
    <cfRule type="containsText" dxfId="1227" priority="124" operator="containsText" text="BAJA">
      <formula>NOT(ISERROR(SEARCH("BAJA",H411)))</formula>
    </cfRule>
    <cfRule type="containsText" dxfId="1226" priority="125" operator="containsText" text="ACTIVO">
      <formula>NOT(ISERROR(SEARCH("ACTIVO",H411)))</formula>
    </cfRule>
    <cfRule type="containsText" dxfId="1225" priority="126" operator="containsText" text="ACTIVO">
      <formula>NOT(ISERROR(SEARCH("ACTIVO",H411)))</formula>
    </cfRule>
    <cfRule type="containsText" dxfId="1224" priority="127" operator="containsText" text="BAJA">
      <formula>NOT(ISERROR(SEARCH("BAJA",H411)))</formula>
    </cfRule>
    <cfRule type="containsText" dxfId="1223" priority="128" operator="containsText" text="ACTIVO">
      <formula>NOT(ISERROR(SEARCH("ACTIVO",H411)))</formula>
    </cfRule>
    <cfRule type="containsText" dxfId="1222" priority="129" operator="containsText" text="ACTIVO">
      <formula>NOT(ISERROR(SEARCH("ACTIVO",H411)))</formula>
    </cfRule>
    <cfRule type="containsText" dxfId="1221" priority="130" operator="containsText" text="ACTIVO">
      <formula>NOT(ISERROR(SEARCH("ACTIVO",H411)))</formula>
    </cfRule>
    <cfRule type="containsText" dxfId="1220" priority="131" operator="containsText" text="ACTIVO">
      <formula>NOT(ISERROR(SEARCH("ACTIVO",H411)))</formula>
    </cfRule>
    <cfRule type="containsText" dxfId="1219" priority="132" operator="containsText" text="BAJA">
      <formula>NOT(ISERROR(SEARCH("BAJA",H411)))</formula>
    </cfRule>
    <cfRule type="containsText" dxfId="1218" priority="133" operator="containsText" text="INACTIVA">
      <formula>NOT(ISERROR(SEARCH("INACTIVA",H411)))</formula>
    </cfRule>
    <cfRule type="containsText" dxfId="1217" priority="134" operator="containsText" text="ACTIVO">
      <formula>NOT(ISERROR(SEARCH("ACTIVO",H411)))</formula>
    </cfRule>
    <cfRule type="containsText" dxfId="1216" priority="135" operator="containsText" text="BAJA">
      <formula>NOT(ISERROR(SEARCH("BAJA",H411)))</formula>
    </cfRule>
    <cfRule type="containsText" dxfId="1215" priority="136" operator="containsText" text="ACTIVO">
      <formula>NOT(ISERROR(SEARCH("ACTIVO",H411)))</formula>
    </cfRule>
    <cfRule type="containsText" dxfId="1214" priority="137" operator="containsText" text="INACTIVA">
      <formula>NOT(ISERROR(SEARCH("INACTIVA",H411)))</formula>
    </cfRule>
    <cfRule type="containsText" dxfId="1213" priority="138" operator="containsText" text="BAJA">
      <formula>NOT(ISERROR(SEARCH("BAJA",H411)))</formula>
    </cfRule>
    <cfRule type="containsText" dxfId="1212" priority="139" operator="containsText" text="ACTIVA">
      <formula>NOT(ISERROR(SEARCH("ACTIVA",H411)))</formula>
    </cfRule>
    <cfRule type="containsText" dxfId="1211" priority="140" operator="containsText" text="ACTIVO">
      <formula>NOT(ISERROR(SEARCH("ACTIVO",H411)))</formula>
    </cfRule>
    <cfRule type="containsText" dxfId="1210" priority="142" operator="containsText" text="INACTIVA">
      <formula>NOT(ISERROR(SEARCH("INACTIVA",H411)))</formula>
    </cfRule>
  </conditionalFormatting>
  <conditionalFormatting sqref="H411:H413">
    <cfRule type="containsText" dxfId="1209" priority="141" operator="containsText" text="ACTIVO">
      <formula>NOT(ISERROR(SEARCH("ACTIVO",H411)))</formula>
    </cfRule>
  </conditionalFormatting>
  <conditionalFormatting sqref="H412:H413">
    <cfRule type="containsText" dxfId="1208" priority="1747" operator="containsText" text="BAJA">
      <formula>NOT(ISERROR(SEARCH("BAJA",H412)))</formula>
    </cfRule>
    <cfRule type="containsText" dxfId="1207" priority="1748" operator="containsText" text="ACTIVO">
      <formula>NOT(ISERROR(SEARCH("ACTIVO",H412)))</formula>
    </cfRule>
    <cfRule type="containsText" dxfId="1206" priority="1749" operator="containsText" text="ACTIVO">
      <formula>NOT(ISERROR(SEARCH("ACTIVO",H412)))</formula>
    </cfRule>
    <cfRule type="containsText" dxfId="1205" priority="1750" operator="containsText" text="BAJA">
      <formula>NOT(ISERROR(SEARCH("BAJA",H412)))</formula>
    </cfRule>
    <cfRule type="containsText" dxfId="1204" priority="1751" operator="containsText" text="ACTIVO">
      <formula>NOT(ISERROR(SEARCH("ACTIVO",H412)))</formula>
    </cfRule>
    <cfRule type="containsText" dxfId="1203" priority="1752" operator="containsText" text="ACTIVO">
      <formula>NOT(ISERROR(SEARCH("ACTIVO",H412)))</formula>
    </cfRule>
    <cfRule type="containsText" dxfId="1202" priority="1753" operator="containsText" text="BAJA">
      <formula>NOT(ISERROR(SEARCH("BAJA",H412)))</formula>
    </cfRule>
    <cfRule type="containsText" dxfId="1201" priority="1754" operator="containsText" text="ACTIVO">
      <formula>NOT(ISERROR(SEARCH("ACTIVO",H412)))</formula>
    </cfRule>
    <cfRule type="containsText" dxfId="1200" priority="1755" operator="containsText" text="ACTIVO">
      <formula>NOT(ISERROR(SEARCH("ACTIVO",H412)))</formula>
    </cfRule>
    <cfRule type="containsText" dxfId="1199" priority="1756" operator="containsText" text="ACTIVO">
      <formula>NOT(ISERROR(SEARCH("ACTIVO",H412)))</formula>
    </cfRule>
    <cfRule type="containsText" dxfId="1198" priority="1757" operator="containsText" text="ACTIVO">
      <formula>NOT(ISERROR(SEARCH("ACTIVO",H412)))</formula>
    </cfRule>
    <cfRule type="containsText" dxfId="1197" priority="1758" operator="containsText" text="BAJA">
      <formula>NOT(ISERROR(SEARCH("BAJA",H412)))</formula>
    </cfRule>
    <cfRule type="containsText" dxfId="1196" priority="1759" operator="containsText" text="INACTIVA">
      <formula>NOT(ISERROR(SEARCH("INACTIVA",H412)))</formula>
    </cfRule>
    <cfRule type="containsText" dxfId="1195" priority="1760" operator="containsText" text="ACTIVO">
      <formula>NOT(ISERROR(SEARCH("ACTIVO",H412)))</formula>
    </cfRule>
    <cfRule type="containsText" dxfId="1194" priority="1761" operator="containsText" text="BAJA">
      <formula>NOT(ISERROR(SEARCH("BAJA",H412)))</formula>
    </cfRule>
    <cfRule type="containsText" dxfId="1193" priority="1762" operator="containsText" text="ACTIVO">
      <formula>NOT(ISERROR(SEARCH("ACTIVO",H412)))</formula>
    </cfRule>
    <cfRule type="containsText" dxfId="1192" priority="1763" operator="containsText" text="INACTIVA">
      <formula>NOT(ISERROR(SEARCH("INACTIVA",H412)))</formula>
    </cfRule>
    <cfRule type="containsText" dxfId="1191" priority="1764" operator="containsText" text="BAJA">
      <formula>NOT(ISERROR(SEARCH("BAJA",H412)))</formula>
    </cfRule>
    <cfRule type="containsText" dxfId="1190" priority="1765" operator="containsText" text="ACTIVA">
      <formula>NOT(ISERROR(SEARCH("ACTIVA",H412)))</formula>
    </cfRule>
    <cfRule type="containsText" dxfId="1189" priority="1766" operator="containsText" text="ACTIVO">
      <formula>NOT(ISERROR(SEARCH("ACTIVO",H412)))</formula>
    </cfRule>
  </conditionalFormatting>
  <conditionalFormatting sqref="H414">
    <cfRule type="containsText" dxfId="1188" priority="99" operator="containsText" text="BAJA">
      <formula>NOT(ISERROR(SEARCH("BAJA",H414)))</formula>
    </cfRule>
    <cfRule type="containsText" dxfId="1187" priority="100" operator="containsText" text="ACTIVO">
      <formula>NOT(ISERROR(SEARCH("ACTIVO",H414)))</formula>
    </cfRule>
    <cfRule type="containsText" dxfId="1186" priority="101" operator="containsText" text="ACTIVO">
      <formula>NOT(ISERROR(SEARCH("ACTIVO",H414)))</formula>
    </cfRule>
    <cfRule type="containsText" dxfId="1185" priority="102" operator="containsText" text="BAJA">
      <formula>NOT(ISERROR(SEARCH("BAJA",H414)))</formula>
    </cfRule>
    <cfRule type="containsText" dxfId="1184" priority="103" operator="containsText" text="ACTIVO">
      <formula>NOT(ISERROR(SEARCH("ACTIVO",H414)))</formula>
    </cfRule>
    <cfRule type="containsText" dxfId="1183" priority="104" operator="containsText" text="ACTIVO">
      <formula>NOT(ISERROR(SEARCH("ACTIVO",H414)))</formula>
    </cfRule>
    <cfRule type="containsText" dxfId="1182" priority="105" operator="containsText" text="BAJA">
      <formula>NOT(ISERROR(SEARCH("BAJA",H414)))</formula>
    </cfRule>
    <cfRule type="containsText" dxfId="1181" priority="106" operator="containsText" text="ACTIVO">
      <formula>NOT(ISERROR(SEARCH("ACTIVO",H414)))</formula>
    </cfRule>
    <cfRule type="containsText" dxfId="1180" priority="107" operator="containsText" text="ACTIVO">
      <formula>NOT(ISERROR(SEARCH("ACTIVO",H414)))</formula>
    </cfRule>
    <cfRule type="containsText" dxfId="1179" priority="108" operator="containsText" text="ACTIVO">
      <formula>NOT(ISERROR(SEARCH("ACTIVO",H414)))</formula>
    </cfRule>
    <cfRule type="containsText" dxfId="1178" priority="109" operator="containsText" text="ACTIVO">
      <formula>NOT(ISERROR(SEARCH("ACTIVO",H414)))</formula>
    </cfRule>
    <cfRule type="containsText" dxfId="1177" priority="110" operator="containsText" text="BAJA">
      <formula>NOT(ISERROR(SEARCH("BAJA",H414)))</formula>
    </cfRule>
    <cfRule type="containsText" dxfId="1176" priority="111" operator="containsText" text="INACTIVA">
      <formula>NOT(ISERROR(SEARCH("INACTIVA",H414)))</formula>
    </cfRule>
    <cfRule type="containsText" dxfId="1175" priority="112" operator="containsText" text="ACTIVO">
      <formula>NOT(ISERROR(SEARCH("ACTIVO",H414)))</formula>
    </cfRule>
    <cfRule type="containsText" dxfId="1174" priority="113" operator="containsText" text="BAJA">
      <formula>NOT(ISERROR(SEARCH("BAJA",H414)))</formula>
    </cfRule>
    <cfRule type="containsText" dxfId="1173" priority="114" operator="containsText" text="ACTIVO">
      <formula>NOT(ISERROR(SEARCH("ACTIVO",H414)))</formula>
    </cfRule>
    <cfRule type="containsText" dxfId="1172" priority="115" operator="containsText" text="INACTIVA">
      <formula>NOT(ISERROR(SEARCH("INACTIVA",H414)))</formula>
    </cfRule>
    <cfRule type="containsText" dxfId="1171" priority="116" operator="containsText" text="BAJA">
      <formula>NOT(ISERROR(SEARCH("BAJA",H414)))</formula>
    </cfRule>
    <cfRule type="containsText" dxfId="1170" priority="117" operator="containsText" text="ACTIVA">
      <formula>NOT(ISERROR(SEARCH("ACTIVA",H414)))</formula>
    </cfRule>
    <cfRule type="containsText" dxfId="1169" priority="118" operator="containsText" text="ACTIVO">
      <formula>NOT(ISERROR(SEARCH("ACTIVO",H414)))</formula>
    </cfRule>
    <cfRule type="containsText" dxfId="1168" priority="120" operator="containsText" text="INACTIVA">
      <formula>NOT(ISERROR(SEARCH("INACTIVA",H414)))</formula>
    </cfRule>
  </conditionalFormatting>
  <conditionalFormatting sqref="H414:H418">
    <cfRule type="containsText" dxfId="1167" priority="119" operator="containsText" text="ACTIVO">
      <formula>NOT(ISERROR(SEARCH("ACTIVO",H414)))</formula>
    </cfRule>
  </conditionalFormatting>
  <conditionalFormatting sqref="H415:H418">
    <cfRule type="containsText" dxfId="1166" priority="1114" operator="containsText" text="INACTIVA">
      <formula>NOT(ISERROR(SEARCH("INACTIVA",H415)))</formula>
    </cfRule>
    <cfRule type="containsText" dxfId="1165" priority="2916" operator="containsText" text="BAJA">
      <formula>NOT(ISERROR(SEARCH("BAJA",H415)))</formula>
    </cfRule>
    <cfRule type="containsText" dxfId="1164" priority="2917" operator="containsText" text="ACTIVO">
      <formula>NOT(ISERROR(SEARCH("ACTIVO",H415)))</formula>
    </cfRule>
    <cfRule type="containsText" dxfId="1163" priority="2918" operator="containsText" text="ACTIVO">
      <formula>NOT(ISERROR(SEARCH("ACTIVO",H415)))</formula>
    </cfRule>
    <cfRule type="containsText" dxfId="1162" priority="2919" operator="containsText" text="BAJA">
      <formula>NOT(ISERROR(SEARCH("BAJA",H415)))</formula>
    </cfRule>
    <cfRule type="containsText" dxfId="1161" priority="2920" operator="containsText" text="ACTIVO">
      <formula>NOT(ISERROR(SEARCH("ACTIVO",H415)))</formula>
    </cfRule>
    <cfRule type="containsText" dxfId="1160" priority="2921" operator="containsText" text="ACTIVO">
      <formula>NOT(ISERROR(SEARCH("ACTIVO",H415)))</formula>
    </cfRule>
    <cfRule type="containsText" dxfId="1159" priority="2922" operator="containsText" text="BAJA">
      <formula>NOT(ISERROR(SEARCH("BAJA",H415)))</formula>
    </cfRule>
    <cfRule type="containsText" dxfId="1158" priority="2923" operator="containsText" text="ACTIVO">
      <formula>NOT(ISERROR(SEARCH("ACTIVO",H415)))</formula>
    </cfRule>
    <cfRule type="containsText" dxfId="1157" priority="2924" operator="containsText" text="ACTIVO">
      <formula>NOT(ISERROR(SEARCH("ACTIVO",H415)))</formula>
    </cfRule>
    <cfRule type="containsText" dxfId="1156" priority="2925" operator="containsText" text="ACTIVO">
      <formula>NOT(ISERROR(SEARCH("ACTIVO",H415)))</formula>
    </cfRule>
    <cfRule type="containsText" dxfId="1155" priority="2926" operator="containsText" text="ACTIVO">
      <formula>NOT(ISERROR(SEARCH("ACTIVO",H415)))</formula>
    </cfRule>
    <cfRule type="containsText" dxfId="1154" priority="2927" operator="containsText" text="BAJA">
      <formula>NOT(ISERROR(SEARCH("BAJA",H415)))</formula>
    </cfRule>
    <cfRule type="containsText" dxfId="1153" priority="2928" operator="containsText" text="INACTIVA">
      <formula>NOT(ISERROR(SEARCH("INACTIVA",H415)))</formula>
    </cfRule>
    <cfRule type="containsText" dxfId="1152" priority="2929" operator="containsText" text="ACTIVO">
      <formula>NOT(ISERROR(SEARCH("ACTIVO",H415)))</formula>
    </cfRule>
    <cfRule type="containsText" dxfId="1151" priority="2930" operator="containsText" text="BAJA">
      <formula>NOT(ISERROR(SEARCH("BAJA",H415)))</formula>
    </cfRule>
    <cfRule type="containsText" dxfId="1150" priority="2931" operator="containsText" text="ACTIVO">
      <formula>NOT(ISERROR(SEARCH("ACTIVO",H415)))</formula>
    </cfRule>
    <cfRule type="containsText" dxfId="1149" priority="2932" operator="containsText" text="INACTIVA">
      <formula>NOT(ISERROR(SEARCH("INACTIVA",H415)))</formula>
    </cfRule>
    <cfRule type="containsText" dxfId="1148" priority="2933" operator="containsText" text="BAJA">
      <formula>NOT(ISERROR(SEARCH("BAJA",H415)))</formula>
    </cfRule>
    <cfRule type="containsText" dxfId="1147" priority="2934" operator="containsText" text="ACTIVA">
      <formula>NOT(ISERROR(SEARCH("ACTIVA",H415)))</formula>
    </cfRule>
    <cfRule type="containsText" dxfId="1146" priority="2935" operator="containsText" text="ACTIVO">
      <formula>NOT(ISERROR(SEARCH("ACTIVO",H415)))</formula>
    </cfRule>
  </conditionalFormatting>
  <conditionalFormatting sqref="H415:H419">
    <cfRule type="containsText" dxfId="1145" priority="2936" operator="containsText" text="ACTIVO">
      <formula>NOT(ISERROR(SEARCH("ACTIVO",H415)))</formula>
    </cfRule>
    <cfRule type="containsText" dxfId="1144" priority="2937" operator="containsText" text="INACTIVA">
      <formula>NOT(ISERROR(SEARCH("INACTIVA",H415)))</formula>
    </cfRule>
  </conditionalFormatting>
  <conditionalFormatting sqref="H419">
    <cfRule type="containsText" dxfId="1143" priority="3527" operator="containsText" text="BAJA">
      <formula>NOT(ISERROR(SEARCH("BAJA",H419)))</formula>
    </cfRule>
    <cfRule type="containsText" dxfId="1142" priority="3528" operator="containsText" text="ACTIVO">
      <formula>NOT(ISERROR(SEARCH("ACTIVO",H419)))</formula>
    </cfRule>
    <cfRule type="containsText" dxfId="1141" priority="3529" operator="containsText" text="BAJA">
      <formula>NOT(ISERROR(SEARCH("BAJA",H419)))</formula>
    </cfRule>
    <cfRule type="colorScale" priority="35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3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3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3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40" priority="3534" operator="containsText" text="ACTIVO">
      <formula>NOT(ISERROR(SEARCH("ACTIVO",H419)))</formula>
    </cfRule>
    <cfRule type="containsText" dxfId="1139" priority="3535" operator="containsText" text="ACTIVO">
      <formula>NOT(ISERROR(SEARCH("ACTIVO",H419)))</formula>
    </cfRule>
    <cfRule type="containsText" dxfId="1138" priority="3536" operator="containsText" text="BAJA">
      <formula>NOT(ISERROR(SEARCH("BAJA",H419)))</formula>
    </cfRule>
    <cfRule type="containsText" dxfId="1137" priority="3537" operator="containsText" text="ACTIVO">
      <formula>NOT(ISERROR(SEARCH("ACTIVO",H419)))</formula>
    </cfRule>
    <cfRule type="containsText" dxfId="1136" priority="3538" operator="containsText" text="ACTIVO">
      <formula>NOT(ISERROR(SEARCH("ACTIVO",H419)))</formula>
    </cfRule>
    <cfRule type="colorScale" priority="35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4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35" priority="3541" operator="containsText" text="BAJA">
      <formula>NOT(ISERROR(SEARCH("BAJA",H419)))</formula>
    </cfRule>
    <cfRule type="containsText" dxfId="1134" priority="3542" operator="containsText" text="ACTIVO">
      <formula>NOT(ISERROR(SEARCH("ACTIVO",H419)))</formula>
    </cfRule>
    <cfRule type="containsText" dxfId="1133" priority="3543" operator="containsText" text="ACTIVO">
      <formula>NOT(ISERROR(SEARCH("ACTIVO",H419)))</formula>
    </cfRule>
    <cfRule type="containsText" dxfId="1132" priority="3544" operator="containsText" text="ACTIVO">
      <formula>NOT(ISERROR(SEARCH("ACTIVO",H419)))</formula>
    </cfRule>
    <cfRule type="containsText" dxfId="1131" priority="3545" operator="containsText" text="ACTIVO">
      <formula>NOT(ISERROR(SEARCH("ACTIVO",H419)))</formula>
    </cfRule>
    <cfRule type="containsText" dxfId="1130" priority="3546" operator="containsText" text="BAJA">
      <formula>NOT(ISERROR(SEARCH("BAJA",H419)))</formula>
    </cfRule>
    <cfRule type="containsText" dxfId="1129" priority="3547" operator="containsText" text="INACTIVA">
      <formula>NOT(ISERROR(SEARCH("INACTIVA",H419)))</formula>
    </cfRule>
    <cfRule type="colorScale" priority="35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4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5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5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28" priority="3552" operator="containsText" text="ACTIVO">
      <formula>NOT(ISERROR(SEARCH("ACTIVO",H419)))</formula>
    </cfRule>
    <cfRule type="containsText" dxfId="1127" priority="3553" operator="containsText" text="BAJA">
      <formula>NOT(ISERROR(SEARCH("BAJA",H419)))</formula>
    </cfRule>
    <cfRule type="containsText" dxfId="1126" priority="3554" operator="containsText" text="ACTIVO">
      <formula>NOT(ISERROR(SEARCH("ACTIVO",H419)))</formula>
    </cfRule>
    <cfRule type="colorScale" priority="35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5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25" priority="3559" operator="containsText" text="INACTIVA">
      <formula>NOT(ISERROR(SEARCH("INACTIVA",H419)))</formula>
    </cfRule>
    <cfRule type="containsText" dxfId="1124" priority="3560" operator="containsText" text="BAJA">
      <formula>NOT(ISERROR(SEARCH("BAJA",H419)))</formula>
    </cfRule>
    <cfRule type="containsText" dxfId="1123" priority="3561" operator="containsText" text="ACTIVO">
      <formula>NOT(ISERROR(SEARCH("ACTIVO",H419)))</formula>
    </cfRule>
    <cfRule type="containsText" dxfId="1122" priority="3562" operator="containsText" text="BAJA">
      <formula>NOT(ISERROR(SEARCH("BAJA",H419)))</formula>
    </cfRule>
    <cfRule type="colorScale" priority="35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6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21" priority="3565" operator="containsText" text="INACTIVA">
      <formula>NOT(ISERROR(SEARCH("INACTIVA",H419)))</formula>
    </cfRule>
    <cfRule type="containsText" dxfId="1120" priority="3566" operator="containsText" text="ACTIVA">
      <formula>NOT(ISERROR(SEARCH("ACTIVA",H419)))</formula>
    </cfRule>
    <cfRule type="colorScale" priority="35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6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19" priority="3569" operator="containsText" text="INACTIVA">
      <formula>NOT(ISERROR(SEARCH("INACTIVA",H419)))</formula>
    </cfRule>
    <cfRule type="colorScale" priority="35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7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18" priority="3574" operator="containsText" text="ACTIVO">
      <formula>NOT(ISERROR(SEARCH("ACTIVO",H419)))</formula>
    </cfRule>
    <cfRule type="colorScale" priority="35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7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20:H423">
    <cfRule type="containsText" dxfId="1117" priority="2894" operator="containsText" text="BAJA">
      <formula>NOT(ISERROR(SEARCH("BAJA",H420)))</formula>
    </cfRule>
    <cfRule type="containsText" dxfId="1116" priority="2895" operator="containsText" text="ACTIVO">
      <formula>NOT(ISERROR(SEARCH("ACTIVO",H420)))</formula>
    </cfRule>
    <cfRule type="containsText" dxfId="1115" priority="2896" operator="containsText" text="ACTIVO">
      <formula>NOT(ISERROR(SEARCH("ACTIVO",H420)))</formula>
    </cfRule>
    <cfRule type="containsText" dxfId="1114" priority="2897" operator="containsText" text="BAJA">
      <formula>NOT(ISERROR(SEARCH("BAJA",H420)))</formula>
    </cfRule>
    <cfRule type="containsText" dxfId="1113" priority="2898" operator="containsText" text="ACTIVO">
      <formula>NOT(ISERROR(SEARCH("ACTIVO",H420)))</formula>
    </cfRule>
    <cfRule type="containsText" dxfId="1112" priority="2899" operator="containsText" text="ACTIVO">
      <formula>NOT(ISERROR(SEARCH("ACTIVO",H420)))</formula>
    </cfRule>
    <cfRule type="containsText" dxfId="1111" priority="2900" operator="containsText" text="BAJA">
      <formula>NOT(ISERROR(SEARCH("BAJA",H420)))</formula>
    </cfRule>
    <cfRule type="containsText" dxfId="1110" priority="2901" operator="containsText" text="ACTIVO">
      <formula>NOT(ISERROR(SEARCH("ACTIVO",H420)))</formula>
    </cfRule>
    <cfRule type="containsText" dxfId="1109" priority="2902" operator="containsText" text="ACTIVO">
      <formula>NOT(ISERROR(SEARCH("ACTIVO",H420)))</formula>
    </cfRule>
    <cfRule type="containsText" dxfId="1108" priority="2903" operator="containsText" text="ACTIVO">
      <formula>NOT(ISERROR(SEARCH("ACTIVO",H420)))</formula>
    </cfRule>
    <cfRule type="containsText" dxfId="1107" priority="2904" operator="containsText" text="ACTIVO">
      <formula>NOT(ISERROR(SEARCH("ACTIVO",H420)))</formula>
    </cfRule>
    <cfRule type="containsText" dxfId="1106" priority="2905" operator="containsText" text="BAJA">
      <formula>NOT(ISERROR(SEARCH("BAJA",H420)))</formula>
    </cfRule>
    <cfRule type="containsText" dxfId="1105" priority="2906" operator="containsText" text="INACTIVA">
      <formula>NOT(ISERROR(SEARCH("INACTIVA",H420)))</formula>
    </cfRule>
    <cfRule type="containsText" dxfId="1104" priority="2907" operator="containsText" text="ACTIVO">
      <formula>NOT(ISERROR(SEARCH("ACTIVO",H420)))</formula>
    </cfRule>
    <cfRule type="containsText" dxfId="1103" priority="2908" operator="containsText" text="BAJA">
      <formula>NOT(ISERROR(SEARCH("BAJA",H420)))</formula>
    </cfRule>
    <cfRule type="containsText" dxfId="1102" priority="2909" operator="containsText" text="ACTIVO">
      <formula>NOT(ISERROR(SEARCH("ACTIVO",H420)))</formula>
    </cfRule>
    <cfRule type="containsText" dxfId="1101" priority="2910" operator="containsText" text="INACTIVA">
      <formula>NOT(ISERROR(SEARCH("INACTIVA",H420)))</formula>
    </cfRule>
    <cfRule type="containsText" dxfId="1100" priority="2911" operator="containsText" text="BAJA">
      <formula>NOT(ISERROR(SEARCH("BAJA",H420)))</formula>
    </cfRule>
    <cfRule type="containsText" dxfId="1099" priority="2912" operator="containsText" text="ACTIVA">
      <formula>NOT(ISERROR(SEARCH("ACTIVA",H420)))</formula>
    </cfRule>
    <cfRule type="containsText" dxfId="1098" priority="2913" operator="containsText" text="ACTIVO">
      <formula>NOT(ISERROR(SEARCH("ACTIVO",H420)))</formula>
    </cfRule>
    <cfRule type="containsText" dxfId="1097" priority="2914" operator="containsText" text="ACTIVO">
      <formula>NOT(ISERROR(SEARCH("ACTIVO",H420)))</formula>
    </cfRule>
    <cfRule type="containsText" dxfId="1096" priority="2915" operator="containsText" text="INACTIVA">
      <formula>NOT(ISERROR(SEARCH("INACTIVA",H420)))</formula>
    </cfRule>
  </conditionalFormatting>
  <conditionalFormatting sqref="H420:H425">
    <cfRule type="containsText" dxfId="1095" priority="968" operator="containsText" text="ACTIVO">
      <formula>NOT(ISERROR(SEARCH("ACTIVO",H420)))</formula>
    </cfRule>
    <cfRule type="containsText" dxfId="1094" priority="976" operator="containsText" text="INACTIVA">
      <formula>NOT(ISERROR(SEARCH("INACTIVA",H420)))</formula>
    </cfRule>
  </conditionalFormatting>
  <conditionalFormatting sqref="H424">
    <cfRule type="containsText" dxfId="1093" priority="932" operator="containsText" text="ACTIVO">
      <formula>NOT(ISERROR(SEARCH("ACTIVO",H424)))</formula>
    </cfRule>
    <cfRule type="containsText" dxfId="1092" priority="933" operator="containsText" text="INACTIVA">
      <formula>NOT(ISERROR(SEARCH("INACTIVA",H424)))</formula>
    </cfRule>
    <cfRule type="containsText" dxfId="1091" priority="934" operator="containsText" text="BAJA">
      <formula>NOT(ISERROR(SEARCH("BAJA",H424)))</formula>
    </cfRule>
    <cfRule type="containsText" dxfId="1090" priority="935" operator="containsText" text="ACTIVO">
      <formula>NOT(ISERROR(SEARCH("ACTIVO",H424)))</formula>
    </cfRule>
    <cfRule type="containsText" dxfId="1089" priority="936" operator="containsText" text="BAJA">
      <formula>NOT(ISERROR(SEARCH("BAJA",H424)))</formula>
    </cfRule>
    <cfRule type="colorScale" priority="93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3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4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88" priority="941" operator="containsText" text="ACTIVO">
      <formula>NOT(ISERROR(SEARCH("ACTIVO",H424)))</formula>
    </cfRule>
    <cfRule type="containsText" dxfId="1087" priority="942" operator="containsText" text="ACTIVO">
      <formula>NOT(ISERROR(SEARCH("ACTIVO",H424)))</formula>
    </cfRule>
    <cfRule type="containsText" dxfId="1086" priority="943" operator="containsText" text="BAJA">
      <formula>NOT(ISERROR(SEARCH("BAJA",H424)))</formula>
    </cfRule>
    <cfRule type="containsText" dxfId="1085" priority="944" operator="containsText" text="ACTIVO">
      <formula>NOT(ISERROR(SEARCH("ACTIVO",H424)))</formula>
    </cfRule>
    <cfRule type="containsText" dxfId="1084" priority="945" operator="containsText" text="ACTIVO">
      <formula>NOT(ISERROR(SEARCH("ACTIVO",H424)))</formula>
    </cfRule>
    <cfRule type="colorScale" priority="94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4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83" priority="948" operator="containsText" text="BAJA">
      <formula>NOT(ISERROR(SEARCH("BAJA",H424)))</formula>
    </cfRule>
    <cfRule type="containsText" dxfId="1082" priority="949" operator="containsText" text="ACTIVO">
      <formula>NOT(ISERROR(SEARCH("ACTIVO",H424)))</formula>
    </cfRule>
    <cfRule type="containsText" dxfId="1081" priority="950" operator="containsText" text="ACTIVO">
      <formula>NOT(ISERROR(SEARCH("ACTIVO",H424)))</formula>
    </cfRule>
    <cfRule type="containsText" dxfId="1080" priority="951" operator="containsText" text="ACTIVO">
      <formula>NOT(ISERROR(SEARCH("ACTIVO",H424)))</formula>
    </cfRule>
    <cfRule type="containsText" dxfId="1079" priority="952" operator="containsText" text="ACTIVO">
      <formula>NOT(ISERROR(SEARCH("ACTIVO",H424)))</formula>
    </cfRule>
    <cfRule type="containsText" dxfId="1078" priority="953" operator="containsText" text="BAJA">
      <formula>NOT(ISERROR(SEARCH("BAJA",H424)))</formula>
    </cfRule>
    <cfRule type="containsText" dxfId="1077" priority="954" operator="containsText" text="INACTIVA">
      <formula>NOT(ISERROR(SEARCH("INACTIVA",H424)))</formula>
    </cfRule>
    <cfRule type="colorScale" priority="9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5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76" priority="959" operator="containsText" text="ACTIVO">
      <formula>NOT(ISERROR(SEARCH("ACTIVO",H424)))</formula>
    </cfRule>
    <cfRule type="containsText" dxfId="1075" priority="960" operator="containsText" text="BAJA">
      <formula>NOT(ISERROR(SEARCH("BAJA",H424)))</formula>
    </cfRule>
    <cfRule type="containsText" dxfId="1074" priority="961" operator="containsText" text="ACTIVO">
      <formula>NOT(ISERROR(SEARCH("ACTIVO",H424)))</formula>
    </cfRule>
    <cfRule type="colorScale" priority="9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6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6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73" priority="966" operator="containsText" text="INACTIVA">
      <formula>NOT(ISERROR(SEARCH("INACTIVA",H424)))</formula>
    </cfRule>
    <cfRule type="containsText" dxfId="1072" priority="967" operator="containsText" text="BAJA">
      <formula>NOT(ISERROR(SEARCH("BAJA",H424)))</formula>
    </cfRule>
    <cfRule type="containsText" dxfId="1071" priority="969" operator="containsText" text="BAJA">
      <formula>NOT(ISERROR(SEARCH("BAJA",H424)))</formula>
    </cfRule>
    <cfRule type="colorScale" priority="9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7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70" priority="972" operator="containsText" text="INACTIVA">
      <formula>NOT(ISERROR(SEARCH("INACTIVA",H424)))</formula>
    </cfRule>
    <cfRule type="containsText" dxfId="1069" priority="973" operator="containsText" text="ACTIVA">
      <formula>NOT(ISERROR(SEARCH("ACTIVA",H424)))</formula>
    </cfRule>
    <cfRule type="colorScale" priority="97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7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8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68" priority="981" operator="containsText" text="ACTIVO">
      <formula>NOT(ISERROR(SEARCH("ACTIVO",H424)))</formula>
    </cfRule>
    <cfRule type="colorScale" priority="9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8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25">
    <cfRule type="containsText" dxfId="1067" priority="2872" operator="containsText" text="BAJA">
      <formula>NOT(ISERROR(SEARCH("BAJA",H425)))</formula>
    </cfRule>
    <cfRule type="containsText" dxfId="1066" priority="2873" operator="containsText" text="ACTIVO">
      <formula>NOT(ISERROR(SEARCH("ACTIVO",H425)))</formula>
    </cfRule>
    <cfRule type="containsText" dxfId="1065" priority="2874" operator="containsText" text="ACTIVO">
      <formula>NOT(ISERROR(SEARCH("ACTIVO",H425)))</formula>
    </cfRule>
    <cfRule type="containsText" dxfId="1064" priority="2875" operator="containsText" text="BAJA">
      <formula>NOT(ISERROR(SEARCH("BAJA",H425)))</formula>
    </cfRule>
    <cfRule type="containsText" dxfId="1063" priority="2876" operator="containsText" text="ACTIVO">
      <formula>NOT(ISERROR(SEARCH("ACTIVO",H425)))</formula>
    </cfRule>
    <cfRule type="containsText" dxfId="1062" priority="2877" operator="containsText" text="ACTIVO">
      <formula>NOT(ISERROR(SEARCH("ACTIVO",H425)))</formula>
    </cfRule>
    <cfRule type="containsText" dxfId="1061" priority="2878" operator="containsText" text="BAJA">
      <formula>NOT(ISERROR(SEARCH("BAJA",H425)))</formula>
    </cfRule>
    <cfRule type="containsText" dxfId="1060" priority="2879" operator="containsText" text="ACTIVO">
      <formula>NOT(ISERROR(SEARCH("ACTIVO",H425)))</formula>
    </cfRule>
    <cfRule type="containsText" dxfId="1059" priority="2880" operator="containsText" text="ACTIVO">
      <formula>NOT(ISERROR(SEARCH("ACTIVO",H425)))</formula>
    </cfRule>
    <cfRule type="containsText" dxfId="1058" priority="2881" operator="containsText" text="ACTIVO">
      <formula>NOT(ISERROR(SEARCH("ACTIVO",H425)))</formula>
    </cfRule>
    <cfRule type="containsText" dxfId="1057" priority="2882" operator="containsText" text="ACTIVO">
      <formula>NOT(ISERROR(SEARCH("ACTIVO",H425)))</formula>
    </cfRule>
    <cfRule type="containsText" dxfId="1056" priority="2883" operator="containsText" text="BAJA">
      <formula>NOT(ISERROR(SEARCH("BAJA",H425)))</formula>
    </cfRule>
    <cfRule type="containsText" dxfId="1055" priority="2884" operator="containsText" text="INACTIVA">
      <formula>NOT(ISERROR(SEARCH("INACTIVA",H425)))</formula>
    </cfRule>
    <cfRule type="containsText" dxfId="1054" priority="2885" operator="containsText" text="ACTIVO">
      <formula>NOT(ISERROR(SEARCH("ACTIVO",H425)))</formula>
    </cfRule>
    <cfRule type="containsText" dxfId="1053" priority="2886" operator="containsText" text="BAJA">
      <formula>NOT(ISERROR(SEARCH("BAJA",H425)))</formula>
    </cfRule>
    <cfRule type="containsText" dxfId="1052" priority="2887" operator="containsText" text="ACTIVO">
      <formula>NOT(ISERROR(SEARCH("ACTIVO",H425)))</formula>
    </cfRule>
    <cfRule type="containsText" dxfId="1051" priority="2888" operator="containsText" text="INACTIVA">
      <formula>NOT(ISERROR(SEARCH("INACTIVA",H425)))</formula>
    </cfRule>
    <cfRule type="containsText" dxfId="1050" priority="2889" operator="containsText" text="BAJA">
      <formula>NOT(ISERROR(SEARCH("BAJA",H425)))</formula>
    </cfRule>
    <cfRule type="containsText" dxfId="1049" priority="2890" operator="containsText" text="ACTIVA">
      <formula>NOT(ISERROR(SEARCH("ACTIVA",H425)))</formula>
    </cfRule>
    <cfRule type="containsText" dxfId="1048" priority="2891" operator="containsText" text="ACTIVO">
      <formula>NOT(ISERROR(SEARCH("ACTIVO",H425)))</formula>
    </cfRule>
    <cfRule type="containsText" dxfId="1047" priority="2892" operator="containsText" text="ACTIVO">
      <formula>NOT(ISERROR(SEARCH("ACTIVO",H425)))</formula>
    </cfRule>
    <cfRule type="containsText" dxfId="1046" priority="2893" operator="containsText" text="INACTIVA">
      <formula>NOT(ISERROR(SEARCH("INACTIVA",H425)))</formula>
    </cfRule>
  </conditionalFormatting>
  <conditionalFormatting sqref="H426">
    <cfRule type="containsText" dxfId="1045" priority="525" operator="containsText" text="ACTIVO">
      <formula>NOT(ISERROR(SEARCH("ACTIVO",H426)))</formula>
    </cfRule>
    <cfRule type="containsText" dxfId="1044" priority="526" operator="containsText" text="INACTIVA">
      <formula>NOT(ISERROR(SEARCH("INACTIVA",H426)))</formula>
    </cfRule>
    <cfRule type="containsText" dxfId="1043" priority="527" operator="containsText" text="BAJA">
      <formula>NOT(ISERROR(SEARCH("BAJA",H426)))</formula>
    </cfRule>
    <cfRule type="containsText" dxfId="1042" priority="528" operator="containsText" text="ACTIVO">
      <formula>NOT(ISERROR(SEARCH("ACTIVO",H426)))</formula>
    </cfRule>
    <cfRule type="containsText" dxfId="1041" priority="529" operator="containsText" text="BAJA">
      <formula>NOT(ISERROR(SEARCH("BAJA",H426)))</formula>
    </cfRule>
    <cfRule type="colorScale" priority="5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3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3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3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40" priority="534" operator="containsText" text="ACTIVO">
      <formula>NOT(ISERROR(SEARCH("ACTIVO",H426)))</formula>
    </cfRule>
    <cfRule type="containsText" dxfId="1039" priority="535" operator="containsText" text="ACTIVO">
      <formula>NOT(ISERROR(SEARCH("ACTIVO",H426)))</formula>
    </cfRule>
    <cfRule type="containsText" dxfId="1038" priority="536" operator="containsText" text="BAJA">
      <formula>NOT(ISERROR(SEARCH("BAJA",H426)))</formula>
    </cfRule>
    <cfRule type="containsText" dxfId="1037" priority="537" operator="containsText" text="ACTIVO">
      <formula>NOT(ISERROR(SEARCH("ACTIVO",H426)))</formula>
    </cfRule>
    <cfRule type="containsText" dxfId="1036" priority="538" operator="containsText" text="ACTIVO">
      <formula>NOT(ISERROR(SEARCH("ACTIVO",H426)))</formula>
    </cfRule>
    <cfRule type="colorScale" priority="5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4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35" priority="541" operator="containsText" text="BAJA">
      <formula>NOT(ISERROR(SEARCH("BAJA",H426)))</formula>
    </cfRule>
    <cfRule type="containsText" dxfId="1034" priority="542" operator="containsText" text="ACTIVO">
      <formula>NOT(ISERROR(SEARCH("ACTIVO",H426)))</formula>
    </cfRule>
    <cfRule type="containsText" dxfId="1033" priority="543" operator="containsText" text="ACTIVO">
      <formula>NOT(ISERROR(SEARCH("ACTIVO",H426)))</formula>
    </cfRule>
    <cfRule type="containsText" dxfId="1032" priority="544" operator="containsText" text="ACTIVO">
      <formula>NOT(ISERROR(SEARCH("ACTIVO",H426)))</formula>
    </cfRule>
    <cfRule type="containsText" dxfId="1031" priority="545" operator="containsText" text="ACTIVO">
      <formula>NOT(ISERROR(SEARCH("ACTIVO",H426)))</formula>
    </cfRule>
    <cfRule type="containsText" dxfId="1030" priority="546" operator="containsText" text="BAJA">
      <formula>NOT(ISERROR(SEARCH("BAJA",H426)))</formula>
    </cfRule>
    <cfRule type="containsText" dxfId="1029" priority="547" operator="containsText" text="INACTIVA">
      <formula>NOT(ISERROR(SEARCH("INACTIVA",H426)))</formula>
    </cfRule>
    <cfRule type="colorScale" priority="5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4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5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5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28" priority="552" operator="containsText" text="ACTIVO">
      <formula>NOT(ISERROR(SEARCH("ACTIVO",H426)))</formula>
    </cfRule>
    <cfRule type="containsText" dxfId="1027" priority="553" operator="containsText" text="BAJA">
      <formula>NOT(ISERROR(SEARCH("BAJA",H426)))</formula>
    </cfRule>
    <cfRule type="containsText" dxfId="1026" priority="554" operator="containsText" text="ACTIVO">
      <formula>NOT(ISERROR(SEARCH("ACTIVO",H426)))</formula>
    </cfRule>
    <cfRule type="colorScale" priority="5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5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25" priority="559" operator="containsText" text="INACTIVA">
      <formula>NOT(ISERROR(SEARCH("INACTIVA",H426)))</formula>
    </cfRule>
    <cfRule type="containsText" dxfId="1024" priority="560" operator="containsText" text="BAJA">
      <formula>NOT(ISERROR(SEARCH("BAJA",H426)))</formula>
    </cfRule>
    <cfRule type="containsText" dxfId="1023" priority="562" operator="containsText" text="BAJA">
      <formula>NOT(ISERROR(SEARCH("BAJA",H426)))</formula>
    </cfRule>
    <cfRule type="colorScale" priority="5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6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22" priority="565" operator="containsText" text="INACTIVA">
      <formula>NOT(ISERROR(SEARCH("INACTIVA",H426)))</formula>
    </cfRule>
    <cfRule type="containsText" dxfId="1021" priority="566" operator="containsText" text="ACTIVA">
      <formula>NOT(ISERROR(SEARCH("ACTIVA",H426)))</formula>
    </cfRule>
    <cfRule type="colorScale" priority="5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20" priority="574" operator="containsText" text="ACTIVO">
      <formula>NOT(ISERROR(SEARCH("ACTIVO",H426)))</formula>
    </cfRule>
    <cfRule type="colorScale" priority="5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26:H428">
    <cfRule type="containsText" dxfId="1019" priority="561" operator="containsText" text="ACTIVO">
      <formula>NOT(ISERROR(SEARCH("ACTIVO",H426)))</formula>
    </cfRule>
    <cfRule type="containsText" dxfId="1018" priority="569" operator="containsText" text="INACTIVA">
      <formula>NOT(ISERROR(SEARCH("INACTIVA",H426)))</formula>
    </cfRule>
  </conditionalFormatting>
  <conditionalFormatting sqref="H427:H428">
    <cfRule type="containsText" dxfId="1017" priority="2850" operator="containsText" text="BAJA">
      <formula>NOT(ISERROR(SEARCH("BAJA",H427)))</formula>
    </cfRule>
    <cfRule type="containsText" dxfId="1016" priority="2851" operator="containsText" text="ACTIVO">
      <formula>NOT(ISERROR(SEARCH("ACTIVO",H427)))</formula>
    </cfRule>
    <cfRule type="containsText" dxfId="1015" priority="2852" operator="containsText" text="ACTIVO">
      <formula>NOT(ISERROR(SEARCH("ACTIVO",H427)))</formula>
    </cfRule>
    <cfRule type="containsText" dxfId="1014" priority="2853" operator="containsText" text="BAJA">
      <formula>NOT(ISERROR(SEARCH("BAJA",H427)))</formula>
    </cfRule>
    <cfRule type="containsText" dxfId="1013" priority="2854" operator="containsText" text="ACTIVO">
      <formula>NOT(ISERROR(SEARCH("ACTIVO",H427)))</formula>
    </cfRule>
    <cfRule type="containsText" dxfId="1012" priority="2855" operator="containsText" text="ACTIVO">
      <formula>NOT(ISERROR(SEARCH("ACTIVO",H427)))</formula>
    </cfRule>
    <cfRule type="containsText" dxfId="1011" priority="2856" operator="containsText" text="BAJA">
      <formula>NOT(ISERROR(SEARCH("BAJA",H427)))</formula>
    </cfRule>
    <cfRule type="containsText" dxfId="1010" priority="2857" operator="containsText" text="ACTIVO">
      <formula>NOT(ISERROR(SEARCH("ACTIVO",H427)))</formula>
    </cfRule>
    <cfRule type="containsText" dxfId="1009" priority="2858" operator="containsText" text="ACTIVO">
      <formula>NOT(ISERROR(SEARCH("ACTIVO",H427)))</formula>
    </cfRule>
    <cfRule type="containsText" dxfId="1008" priority="2859" operator="containsText" text="ACTIVO">
      <formula>NOT(ISERROR(SEARCH("ACTIVO",H427)))</formula>
    </cfRule>
    <cfRule type="containsText" dxfId="1007" priority="2860" operator="containsText" text="ACTIVO">
      <formula>NOT(ISERROR(SEARCH("ACTIVO",H427)))</formula>
    </cfRule>
    <cfRule type="containsText" dxfId="1006" priority="2861" operator="containsText" text="BAJA">
      <formula>NOT(ISERROR(SEARCH("BAJA",H427)))</formula>
    </cfRule>
    <cfRule type="containsText" dxfId="1005" priority="2862" operator="containsText" text="INACTIVA">
      <formula>NOT(ISERROR(SEARCH("INACTIVA",H427)))</formula>
    </cfRule>
    <cfRule type="containsText" dxfId="1004" priority="2863" operator="containsText" text="ACTIVO">
      <formula>NOT(ISERROR(SEARCH("ACTIVO",H427)))</formula>
    </cfRule>
    <cfRule type="containsText" dxfId="1003" priority="2864" operator="containsText" text="BAJA">
      <formula>NOT(ISERROR(SEARCH("BAJA",H427)))</formula>
    </cfRule>
    <cfRule type="containsText" dxfId="1002" priority="2865" operator="containsText" text="ACTIVO">
      <formula>NOT(ISERROR(SEARCH("ACTIVO",H427)))</formula>
    </cfRule>
    <cfRule type="containsText" dxfId="1001" priority="2866" operator="containsText" text="INACTIVA">
      <formula>NOT(ISERROR(SEARCH("INACTIVA",H427)))</formula>
    </cfRule>
    <cfRule type="containsText" dxfId="1000" priority="2867" operator="containsText" text="BAJA">
      <formula>NOT(ISERROR(SEARCH("BAJA",H427)))</formula>
    </cfRule>
    <cfRule type="containsText" dxfId="999" priority="2868" operator="containsText" text="ACTIVA">
      <formula>NOT(ISERROR(SEARCH("ACTIVA",H427)))</formula>
    </cfRule>
    <cfRule type="containsText" dxfId="998" priority="2869" operator="containsText" text="ACTIVO">
      <formula>NOT(ISERROR(SEARCH("ACTIVO",H427)))</formula>
    </cfRule>
  </conditionalFormatting>
  <conditionalFormatting sqref="H427:H429">
    <cfRule type="containsText" dxfId="997" priority="2870" operator="containsText" text="ACTIVO">
      <formula>NOT(ISERROR(SEARCH("ACTIVO",H427)))</formula>
    </cfRule>
    <cfRule type="containsText" dxfId="996" priority="2871" operator="containsText" text="INACTIVA">
      <formula>NOT(ISERROR(SEARCH("INACTIVA",H427)))</formula>
    </cfRule>
  </conditionalFormatting>
  <conditionalFormatting sqref="H429">
    <cfRule type="containsText" dxfId="995" priority="3475" operator="containsText" text="BAJA">
      <formula>NOT(ISERROR(SEARCH("BAJA",H429)))</formula>
    </cfRule>
    <cfRule type="containsText" dxfId="994" priority="3476" operator="containsText" text="ACTIVO">
      <formula>NOT(ISERROR(SEARCH("ACTIVO",H429)))</formula>
    </cfRule>
    <cfRule type="containsText" dxfId="993" priority="3477" operator="containsText" text="BAJA">
      <formula>NOT(ISERROR(SEARCH("BAJA",H429)))</formula>
    </cfRule>
    <cfRule type="colorScale" priority="34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7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8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8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92" priority="3482" operator="containsText" text="ACTIVO">
      <formula>NOT(ISERROR(SEARCH("ACTIVO",H429)))</formula>
    </cfRule>
    <cfRule type="containsText" dxfId="991" priority="3483" operator="containsText" text="ACTIVO">
      <formula>NOT(ISERROR(SEARCH("ACTIVO",H429)))</formula>
    </cfRule>
    <cfRule type="containsText" dxfId="990" priority="3484" operator="containsText" text="BAJA">
      <formula>NOT(ISERROR(SEARCH("BAJA",H429)))</formula>
    </cfRule>
    <cfRule type="containsText" dxfId="989" priority="3485" operator="containsText" text="ACTIVO">
      <formula>NOT(ISERROR(SEARCH("ACTIVO",H429)))</formula>
    </cfRule>
    <cfRule type="containsText" dxfId="988" priority="3486" operator="containsText" text="ACTIVO">
      <formula>NOT(ISERROR(SEARCH("ACTIVO",H429)))</formula>
    </cfRule>
    <cfRule type="colorScale" priority="348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8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87" priority="3489" operator="containsText" text="BAJA">
      <formula>NOT(ISERROR(SEARCH("BAJA",H429)))</formula>
    </cfRule>
    <cfRule type="containsText" dxfId="986" priority="3490" operator="containsText" text="ACTIVO">
      <formula>NOT(ISERROR(SEARCH("ACTIVO",H429)))</formula>
    </cfRule>
    <cfRule type="containsText" dxfId="985" priority="3491" operator="containsText" text="ACTIVO">
      <formula>NOT(ISERROR(SEARCH("ACTIVO",H429)))</formula>
    </cfRule>
    <cfRule type="containsText" dxfId="984" priority="3492" operator="containsText" text="ACTIVO">
      <formula>NOT(ISERROR(SEARCH("ACTIVO",H429)))</formula>
    </cfRule>
    <cfRule type="containsText" dxfId="983" priority="3493" operator="containsText" text="ACTIVO">
      <formula>NOT(ISERROR(SEARCH("ACTIVO",H429)))</formula>
    </cfRule>
    <cfRule type="containsText" dxfId="982" priority="3494" operator="containsText" text="BAJA">
      <formula>NOT(ISERROR(SEARCH("BAJA",H429)))</formula>
    </cfRule>
    <cfRule type="containsText" dxfId="981" priority="3495" operator="containsText" text="INACTIVA">
      <formula>NOT(ISERROR(SEARCH("INACTIVA",H429)))</formula>
    </cfRule>
    <cfRule type="colorScale" priority="34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9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80" priority="3500" operator="containsText" text="ACTIVO">
      <formula>NOT(ISERROR(SEARCH("ACTIVO",H429)))</formula>
    </cfRule>
    <cfRule type="containsText" dxfId="979" priority="3501" operator="containsText" text="BAJA">
      <formula>NOT(ISERROR(SEARCH("BAJA",H429)))</formula>
    </cfRule>
    <cfRule type="containsText" dxfId="978" priority="3502" operator="containsText" text="ACTIVO">
      <formula>NOT(ISERROR(SEARCH("ACTIVO",H429)))</formula>
    </cfRule>
    <cfRule type="colorScale" priority="350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0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0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0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77" priority="3507" operator="containsText" text="INACTIVA">
      <formula>NOT(ISERROR(SEARCH("INACTIVA",H429)))</formula>
    </cfRule>
    <cfRule type="containsText" dxfId="976" priority="3508" operator="containsText" text="BAJA">
      <formula>NOT(ISERROR(SEARCH("BAJA",H429)))</formula>
    </cfRule>
    <cfRule type="containsText" dxfId="975" priority="3509" operator="containsText" text="ACTIVO">
      <formula>NOT(ISERROR(SEARCH("ACTIVO",H429)))</formula>
    </cfRule>
    <cfRule type="containsText" dxfId="974" priority="3510" operator="containsText" text="BAJA">
      <formula>NOT(ISERROR(SEARCH("BAJA",H429)))</formula>
    </cfRule>
    <cfRule type="colorScale" priority="351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1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73" priority="3513" operator="containsText" text="INACTIVA">
      <formula>NOT(ISERROR(SEARCH("INACTIVA",H429)))</formula>
    </cfRule>
    <cfRule type="containsText" dxfId="972" priority="3514" operator="containsText" text="ACTIVA">
      <formula>NOT(ISERROR(SEARCH("ACTIVA",H429)))</formula>
    </cfRule>
    <cfRule type="colorScale" priority="35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1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71" priority="3517" operator="containsText" text="INACTIVA">
      <formula>NOT(ISERROR(SEARCH("INACTIVA",H429)))</formula>
    </cfRule>
    <cfRule type="colorScale" priority="35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1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2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2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70" priority="3522" operator="containsText" text="ACTIVO">
      <formula>NOT(ISERROR(SEARCH("ACTIVO",H429)))</formula>
    </cfRule>
    <cfRule type="colorScale" priority="35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2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2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30:H432">
    <cfRule type="containsText" dxfId="969" priority="2828" operator="containsText" text="BAJA">
      <formula>NOT(ISERROR(SEARCH("BAJA",H430)))</formula>
    </cfRule>
    <cfRule type="containsText" dxfId="968" priority="2829" operator="containsText" text="ACTIVO">
      <formula>NOT(ISERROR(SEARCH("ACTIVO",H430)))</formula>
    </cfRule>
    <cfRule type="containsText" dxfId="967" priority="2830" operator="containsText" text="ACTIVO">
      <formula>NOT(ISERROR(SEARCH("ACTIVO",H430)))</formula>
    </cfRule>
    <cfRule type="containsText" dxfId="966" priority="2831" operator="containsText" text="BAJA">
      <formula>NOT(ISERROR(SEARCH("BAJA",H430)))</formula>
    </cfRule>
    <cfRule type="containsText" dxfId="965" priority="2832" operator="containsText" text="ACTIVO">
      <formula>NOT(ISERROR(SEARCH("ACTIVO",H430)))</formula>
    </cfRule>
    <cfRule type="containsText" dxfId="964" priority="2833" operator="containsText" text="ACTIVO">
      <formula>NOT(ISERROR(SEARCH("ACTIVO",H430)))</formula>
    </cfRule>
    <cfRule type="containsText" dxfId="963" priority="2834" operator="containsText" text="BAJA">
      <formula>NOT(ISERROR(SEARCH("BAJA",H430)))</formula>
    </cfRule>
    <cfRule type="containsText" dxfId="962" priority="2835" operator="containsText" text="ACTIVO">
      <formula>NOT(ISERROR(SEARCH("ACTIVO",H430)))</formula>
    </cfRule>
    <cfRule type="containsText" dxfId="961" priority="2836" operator="containsText" text="ACTIVO">
      <formula>NOT(ISERROR(SEARCH("ACTIVO",H430)))</formula>
    </cfRule>
    <cfRule type="containsText" dxfId="960" priority="2837" operator="containsText" text="ACTIVO">
      <formula>NOT(ISERROR(SEARCH("ACTIVO",H430)))</formula>
    </cfRule>
    <cfRule type="containsText" dxfId="959" priority="2838" operator="containsText" text="ACTIVO">
      <formula>NOT(ISERROR(SEARCH("ACTIVO",H430)))</formula>
    </cfRule>
    <cfRule type="containsText" dxfId="958" priority="2839" operator="containsText" text="BAJA">
      <formula>NOT(ISERROR(SEARCH("BAJA",H430)))</formula>
    </cfRule>
    <cfRule type="containsText" dxfId="957" priority="2840" operator="containsText" text="INACTIVA">
      <formula>NOT(ISERROR(SEARCH("INACTIVA",H430)))</formula>
    </cfRule>
    <cfRule type="containsText" dxfId="956" priority="2841" operator="containsText" text="ACTIVO">
      <formula>NOT(ISERROR(SEARCH("ACTIVO",H430)))</formula>
    </cfRule>
    <cfRule type="containsText" dxfId="955" priority="2842" operator="containsText" text="BAJA">
      <formula>NOT(ISERROR(SEARCH("BAJA",H430)))</formula>
    </cfRule>
    <cfRule type="containsText" dxfId="954" priority="2843" operator="containsText" text="ACTIVO">
      <formula>NOT(ISERROR(SEARCH("ACTIVO",H430)))</formula>
    </cfRule>
    <cfRule type="containsText" dxfId="953" priority="2844" operator="containsText" text="INACTIVA">
      <formula>NOT(ISERROR(SEARCH("INACTIVA",H430)))</formula>
    </cfRule>
    <cfRule type="containsText" dxfId="952" priority="2845" operator="containsText" text="BAJA">
      <formula>NOT(ISERROR(SEARCH("BAJA",H430)))</formula>
    </cfRule>
    <cfRule type="containsText" dxfId="951" priority="2846" operator="containsText" text="ACTIVA">
      <formula>NOT(ISERROR(SEARCH("ACTIVA",H430)))</formula>
    </cfRule>
    <cfRule type="containsText" dxfId="950" priority="2847" operator="containsText" text="ACTIVO">
      <formula>NOT(ISERROR(SEARCH("ACTIVO",H430)))</formula>
    </cfRule>
    <cfRule type="containsText" dxfId="949" priority="2848" operator="containsText" text="ACTIVO">
      <formula>NOT(ISERROR(SEARCH("ACTIVO",H430)))</formula>
    </cfRule>
    <cfRule type="containsText" dxfId="948" priority="2849" operator="containsText" text="INACTIVA">
      <formula>NOT(ISERROR(SEARCH("INACTIVA",H430)))</formula>
    </cfRule>
  </conditionalFormatting>
  <conditionalFormatting sqref="H430:H440">
    <cfRule type="containsText" dxfId="947" priority="2826" operator="containsText" text="ACTIVO">
      <formula>NOT(ISERROR(SEARCH("ACTIVO",H430)))</formula>
    </cfRule>
    <cfRule type="containsText" dxfId="946" priority="2827" operator="containsText" text="INACTIVA">
      <formula>NOT(ISERROR(SEARCH("INACTIVA",H430)))</formula>
    </cfRule>
  </conditionalFormatting>
  <conditionalFormatting sqref="H433">
    <cfRule type="containsText" dxfId="945" priority="1194" operator="containsText" text="BAJA">
      <formula>NOT(ISERROR(SEARCH("BAJA",H433)))</formula>
    </cfRule>
    <cfRule type="containsText" dxfId="944" priority="1195" operator="containsText" text="ACTIVO">
      <formula>NOT(ISERROR(SEARCH("ACTIVO",H433)))</formula>
    </cfRule>
    <cfRule type="containsText" dxfId="943" priority="1196" operator="containsText" text="ACTIVO">
      <formula>NOT(ISERROR(SEARCH("ACTIVO",H433)))</formula>
    </cfRule>
    <cfRule type="containsText" dxfId="942" priority="1197" operator="containsText" text="BAJA">
      <formula>NOT(ISERROR(SEARCH("BAJA",H433)))</formula>
    </cfRule>
    <cfRule type="containsText" dxfId="941" priority="1198" operator="containsText" text="ACTIVO">
      <formula>NOT(ISERROR(SEARCH("ACTIVO",H433)))</formula>
    </cfRule>
    <cfRule type="containsText" dxfId="940" priority="1199" operator="containsText" text="ACTIVO">
      <formula>NOT(ISERROR(SEARCH("ACTIVO",H433)))</formula>
    </cfRule>
    <cfRule type="containsText" dxfId="939" priority="1200" operator="containsText" text="BAJA">
      <formula>NOT(ISERROR(SEARCH("BAJA",H433)))</formula>
    </cfRule>
    <cfRule type="containsText" dxfId="938" priority="1201" operator="containsText" text="ACTIVO">
      <formula>NOT(ISERROR(SEARCH("ACTIVO",H433)))</formula>
    </cfRule>
    <cfRule type="containsText" dxfId="937" priority="1202" operator="containsText" text="ACTIVO">
      <formula>NOT(ISERROR(SEARCH("ACTIVO",H433)))</formula>
    </cfRule>
    <cfRule type="containsText" dxfId="936" priority="1203" operator="containsText" text="ACTIVO">
      <formula>NOT(ISERROR(SEARCH("ACTIVO",H433)))</formula>
    </cfRule>
    <cfRule type="containsText" dxfId="935" priority="1204" operator="containsText" text="ACTIVO">
      <formula>NOT(ISERROR(SEARCH("ACTIVO",H433)))</formula>
    </cfRule>
    <cfRule type="containsText" dxfId="934" priority="1205" operator="containsText" text="BAJA">
      <formula>NOT(ISERROR(SEARCH("BAJA",H433)))</formula>
    </cfRule>
    <cfRule type="containsText" dxfId="933" priority="1206" operator="containsText" text="INACTIVA">
      <formula>NOT(ISERROR(SEARCH("INACTIVA",H433)))</formula>
    </cfRule>
    <cfRule type="containsText" dxfId="932" priority="1207" operator="containsText" text="ACTIVO">
      <formula>NOT(ISERROR(SEARCH("ACTIVO",H433)))</formula>
    </cfRule>
    <cfRule type="containsText" dxfId="931" priority="1208" operator="containsText" text="BAJA">
      <formula>NOT(ISERROR(SEARCH("BAJA",H433)))</formula>
    </cfRule>
    <cfRule type="containsText" dxfId="930" priority="1209" operator="containsText" text="ACTIVO">
      <formula>NOT(ISERROR(SEARCH("ACTIVO",H433)))</formula>
    </cfRule>
    <cfRule type="containsText" dxfId="929" priority="1210" operator="containsText" text="INACTIVA">
      <formula>NOT(ISERROR(SEARCH("INACTIVA",H433)))</formula>
    </cfRule>
    <cfRule type="containsText" dxfId="928" priority="1211" operator="containsText" text="BAJA">
      <formula>NOT(ISERROR(SEARCH("BAJA",H433)))</formula>
    </cfRule>
    <cfRule type="containsText" dxfId="927" priority="1213" operator="containsText" text="BAJA">
      <formula>NOT(ISERROR(SEARCH("BAJA",H433)))</formula>
    </cfRule>
    <cfRule type="containsText" dxfId="926" priority="1214" operator="containsText" text="ACTIVA">
      <formula>NOT(ISERROR(SEARCH("ACTIVA",H433)))</formula>
    </cfRule>
    <cfRule type="containsText" dxfId="925" priority="1216" operator="containsText" text="ACTIVO">
      <formula>NOT(ISERROR(SEARCH("ACTIVO",H433)))</formula>
    </cfRule>
  </conditionalFormatting>
  <conditionalFormatting sqref="H433:H439">
    <cfRule type="containsText" dxfId="924" priority="1212" operator="containsText" text="ACTIVO">
      <formula>NOT(ISERROR(SEARCH("ACTIVO",H433)))</formula>
    </cfRule>
    <cfRule type="containsText" dxfId="923" priority="1215" operator="containsText" text="INACTIVA">
      <formula>NOT(ISERROR(SEARCH("INACTIVA",H433)))</formula>
    </cfRule>
  </conditionalFormatting>
  <conditionalFormatting sqref="H434:H439">
    <cfRule type="containsText" dxfId="922" priority="2806" operator="containsText" text="BAJA">
      <formula>NOT(ISERROR(SEARCH("BAJA",H434)))</formula>
    </cfRule>
    <cfRule type="containsText" dxfId="921" priority="2807" operator="containsText" text="ACTIVO">
      <formula>NOT(ISERROR(SEARCH("ACTIVO",H434)))</formula>
    </cfRule>
    <cfRule type="containsText" dxfId="920" priority="2808" operator="containsText" text="ACTIVO">
      <formula>NOT(ISERROR(SEARCH("ACTIVO",H434)))</formula>
    </cfRule>
    <cfRule type="containsText" dxfId="919" priority="2809" operator="containsText" text="BAJA">
      <formula>NOT(ISERROR(SEARCH("BAJA",H434)))</formula>
    </cfRule>
    <cfRule type="containsText" dxfId="918" priority="2810" operator="containsText" text="ACTIVO">
      <formula>NOT(ISERROR(SEARCH("ACTIVO",H434)))</formula>
    </cfRule>
    <cfRule type="containsText" dxfId="917" priority="2811" operator="containsText" text="ACTIVO">
      <formula>NOT(ISERROR(SEARCH("ACTIVO",H434)))</formula>
    </cfRule>
    <cfRule type="containsText" dxfId="916" priority="2812" operator="containsText" text="BAJA">
      <formula>NOT(ISERROR(SEARCH("BAJA",H434)))</formula>
    </cfRule>
    <cfRule type="containsText" dxfId="915" priority="2813" operator="containsText" text="ACTIVO">
      <formula>NOT(ISERROR(SEARCH("ACTIVO",H434)))</formula>
    </cfRule>
    <cfRule type="containsText" dxfId="914" priority="2814" operator="containsText" text="ACTIVO">
      <formula>NOT(ISERROR(SEARCH("ACTIVO",H434)))</formula>
    </cfRule>
    <cfRule type="containsText" dxfId="913" priority="2815" operator="containsText" text="ACTIVO">
      <formula>NOT(ISERROR(SEARCH("ACTIVO",H434)))</formula>
    </cfRule>
    <cfRule type="containsText" dxfId="912" priority="2816" operator="containsText" text="ACTIVO">
      <formula>NOT(ISERROR(SEARCH("ACTIVO",H434)))</formula>
    </cfRule>
    <cfRule type="containsText" dxfId="911" priority="2817" operator="containsText" text="BAJA">
      <formula>NOT(ISERROR(SEARCH("BAJA",H434)))</formula>
    </cfRule>
    <cfRule type="containsText" dxfId="910" priority="2818" operator="containsText" text="INACTIVA">
      <formula>NOT(ISERROR(SEARCH("INACTIVA",H434)))</formula>
    </cfRule>
    <cfRule type="containsText" dxfId="909" priority="2819" operator="containsText" text="ACTIVO">
      <formula>NOT(ISERROR(SEARCH("ACTIVO",H434)))</formula>
    </cfRule>
    <cfRule type="containsText" dxfId="908" priority="2820" operator="containsText" text="BAJA">
      <formula>NOT(ISERROR(SEARCH("BAJA",H434)))</formula>
    </cfRule>
    <cfRule type="containsText" dxfId="907" priority="2821" operator="containsText" text="ACTIVO">
      <formula>NOT(ISERROR(SEARCH("ACTIVO",H434)))</formula>
    </cfRule>
    <cfRule type="containsText" dxfId="906" priority="2822" operator="containsText" text="INACTIVA">
      <formula>NOT(ISERROR(SEARCH("INACTIVA",H434)))</formula>
    </cfRule>
    <cfRule type="containsText" dxfId="905" priority="2823" operator="containsText" text="BAJA">
      <formula>NOT(ISERROR(SEARCH("BAJA",H434)))</formula>
    </cfRule>
    <cfRule type="containsText" dxfId="904" priority="2824" operator="containsText" text="ACTIVA">
      <formula>NOT(ISERROR(SEARCH("ACTIVA",H434)))</formula>
    </cfRule>
    <cfRule type="containsText" dxfId="903" priority="2825" operator="containsText" text="ACTIVO">
      <formula>NOT(ISERROR(SEARCH("ACTIVO",H434)))</formula>
    </cfRule>
  </conditionalFormatting>
  <conditionalFormatting sqref="H440">
    <cfRule type="containsText" dxfId="902" priority="3452" operator="containsText" text="BAJA">
      <formula>NOT(ISERROR(SEARCH("BAJA",H440)))</formula>
    </cfRule>
    <cfRule type="containsText" dxfId="901" priority="3453" operator="containsText" text="ACTIVO">
      <formula>NOT(ISERROR(SEARCH("ACTIVO",H440)))</formula>
    </cfRule>
    <cfRule type="containsText" dxfId="900" priority="3454" operator="containsText" text="ACTIVO">
      <formula>NOT(ISERROR(SEARCH("ACTIVO",H440)))</formula>
    </cfRule>
    <cfRule type="containsText" dxfId="899" priority="3455" operator="containsText" text="BAJA">
      <formula>NOT(ISERROR(SEARCH("BAJA",H440)))</formula>
    </cfRule>
    <cfRule type="containsText" dxfId="898" priority="3456" operator="containsText" text="ACTIVO">
      <formula>NOT(ISERROR(SEARCH("ACTIVO",H440)))</formula>
    </cfRule>
    <cfRule type="containsText" dxfId="897" priority="3457" operator="containsText" text="ACTIVO">
      <formula>NOT(ISERROR(SEARCH("ACTIVO",H440)))</formula>
    </cfRule>
    <cfRule type="containsText" dxfId="896" priority="3458" operator="containsText" text="BAJA">
      <formula>NOT(ISERROR(SEARCH("BAJA",H440)))</formula>
    </cfRule>
    <cfRule type="containsText" dxfId="895" priority="3459" operator="containsText" text="ACTIVO">
      <formula>NOT(ISERROR(SEARCH("ACTIVO",H440)))</formula>
    </cfRule>
    <cfRule type="containsText" dxfId="894" priority="3460" operator="containsText" text="ACTIVO">
      <formula>NOT(ISERROR(SEARCH("ACTIVO",H440)))</formula>
    </cfRule>
    <cfRule type="containsText" dxfId="893" priority="3461" operator="containsText" text="ACTIVO">
      <formula>NOT(ISERROR(SEARCH("ACTIVO",H440)))</formula>
    </cfRule>
    <cfRule type="containsText" dxfId="892" priority="3462" operator="containsText" text="ACTIVO">
      <formula>NOT(ISERROR(SEARCH("ACTIVO",H440)))</formula>
    </cfRule>
    <cfRule type="containsText" dxfId="891" priority="3463" operator="containsText" text="BAJA">
      <formula>NOT(ISERROR(SEARCH("BAJA",H440)))</formula>
    </cfRule>
    <cfRule type="containsText" dxfId="890" priority="3464" operator="containsText" text="INACTIVA">
      <formula>NOT(ISERROR(SEARCH("INACTIVA",H440)))</formula>
    </cfRule>
    <cfRule type="containsText" dxfId="889" priority="3465" operator="containsText" text="ACTIVO">
      <formula>NOT(ISERROR(SEARCH("ACTIVO",H440)))</formula>
    </cfRule>
    <cfRule type="containsText" dxfId="888" priority="3466" operator="containsText" text="BAJA">
      <formula>NOT(ISERROR(SEARCH("BAJA",H440)))</formula>
    </cfRule>
    <cfRule type="containsText" dxfId="887" priority="3467" operator="containsText" text="ACTIVO">
      <formula>NOT(ISERROR(SEARCH("ACTIVO",H440)))</formula>
    </cfRule>
    <cfRule type="containsText" dxfId="886" priority="3468" operator="containsText" text="INACTIVA">
      <formula>NOT(ISERROR(SEARCH("INACTIVA",H440)))</formula>
    </cfRule>
    <cfRule type="containsText" dxfId="885" priority="3469" operator="containsText" text="BAJA">
      <formula>NOT(ISERROR(SEARCH("BAJA",H440)))</formula>
    </cfRule>
    <cfRule type="containsText" dxfId="884" priority="3470" operator="containsText" text="ACTIVO">
      <formula>NOT(ISERROR(SEARCH("ACTIVO",H440)))</formula>
    </cfRule>
    <cfRule type="containsText" dxfId="883" priority="3471" operator="containsText" text="BAJA">
      <formula>NOT(ISERROR(SEARCH("BAJA",H440)))</formula>
    </cfRule>
    <cfRule type="containsText" dxfId="882" priority="3472" operator="containsText" text="ACTIVA">
      <formula>NOT(ISERROR(SEARCH("ACTIVA",H440)))</formula>
    </cfRule>
    <cfRule type="containsText" dxfId="881" priority="3473" operator="containsText" text="INACTIVA">
      <formula>NOT(ISERROR(SEARCH("INACTIVA",H440)))</formula>
    </cfRule>
    <cfRule type="containsText" dxfId="880" priority="3474" operator="containsText" text="ACTIVO">
      <formula>NOT(ISERROR(SEARCH("ACTIVO",H440)))</formula>
    </cfRule>
  </conditionalFormatting>
  <conditionalFormatting sqref="H441:H443">
    <cfRule type="containsText" dxfId="879" priority="2784" operator="containsText" text="BAJA">
      <formula>NOT(ISERROR(SEARCH("BAJA",H441)))</formula>
    </cfRule>
    <cfRule type="containsText" dxfId="878" priority="2785" operator="containsText" text="ACTIVO">
      <formula>NOT(ISERROR(SEARCH("ACTIVO",H441)))</formula>
    </cfRule>
    <cfRule type="containsText" dxfId="877" priority="2786" operator="containsText" text="ACTIVO">
      <formula>NOT(ISERROR(SEARCH("ACTIVO",H441)))</formula>
    </cfRule>
    <cfRule type="containsText" dxfId="876" priority="2787" operator="containsText" text="BAJA">
      <formula>NOT(ISERROR(SEARCH("BAJA",H441)))</formula>
    </cfRule>
    <cfRule type="containsText" dxfId="875" priority="2788" operator="containsText" text="ACTIVO">
      <formula>NOT(ISERROR(SEARCH("ACTIVO",H441)))</formula>
    </cfRule>
    <cfRule type="containsText" dxfId="874" priority="2789" operator="containsText" text="ACTIVO">
      <formula>NOT(ISERROR(SEARCH("ACTIVO",H441)))</formula>
    </cfRule>
    <cfRule type="containsText" dxfId="873" priority="2790" operator="containsText" text="BAJA">
      <formula>NOT(ISERROR(SEARCH("BAJA",H441)))</formula>
    </cfRule>
    <cfRule type="containsText" dxfId="872" priority="2791" operator="containsText" text="ACTIVO">
      <formula>NOT(ISERROR(SEARCH("ACTIVO",H441)))</formula>
    </cfRule>
    <cfRule type="containsText" dxfId="871" priority="2792" operator="containsText" text="ACTIVO">
      <formula>NOT(ISERROR(SEARCH("ACTIVO",H441)))</formula>
    </cfRule>
    <cfRule type="containsText" dxfId="870" priority="2793" operator="containsText" text="ACTIVO">
      <formula>NOT(ISERROR(SEARCH("ACTIVO",H441)))</formula>
    </cfRule>
    <cfRule type="containsText" dxfId="869" priority="2794" operator="containsText" text="ACTIVO">
      <formula>NOT(ISERROR(SEARCH("ACTIVO",H441)))</formula>
    </cfRule>
    <cfRule type="containsText" dxfId="868" priority="2795" operator="containsText" text="BAJA">
      <formula>NOT(ISERROR(SEARCH("BAJA",H441)))</formula>
    </cfRule>
    <cfRule type="containsText" dxfId="867" priority="2796" operator="containsText" text="INACTIVA">
      <formula>NOT(ISERROR(SEARCH("INACTIVA",H441)))</formula>
    </cfRule>
    <cfRule type="containsText" dxfId="866" priority="2797" operator="containsText" text="ACTIVO">
      <formula>NOT(ISERROR(SEARCH("ACTIVO",H441)))</formula>
    </cfRule>
    <cfRule type="containsText" dxfId="865" priority="2798" operator="containsText" text="BAJA">
      <formula>NOT(ISERROR(SEARCH("BAJA",H441)))</formula>
    </cfRule>
    <cfRule type="containsText" dxfId="864" priority="2799" operator="containsText" text="ACTIVO">
      <formula>NOT(ISERROR(SEARCH("ACTIVO",H441)))</formula>
    </cfRule>
    <cfRule type="containsText" dxfId="863" priority="2800" operator="containsText" text="INACTIVA">
      <formula>NOT(ISERROR(SEARCH("INACTIVA",H441)))</formula>
    </cfRule>
    <cfRule type="containsText" dxfId="862" priority="2801" operator="containsText" text="BAJA">
      <formula>NOT(ISERROR(SEARCH("BAJA",H441)))</formula>
    </cfRule>
    <cfRule type="containsText" dxfId="861" priority="2802" operator="containsText" text="ACTIVA">
      <formula>NOT(ISERROR(SEARCH("ACTIVA",H441)))</formula>
    </cfRule>
    <cfRule type="containsText" dxfId="860" priority="2803" operator="containsText" text="ACTIVO">
      <formula>NOT(ISERROR(SEARCH("ACTIVO",H441)))</formula>
    </cfRule>
    <cfRule type="containsText" dxfId="859" priority="2804" operator="containsText" text="ACTIVO">
      <formula>NOT(ISERROR(SEARCH("ACTIVO",H441)))</formula>
    </cfRule>
    <cfRule type="containsText" dxfId="858" priority="2805" operator="containsText" text="INACTIVA">
      <formula>NOT(ISERROR(SEARCH("INACTIVA",H441)))</formula>
    </cfRule>
  </conditionalFormatting>
  <conditionalFormatting sqref="H441:H444">
    <cfRule type="containsText" dxfId="857" priority="482" operator="containsText" text="ACTIVO">
      <formula>NOT(ISERROR(SEARCH("ACTIVO",H441)))</formula>
    </cfRule>
    <cfRule type="containsText" dxfId="856" priority="490" operator="containsText" text="INACTIVA">
      <formula>NOT(ISERROR(SEARCH("INACTIVA",H441)))</formula>
    </cfRule>
  </conditionalFormatting>
  <conditionalFormatting sqref="H444">
    <cfRule type="containsText" dxfId="855" priority="446" operator="containsText" text="ACTIVO">
      <formula>NOT(ISERROR(SEARCH("ACTIVO",H444)))</formula>
    </cfRule>
    <cfRule type="containsText" dxfId="854" priority="447" operator="containsText" text="INACTIVA">
      <formula>NOT(ISERROR(SEARCH("INACTIVA",H444)))</formula>
    </cfRule>
    <cfRule type="containsText" dxfId="853" priority="448" operator="containsText" text="BAJA">
      <formula>NOT(ISERROR(SEARCH("BAJA",H444)))</formula>
    </cfRule>
    <cfRule type="containsText" dxfId="852" priority="449" operator="containsText" text="ACTIVO">
      <formula>NOT(ISERROR(SEARCH("ACTIVO",H444)))</formula>
    </cfRule>
    <cfRule type="containsText" dxfId="851" priority="450" operator="containsText" text="BAJA">
      <formula>NOT(ISERROR(SEARCH("BAJA",H444)))</formula>
    </cfRule>
    <cfRule type="colorScale" priority="45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5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5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5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50" priority="455" operator="containsText" text="ACTIVO">
      <formula>NOT(ISERROR(SEARCH("ACTIVO",H444)))</formula>
    </cfRule>
    <cfRule type="containsText" dxfId="849" priority="456" operator="containsText" text="ACTIVO">
      <formula>NOT(ISERROR(SEARCH("ACTIVO",H444)))</formula>
    </cfRule>
    <cfRule type="containsText" dxfId="848" priority="457" operator="containsText" text="BAJA">
      <formula>NOT(ISERROR(SEARCH("BAJA",H444)))</formula>
    </cfRule>
    <cfRule type="containsText" dxfId="847" priority="458" operator="containsText" text="ACTIVO">
      <formula>NOT(ISERROR(SEARCH("ACTIVO",H444)))</formula>
    </cfRule>
    <cfRule type="containsText" dxfId="846" priority="459" operator="containsText" text="ACTIVO">
      <formula>NOT(ISERROR(SEARCH("ACTIVO",H444)))</formula>
    </cfRule>
    <cfRule type="colorScale" priority="4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45" priority="462" operator="containsText" text="BAJA">
      <formula>NOT(ISERROR(SEARCH("BAJA",H444)))</formula>
    </cfRule>
    <cfRule type="containsText" dxfId="844" priority="463" operator="containsText" text="ACTIVO">
      <formula>NOT(ISERROR(SEARCH("ACTIVO",H444)))</formula>
    </cfRule>
    <cfRule type="containsText" dxfId="843" priority="464" operator="containsText" text="ACTIVO">
      <formula>NOT(ISERROR(SEARCH("ACTIVO",H444)))</formula>
    </cfRule>
    <cfRule type="containsText" dxfId="842" priority="465" operator="containsText" text="ACTIVO">
      <formula>NOT(ISERROR(SEARCH("ACTIVO",H444)))</formula>
    </cfRule>
    <cfRule type="containsText" dxfId="841" priority="466" operator="containsText" text="ACTIVO">
      <formula>NOT(ISERROR(SEARCH("ACTIVO",H444)))</formula>
    </cfRule>
    <cfRule type="containsText" dxfId="840" priority="467" operator="containsText" text="BAJA">
      <formula>NOT(ISERROR(SEARCH("BAJA",H444)))</formula>
    </cfRule>
    <cfRule type="containsText" dxfId="839" priority="468" operator="containsText" text="INACTIVA">
      <formula>NOT(ISERROR(SEARCH("INACTIVA",H444)))</formula>
    </cfRule>
    <cfRule type="colorScale" priority="46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38" priority="473" operator="containsText" text="ACTIVO">
      <formula>NOT(ISERROR(SEARCH("ACTIVO",H444)))</formula>
    </cfRule>
    <cfRule type="containsText" dxfId="837" priority="474" operator="containsText" text="BAJA">
      <formula>NOT(ISERROR(SEARCH("BAJA",H444)))</formula>
    </cfRule>
    <cfRule type="containsText" dxfId="836" priority="475" operator="containsText" text="ACTIVO">
      <formula>NOT(ISERROR(SEARCH("ACTIVO",H444)))</formula>
    </cfRule>
    <cfRule type="colorScale" priority="4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35" priority="480" operator="containsText" text="INACTIVA">
      <formula>NOT(ISERROR(SEARCH("INACTIVA",H444)))</formula>
    </cfRule>
    <cfRule type="containsText" dxfId="834" priority="481" operator="containsText" text="BAJA">
      <formula>NOT(ISERROR(SEARCH("BAJA",H444)))</formula>
    </cfRule>
    <cfRule type="containsText" dxfId="833" priority="483" operator="containsText" text="BAJA">
      <formula>NOT(ISERROR(SEARCH("BAJA",H444)))</formula>
    </cfRule>
    <cfRule type="colorScale" priority="4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32" priority="486" operator="containsText" text="INACTIVA">
      <formula>NOT(ISERROR(SEARCH("INACTIVA",H444)))</formula>
    </cfRule>
    <cfRule type="containsText" dxfId="831" priority="487" operator="containsText" text="ACTIVA">
      <formula>NOT(ISERROR(SEARCH("ACTIVA",H444)))</formula>
    </cfRule>
    <cfRule type="colorScale" priority="48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30" priority="495" operator="containsText" text="ACTIVO">
      <formula>NOT(ISERROR(SEARCH("ACTIVO",H444)))</formula>
    </cfRule>
    <cfRule type="colorScale" priority="4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45:H447 H449">
    <cfRule type="containsText" dxfId="829" priority="3430" operator="containsText" text="ACTIVO">
      <formula>NOT(ISERROR(SEARCH("ACTIVO",H445)))</formula>
    </cfRule>
    <cfRule type="containsText" dxfId="828" priority="3431" operator="containsText" text="ACTIVO">
      <formula>NOT(ISERROR(SEARCH("ACTIVO",H445)))</formula>
    </cfRule>
    <cfRule type="containsText" dxfId="827" priority="3432" operator="containsText" text="BAJA">
      <formula>NOT(ISERROR(SEARCH("BAJA",H445)))</formula>
    </cfRule>
    <cfRule type="containsText" dxfId="826" priority="3433" operator="containsText" text="ACTIVO">
      <formula>NOT(ISERROR(SEARCH("ACTIVO",H445)))</formula>
    </cfRule>
    <cfRule type="containsText" dxfId="825" priority="3434" operator="containsText" text="ACTIVO">
      <formula>NOT(ISERROR(SEARCH("ACTIVO",H445)))</formula>
    </cfRule>
    <cfRule type="containsText" dxfId="824" priority="3435" operator="containsText" text="BAJA">
      <formula>NOT(ISERROR(SEARCH("BAJA",H445)))</formula>
    </cfRule>
    <cfRule type="containsText" dxfId="823" priority="3436" operator="containsText" text="ACTIVO">
      <formula>NOT(ISERROR(SEARCH("ACTIVO",H445)))</formula>
    </cfRule>
    <cfRule type="containsText" dxfId="822" priority="3437" operator="containsText" text="ACTIVO">
      <formula>NOT(ISERROR(SEARCH("ACTIVO",H445)))</formula>
    </cfRule>
    <cfRule type="containsText" dxfId="821" priority="3438" operator="containsText" text="ACTIVO">
      <formula>NOT(ISERROR(SEARCH("ACTIVO",H445)))</formula>
    </cfRule>
    <cfRule type="containsText" dxfId="820" priority="3439" operator="containsText" text="ACTIVO">
      <formula>NOT(ISERROR(SEARCH("ACTIVO",H445)))</formula>
    </cfRule>
    <cfRule type="containsText" dxfId="819" priority="3440" operator="containsText" text="BAJA">
      <formula>NOT(ISERROR(SEARCH("BAJA",H445)))</formula>
    </cfRule>
    <cfRule type="containsText" dxfId="818" priority="3441" operator="containsText" text="INACTIVA">
      <formula>NOT(ISERROR(SEARCH("INACTIVA",H445)))</formula>
    </cfRule>
    <cfRule type="containsText" dxfId="817" priority="3442" operator="containsText" text="ACTIVO">
      <formula>NOT(ISERROR(SEARCH("ACTIVO",H445)))</formula>
    </cfRule>
    <cfRule type="containsText" dxfId="816" priority="3443" operator="containsText" text="BAJA">
      <formula>NOT(ISERROR(SEARCH("BAJA",H445)))</formula>
    </cfRule>
    <cfRule type="containsText" dxfId="815" priority="3444" operator="containsText" text="ACTIVO">
      <formula>NOT(ISERROR(SEARCH("ACTIVO",H445)))</formula>
    </cfRule>
    <cfRule type="containsText" dxfId="814" priority="3445" operator="containsText" text="INACTIVA">
      <formula>NOT(ISERROR(SEARCH("INACTIVA",H445)))</formula>
    </cfRule>
    <cfRule type="containsText" dxfId="813" priority="3446" operator="containsText" text="BAJA">
      <formula>NOT(ISERROR(SEARCH("BAJA",H445)))</formula>
    </cfRule>
    <cfRule type="containsText" dxfId="812" priority="3447" operator="containsText" text="ACTIVO">
      <formula>NOT(ISERROR(SEARCH("ACTIVO",H445)))</formula>
    </cfRule>
    <cfRule type="containsText" dxfId="811" priority="3448" operator="containsText" text="BAJA">
      <formula>NOT(ISERROR(SEARCH("BAJA",H445)))</formula>
    </cfRule>
    <cfRule type="containsText" dxfId="810" priority="3449" operator="containsText" text="ACTIVA">
      <formula>NOT(ISERROR(SEARCH("ACTIVA",H445)))</formula>
    </cfRule>
    <cfRule type="containsText" dxfId="809" priority="3450" operator="containsText" text="INACTIVA">
      <formula>NOT(ISERROR(SEARCH("INACTIVA",H445)))</formula>
    </cfRule>
    <cfRule type="containsText" dxfId="808" priority="3451" operator="containsText" text="ACTIVO">
      <formula>NOT(ISERROR(SEARCH("ACTIVO",H445)))</formula>
    </cfRule>
  </conditionalFormatting>
  <conditionalFormatting sqref="H445:H448">
    <cfRule type="containsText" dxfId="807" priority="914" operator="containsText" text="ACTIVO">
      <formula>NOT(ISERROR(SEARCH("ACTIVO",H445)))</formula>
    </cfRule>
    <cfRule type="containsText" dxfId="806" priority="922" operator="containsText" text="INACTIVA">
      <formula>NOT(ISERROR(SEARCH("INACTIVA",H445)))</formula>
    </cfRule>
  </conditionalFormatting>
  <conditionalFormatting sqref="H448">
    <cfRule type="containsText" dxfId="805" priority="878" operator="containsText" text="ACTIVO">
      <formula>NOT(ISERROR(SEARCH("ACTIVO",H448)))</formula>
    </cfRule>
    <cfRule type="containsText" dxfId="804" priority="879" operator="containsText" text="INACTIVA">
      <formula>NOT(ISERROR(SEARCH("INACTIVA",H448)))</formula>
    </cfRule>
    <cfRule type="containsText" dxfId="803" priority="880" operator="containsText" text="BAJA">
      <formula>NOT(ISERROR(SEARCH("BAJA",H448)))</formula>
    </cfRule>
    <cfRule type="containsText" dxfId="802" priority="881" operator="containsText" text="ACTIVO">
      <formula>NOT(ISERROR(SEARCH("ACTIVO",H448)))</formula>
    </cfRule>
    <cfRule type="containsText" dxfId="801" priority="882" operator="containsText" text="BAJA">
      <formula>NOT(ISERROR(SEARCH("BAJA",H448)))</formula>
    </cfRule>
    <cfRule type="colorScale" priority="8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8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8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00" priority="887" operator="containsText" text="ACTIVO">
      <formula>NOT(ISERROR(SEARCH("ACTIVO",H448)))</formula>
    </cfRule>
    <cfRule type="containsText" dxfId="799" priority="888" operator="containsText" text="ACTIVO">
      <formula>NOT(ISERROR(SEARCH("ACTIVO",H448)))</formula>
    </cfRule>
    <cfRule type="containsText" dxfId="798" priority="889" operator="containsText" text="BAJA">
      <formula>NOT(ISERROR(SEARCH("BAJA",H448)))</formula>
    </cfRule>
    <cfRule type="containsText" dxfId="797" priority="890" operator="containsText" text="ACTIVO">
      <formula>NOT(ISERROR(SEARCH("ACTIVO",H448)))</formula>
    </cfRule>
    <cfRule type="containsText" dxfId="796" priority="891" operator="containsText" text="ACTIVO">
      <formula>NOT(ISERROR(SEARCH("ACTIVO",H448)))</formula>
    </cfRule>
    <cfRule type="colorScale" priority="8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9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795" priority="894" operator="containsText" text="BAJA">
      <formula>NOT(ISERROR(SEARCH("BAJA",H448)))</formula>
    </cfRule>
    <cfRule type="containsText" dxfId="794" priority="895" operator="containsText" text="ACTIVO">
      <formula>NOT(ISERROR(SEARCH("ACTIVO",H448)))</formula>
    </cfRule>
    <cfRule type="containsText" dxfId="793" priority="896" operator="containsText" text="ACTIVO">
      <formula>NOT(ISERROR(SEARCH("ACTIVO",H448)))</formula>
    </cfRule>
    <cfRule type="containsText" dxfId="792" priority="897" operator="containsText" text="ACTIVO">
      <formula>NOT(ISERROR(SEARCH("ACTIVO",H448)))</formula>
    </cfRule>
    <cfRule type="containsText" dxfId="791" priority="898" operator="containsText" text="ACTIVO">
      <formula>NOT(ISERROR(SEARCH("ACTIVO",H448)))</formula>
    </cfRule>
    <cfRule type="containsText" dxfId="790" priority="899" operator="containsText" text="BAJA">
      <formula>NOT(ISERROR(SEARCH("BAJA",H448)))</formula>
    </cfRule>
    <cfRule type="containsText" dxfId="789" priority="900" operator="containsText" text="INACTIVA">
      <formula>NOT(ISERROR(SEARCH("INACTIVA",H448)))</formula>
    </cfRule>
    <cfRule type="colorScale" priority="90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0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0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0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788" priority="905" operator="containsText" text="ACTIVO">
      <formula>NOT(ISERROR(SEARCH("ACTIVO",H448)))</formula>
    </cfRule>
    <cfRule type="containsText" dxfId="787" priority="906" operator="containsText" text="BAJA">
      <formula>NOT(ISERROR(SEARCH("BAJA",H448)))</formula>
    </cfRule>
    <cfRule type="containsText" dxfId="786" priority="907" operator="containsText" text="ACTIVO">
      <formula>NOT(ISERROR(SEARCH("ACTIVO",H448)))</formula>
    </cfRule>
    <cfRule type="colorScale" priority="90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0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1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1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785" priority="912" operator="containsText" text="INACTIVA">
      <formula>NOT(ISERROR(SEARCH("INACTIVA",H448)))</formula>
    </cfRule>
    <cfRule type="containsText" dxfId="784" priority="913" operator="containsText" text="BAJA">
      <formula>NOT(ISERROR(SEARCH("BAJA",H448)))</formula>
    </cfRule>
    <cfRule type="containsText" dxfId="783" priority="915" operator="containsText" text="BAJA">
      <formula>NOT(ISERROR(SEARCH("BAJA",H448)))</formula>
    </cfRule>
    <cfRule type="colorScale" priority="9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1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782" priority="918" operator="containsText" text="INACTIVA">
      <formula>NOT(ISERROR(SEARCH("INACTIVA",H448)))</formula>
    </cfRule>
    <cfRule type="containsText" dxfId="781" priority="919" operator="containsText" text="ACTIVA">
      <formula>NOT(ISERROR(SEARCH("ACTIVA",H448)))</formula>
    </cfRule>
    <cfRule type="colorScale" priority="92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2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2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2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780" priority="927" operator="containsText" text="ACTIVO">
      <formula>NOT(ISERROR(SEARCH("ACTIVO",H448)))</formula>
    </cfRule>
    <cfRule type="colorScale" priority="92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2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3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49 H445:H447">
    <cfRule type="containsText" dxfId="779" priority="3429" operator="containsText" text="BAJA">
      <formula>NOT(ISERROR(SEARCH("BAJA",H445)))</formula>
    </cfRule>
  </conditionalFormatting>
  <conditionalFormatting sqref="H449:H450">
    <cfRule type="containsText" dxfId="778" priority="3424" operator="containsText" text="ACTIVO">
      <formula>NOT(ISERROR(SEARCH("ACTIVO",H449)))</formula>
    </cfRule>
    <cfRule type="containsText" dxfId="777" priority="3427" operator="containsText" text="INACTIVA">
      <formula>NOT(ISERROR(SEARCH("INACTIVA",H449)))</formula>
    </cfRule>
  </conditionalFormatting>
  <conditionalFormatting sqref="H450">
    <cfRule type="containsText" dxfId="776" priority="3406" operator="containsText" text="BAJA">
      <formula>NOT(ISERROR(SEARCH("BAJA",H450)))</formula>
    </cfRule>
    <cfRule type="containsText" dxfId="775" priority="3407" operator="containsText" text="ACTIVO">
      <formula>NOT(ISERROR(SEARCH("ACTIVO",H450)))</formula>
    </cfRule>
    <cfRule type="containsText" dxfId="774" priority="3408" operator="containsText" text="ACTIVO">
      <formula>NOT(ISERROR(SEARCH("ACTIVO",H450)))</formula>
    </cfRule>
    <cfRule type="containsText" dxfId="773" priority="3409" operator="containsText" text="BAJA">
      <formula>NOT(ISERROR(SEARCH("BAJA",H450)))</formula>
    </cfRule>
    <cfRule type="containsText" dxfId="772" priority="3410" operator="containsText" text="ACTIVO">
      <formula>NOT(ISERROR(SEARCH("ACTIVO",H450)))</formula>
    </cfRule>
    <cfRule type="containsText" dxfId="771" priority="3411" operator="containsText" text="ACTIVO">
      <formula>NOT(ISERROR(SEARCH("ACTIVO",H450)))</formula>
    </cfRule>
    <cfRule type="containsText" dxfId="770" priority="3412" operator="containsText" text="BAJA">
      <formula>NOT(ISERROR(SEARCH("BAJA",H450)))</formula>
    </cfRule>
    <cfRule type="containsText" dxfId="769" priority="3413" operator="containsText" text="ACTIVO">
      <formula>NOT(ISERROR(SEARCH("ACTIVO",H450)))</formula>
    </cfRule>
    <cfRule type="containsText" dxfId="768" priority="3414" operator="containsText" text="ACTIVO">
      <formula>NOT(ISERROR(SEARCH("ACTIVO",H450)))</formula>
    </cfRule>
    <cfRule type="containsText" dxfId="767" priority="3415" operator="containsText" text="ACTIVO">
      <formula>NOT(ISERROR(SEARCH("ACTIVO",H450)))</formula>
    </cfRule>
    <cfRule type="containsText" dxfId="766" priority="3416" operator="containsText" text="ACTIVO">
      <formula>NOT(ISERROR(SEARCH("ACTIVO",H450)))</formula>
    </cfRule>
    <cfRule type="containsText" dxfId="765" priority="3417" operator="containsText" text="BAJA">
      <formula>NOT(ISERROR(SEARCH("BAJA",H450)))</formula>
    </cfRule>
    <cfRule type="containsText" dxfId="764" priority="3418" operator="containsText" text="INACTIVA">
      <formula>NOT(ISERROR(SEARCH("INACTIVA",H450)))</formula>
    </cfRule>
    <cfRule type="containsText" dxfId="763" priority="3419" operator="containsText" text="ACTIVO">
      <formula>NOT(ISERROR(SEARCH("ACTIVO",H450)))</formula>
    </cfRule>
    <cfRule type="containsText" dxfId="762" priority="3420" operator="containsText" text="BAJA">
      <formula>NOT(ISERROR(SEARCH("BAJA",H450)))</formula>
    </cfRule>
    <cfRule type="containsText" dxfId="761" priority="3421" operator="containsText" text="ACTIVO">
      <formula>NOT(ISERROR(SEARCH("ACTIVO",H450)))</formula>
    </cfRule>
    <cfRule type="containsText" dxfId="760" priority="3422" operator="containsText" text="INACTIVA">
      <formula>NOT(ISERROR(SEARCH("INACTIVA",H450)))</formula>
    </cfRule>
    <cfRule type="containsText" dxfId="759" priority="3423" operator="containsText" text="BAJA">
      <formula>NOT(ISERROR(SEARCH("BAJA",H450)))</formula>
    </cfRule>
    <cfRule type="containsText" dxfId="758" priority="3425" operator="containsText" text="BAJA">
      <formula>NOT(ISERROR(SEARCH("BAJA",H450)))</formula>
    </cfRule>
    <cfRule type="containsText" dxfId="757" priority="3426" operator="containsText" text="ACTIVA">
      <formula>NOT(ISERROR(SEARCH("ACTIVA",H450)))</formula>
    </cfRule>
    <cfRule type="containsText" dxfId="756" priority="3428" operator="containsText" text="ACTIVO">
      <formula>NOT(ISERROR(SEARCH("ACTIVO",H450)))</formula>
    </cfRule>
  </conditionalFormatting>
  <conditionalFormatting sqref="H450:H451 H458">
    <cfRule type="containsText" dxfId="755" priority="3366" operator="containsText" text="ACTIVO">
      <formula>NOT(ISERROR(SEARCH("ACTIVO",H450)))</formula>
    </cfRule>
    <cfRule type="containsText" dxfId="754" priority="3374" operator="containsText" text="INACTIVA">
      <formula>NOT(ISERROR(SEARCH("INACTIVA",H450)))</formula>
    </cfRule>
  </conditionalFormatting>
  <conditionalFormatting sqref="H451 H458">
    <cfRule type="containsText" dxfId="753" priority="3332" operator="containsText" text="BAJA">
      <formula>NOT(ISERROR(SEARCH("BAJA",H451)))</formula>
    </cfRule>
    <cfRule type="containsText" dxfId="752" priority="3333" operator="containsText" text="ACTIVO">
      <formula>NOT(ISERROR(SEARCH("ACTIVO",H451)))</formula>
    </cfRule>
    <cfRule type="containsText" dxfId="751" priority="3334" operator="containsText" text="BAJA">
      <formula>NOT(ISERROR(SEARCH("BAJA",H451)))</formula>
    </cfRule>
    <cfRule type="containsText" dxfId="750" priority="3339" operator="containsText" text="ACTIVO">
      <formula>NOT(ISERROR(SEARCH("ACTIVO",H451)))</formula>
    </cfRule>
    <cfRule type="containsText" dxfId="749" priority="3340" operator="containsText" text="ACTIVO">
      <formula>NOT(ISERROR(SEARCH("ACTIVO",H451)))</formula>
    </cfRule>
    <cfRule type="containsText" dxfId="748" priority="3341" operator="containsText" text="BAJA">
      <formula>NOT(ISERROR(SEARCH("BAJA",H451)))</formula>
    </cfRule>
    <cfRule type="containsText" dxfId="747" priority="3342" operator="containsText" text="ACTIVO">
      <formula>NOT(ISERROR(SEARCH("ACTIVO",H451)))</formula>
    </cfRule>
    <cfRule type="containsText" dxfId="746" priority="3343" operator="containsText" text="ACTIVO">
      <formula>NOT(ISERROR(SEARCH("ACTIVO",H451)))</formula>
    </cfRule>
    <cfRule type="containsText" dxfId="745" priority="3346" operator="containsText" text="BAJA">
      <formula>NOT(ISERROR(SEARCH("BAJA",H451)))</formula>
    </cfRule>
    <cfRule type="containsText" dxfId="744" priority="3347" operator="containsText" text="ACTIVO">
      <formula>NOT(ISERROR(SEARCH("ACTIVO",H451)))</formula>
    </cfRule>
    <cfRule type="containsText" dxfId="743" priority="3348" operator="containsText" text="ACTIVO">
      <formula>NOT(ISERROR(SEARCH("ACTIVO",H451)))</formula>
    </cfRule>
    <cfRule type="containsText" dxfId="742" priority="3349" operator="containsText" text="ACTIVO">
      <formula>NOT(ISERROR(SEARCH("ACTIVO",H451)))</formula>
    </cfRule>
    <cfRule type="containsText" dxfId="741" priority="3350" operator="containsText" text="ACTIVO">
      <formula>NOT(ISERROR(SEARCH("ACTIVO",H451)))</formula>
    </cfRule>
    <cfRule type="containsText" dxfId="740" priority="3351" operator="containsText" text="BAJA">
      <formula>NOT(ISERROR(SEARCH("BAJA",H451)))</formula>
    </cfRule>
    <cfRule type="containsText" dxfId="739" priority="3352" operator="containsText" text="INACTIVA">
      <formula>NOT(ISERROR(SEARCH("INACTIVA",H451)))</formula>
    </cfRule>
    <cfRule type="containsText" dxfId="738" priority="3357" operator="containsText" text="ACTIVO">
      <formula>NOT(ISERROR(SEARCH("ACTIVO",H451)))</formula>
    </cfRule>
    <cfRule type="containsText" dxfId="737" priority="3358" operator="containsText" text="BAJA">
      <formula>NOT(ISERROR(SEARCH("BAJA",H451)))</formula>
    </cfRule>
    <cfRule type="containsText" dxfId="736" priority="3359" operator="containsText" text="ACTIVO">
      <formula>NOT(ISERROR(SEARCH("ACTIVO",H451)))</formula>
    </cfRule>
    <cfRule type="containsText" dxfId="735" priority="3364" operator="containsText" text="INACTIVA">
      <formula>NOT(ISERROR(SEARCH("INACTIVA",H451)))</formula>
    </cfRule>
    <cfRule type="containsText" dxfId="734" priority="3365" operator="containsText" text="BAJA">
      <formula>NOT(ISERROR(SEARCH("BAJA",H451)))</formula>
    </cfRule>
    <cfRule type="containsText" dxfId="733" priority="3367" operator="containsText" text="BAJA">
      <formula>NOT(ISERROR(SEARCH("BAJA",H451)))</formula>
    </cfRule>
    <cfRule type="containsText" dxfId="732" priority="3370" operator="containsText" text="INACTIVA">
      <formula>NOT(ISERROR(SEARCH("INACTIVA",H451)))</formula>
    </cfRule>
    <cfRule type="containsText" dxfId="731" priority="3371" operator="containsText" text="ACTIVA">
      <formula>NOT(ISERROR(SEARCH("ACTIVA",H451)))</formula>
    </cfRule>
    <cfRule type="containsText" dxfId="730" priority="3379" operator="containsText" text="ACTIVO">
      <formula>NOT(ISERROR(SEARCH("ACTIVO",H451)))</formula>
    </cfRule>
  </conditionalFormatting>
  <conditionalFormatting sqref="H451:H458">
    <cfRule type="containsText" dxfId="729" priority="2782" operator="containsText" text="ACTIVO">
      <formula>NOT(ISERROR(SEARCH("ACTIVO",H451)))</formula>
    </cfRule>
    <cfRule type="containsText" dxfId="728" priority="2783" operator="containsText" text="INACTIVA">
      <formula>NOT(ISERROR(SEARCH("INACTIVA",H451)))</formula>
    </cfRule>
  </conditionalFormatting>
  <conditionalFormatting sqref="H452:H457">
    <cfRule type="containsText" dxfId="727" priority="2760" operator="containsText" text="ACTIVO">
      <formula>NOT(ISERROR(SEARCH("ACTIVO",H452)))</formula>
    </cfRule>
    <cfRule type="containsText" dxfId="726" priority="2761" operator="containsText" text="INACTIVA">
      <formula>NOT(ISERROR(SEARCH("INACTIVA",H452)))</formula>
    </cfRule>
    <cfRule type="containsText" dxfId="725" priority="2762" operator="containsText" text="BAJA">
      <formula>NOT(ISERROR(SEARCH("BAJA",H452)))</formula>
    </cfRule>
    <cfRule type="containsText" dxfId="724" priority="2763" operator="containsText" text="ACTIVO">
      <formula>NOT(ISERROR(SEARCH("ACTIVO",H452)))</formula>
    </cfRule>
    <cfRule type="containsText" dxfId="723" priority="2764" operator="containsText" text="ACTIVO">
      <formula>NOT(ISERROR(SEARCH("ACTIVO",H452)))</formula>
    </cfRule>
    <cfRule type="containsText" dxfId="722" priority="2765" operator="containsText" text="BAJA">
      <formula>NOT(ISERROR(SEARCH("BAJA",H452)))</formula>
    </cfRule>
    <cfRule type="containsText" dxfId="721" priority="2766" operator="containsText" text="ACTIVO">
      <formula>NOT(ISERROR(SEARCH("ACTIVO",H452)))</formula>
    </cfRule>
    <cfRule type="containsText" dxfId="720" priority="2767" operator="containsText" text="ACTIVO">
      <formula>NOT(ISERROR(SEARCH("ACTIVO",H452)))</formula>
    </cfRule>
    <cfRule type="containsText" dxfId="719" priority="2768" operator="containsText" text="BAJA">
      <formula>NOT(ISERROR(SEARCH("BAJA",H452)))</formula>
    </cfRule>
    <cfRule type="containsText" dxfId="718" priority="2769" operator="containsText" text="ACTIVO">
      <formula>NOT(ISERROR(SEARCH("ACTIVO",H452)))</formula>
    </cfRule>
    <cfRule type="containsText" dxfId="717" priority="2770" operator="containsText" text="ACTIVO">
      <formula>NOT(ISERROR(SEARCH("ACTIVO",H452)))</formula>
    </cfRule>
    <cfRule type="containsText" dxfId="716" priority="2771" operator="containsText" text="ACTIVO">
      <formula>NOT(ISERROR(SEARCH("ACTIVO",H452)))</formula>
    </cfRule>
    <cfRule type="containsText" dxfId="715" priority="2772" operator="containsText" text="ACTIVO">
      <formula>NOT(ISERROR(SEARCH("ACTIVO",H452)))</formula>
    </cfRule>
    <cfRule type="containsText" dxfId="714" priority="2773" operator="containsText" text="BAJA">
      <formula>NOT(ISERROR(SEARCH("BAJA",H452)))</formula>
    </cfRule>
    <cfRule type="containsText" dxfId="713" priority="2774" operator="containsText" text="INACTIVA">
      <formula>NOT(ISERROR(SEARCH("INACTIVA",H452)))</formula>
    </cfRule>
    <cfRule type="containsText" dxfId="712" priority="2775" operator="containsText" text="ACTIVO">
      <formula>NOT(ISERROR(SEARCH("ACTIVO",H452)))</formula>
    </cfRule>
    <cfRule type="containsText" dxfId="711" priority="2776" operator="containsText" text="BAJA">
      <formula>NOT(ISERROR(SEARCH("BAJA",H452)))</formula>
    </cfRule>
    <cfRule type="containsText" dxfId="710" priority="2777" operator="containsText" text="ACTIVO">
      <formula>NOT(ISERROR(SEARCH("ACTIVO",H452)))</formula>
    </cfRule>
    <cfRule type="containsText" dxfId="709" priority="2778" operator="containsText" text="INACTIVA">
      <formula>NOT(ISERROR(SEARCH("INACTIVA",H452)))</formula>
    </cfRule>
    <cfRule type="containsText" dxfId="708" priority="2779" operator="containsText" text="BAJA">
      <formula>NOT(ISERROR(SEARCH("BAJA",H452)))</formula>
    </cfRule>
    <cfRule type="containsText" dxfId="707" priority="2780" operator="containsText" text="ACTIVA">
      <formula>NOT(ISERROR(SEARCH("ACTIVA",H452)))</formula>
    </cfRule>
    <cfRule type="containsText" dxfId="706" priority="2781" operator="containsText" text="ACTIVO">
      <formula>NOT(ISERROR(SEARCH("ACTIVO",H452)))</formula>
    </cfRule>
  </conditionalFormatting>
  <conditionalFormatting sqref="H458 H451">
    <cfRule type="colorScale" priority="333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3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3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3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4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4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5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5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6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8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8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8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59:H460">
    <cfRule type="containsText" dxfId="705" priority="2738" operator="containsText" text="BAJA">
      <formula>NOT(ISERROR(SEARCH("BAJA",H459)))</formula>
    </cfRule>
    <cfRule type="containsText" dxfId="704" priority="2739" operator="containsText" text="ACTIVO">
      <formula>NOT(ISERROR(SEARCH("ACTIVO",H459)))</formula>
    </cfRule>
    <cfRule type="containsText" dxfId="703" priority="2740" operator="containsText" text="ACTIVO">
      <formula>NOT(ISERROR(SEARCH("ACTIVO",H459)))</formula>
    </cfRule>
    <cfRule type="containsText" dxfId="702" priority="2741" operator="containsText" text="BAJA">
      <formula>NOT(ISERROR(SEARCH("BAJA",H459)))</formula>
    </cfRule>
    <cfRule type="containsText" dxfId="701" priority="2742" operator="containsText" text="ACTIVO">
      <formula>NOT(ISERROR(SEARCH("ACTIVO",H459)))</formula>
    </cfRule>
    <cfRule type="containsText" dxfId="700" priority="2743" operator="containsText" text="ACTIVO">
      <formula>NOT(ISERROR(SEARCH("ACTIVO",H459)))</formula>
    </cfRule>
    <cfRule type="containsText" dxfId="699" priority="2744" operator="containsText" text="BAJA">
      <formula>NOT(ISERROR(SEARCH("BAJA",H459)))</formula>
    </cfRule>
    <cfRule type="containsText" dxfId="698" priority="2745" operator="containsText" text="ACTIVO">
      <formula>NOT(ISERROR(SEARCH("ACTIVO",H459)))</formula>
    </cfRule>
    <cfRule type="containsText" dxfId="697" priority="2746" operator="containsText" text="ACTIVO">
      <formula>NOT(ISERROR(SEARCH("ACTIVO",H459)))</formula>
    </cfRule>
    <cfRule type="containsText" dxfId="696" priority="2747" operator="containsText" text="ACTIVO">
      <formula>NOT(ISERROR(SEARCH("ACTIVO",H459)))</formula>
    </cfRule>
    <cfRule type="containsText" dxfId="695" priority="2748" operator="containsText" text="ACTIVO">
      <formula>NOT(ISERROR(SEARCH("ACTIVO",H459)))</formula>
    </cfRule>
    <cfRule type="containsText" dxfId="694" priority="2749" operator="containsText" text="BAJA">
      <formula>NOT(ISERROR(SEARCH("BAJA",H459)))</formula>
    </cfRule>
    <cfRule type="containsText" dxfId="693" priority="2750" operator="containsText" text="INACTIVA">
      <formula>NOT(ISERROR(SEARCH("INACTIVA",H459)))</formula>
    </cfRule>
    <cfRule type="containsText" dxfId="692" priority="2751" operator="containsText" text="ACTIVO">
      <formula>NOT(ISERROR(SEARCH("ACTIVO",H459)))</formula>
    </cfRule>
    <cfRule type="containsText" dxfId="691" priority="2752" operator="containsText" text="BAJA">
      <formula>NOT(ISERROR(SEARCH("BAJA",H459)))</formula>
    </cfRule>
    <cfRule type="containsText" dxfId="690" priority="2753" operator="containsText" text="ACTIVO">
      <formula>NOT(ISERROR(SEARCH("ACTIVO",H459)))</formula>
    </cfRule>
    <cfRule type="containsText" dxfId="689" priority="2754" operator="containsText" text="INACTIVA">
      <formula>NOT(ISERROR(SEARCH("INACTIVA",H459)))</formula>
    </cfRule>
    <cfRule type="containsText" dxfId="688" priority="2755" operator="containsText" text="BAJA">
      <formula>NOT(ISERROR(SEARCH("BAJA",H459)))</formula>
    </cfRule>
    <cfRule type="containsText" dxfId="687" priority="2756" operator="containsText" text="ACTIVA">
      <formula>NOT(ISERROR(SEARCH("ACTIVA",H459)))</formula>
    </cfRule>
    <cfRule type="containsText" dxfId="686" priority="2757" operator="containsText" text="ACTIVO">
      <formula>NOT(ISERROR(SEARCH("ACTIVO",H459)))</formula>
    </cfRule>
    <cfRule type="containsText" dxfId="685" priority="2758" operator="containsText" text="ACTIVO">
      <formula>NOT(ISERROR(SEARCH("ACTIVO",H459)))</formula>
    </cfRule>
    <cfRule type="containsText" dxfId="684" priority="2759" operator="containsText" text="INACTIVA">
      <formula>NOT(ISERROR(SEARCH("INACTIVA",H459)))</formula>
    </cfRule>
  </conditionalFormatting>
  <conditionalFormatting sqref="H459:H461">
    <cfRule type="containsText" dxfId="683" priority="1624" operator="containsText" text="INACTIVA">
      <formula>NOT(ISERROR(SEARCH("INACTIVA",H459)))</formula>
    </cfRule>
  </conditionalFormatting>
  <conditionalFormatting sqref="H459:H462">
    <cfRule type="containsText" dxfId="682" priority="1623" operator="containsText" text="ACTIVO">
      <formula>NOT(ISERROR(SEARCH("ACTIVO",H459)))</formula>
    </cfRule>
  </conditionalFormatting>
  <conditionalFormatting sqref="H461">
    <cfRule type="containsText" dxfId="681" priority="1601" operator="containsText" text="ACTIVO">
      <formula>NOT(ISERROR(SEARCH("ACTIVO",H461)))</formula>
    </cfRule>
    <cfRule type="containsText" dxfId="680" priority="1602" operator="containsText" text="INACTIVA">
      <formula>NOT(ISERROR(SEARCH("INACTIVA",H461)))</formula>
    </cfRule>
    <cfRule type="containsText" dxfId="679" priority="1603" operator="containsText" text="BAJA">
      <formula>NOT(ISERROR(SEARCH("BAJA",H461)))</formula>
    </cfRule>
    <cfRule type="containsText" dxfId="678" priority="1604" operator="containsText" text="ACTIVO">
      <formula>NOT(ISERROR(SEARCH("ACTIVO",H461)))</formula>
    </cfRule>
    <cfRule type="containsText" dxfId="677" priority="1605" operator="containsText" text="ACTIVO">
      <formula>NOT(ISERROR(SEARCH("ACTIVO",H461)))</formula>
    </cfRule>
    <cfRule type="containsText" dxfId="676" priority="1606" operator="containsText" text="BAJA">
      <formula>NOT(ISERROR(SEARCH("BAJA",H461)))</formula>
    </cfRule>
    <cfRule type="containsText" dxfId="675" priority="1607" operator="containsText" text="ACTIVO">
      <formula>NOT(ISERROR(SEARCH("ACTIVO",H461)))</formula>
    </cfRule>
    <cfRule type="containsText" dxfId="674" priority="1608" operator="containsText" text="ACTIVO">
      <formula>NOT(ISERROR(SEARCH("ACTIVO",H461)))</formula>
    </cfRule>
    <cfRule type="containsText" dxfId="673" priority="1609" operator="containsText" text="BAJA">
      <formula>NOT(ISERROR(SEARCH("BAJA",H461)))</formula>
    </cfRule>
    <cfRule type="containsText" dxfId="672" priority="1610" operator="containsText" text="ACTIVO">
      <formula>NOT(ISERROR(SEARCH("ACTIVO",H461)))</formula>
    </cfRule>
    <cfRule type="containsText" dxfId="671" priority="1611" operator="containsText" text="ACTIVO">
      <formula>NOT(ISERROR(SEARCH("ACTIVO",H461)))</formula>
    </cfRule>
    <cfRule type="containsText" dxfId="670" priority="1612" operator="containsText" text="ACTIVO">
      <formula>NOT(ISERROR(SEARCH("ACTIVO",H461)))</formula>
    </cfRule>
    <cfRule type="containsText" dxfId="669" priority="1613" operator="containsText" text="ACTIVO">
      <formula>NOT(ISERROR(SEARCH("ACTIVO",H461)))</formula>
    </cfRule>
    <cfRule type="containsText" dxfId="668" priority="1614" operator="containsText" text="BAJA">
      <formula>NOT(ISERROR(SEARCH("BAJA",H461)))</formula>
    </cfRule>
    <cfRule type="containsText" dxfId="667" priority="1615" operator="containsText" text="INACTIVA">
      <formula>NOT(ISERROR(SEARCH("INACTIVA",H461)))</formula>
    </cfRule>
    <cfRule type="containsText" dxfId="666" priority="1616" operator="containsText" text="ACTIVO">
      <formula>NOT(ISERROR(SEARCH("ACTIVO",H461)))</formula>
    </cfRule>
    <cfRule type="containsText" dxfId="665" priority="1617" operator="containsText" text="BAJA">
      <formula>NOT(ISERROR(SEARCH("BAJA",H461)))</formula>
    </cfRule>
    <cfRule type="containsText" dxfId="664" priority="1618" operator="containsText" text="ACTIVO">
      <formula>NOT(ISERROR(SEARCH("ACTIVO",H461)))</formula>
    </cfRule>
    <cfRule type="containsText" dxfId="663" priority="1619" operator="containsText" text="INACTIVA">
      <formula>NOT(ISERROR(SEARCH("INACTIVA",H461)))</formula>
    </cfRule>
    <cfRule type="containsText" dxfId="662" priority="1621" operator="containsText" text="ACTIVA">
      <formula>NOT(ISERROR(SEARCH("ACTIVA",H461)))</formula>
    </cfRule>
    <cfRule type="containsText" dxfId="661" priority="1622" operator="containsText" text="ACTIVO">
      <formula>NOT(ISERROR(SEARCH("ACTIVO",H461)))</formula>
    </cfRule>
  </conditionalFormatting>
  <conditionalFormatting sqref="H461:H462">
    <cfRule type="containsText" dxfId="660" priority="1620" operator="containsText" text="BAJA">
      <formula>NOT(ISERROR(SEARCH("BAJA",H461)))</formula>
    </cfRule>
  </conditionalFormatting>
  <conditionalFormatting sqref="H462">
    <cfRule type="containsText" dxfId="659" priority="1846" operator="containsText" text="ACTIVO">
      <formula>NOT(ISERROR(SEARCH("ACTIVO",H462)))</formula>
    </cfRule>
    <cfRule type="containsText" dxfId="658" priority="1847" operator="containsText" text="BAJA">
      <formula>NOT(ISERROR(SEARCH("BAJA",H462)))</formula>
    </cfRule>
    <cfRule type="containsText" dxfId="657" priority="1848" operator="containsText" text="ACTIVO">
      <formula>NOT(ISERROR(SEARCH("ACTIVO",H462)))</formula>
    </cfRule>
    <cfRule type="containsText" dxfId="656" priority="1849" operator="containsText" text="ACTIVO">
      <formula>NOT(ISERROR(SEARCH("ACTIVO",H462)))</formula>
    </cfRule>
    <cfRule type="containsText" dxfId="655" priority="1850" operator="containsText" text="BAJA">
      <formula>NOT(ISERROR(SEARCH("BAJA",H462)))</formula>
    </cfRule>
    <cfRule type="containsText" dxfId="654" priority="1851" operator="containsText" text="ACTIVO">
      <formula>NOT(ISERROR(SEARCH("ACTIVO",H462)))</formula>
    </cfRule>
    <cfRule type="containsText" dxfId="653" priority="1852" operator="containsText" text="ACTIVO">
      <formula>NOT(ISERROR(SEARCH("ACTIVO",H462)))</formula>
    </cfRule>
    <cfRule type="containsText" dxfId="652" priority="1853" operator="containsText" text="ACTIVO">
      <formula>NOT(ISERROR(SEARCH("ACTIVO",H462)))</formula>
    </cfRule>
    <cfRule type="containsText" dxfId="651" priority="1854" operator="containsText" text="ACTIVO">
      <formula>NOT(ISERROR(SEARCH("ACTIVO",H462)))</formula>
    </cfRule>
    <cfRule type="containsText" dxfId="650" priority="1855" operator="containsText" text="BAJA">
      <formula>NOT(ISERROR(SEARCH("BAJA",H462)))</formula>
    </cfRule>
    <cfRule type="containsText" dxfId="649" priority="1856" operator="containsText" text="INACTIVA">
      <formula>NOT(ISERROR(SEARCH("INACTIVA",H462)))</formula>
    </cfRule>
    <cfRule type="containsText" dxfId="648" priority="1857" operator="containsText" text="ACTIVO">
      <formula>NOT(ISERROR(SEARCH("ACTIVO",H462)))</formula>
    </cfRule>
    <cfRule type="containsText" dxfId="647" priority="1858" operator="containsText" text="BAJA">
      <formula>NOT(ISERROR(SEARCH("BAJA",H462)))</formula>
    </cfRule>
    <cfRule type="containsText" dxfId="646" priority="1859" operator="containsText" text="ACTIVO">
      <formula>NOT(ISERROR(SEARCH("ACTIVO",H462)))</formula>
    </cfRule>
    <cfRule type="containsText" dxfId="645" priority="1860" operator="containsText" text="INACTIVA">
      <formula>NOT(ISERROR(SEARCH("INACTIVA",H462)))</formula>
    </cfRule>
    <cfRule type="containsText" dxfId="644" priority="1861" operator="containsText" text="BAJA">
      <formula>NOT(ISERROR(SEARCH("BAJA",H462)))</formula>
    </cfRule>
    <cfRule type="containsText" dxfId="643" priority="1863" operator="containsText" text="BAJA">
      <formula>NOT(ISERROR(SEARCH("BAJA",H462)))</formula>
    </cfRule>
    <cfRule type="containsText" dxfId="642" priority="1864" operator="containsText" text="ACTIVA">
      <formula>NOT(ISERROR(SEARCH("ACTIVA",H462)))</formula>
    </cfRule>
    <cfRule type="containsText" dxfId="641" priority="1866" operator="containsText" text="ACTIVO">
      <formula>NOT(ISERROR(SEARCH("ACTIVO",H462)))</formula>
    </cfRule>
  </conditionalFormatting>
  <conditionalFormatting sqref="H462:H464">
    <cfRule type="containsText" dxfId="640" priority="1862" operator="containsText" text="ACTIVO">
      <formula>NOT(ISERROR(SEARCH("ACTIVO",H462)))</formula>
    </cfRule>
    <cfRule type="containsText" dxfId="639" priority="1865" operator="containsText" text="INACTIVA">
      <formula>NOT(ISERROR(SEARCH("INACTIVA",H462)))</formula>
    </cfRule>
  </conditionalFormatting>
  <conditionalFormatting sqref="H463:H464">
    <cfRule type="containsText" dxfId="638" priority="2004" operator="containsText" text="BAJA">
      <formula>NOT(ISERROR(SEARCH("BAJA",H463)))</formula>
    </cfRule>
    <cfRule type="containsText" dxfId="637" priority="2005" operator="containsText" text="ACTIVO">
      <formula>NOT(ISERROR(SEARCH("ACTIVO",H463)))</formula>
    </cfRule>
    <cfRule type="containsText" dxfId="636" priority="2006" operator="containsText" text="ACTIVO">
      <formula>NOT(ISERROR(SEARCH("ACTIVO",H463)))</formula>
    </cfRule>
    <cfRule type="containsText" dxfId="635" priority="2007" operator="containsText" text="BAJA">
      <formula>NOT(ISERROR(SEARCH("BAJA",H463)))</formula>
    </cfRule>
    <cfRule type="containsText" dxfId="634" priority="2008" operator="containsText" text="ACTIVO">
      <formula>NOT(ISERROR(SEARCH("ACTIVO",H463)))</formula>
    </cfRule>
    <cfRule type="containsText" dxfId="633" priority="2009" operator="containsText" text="ACTIVO">
      <formula>NOT(ISERROR(SEARCH("ACTIVO",H463)))</formula>
    </cfRule>
    <cfRule type="containsText" dxfId="632" priority="2010" operator="containsText" text="BAJA">
      <formula>NOT(ISERROR(SEARCH("BAJA",H463)))</formula>
    </cfRule>
    <cfRule type="containsText" dxfId="631" priority="2011" operator="containsText" text="ACTIVO">
      <formula>NOT(ISERROR(SEARCH("ACTIVO",H463)))</formula>
    </cfRule>
    <cfRule type="containsText" dxfId="630" priority="2012" operator="containsText" text="ACTIVO">
      <formula>NOT(ISERROR(SEARCH("ACTIVO",H463)))</formula>
    </cfRule>
    <cfRule type="containsText" dxfId="629" priority="2013" operator="containsText" text="ACTIVO">
      <formula>NOT(ISERROR(SEARCH("ACTIVO",H463)))</formula>
    </cfRule>
    <cfRule type="containsText" dxfId="628" priority="2014" operator="containsText" text="ACTIVO">
      <formula>NOT(ISERROR(SEARCH("ACTIVO",H463)))</formula>
    </cfRule>
    <cfRule type="containsText" dxfId="627" priority="2015" operator="containsText" text="BAJA">
      <formula>NOT(ISERROR(SEARCH("BAJA",H463)))</formula>
    </cfRule>
    <cfRule type="containsText" dxfId="626" priority="2016" operator="containsText" text="INACTIVA">
      <formula>NOT(ISERROR(SEARCH("INACTIVA",H463)))</formula>
    </cfRule>
    <cfRule type="containsText" dxfId="625" priority="2017" operator="containsText" text="ACTIVO">
      <formula>NOT(ISERROR(SEARCH("ACTIVO",H463)))</formula>
    </cfRule>
    <cfRule type="containsText" dxfId="624" priority="2018" operator="containsText" text="BAJA">
      <formula>NOT(ISERROR(SEARCH("BAJA",H463)))</formula>
    </cfRule>
    <cfRule type="containsText" dxfId="623" priority="2019" operator="containsText" text="ACTIVO">
      <formula>NOT(ISERROR(SEARCH("ACTIVO",H463)))</formula>
    </cfRule>
    <cfRule type="containsText" dxfId="622" priority="2020" operator="containsText" text="INACTIVA">
      <formula>NOT(ISERROR(SEARCH("INACTIVA",H463)))</formula>
    </cfRule>
    <cfRule type="containsText" dxfId="621" priority="2021" operator="containsText" text="BAJA">
      <formula>NOT(ISERROR(SEARCH("BAJA",H463)))</formula>
    </cfRule>
    <cfRule type="containsText" dxfId="620" priority="2022" operator="containsText" text="ACTIVA">
      <formula>NOT(ISERROR(SEARCH("ACTIVA",H463)))</formula>
    </cfRule>
    <cfRule type="containsText" dxfId="619" priority="2023" operator="containsText" text="ACTIVO">
      <formula>NOT(ISERROR(SEARCH("ACTIVO",H463)))</formula>
    </cfRule>
  </conditionalFormatting>
  <conditionalFormatting sqref="H465:H466">
    <cfRule type="containsText" dxfId="618" priority="3384" operator="containsText" text="ACTIVO">
      <formula>NOT(ISERROR(SEARCH("ACTIVO",H465)))</formula>
    </cfRule>
    <cfRule type="containsText" dxfId="617" priority="3385" operator="containsText" text="ACTIVO">
      <formula>NOT(ISERROR(SEARCH("ACTIVO",H465)))</formula>
    </cfRule>
    <cfRule type="containsText" dxfId="616" priority="3386" operator="containsText" text="BAJA">
      <formula>NOT(ISERROR(SEARCH("BAJA",H465)))</formula>
    </cfRule>
    <cfRule type="containsText" dxfId="615" priority="3387" operator="containsText" text="ACTIVO">
      <formula>NOT(ISERROR(SEARCH("ACTIVO",H465)))</formula>
    </cfRule>
    <cfRule type="containsText" dxfId="614" priority="3388" operator="containsText" text="ACTIVO">
      <formula>NOT(ISERROR(SEARCH("ACTIVO",H465)))</formula>
    </cfRule>
    <cfRule type="containsText" dxfId="613" priority="3389" operator="containsText" text="BAJA">
      <formula>NOT(ISERROR(SEARCH("BAJA",H465)))</formula>
    </cfRule>
    <cfRule type="containsText" dxfId="612" priority="3390" operator="containsText" text="ACTIVO">
      <formula>NOT(ISERROR(SEARCH("ACTIVO",H465)))</formula>
    </cfRule>
    <cfRule type="containsText" dxfId="611" priority="3391" operator="containsText" text="ACTIVO">
      <formula>NOT(ISERROR(SEARCH("ACTIVO",H465)))</formula>
    </cfRule>
    <cfRule type="containsText" dxfId="610" priority="3392" operator="containsText" text="ACTIVO">
      <formula>NOT(ISERROR(SEARCH("ACTIVO",H465)))</formula>
    </cfRule>
    <cfRule type="containsText" dxfId="609" priority="3393" operator="containsText" text="ACTIVO">
      <formula>NOT(ISERROR(SEARCH("ACTIVO",H465)))</formula>
    </cfRule>
    <cfRule type="containsText" dxfId="608" priority="3394" operator="containsText" text="BAJA">
      <formula>NOT(ISERROR(SEARCH("BAJA",H465)))</formula>
    </cfRule>
    <cfRule type="containsText" dxfId="607" priority="3395" operator="containsText" text="INACTIVA">
      <formula>NOT(ISERROR(SEARCH("INACTIVA",H465)))</formula>
    </cfRule>
    <cfRule type="containsText" dxfId="606" priority="3396" operator="containsText" text="ACTIVO">
      <formula>NOT(ISERROR(SEARCH("ACTIVO",H465)))</formula>
    </cfRule>
    <cfRule type="containsText" dxfId="605" priority="3397" operator="containsText" text="BAJA">
      <formula>NOT(ISERROR(SEARCH("BAJA",H465)))</formula>
    </cfRule>
    <cfRule type="containsText" dxfId="604" priority="3398" operator="containsText" text="ACTIVO">
      <formula>NOT(ISERROR(SEARCH("ACTIVO",H465)))</formula>
    </cfRule>
    <cfRule type="containsText" dxfId="603" priority="3399" operator="containsText" text="INACTIVA">
      <formula>NOT(ISERROR(SEARCH("INACTIVA",H465)))</formula>
    </cfRule>
    <cfRule type="containsText" dxfId="602" priority="3400" operator="containsText" text="BAJA">
      <formula>NOT(ISERROR(SEARCH("BAJA",H465)))</formula>
    </cfRule>
    <cfRule type="containsText" dxfId="601" priority="3401" operator="containsText" text="ACTIVO">
      <formula>NOT(ISERROR(SEARCH("ACTIVO",H465)))</formula>
    </cfRule>
    <cfRule type="containsText" dxfId="600" priority="3402" operator="containsText" text="BAJA">
      <formula>NOT(ISERROR(SEARCH("BAJA",H465)))</formula>
    </cfRule>
    <cfRule type="containsText" dxfId="599" priority="3403" operator="containsText" text="ACTIVA">
      <formula>NOT(ISERROR(SEARCH("ACTIVA",H465)))</formula>
    </cfRule>
    <cfRule type="containsText" dxfId="598" priority="3404" operator="containsText" text="INACTIVA">
      <formula>NOT(ISERROR(SEARCH("INACTIVA",H465)))</formula>
    </cfRule>
    <cfRule type="containsText" dxfId="597" priority="3405" operator="containsText" text="ACTIVO">
      <formula>NOT(ISERROR(SEARCH("ACTIVO",H465)))</formula>
    </cfRule>
  </conditionalFormatting>
  <conditionalFormatting sqref="H465:H469 H471">
    <cfRule type="containsText" dxfId="596" priority="3328" operator="containsText" text="BAJA">
      <formula>NOT(ISERROR(SEARCH("BAJA",H465)))</formula>
    </cfRule>
  </conditionalFormatting>
  <conditionalFormatting sqref="H467:H469">
    <cfRule type="containsText" dxfId="595" priority="3309" operator="containsText" text="BAJA">
      <formula>NOT(ISERROR(SEARCH("BAJA",H467)))</formula>
    </cfRule>
    <cfRule type="containsText" dxfId="594" priority="3310" operator="containsText" text="ACTIVO">
      <formula>NOT(ISERROR(SEARCH("ACTIVO",H467)))</formula>
    </cfRule>
    <cfRule type="containsText" dxfId="593" priority="3311" operator="containsText" text="ACTIVO">
      <formula>NOT(ISERROR(SEARCH("ACTIVO",H467)))</formula>
    </cfRule>
    <cfRule type="containsText" dxfId="592" priority="3312" operator="containsText" text="BAJA">
      <formula>NOT(ISERROR(SEARCH("BAJA",H467)))</formula>
    </cfRule>
    <cfRule type="containsText" dxfId="591" priority="3313" operator="containsText" text="ACTIVO">
      <formula>NOT(ISERROR(SEARCH("ACTIVO",H467)))</formula>
    </cfRule>
    <cfRule type="containsText" dxfId="590" priority="3314" operator="containsText" text="ACTIVO">
      <formula>NOT(ISERROR(SEARCH("ACTIVO",H467)))</formula>
    </cfRule>
    <cfRule type="containsText" dxfId="589" priority="3315" operator="containsText" text="BAJA">
      <formula>NOT(ISERROR(SEARCH("BAJA",H467)))</formula>
    </cfRule>
    <cfRule type="containsText" dxfId="588" priority="3316" operator="containsText" text="ACTIVO">
      <formula>NOT(ISERROR(SEARCH("ACTIVO",H467)))</formula>
    </cfRule>
    <cfRule type="containsText" dxfId="587" priority="3317" operator="containsText" text="ACTIVO">
      <formula>NOT(ISERROR(SEARCH("ACTIVO",H467)))</formula>
    </cfRule>
    <cfRule type="containsText" dxfId="586" priority="3318" operator="containsText" text="ACTIVO">
      <formula>NOT(ISERROR(SEARCH("ACTIVO",H467)))</formula>
    </cfRule>
    <cfRule type="containsText" dxfId="585" priority="3319" operator="containsText" text="ACTIVO">
      <formula>NOT(ISERROR(SEARCH("ACTIVO",H467)))</formula>
    </cfRule>
    <cfRule type="containsText" dxfId="584" priority="3320" operator="containsText" text="BAJA">
      <formula>NOT(ISERROR(SEARCH("BAJA",H467)))</formula>
    </cfRule>
    <cfRule type="containsText" dxfId="583" priority="3321" operator="containsText" text="INACTIVA">
      <formula>NOT(ISERROR(SEARCH("INACTIVA",H467)))</formula>
    </cfRule>
    <cfRule type="containsText" dxfId="582" priority="3322" operator="containsText" text="ACTIVO">
      <formula>NOT(ISERROR(SEARCH("ACTIVO",H467)))</formula>
    </cfRule>
    <cfRule type="containsText" dxfId="581" priority="3323" operator="containsText" text="BAJA">
      <formula>NOT(ISERROR(SEARCH("BAJA",H467)))</formula>
    </cfRule>
    <cfRule type="containsText" dxfId="580" priority="3324" operator="containsText" text="ACTIVO">
      <formula>NOT(ISERROR(SEARCH("ACTIVO",H467)))</formula>
    </cfRule>
    <cfRule type="containsText" dxfId="579" priority="3325" operator="containsText" text="INACTIVA">
      <formula>NOT(ISERROR(SEARCH("INACTIVA",H467)))</formula>
    </cfRule>
    <cfRule type="containsText" dxfId="578" priority="3326" operator="containsText" text="BAJA">
      <formula>NOT(ISERROR(SEARCH("BAJA",H467)))</formula>
    </cfRule>
    <cfRule type="containsText" dxfId="577" priority="3327" operator="containsText" text="ACTIVO">
      <formula>NOT(ISERROR(SEARCH("ACTIVO",H467)))</formula>
    </cfRule>
    <cfRule type="containsText" dxfId="576" priority="3329" operator="containsText" text="ACTIVA">
      <formula>NOT(ISERROR(SEARCH("ACTIVA",H467)))</formula>
    </cfRule>
    <cfRule type="containsText" dxfId="575" priority="3330" operator="containsText" text="INACTIVA">
      <formula>NOT(ISERROR(SEARCH("INACTIVA",H467)))</formula>
    </cfRule>
    <cfRule type="containsText" dxfId="574" priority="3331" operator="containsText" text="ACTIVO">
      <formula>NOT(ISERROR(SEARCH("ACTIVO",H467)))</formula>
    </cfRule>
  </conditionalFormatting>
  <conditionalFormatting sqref="H470">
    <cfRule type="containsText" dxfId="573" priority="652" operator="containsText" text="ACTIVO">
      <formula>NOT(ISERROR(SEARCH("ACTIVO",H470)))</formula>
    </cfRule>
    <cfRule type="containsText" dxfId="572" priority="653" operator="containsText" text="INACTIVA">
      <formula>NOT(ISERROR(SEARCH("INACTIVA",H470)))</formula>
    </cfRule>
    <cfRule type="containsText" dxfId="571" priority="654" operator="containsText" text="BAJA">
      <formula>NOT(ISERROR(SEARCH("BAJA",H470)))</formula>
    </cfRule>
    <cfRule type="containsText" dxfId="570" priority="655" operator="containsText" text="ACTIVO">
      <formula>NOT(ISERROR(SEARCH("ACTIVO",H470)))</formula>
    </cfRule>
    <cfRule type="containsText" dxfId="569" priority="656" operator="containsText" text="BAJA">
      <formula>NOT(ISERROR(SEARCH("BAJA",H470)))</formula>
    </cfRule>
    <cfRule type="colorScale" priority="6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5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6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68" priority="661" operator="containsText" text="ACTIVO">
      <formula>NOT(ISERROR(SEARCH("ACTIVO",H470)))</formula>
    </cfRule>
    <cfRule type="containsText" dxfId="567" priority="662" operator="containsText" text="ACTIVO">
      <formula>NOT(ISERROR(SEARCH("ACTIVO",H470)))</formula>
    </cfRule>
    <cfRule type="containsText" dxfId="566" priority="663" operator="containsText" text="BAJA">
      <formula>NOT(ISERROR(SEARCH("BAJA",H470)))</formula>
    </cfRule>
    <cfRule type="containsText" dxfId="565" priority="664" operator="containsText" text="ACTIVO">
      <formula>NOT(ISERROR(SEARCH("ACTIVO",H470)))</formula>
    </cfRule>
    <cfRule type="containsText" dxfId="564" priority="665" operator="containsText" text="ACTIVO">
      <formula>NOT(ISERROR(SEARCH("ACTIVO",H470)))</formula>
    </cfRule>
    <cfRule type="colorScale" priority="6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6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63" priority="668" operator="containsText" text="BAJA">
      <formula>NOT(ISERROR(SEARCH("BAJA",H470)))</formula>
    </cfRule>
    <cfRule type="containsText" dxfId="562" priority="669" operator="containsText" text="ACTIVO">
      <formula>NOT(ISERROR(SEARCH("ACTIVO",H470)))</formula>
    </cfRule>
    <cfRule type="containsText" dxfId="561" priority="670" operator="containsText" text="ACTIVO">
      <formula>NOT(ISERROR(SEARCH("ACTIVO",H470)))</formula>
    </cfRule>
    <cfRule type="containsText" dxfId="560" priority="671" operator="containsText" text="ACTIVO">
      <formula>NOT(ISERROR(SEARCH("ACTIVO",H470)))</formula>
    </cfRule>
    <cfRule type="containsText" dxfId="559" priority="672" operator="containsText" text="ACTIVO">
      <formula>NOT(ISERROR(SEARCH("ACTIVO",H470)))</formula>
    </cfRule>
    <cfRule type="containsText" dxfId="558" priority="673" operator="containsText" text="BAJA">
      <formula>NOT(ISERROR(SEARCH("BAJA",H470)))</formula>
    </cfRule>
    <cfRule type="containsText" dxfId="557" priority="674" operator="containsText" text="INACTIVA">
      <formula>NOT(ISERROR(SEARCH("INACTIVA",H470)))</formula>
    </cfRule>
    <cfRule type="colorScale" priority="6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7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56" priority="679" operator="containsText" text="ACTIVO">
      <formula>NOT(ISERROR(SEARCH("ACTIVO",H470)))</formula>
    </cfRule>
    <cfRule type="containsText" dxfId="555" priority="680" operator="containsText" text="BAJA">
      <formula>NOT(ISERROR(SEARCH("BAJA",H470)))</formula>
    </cfRule>
    <cfRule type="containsText" dxfId="554" priority="681" operator="containsText" text="ACTIVO">
      <formula>NOT(ISERROR(SEARCH("ACTIVO",H470)))</formula>
    </cfRule>
    <cfRule type="colorScale" priority="6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8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53" priority="686" operator="containsText" text="INACTIVA">
      <formula>NOT(ISERROR(SEARCH("INACTIVA",H470)))</formula>
    </cfRule>
    <cfRule type="containsText" dxfId="552" priority="687" operator="containsText" text="BAJA">
      <formula>NOT(ISERROR(SEARCH("BAJA",H470)))</formula>
    </cfRule>
    <cfRule type="containsText" dxfId="551" priority="689" operator="containsText" text="BAJA">
      <formula>NOT(ISERROR(SEARCH("BAJA",H470)))</formula>
    </cfRule>
    <cfRule type="colorScale" priority="6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9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50" priority="692" operator="containsText" text="INACTIVA">
      <formula>NOT(ISERROR(SEARCH("INACTIVA",H470)))</formula>
    </cfRule>
    <cfRule type="containsText" dxfId="549" priority="693" operator="containsText" text="ACTIVA">
      <formula>NOT(ISERROR(SEARCH("ACTIVA",H470)))</formula>
    </cfRule>
    <cfRule type="colorScale" priority="69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9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48" priority="696" operator="containsText" text="INACTIVA">
      <formula>NOT(ISERROR(SEARCH("INACTIVA",H470)))</formula>
    </cfRule>
    <cfRule type="colorScale" priority="6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9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70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70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70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70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70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70:H471">
    <cfRule type="containsText" dxfId="547" priority="688" operator="containsText" text="ACTIVO">
      <formula>NOT(ISERROR(SEARCH("ACTIVO",H470)))</formula>
    </cfRule>
    <cfRule type="containsText" dxfId="546" priority="701" operator="containsText" text="ACTIVO">
      <formula>NOT(ISERROR(SEARCH("ACTIVO",H470)))</formula>
    </cfRule>
  </conditionalFormatting>
  <conditionalFormatting sqref="H471">
    <cfRule type="containsText" dxfId="545" priority="1581" operator="containsText" text="BAJA">
      <formula>NOT(ISERROR(SEARCH("BAJA",H471)))</formula>
    </cfRule>
    <cfRule type="containsText" dxfId="544" priority="1582" operator="containsText" text="ACTIVO">
      <formula>NOT(ISERROR(SEARCH("ACTIVO",H471)))</formula>
    </cfRule>
    <cfRule type="containsText" dxfId="543" priority="1583" operator="containsText" text="ACTIVO">
      <formula>NOT(ISERROR(SEARCH("ACTIVO",H471)))</formula>
    </cfRule>
    <cfRule type="containsText" dxfId="542" priority="1584" operator="containsText" text="BAJA">
      <formula>NOT(ISERROR(SEARCH("BAJA",H471)))</formula>
    </cfRule>
    <cfRule type="containsText" dxfId="541" priority="1585" operator="containsText" text="ACTIVO">
      <formula>NOT(ISERROR(SEARCH("ACTIVO",H471)))</formula>
    </cfRule>
    <cfRule type="containsText" dxfId="540" priority="1586" operator="containsText" text="ACTIVO">
      <formula>NOT(ISERROR(SEARCH("ACTIVO",H471)))</formula>
    </cfRule>
    <cfRule type="containsText" dxfId="539" priority="1587" operator="containsText" text="ACTIVO">
      <formula>NOT(ISERROR(SEARCH("ACTIVO",H471)))</formula>
    </cfRule>
    <cfRule type="containsText" dxfId="538" priority="1588" operator="containsText" text="ACTIVO">
      <formula>NOT(ISERROR(SEARCH("ACTIVO",H471)))</formula>
    </cfRule>
    <cfRule type="containsText" dxfId="537" priority="1589" operator="containsText" text="BAJA">
      <formula>NOT(ISERROR(SEARCH("BAJA",H471)))</formula>
    </cfRule>
    <cfRule type="containsText" dxfId="536" priority="1590" operator="containsText" text="INACTIVA">
      <formula>NOT(ISERROR(SEARCH("INACTIVA",H471)))</formula>
    </cfRule>
    <cfRule type="containsText" dxfId="535" priority="1591" operator="containsText" text="ACTIVO">
      <formula>NOT(ISERROR(SEARCH("ACTIVO",H471)))</formula>
    </cfRule>
    <cfRule type="containsText" dxfId="534" priority="1592" operator="containsText" text="BAJA">
      <formula>NOT(ISERROR(SEARCH("BAJA",H471)))</formula>
    </cfRule>
    <cfRule type="containsText" dxfId="533" priority="1593" operator="containsText" text="ACTIVO">
      <formula>NOT(ISERROR(SEARCH("ACTIVO",H471)))</formula>
    </cfRule>
    <cfRule type="containsText" dxfId="532" priority="1594" operator="containsText" text="INACTIVA">
      <formula>NOT(ISERROR(SEARCH("INACTIVA",H471)))</formula>
    </cfRule>
    <cfRule type="containsText" dxfId="531" priority="1595" operator="containsText" text="BAJA">
      <formula>NOT(ISERROR(SEARCH("BAJA",H471)))</formula>
    </cfRule>
    <cfRule type="containsText" dxfId="530" priority="1597" operator="containsText" text="BAJA">
      <formula>NOT(ISERROR(SEARCH("BAJA",H471)))</formula>
    </cfRule>
    <cfRule type="containsText" dxfId="529" priority="1598" operator="containsText" text="ACTIVA">
      <formula>NOT(ISERROR(SEARCH("ACTIVA",H471)))</formula>
    </cfRule>
    <cfRule type="containsText" dxfId="528" priority="1600" operator="containsText" text="ACTIVO">
      <formula>NOT(ISERROR(SEARCH("ACTIVO",H471)))</formula>
    </cfRule>
  </conditionalFormatting>
  <conditionalFormatting sqref="H471:H476">
    <cfRule type="containsText" dxfId="527" priority="1596" operator="containsText" text="ACTIVO">
      <formula>NOT(ISERROR(SEARCH("ACTIVO",H471)))</formula>
    </cfRule>
    <cfRule type="containsText" dxfId="526" priority="1599" operator="containsText" text="INACTIVA">
      <formula>NOT(ISERROR(SEARCH("INACTIVA",H471)))</formula>
    </cfRule>
  </conditionalFormatting>
  <conditionalFormatting sqref="H471:H480 H462:H469">
    <cfRule type="containsText" dxfId="525" priority="2452" operator="containsText" text="ACTIVO">
      <formula>NOT(ISERROR(SEARCH("ACTIVO",H462)))</formula>
    </cfRule>
    <cfRule type="containsText" dxfId="524" priority="2453" operator="containsText" text="INACTIVA">
      <formula>NOT(ISERROR(SEARCH("INACTIVA",H462)))</formula>
    </cfRule>
  </conditionalFormatting>
  <conditionalFormatting sqref="H472:H476">
    <cfRule type="containsText" dxfId="523" priority="2432" operator="containsText" text="BAJA">
      <formula>NOT(ISERROR(SEARCH("BAJA",H472)))</formula>
    </cfRule>
    <cfRule type="containsText" dxfId="522" priority="2433" operator="containsText" text="ACTIVO">
      <formula>NOT(ISERROR(SEARCH("ACTIVO",H472)))</formula>
    </cfRule>
    <cfRule type="containsText" dxfId="521" priority="2434" operator="containsText" text="ACTIVO">
      <formula>NOT(ISERROR(SEARCH("ACTIVO",H472)))</formula>
    </cfRule>
    <cfRule type="containsText" dxfId="520" priority="2435" operator="containsText" text="BAJA">
      <formula>NOT(ISERROR(SEARCH("BAJA",H472)))</formula>
    </cfRule>
    <cfRule type="containsText" dxfId="519" priority="2436" operator="containsText" text="ACTIVO">
      <formula>NOT(ISERROR(SEARCH("ACTIVO",H472)))</formula>
    </cfRule>
    <cfRule type="containsText" dxfId="518" priority="2437" operator="containsText" text="ACTIVO">
      <formula>NOT(ISERROR(SEARCH("ACTIVO",H472)))</formula>
    </cfRule>
    <cfRule type="containsText" dxfId="517" priority="2438" operator="containsText" text="BAJA">
      <formula>NOT(ISERROR(SEARCH("BAJA",H472)))</formula>
    </cfRule>
    <cfRule type="containsText" dxfId="516" priority="2439" operator="containsText" text="ACTIVO">
      <formula>NOT(ISERROR(SEARCH("ACTIVO",H472)))</formula>
    </cfRule>
    <cfRule type="containsText" dxfId="515" priority="2440" operator="containsText" text="ACTIVO">
      <formula>NOT(ISERROR(SEARCH("ACTIVO",H472)))</formula>
    </cfRule>
    <cfRule type="containsText" dxfId="514" priority="2441" operator="containsText" text="ACTIVO">
      <formula>NOT(ISERROR(SEARCH("ACTIVO",H472)))</formula>
    </cfRule>
    <cfRule type="containsText" dxfId="513" priority="2442" operator="containsText" text="ACTIVO">
      <formula>NOT(ISERROR(SEARCH("ACTIVO",H472)))</formula>
    </cfRule>
    <cfRule type="containsText" dxfId="512" priority="2443" operator="containsText" text="BAJA">
      <formula>NOT(ISERROR(SEARCH("BAJA",H472)))</formula>
    </cfRule>
    <cfRule type="containsText" dxfId="511" priority="2444" operator="containsText" text="INACTIVA">
      <formula>NOT(ISERROR(SEARCH("INACTIVA",H472)))</formula>
    </cfRule>
    <cfRule type="containsText" dxfId="510" priority="2445" operator="containsText" text="ACTIVO">
      <formula>NOT(ISERROR(SEARCH("ACTIVO",H472)))</formula>
    </cfRule>
    <cfRule type="containsText" dxfId="509" priority="2446" operator="containsText" text="BAJA">
      <formula>NOT(ISERROR(SEARCH("BAJA",H472)))</formula>
    </cfRule>
    <cfRule type="containsText" dxfId="508" priority="2447" operator="containsText" text="ACTIVO">
      <formula>NOT(ISERROR(SEARCH("ACTIVO",H472)))</formula>
    </cfRule>
    <cfRule type="containsText" dxfId="507" priority="2448" operator="containsText" text="INACTIVA">
      <formula>NOT(ISERROR(SEARCH("INACTIVA",H472)))</formula>
    </cfRule>
    <cfRule type="containsText" dxfId="506" priority="2449" operator="containsText" text="BAJA">
      <formula>NOT(ISERROR(SEARCH("BAJA",H472)))</formula>
    </cfRule>
    <cfRule type="containsText" dxfId="505" priority="2450" operator="containsText" text="ACTIVA">
      <formula>NOT(ISERROR(SEARCH("ACTIVA",H472)))</formula>
    </cfRule>
    <cfRule type="containsText" dxfId="504" priority="2451" operator="containsText" text="ACTIVO">
      <formula>NOT(ISERROR(SEARCH("ACTIVO",H472)))</formula>
    </cfRule>
  </conditionalFormatting>
  <conditionalFormatting sqref="H477">
    <cfRule type="containsText" dxfId="503" priority="1487" operator="containsText" text="ACTIVO">
      <formula>NOT(ISERROR(SEARCH("ACTIVO",H477)))</formula>
    </cfRule>
    <cfRule type="containsText" dxfId="502" priority="1488" operator="containsText" text="ACTIVO">
      <formula>NOT(ISERROR(SEARCH("ACTIVO",H477)))</formula>
    </cfRule>
    <cfRule type="containsText" dxfId="501" priority="1489" operator="containsText" text="BAJA">
      <formula>NOT(ISERROR(SEARCH("BAJA",H477)))</formula>
    </cfRule>
    <cfRule type="containsText" dxfId="500" priority="1490" operator="containsText" text="ACTIVO">
      <formula>NOT(ISERROR(SEARCH("ACTIVO",H477)))</formula>
    </cfRule>
    <cfRule type="containsText" dxfId="499" priority="1491" operator="containsText" text="ACTIVO">
      <formula>NOT(ISERROR(SEARCH("ACTIVO",H477)))</formula>
    </cfRule>
    <cfRule type="containsText" dxfId="498" priority="1492" operator="containsText" text="BAJA">
      <formula>NOT(ISERROR(SEARCH("BAJA",H477)))</formula>
    </cfRule>
    <cfRule type="containsText" dxfId="497" priority="1493" operator="containsText" text="ACTIVO">
      <formula>NOT(ISERROR(SEARCH("ACTIVO",H477)))</formula>
    </cfRule>
    <cfRule type="containsText" dxfId="496" priority="1494" operator="containsText" text="ACTIVO">
      <formula>NOT(ISERROR(SEARCH("ACTIVO",H477)))</formula>
    </cfRule>
    <cfRule type="containsText" dxfId="495" priority="1495" operator="containsText" text="ACTIVO">
      <formula>NOT(ISERROR(SEARCH("ACTIVO",H477)))</formula>
    </cfRule>
    <cfRule type="containsText" dxfId="494" priority="1496" operator="containsText" text="ACTIVO">
      <formula>NOT(ISERROR(SEARCH("ACTIVO",H477)))</formula>
    </cfRule>
    <cfRule type="containsText" dxfId="493" priority="1497" operator="containsText" text="BAJA">
      <formula>NOT(ISERROR(SEARCH("BAJA",H477)))</formula>
    </cfRule>
    <cfRule type="containsText" dxfId="492" priority="1498" operator="containsText" text="INACTIVA">
      <formula>NOT(ISERROR(SEARCH("INACTIVA",H477)))</formula>
    </cfRule>
    <cfRule type="containsText" dxfId="491" priority="1499" operator="containsText" text="ACTIVO">
      <formula>NOT(ISERROR(SEARCH("ACTIVO",H477)))</formula>
    </cfRule>
    <cfRule type="containsText" dxfId="490" priority="1500" operator="containsText" text="BAJA">
      <formula>NOT(ISERROR(SEARCH("BAJA",H477)))</formula>
    </cfRule>
    <cfRule type="containsText" dxfId="489" priority="1501" operator="containsText" text="ACTIVO">
      <formula>NOT(ISERROR(SEARCH("ACTIVO",H477)))</formula>
    </cfRule>
    <cfRule type="containsText" dxfId="488" priority="1502" operator="containsText" text="INACTIVA">
      <formula>NOT(ISERROR(SEARCH("INACTIVA",H477)))</formula>
    </cfRule>
    <cfRule type="containsText" dxfId="487" priority="1503" operator="containsText" text="BAJA">
      <formula>NOT(ISERROR(SEARCH("BAJA",H477)))</formula>
    </cfRule>
    <cfRule type="containsText" dxfId="486" priority="1504" operator="containsText" text="ACTIVO">
      <formula>NOT(ISERROR(SEARCH("ACTIVO",H477)))</formula>
    </cfRule>
    <cfRule type="containsText" dxfId="485" priority="1505" operator="containsText" text="BAJA">
      <formula>NOT(ISERROR(SEARCH("BAJA",H477)))</formula>
    </cfRule>
    <cfRule type="containsText" dxfId="484" priority="1506" operator="containsText" text="ACTIVA">
      <formula>NOT(ISERROR(SEARCH("ACTIVA",H477)))</formula>
    </cfRule>
    <cfRule type="containsText" dxfId="483" priority="1507" operator="containsText" text="INACTIVA">
      <formula>NOT(ISERROR(SEARCH("INACTIVA",H477)))</formula>
    </cfRule>
    <cfRule type="containsText" dxfId="482" priority="1508" operator="containsText" text="ACTIVO">
      <formula>NOT(ISERROR(SEARCH("ACTIVO",H477)))</formula>
    </cfRule>
  </conditionalFormatting>
  <conditionalFormatting sqref="H477:H479">
    <cfRule type="containsText" dxfId="481" priority="1509" operator="containsText" text="BAJA">
      <formula>NOT(ISERROR(SEARCH("BAJA",H477)))</formula>
    </cfRule>
  </conditionalFormatting>
  <conditionalFormatting sqref="H478:H479">
    <cfRule type="containsText" dxfId="480" priority="1985" operator="containsText" text="ACTIVO">
      <formula>NOT(ISERROR(SEARCH("ACTIVO",H478)))</formula>
    </cfRule>
    <cfRule type="containsText" dxfId="479" priority="1986" operator="containsText" text="ACTIVO">
      <formula>NOT(ISERROR(SEARCH("ACTIVO",H478)))</formula>
    </cfRule>
    <cfRule type="containsText" dxfId="478" priority="1987" operator="containsText" text="BAJA">
      <formula>NOT(ISERROR(SEARCH("BAJA",H478)))</formula>
    </cfRule>
    <cfRule type="containsText" dxfId="477" priority="1988" operator="containsText" text="ACTIVO">
      <formula>NOT(ISERROR(SEARCH("ACTIVO",H478)))</formula>
    </cfRule>
    <cfRule type="containsText" dxfId="476" priority="1989" operator="containsText" text="ACTIVO">
      <formula>NOT(ISERROR(SEARCH("ACTIVO",H478)))</formula>
    </cfRule>
    <cfRule type="containsText" dxfId="475" priority="1990" operator="containsText" text="BAJA">
      <formula>NOT(ISERROR(SEARCH("BAJA",H478)))</formula>
    </cfRule>
    <cfRule type="containsText" dxfId="474" priority="1991" operator="containsText" text="ACTIVO">
      <formula>NOT(ISERROR(SEARCH("ACTIVO",H478)))</formula>
    </cfRule>
    <cfRule type="containsText" dxfId="473" priority="1992" operator="containsText" text="ACTIVO">
      <formula>NOT(ISERROR(SEARCH("ACTIVO",H478)))</formula>
    </cfRule>
    <cfRule type="containsText" dxfId="472" priority="1993" operator="containsText" text="ACTIVO">
      <formula>NOT(ISERROR(SEARCH("ACTIVO",H478)))</formula>
    </cfRule>
    <cfRule type="containsText" dxfId="471" priority="1994" operator="containsText" text="ACTIVO">
      <formula>NOT(ISERROR(SEARCH("ACTIVO",H478)))</formula>
    </cfRule>
    <cfRule type="containsText" dxfId="470" priority="1995" operator="containsText" text="BAJA">
      <formula>NOT(ISERROR(SEARCH("BAJA",H478)))</formula>
    </cfRule>
    <cfRule type="containsText" dxfId="469" priority="1996" operator="containsText" text="INACTIVA">
      <formula>NOT(ISERROR(SEARCH("INACTIVA",H478)))</formula>
    </cfRule>
    <cfRule type="containsText" dxfId="468" priority="1997" operator="containsText" text="ACTIVO">
      <formula>NOT(ISERROR(SEARCH("ACTIVO",H478)))</formula>
    </cfRule>
    <cfRule type="containsText" dxfId="467" priority="1998" operator="containsText" text="BAJA">
      <formula>NOT(ISERROR(SEARCH("BAJA",H478)))</formula>
    </cfRule>
    <cfRule type="containsText" dxfId="466" priority="1999" operator="containsText" text="ACTIVO">
      <formula>NOT(ISERROR(SEARCH("ACTIVO",H478)))</formula>
    </cfRule>
    <cfRule type="containsText" dxfId="465" priority="2000" operator="containsText" text="INACTIVA">
      <formula>NOT(ISERROR(SEARCH("INACTIVA",H478)))</formula>
    </cfRule>
    <cfRule type="containsText" dxfId="464" priority="2001" operator="containsText" text="BAJA">
      <formula>NOT(ISERROR(SEARCH("BAJA",H478)))</formula>
    </cfRule>
    <cfRule type="containsText" dxfId="463" priority="2002" operator="containsText" text="ACTIVA">
      <formula>NOT(ISERROR(SEARCH("ACTIVA",H478)))</formula>
    </cfRule>
    <cfRule type="containsText" dxfId="462" priority="2003" operator="containsText" text="ACTIVO">
      <formula>NOT(ISERROR(SEARCH("ACTIVO",H478)))</formula>
    </cfRule>
    <cfRule type="containsText" dxfId="461" priority="2120" operator="containsText" text="ACTIVO">
      <formula>NOT(ISERROR(SEARCH("ACTIVO",H478)))</formula>
    </cfRule>
    <cfRule type="containsText" dxfId="460" priority="2121" operator="containsText" text="INACTIVA">
      <formula>NOT(ISERROR(SEARCH("INACTIVA",H478)))</formula>
    </cfRule>
  </conditionalFormatting>
  <conditionalFormatting sqref="H480">
    <cfRule type="containsText" dxfId="459" priority="1464" operator="containsText" text="ACTIVO">
      <formula>NOT(ISERROR(SEARCH("ACTIVO",H480)))</formula>
    </cfRule>
    <cfRule type="containsText" dxfId="458" priority="1465" operator="containsText" text="ACTIVO">
      <formula>NOT(ISERROR(SEARCH("ACTIVO",H480)))</formula>
    </cfRule>
    <cfRule type="containsText" dxfId="457" priority="1466" operator="containsText" text="BAJA">
      <formula>NOT(ISERROR(SEARCH("BAJA",H480)))</formula>
    </cfRule>
    <cfRule type="containsText" dxfId="456" priority="1467" operator="containsText" text="ACTIVO">
      <formula>NOT(ISERROR(SEARCH("ACTIVO",H480)))</formula>
    </cfRule>
    <cfRule type="containsText" dxfId="455" priority="1468" operator="containsText" text="ACTIVO">
      <formula>NOT(ISERROR(SEARCH("ACTIVO",H480)))</formula>
    </cfRule>
    <cfRule type="containsText" dxfId="454" priority="1469" operator="containsText" text="BAJA">
      <formula>NOT(ISERROR(SEARCH("BAJA",H480)))</formula>
    </cfRule>
    <cfRule type="containsText" dxfId="453" priority="1470" operator="containsText" text="ACTIVO">
      <formula>NOT(ISERROR(SEARCH("ACTIVO",H480)))</formula>
    </cfRule>
    <cfRule type="containsText" dxfId="452" priority="1471" operator="containsText" text="ACTIVO">
      <formula>NOT(ISERROR(SEARCH("ACTIVO",H480)))</formula>
    </cfRule>
    <cfRule type="containsText" dxfId="451" priority="1472" operator="containsText" text="ACTIVO">
      <formula>NOT(ISERROR(SEARCH("ACTIVO",H480)))</formula>
    </cfRule>
    <cfRule type="containsText" dxfId="450" priority="1473" operator="containsText" text="ACTIVO">
      <formula>NOT(ISERROR(SEARCH("ACTIVO",H480)))</formula>
    </cfRule>
    <cfRule type="containsText" dxfId="449" priority="1474" operator="containsText" text="BAJA">
      <formula>NOT(ISERROR(SEARCH("BAJA",H480)))</formula>
    </cfRule>
    <cfRule type="containsText" dxfId="448" priority="1475" operator="containsText" text="INACTIVA">
      <formula>NOT(ISERROR(SEARCH("INACTIVA",H480)))</formula>
    </cfRule>
    <cfRule type="containsText" dxfId="447" priority="1476" operator="containsText" text="ACTIVO">
      <formula>NOT(ISERROR(SEARCH("ACTIVO",H480)))</formula>
    </cfRule>
    <cfRule type="containsText" dxfId="446" priority="1477" operator="containsText" text="BAJA">
      <formula>NOT(ISERROR(SEARCH("BAJA",H480)))</formula>
    </cfRule>
    <cfRule type="containsText" dxfId="445" priority="1478" operator="containsText" text="ACTIVO">
      <formula>NOT(ISERROR(SEARCH("ACTIVO",H480)))</formula>
    </cfRule>
    <cfRule type="containsText" dxfId="444" priority="1479" operator="containsText" text="INACTIVA">
      <formula>NOT(ISERROR(SEARCH("INACTIVA",H480)))</formula>
    </cfRule>
    <cfRule type="containsText" dxfId="443" priority="1480" operator="containsText" text="BAJA">
      <formula>NOT(ISERROR(SEARCH("BAJA",H480)))</formula>
    </cfRule>
    <cfRule type="containsText" dxfId="442" priority="1482" operator="containsText" text="BAJA">
      <formula>NOT(ISERROR(SEARCH("BAJA",H480)))</formula>
    </cfRule>
    <cfRule type="containsText" dxfId="441" priority="1483" operator="containsText" text="ACTIVA">
      <formula>NOT(ISERROR(SEARCH("ACTIVA",H480)))</formula>
    </cfRule>
    <cfRule type="containsText" dxfId="440" priority="1485" operator="containsText" text="ACTIVO">
      <formula>NOT(ISERROR(SEARCH("ACTIVO",H480)))</formula>
    </cfRule>
  </conditionalFormatting>
  <conditionalFormatting sqref="H480:H484">
    <cfRule type="containsText" dxfId="439" priority="1481" operator="containsText" text="ACTIVO">
      <formula>NOT(ISERROR(SEARCH("ACTIVO",H480)))</formula>
    </cfRule>
    <cfRule type="containsText" dxfId="438" priority="1484" operator="containsText" text="INACTIVA">
      <formula>NOT(ISERROR(SEARCH("INACTIVA",H480)))</formula>
    </cfRule>
    <cfRule type="containsText" dxfId="437" priority="1486" operator="containsText" text="BAJA">
      <formula>NOT(ISERROR(SEARCH("BAJA",H480)))</formula>
    </cfRule>
  </conditionalFormatting>
  <conditionalFormatting sqref="H481:H484">
    <cfRule type="containsText" dxfId="436" priority="2122" operator="containsText" text="ACTIVO">
      <formula>NOT(ISERROR(SEARCH("ACTIVO",H481)))</formula>
    </cfRule>
    <cfRule type="containsText" dxfId="435" priority="2123" operator="containsText" text="ACTIVO">
      <formula>NOT(ISERROR(SEARCH("ACTIVO",H481)))</formula>
    </cfRule>
    <cfRule type="containsText" dxfId="434" priority="2124" operator="containsText" text="BAJA">
      <formula>NOT(ISERROR(SEARCH("BAJA",H481)))</formula>
    </cfRule>
    <cfRule type="containsText" dxfId="433" priority="2125" operator="containsText" text="ACTIVO">
      <formula>NOT(ISERROR(SEARCH("ACTIVO",H481)))</formula>
    </cfRule>
    <cfRule type="containsText" dxfId="432" priority="2126" operator="containsText" text="ACTIVO">
      <formula>NOT(ISERROR(SEARCH("ACTIVO",H481)))</formula>
    </cfRule>
    <cfRule type="containsText" dxfId="431" priority="2127" operator="containsText" text="BAJA">
      <formula>NOT(ISERROR(SEARCH("BAJA",H481)))</formula>
    </cfRule>
    <cfRule type="containsText" dxfId="430" priority="2128" operator="containsText" text="ACTIVO">
      <formula>NOT(ISERROR(SEARCH("ACTIVO",H481)))</formula>
    </cfRule>
    <cfRule type="containsText" dxfId="429" priority="2129" operator="containsText" text="ACTIVO">
      <formula>NOT(ISERROR(SEARCH("ACTIVO",H481)))</formula>
    </cfRule>
    <cfRule type="containsText" dxfId="428" priority="2130" operator="containsText" text="ACTIVO">
      <formula>NOT(ISERROR(SEARCH("ACTIVO",H481)))</formula>
    </cfRule>
    <cfRule type="containsText" dxfId="427" priority="2131" operator="containsText" text="ACTIVO">
      <formula>NOT(ISERROR(SEARCH("ACTIVO",H481)))</formula>
    </cfRule>
    <cfRule type="containsText" dxfId="426" priority="2132" operator="containsText" text="BAJA">
      <formula>NOT(ISERROR(SEARCH("BAJA",H481)))</formula>
    </cfRule>
    <cfRule type="containsText" dxfId="425" priority="2133" operator="containsText" text="INACTIVA">
      <formula>NOT(ISERROR(SEARCH("INACTIVA",H481)))</formula>
    </cfRule>
    <cfRule type="containsText" dxfId="424" priority="2134" operator="containsText" text="ACTIVO">
      <formula>NOT(ISERROR(SEARCH("ACTIVO",H481)))</formula>
    </cfRule>
    <cfRule type="containsText" dxfId="423" priority="2135" operator="containsText" text="BAJA">
      <formula>NOT(ISERROR(SEARCH("BAJA",H481)))</formula>
    </cfRule>
    <cfRule type="containsText" dxfId="422" priority="2136" operator="containsText" text="ACTIVO">
      <formula>NOT(ISERROR(SEARCH("ACTIVO",H481)))</formula>
    </cfRule>
    <cfRule type="containsText" dxfId="421" priority="2137" operator="containsText" text="INACTIVA">
      <formula>NOT(ISERROR(SEARCH("INACTIVA",H481)))</formula>
    </cfRule>
    <cfRule type="containsText" dxfId="420" priority="2138" operator="containsText" text="BAJA">
      <formula>NOT(ISERROR(SEARCH("BAJA",H481)))</formula>
    </cfRule>
    <cfRule type="containsText" dxfId="419" priority="2139" operator="containsText" text="ACTIVA">
      <formula>NOT(ISERROR(SEARCH("ACTIVA",H481)))</formula>
    </cfRule>
    <cfRule type="containsText" dxfId="418" priority="2140" operator="containsText" text="ACTIVO">
      <formula>NOT(ISERROR(SEARCH("ACTIVO",H481)))</formula>
    </cfRule>
  </conditionalFormatting>
  <conditionalFormatting sqref="H481:H486">
    <cfRule type="containsText" dxfId="417" priority="2141" operator="containsText" text="ACTIVO">
      <formula>NOT(ISERROR(SEARCH("ACTIVO",H481)))</formula>
    </cfRule>
    <cfRule type="containsText" dxfId="416" priority="2142" operator="containsText" text="INACTIVA">
      <formula>NOT(ISERROR(SEARCH("INACTIVA",H481)))</formula>
    </cfRule>
  </conditionalFormatting>
  <conditionalFormatting sqref="H485">
    <cfRule type="containsText" dxfId="415" priority="3286" operator="containsText" text="BAJA">
      <formula>NOT(ISERROR(SEARCH("BAJA",H485)))</formula>
    </cfRule>
    <cfRule type="containsText" dxfId="414" priority="3287" operator="containsText" text="ACTIVO">
      <formula>NOT(ISERROR(SEARCH("ACTIVO",H485)))</formula>
    </cfRule>
    <cfRule type="containsText" dxfId="413" priority="3288" operator="containsText" text="ACTIVO">
      <formula>NOT(ISERROR(SEARCH("ACTIVO",H485)))</formula>
    </cfRule>
    <cfRule type="containsText" dxfId="412" priority="3289" operator="containsText" text="BAJA">
      <formula>NOT(ISERROR(SEARCH("BAJA",H485)))</formula>
    </cfRule>
    <cfRule type="containsText" dxfId="411" priority="3290" operator="containsText" text="ACTIVO">
      <formula>NOT(ISERROR(SEARCH("ACTIVO",H485)))</formula>
    </cfRule>
    <cfRule type="containsText" dxfId="410" priority="3291" operator="containsText" text="ACTIVO">
      <formula>NOT(ISERROR(SEARCH("ACTIVO",H485)))</formula>
    </cfRule>
    <cfRule type="containsText" dxfId="409" priority="3292" operator="containsText" text="BAJA">
      <formula>NOT(ISERROR(SEARCH("BAJA",H485)))</formula>
    </cfRule>
    <cfRule type="containsText" dxfId="408" priority="3293" operator="containsText" text="ACTIVO">
      <formula>NOT(ISERROR(SEARCH("ACTIVO",H485)))</formula>
    </cfRule>
    <cfRule type="containsText" dxfId="407" priority="3294" operator="containsText" text="ACTIVO">
      <formula>NOT(ISERROR(SEARCH("ACTIVO",H485)))</formula>
    </cfRule>
    <cfRule type="containsText" dxfId="406" priority="3295" operator="containsText" text="ACTIVO">
      <formula>NOT(ISERROR(SEARCH("ACTIVO",H485)))</formula>
    </cfRule>
    <cfRule type="containsText" dxfId="405" priority="3296" operator="containsText" text="ACTIVO">
      <formula>NOT(ISERROR(SEARCH("ACTIVO",H485)))</formula>
    </cfRule>
    <cfRule type="containsText" dxfId="404" priority="3297" operator="containsText" text="BAJA">
      <formula>NOT(ISERROR(SEARCH("BAJA",H485)))</formula>
    </cfRule>
    <cfRule type="containsText" dxfId="403" priority="3298" operator="containsText" text="INACTIVA">
      <formula>NOT(ISERROR(SEARCH("INACTIVA",H485)))</formula>
    </cfRule>
    <cfRule type="containsText" dxfId="402" priority="3299" operator="containsText" text="ACTIVO">
      <formula>NOT(ISERROR(SEARCH("ACTIVO",H485)))</formula>
    </cfRule>
    <cfRule type="containsText" dxfId="401" priority="3300" operator="containsText" text="BAJA">
      <formula>NOT(ISERROR(SEARCH("BAJA",H485)))</formula>
    </cfRule>
    <cfRule type="containsText" dxfId="400" priority="3301" operator="containsText" text="ACTIVO">
      <formula>NOT(ISERROR(SEARCH("ACTIVO",H485)))</formula>
    </cfRule>
    <cfRule type="containsText" dxfId="399" priority="3302" operator="containsText" text="INACTIVA">
      <formula>NOT(ISERROR(SEARCH("INACTIVA",H485)))</formula>
    </cfRule>
    <cfRule type="containsText" dxfId="398" priority="3303" operator="containsText" text="BAJA">
      <formula>NOT(ISERROR(SEARCH("BAJA",H485)))</formula>
    </cfRule>
    <cfRule type="containsText" dxfId="397" priority="3304" operator="containsText" text="ACTIVO">
      <formula>NOT(ISERROR(SEARCH("ACTIVO",H485)))</formula>
    </cfRule>
    <cfRule type="containsText" dxfId="396" priority="3305" operator="containsText" text="BAJA">
      <formula>NOT(ISERROR(SEARCH("BAJA",H485)))</formula>
    </cfRule>
    <cfRule type="containsText" dxfId="395" priority="3306" operator="containsText" text="ACTIVA">
      <formula>NOT(ISERROR(SEARCH("ACTIVA",H485)))</formula>
    </cfRule>
    <cfRule type="containsText" dxfId="394" priority="3307" operator="containsText" text="INACTIVA">
      <formula>NOT(ISERROR(SEARCH("INACTIVA",H485)))</formula>
    </cfRule>
    <cfRule type="containsText" dxfId="393" priority="3308" operator="containsText" text="ACTIVO">
      <formula>NOT(ISERROR(SEARCH("ACTIVO",H485)))</formula>
    </cfRule>
  </conditionalFormatting>
  <conditionalFormatting sqref="H486 H488:H491">
    <cfRule type="containsText" dxfId="392" priority="1115" operator="containsText" text="INACTIVA">
      <formula>NOT(ISERROR(SEARCH("INACTIVA",H486)))</formula>
    </cfRule>
  </conditionalFormatting>
  <conditionalFormatting sqref="H486">
    <cfRule type="containsText" dxfId="391" priority="1561" operator="containsText" text="BAJA">
      <formula>NOT(ISERROR(SEARCH("BAJA",H486)))</formula>
    </cfRule>
    <cfRule type="containsText" dxfId="390" priority="1562" operator="containsText" text="ACTIVO">
      <formula>NOT(ISERROR(SEARCH("ACTIVO",H486)))</formula>
    </cfRule>
    <cfRule type="containsText" dxfId="389" priority="1563" operator="containsText" text="ACTIVO">
      <formula>NOT(ISERROR(SEARCH("ACTIVO",H486)))</formula>
    </cfRule>
    <cfRule type="containsText" dxfId="388" priority="1564" operator="containsText" text="BAJA">
      <formula>NOT(ISERROR(SEARCH("BAJA",H486)))</formula>
    </cfRule>
    <cfRule type="containsText" dxfId="387" priority="1565" operator="containsText" text="ACTIVO">
      <formula>NOT(ISERROR(SEARCH("ACTIVO",H486)))</formula>
    </cfRule>
    <cfRule type="containsText" dxfId="386" priority="1566" operator="containsText" text="ACTIVO">
      <formula>NOT(ISERROR(SEARCH("ACTIVO",H486)))</formula>
    </cfRule>
    <cfRule type="containsText" dxfId="385" priority="1567" operator="containsText" text="BAJA">
      <formula>NOT(ISERROR(SEARCH("BAJA",H486)))</formula>
    </cfRule>
    <cfRule type="containsText" dxfId="384" priority="1568" operator="containsText" text="ACTIVO">
      <formula>NOT(ISERROR(SEARCH("ACTIVO",H486)))</formula>
    </cfRule>
    <cfRule type="containsText" dxfId="383" priority="1569" operator="containsText" text="ACTIVO">
      <formula>NOT(ISERROR(SEARCH("ACTIVO",H486)))</formula>
    </cfRule>
    <cfRule type="containsText" dxfId="382" priority="1570" operator="containsText" text="ACTIVO">
      <formula>NOT(ISERROR(SEARCH("ACTIVO",H486)))</formula>
    </cfRule>
    <cfRule type="containsText" dxfId="381" priority="1571" operator="containsText" text="ACTIVO">
      <formula>NOT(ISERROR(SEARCH("ACTIVO",H486)))</formula>
    </cfRule>
    <cfRule type="containsText" dxfId="380" priority="1572" operator="containsText" text="BAJA">
      <formula>NOT(ISERROR(SEARCH("BAJA",H486)))</formula>
    </cfRule>
    <cfRule type="containsText" dxfId="379" priority="1573" operator="containsText" text="INACTIVA">
      <formula>NOT(ISERROR(SEARCH("INACTIVA",H486)))</formula>
    </cfRule>
    <cfRule type="containsText" dxfId="378" priority="1574" operator="containsText" text="ACTIVO">
      <formula>NOT(ISERROR(SEARCH("ACTIVO",H486)))</formula>
    </cfRule>
    <cfRule type="containsText" dxfId="377" priority="1575" operator="containsText" text="BAJA">
      <formula>NOT(ISERROR(SEARCH("BAJA",H486)))</formula>
    </cfRule>
    <cfRule type="containsText" dxfId="376" priority="1576" operator="containsText" text="ACTIVO">
      <formula>NOT(ISERROR(SEARCH("ACTIVO",H486)))</formula>
    </cfRule>
    <cfRule type="containsText" dxfId="375" priority="1577" operator="containsText" text="INACTIVA">
      <formula>NOT(ISERROR(SEARCH("INACTIVA",H486)))</formula>
    </cfRule>
    <cfRule type="containsText" dxfId="374" priority="1578" operator="containsText" text="BAJA">
      <formula>NOT(ISERROR(SEARCH("BAJA",H486)))</formula>
    </cfRule>
    <cfRule type="containsText" dxfId="373" priority="1579" operator="containsText" text="ACTIVA">
      <formula>NOT(ISERROR(SEARCH("ACTIVA",H486)))</formula>
    </cfRule>
    <cfRule type="containsText" dxfId="372" priority="1580" operator="containsText" text="ACTIVO">
      <formula>NOT(ISERROR(SEARCH("ACTIVO",H486)))</formula>
    </cfRule>
  </conditionalFormatting>
  <conditionalFormatting sqref="H486:H491">
    <cfRule type="containsText" dxfId="371" priority="97" operator="containsText" text="ACTIVO">
      <formula>NOT(ISERROR(SEARCH("ACTIVO",H486)))</formula>
    </cfRule>
  </conditionalFormatting>
  <conditionalFormatting sqref="H487">
    <cfRule type="containsText" dxfId="370" priority="74" operator="containsText" text="ACTIVO">
      <formula>NOT(ISERROR(SEARCH("ACTIVO",H487)))</formula>
    </cfRule>
    <cfRule type="containsText" dxfId="369" priority="75" operator="containsText" text="ACTIVO">
      <formula>NOT(ISERROR(SEARCH("ACTIVO",H487)))</formula>
    </cfRule>
    <cfRule type="containsText" dxfId="368" priority="76" operator="containsText" text="BAJA">
      <formula>NOT(ISERROR(SEARCH("BAJA",H487)))</formula>
    </cfRule>
    <cfRule type="containsText" dxfId="367" priority="77" operator="containsText" text="ACTIVO">
      <formula>NOT(ISERROR(SEARCH("ACTIVO",H487)))</formula>
    </cfRule>
    <cfRule type="containsText" dxfId="366" priority="78" operator="containsText" text="ACTIVO">
      <formula>NOT(ISERROR(SEARCH("ACTIVO",H487)))</formula>
    </cfRule>
    <cfRule type="containsText" dxfId="365" priority="79" operator="containsText" text="BAJA">
      <formula>NOT(ISERROR(SEARCH("BAJA",H487)))</formula>
    </cfRule>
    <cfRule type="containsText" dxfId="364" priority="80" operator="containsText" text="ACTIVO">
      <formula>NOT(ISERROR(SEARCH("ACTIVO",H487)))</formula>
    </cfRule>
    <cfRule type="containsText" dxfId="363" priority="81" operator="containsText" text="ACTIVO">
      <formula>NOT(ISERROR(SEARCH("ACTIVO",H487)))</formula>
    </cfRule>
    <cfRule type="containsText" dxfId="362" priority="82" operator="containsText" text="ACTIVO">
      <formula>NOT(ISERROR(SEARCH("ACTIVO",H487)))</formula>
    </cfRule>
    <cfRule type="containsText" dxfId="361" priority="83" operator="containsText" text="ACTIVO">
      <formula>NOT(ISERROR(SEARCH("ACTIVO",H487)))</formula>
    </cfRule>
    <cfRule type="containsText" dxfId="360" priority="84" operator="containsText" text="BAJA">
      <formula>NOT(ISERROR(SEARCH("BAJA",H487)))</formula>
    </cfRule>
    <cfRule type="containsText" dxfId="359" priority="85" operator="containsText" text="INACTIVA">
      <formula>NOT(ISERROR(SEARCH("INACTIVA",H487)))</formula>
    </cfRule>
    <cfRule type="containsText" dxfId="358" priority="86" operator="containsText" text="ACTIVO">
      <formula>NOT(ISERROR(SEARCH("ACTIVO",H487)))</formula>
    </cfRule>
    <cfRule type="containsText" dxfId="357" priority="87" operator="containsText" text="BAJA">
      <formula>NOT(ISERROR(SEARCH("BAJA",H487)))</formula>
    </cfRule>
    <cfRule type="containsText" dxfId="356" priority="88" operator="containsText" text="ACTIVO">
      <formula>NOT(ISERROR(SEARCH("ACTIVO",H487)))</formula>
    </cfRule>
    <cfRule type="containsText" dxfId="355" priority="89" operator="containsText" text="INACTIVA">
      <formula>NOT(ISERROR(SEARCH("INACTIVA",H487)))</formula>
    </cfRule>
    <cfRule type="containsText" dxfId="354" priority="90" operator="containsText" text="BAJA">
      <formula>NOT(ISERROR(SEARCH("BAJA",H487)))</formula>
    </cfRule>
    <cfRule type="containsText" dxfId="353" priority="91" operator="containsText" text="ACTIVO">
      <formula>NOT(ISERROR(SEARCH("ACTIVO",H487)))</formula>
    </cfRule>
    <cfRule type="containsText" dxfId="352" priority="92" operator="containsText" text="BAJA">
      <formula>NOT(ISERROR(SEARCH("BAJA",H487)))</formula>
    </cfRule>
    <cfRule type="containsText" dxfId="351" priority="93" operator="containsText" text="ACTIVA">
      <formula>NOT(ISERROR(SEARCH("ACTIVA",H487)))</formula>
    </cfRule>
    <cfRule type="containsText" dxfId="350" priority="94" operator="containsText" text="INACTIVA">
      <formula>NOT(ISERROR(SEARCH("INACTIVA",H487)))</formula>
    </cfRule>
    <cfRule type="containsText" dxfId="349" priority="95" operator="containsText" text="ACTIVO">
      <formula>NOT(ISERROR(SEARCH("ACTIVO",H487)))</formula>
    </cfRule>
    <cfRule type="containsText" dxfId="348" priority="96" operator="containsText" text="BAJA">
      <formula>NOT(ISERROR(SEARCH("BAJA",H487)))</formula>
    </cfRule>
    <cfRule type="containsText" dxfId="347" priority="98" operator="containsText" text="INACTIVA">
      <formula>NOT(ISERROR(SEARCH("INACTIVA",H487)))</formula>
    </cfRule>
  </conditionalFormatting>
  <conditionalFormatting sqref="H488:H491">
    <cfRule type="containsText" dxfId="346" priority="2143" operator="containsText" text="BAJA">
      <formula>NOT(ISERROR(SEARCH("BAJA",H488)))</formula>
    </cfRule>
    <cfRule type="containsText" dxfId="345" priority="2144" operator="containsText" text="ACTIVO">
      <formula>NOT(ISERROR(SEARCH("ACTIVO",H488)))</formula>
    </cfRule>
    <cfRule type="containsText" dxfId="344" priority="2145" operator="containsText" text="ACTIVO">
      <formula>NOT(ISERROR(SEARCH("ACTIVO",H488)))</formula>
    </cfRule>
    <cfRule type="containsText" dxfId="343" priority="2146" operator="containsText" text="BAJA">
      <formula>NOT(ISERROR(SEARCH("BAJA",H488)))</formula>
    </cfRule>
    <cfRule type="containsText" dxfId="342" priority="2147" operator="containsText" text="ACTIVO">
      <formula>NOT(ISERROR(SEARCH("ACTIVO",H488)))</formula>
    </cfRule>
    <cfRule type="containsText" dxfId="341" priority="2148" operator="containsText" text="ACTIVO">
      <formula>NOT(ISERROR(SEARCH("ACTIVO",H488)))</formula>
    </cfRule>
    <cfRule type="containsText" dxfId="340" priority="2149" operator="containsText" text="BAJA">
      <formula>NOT(ISERROR(SEARCH("BAJA",H488)))</formula>
    </cfRule>
    <cfRule type="containsText" dxfId="339" priority="2150" operator="containsText" text="ACTIVO">
      <formula>NOT(ISERROR(SEARCH("ACTIVO",H488)))</formula>
    </cfRule>
    <cfRule type="containsText" dxfId="338" priority="2151" operator="containsText" text="ACTIVO">
      <formula>NOT(ISERROR(SEARCH("ACTIVO",H488)))</formula>
    </cfRule>
    <cfRule type="containsText" dxfId="337" priority="2152" operator="containsText" text="ACTIVO">
      <formula>NOT(ISERROR(SEARCH("ACTIVO",H488)))</formula>
    </cfRule>
    <cfRule type="containsText" dxfId="336" priority="2153" operator="containsText" text="ACTIVO">
      <formula>NOT(ISERROR(SEARCH("ACTIVO",H488)))</formula>
    </cfRule>
    <cfRule type="containsText" dxfId="335" priority="2154" operator="containsText" text="BAJA">
      <formula>NOT(ISERROR(SEARCH("BAJA",H488)))</formula>
    </cfRule>
    <cfRule type="containsText" dxfId="334" priority="2155" operator="containsText" text="INACTIVA">
      <formula>NOT(ISERROR(SEARCH("INACTIVA",H488)))</formula>
    </cfRule>
    <cfRule type="containsText" dxfId="333" priority="2156" operator="containsText" text="ACTIVO">
      <formula>NOT(ISERROR(SEARCH("ACTIVO",H488)))</formula>
    </cfRule>
    <cfRule type="containsText" dxfId="332" priority="2157" operator="containsText" text="BAJA">
      <formula>NOT(ISERROR(SEARCH("BAJA",H488)))</formula>
    </cfRule>
    <cfRule type="containsText" dxfId="331" priority="2158" operator="containsText" text="ACTIVO">
      <formula>NOT(ISERROR(SEARCH("ACTIVO",H488)))</formula>
    </cfRule>
    <cfRule type="containsText" dxfId="330" priority="2159" operator="containsText" text="INACTIVA">
      <formula>NOT(ISERROR(SEARCH("INACTIVA",H488)))</formula>
    </cfRule>
    <cfRule type="containsText" dxfId="329" priority="2160" operator="containsText" text="BAJA">
      <formula>NOT(ISERROR(SEARCH("BAJA",H488)))</formula>
    </cfRule>
    <cfRule type="containsText" dxfId="328" priority="2161" operator="containsText" text="ACTIVA">
      <formula>NOT(ISERROR(SEARCH("ACTIVA",H488)))</formula>
    </cfRule>
    <cfRule type="containsText" dxfId="327" priority="2162" operator="containsText" text="ACTIVO">
      <formula>NOT(ISERROR(SEARCH("ACTIVO",H488)))</formula>
    </cfRule>
    <cfRule type="containsText" dxfId="326" priority="2163" operator="containsText" text="ACTIVO">
      <formula>NOT(ISERROR(SEARCH("ACTIVO",H488)))</formula>
    </cfRule>
    <cfRule type="containsText" dxfId="325" priority="2164" operator="containsText" text="INACTIVA">
      <formula>NOT(ISERROR(SEARCH("INACTIVA",H488)))</formula>
    </cfRule>
  </conditionalFormatting>
  <conditionalFormatting sqref="H493:H497">
    <cfRule type="containsText" dxfId="324" priority="2714" operator="containsText" text="ACTIVO">
      <formula>NOT(ISERROR(SEARCH("ACTIVO",H493)))</formula>
    </cfRule>
    <cfRule type="containsText" dxfId="323" priority="2715" operator="containsText" text="INACTIVA">
      <formula>NOT(ISERROR(SEARCH("INACTIVA",H493)))</formula>
    </cfRule>
    <cfRule type="containsText" dxfId="322" priority="2716" operator="containsText" text="BAJA">
      <formula>NOT(ISERROR(SEARCH("BAJA",H493)))</formula>
    </cfRule>
    <cfRule type="containsText" dxfId="321" priority="2717" operator="containsText" text="ACTIVO">
      <formula>NOT(ISERROR(SEARCH("ACTIVO",H493)))</formula>
    </cfRule>
    <cfRule type="containsText" dxfId="320" priority="2718" operator="containsText" text="ACTIVO">
      <formula>NOT(ISERROR(SEARCH("ACTIVO",H493)))</formula>
    </cfRule>
    <cfRule type="containsText" dxfId="319" priority="2719" operator="containsText" text="BAJA">
      <formula>NOT(ISERROR(SEARCH("BAJA",H493)))</formula>
    </cfRule>
    <cfRule type="containsText" dxfId="318" priority="2720" operator="containsText" text="ACTIVO">
      <formula>NOT(ISERROR(SEARCH("ACTIVO",H493)))</formula>
    </cfRule>
    <cfRule type="containsText" dxfId="317" priority="2721" operator="containsText" text="ACTIVO">
      <formula>NOT(ISERROR(SEARCH("ACTIVO",H493)))</formula>
    </cfRule>
    <cfRule type="containsText" dxfId="316" priority="2722" operator="containsText" text="BAJA">
      <formula>NOT(ISERROR(SEARCH("BAJA",H493)))</formula>
    </cfRule>
    <cfRule type="containsText" dxfId="315" priority="2723" operator="containsText" text="ACTIVO">
      <formula>NOT(ISERROR(SEARCH("ACTIVO",H493)))</formula>
    </cfRule>
    <cfRule type="containsText" dxfId="314" priority="2724" operator="containsText" text="ACTIVO">
      <formula>NOT(ISERROR(SEARCH("ACTIVO",H493)))</formula>
    </cfRule>
    <cfRule type="containsText" dxfId="313" priority="2725" operator="containsText" text="ACTIVO">
      <formula>NOT(ISERROR(SEARCH("ACTIVO",H493)))</formula>
    </cfRule>
    <cfRule type="containsText" dxfId="312" priority="2726" operator="containsText" text="ACTIVO">
      <formula>NOT(ISERROR(SEARCH("ACTIVO",H493)))</formula>
    </cfRule>
    <cfRule type="containsText" dxfId="311" priority="2727" operator="containsText" text="BAJA">
      <formula>NOT(ISERROR(SEARCH("BAJA",H493)))</formula>
    </cfRule>
    <cfRule type="containsText" dxfId="310" priority="2728" operator="containsText" text="INACTIVA">
      <formula>NOT(ISERROR(SEARCH("INACTIVA",H493)))</formula>
    </cfRule>
    <cfRule type="containsText" dxfId="309" priority="2729" operator="containsText" text="ACTIVO">
      <formula>NOT(ISERROR(SEARCH("ACTIVO",H493)))</formula>
    </cfRule>
    <cfRule type="containsText" dxfId="308" priority="2730" operator="containsText" text="BAJA">
      <formula>NOT(ISERROR(SEARCH("BAJA",H493)))</formula>
    </cfRule>
    <cfRule type="containsText" dxfId="307" priority="2731" operator="containsText" text="ACTIVO">
      <formula>NOT(ISERROR(SEARCH("ACTIVO",H493)))</formula>
    </cfRule>
    <cfRule type="containsText" dxfId="306" priority="2732" operator="containsText" text="INACTIVA">
      <formula>NOT(ISERROR(SEARCH("INACTIVA",H493)))</formula>
    </cfRule>
    <cfRule type="containsText" dxfId="305" priority="2733" operator="containsText" text="BAJA">
      <formula>NOT(ISERROR(SEARCH("BAJA",H493)))</formula>
    </cfRule>
    <cfRule type="containsText" dxfId="304" priority="2734" operator="containsText" text="ACTIVA">
      <formula>NOT(ISERROR(SEARCH("ACTIVA",H493)))</formula>
    </cfRule>
    <cfRule type="containsText" dxfId="303" priority="2735" operator="containsText" text="ACTIVO">
      <formula>NOT(ISERROR(SEARCH("ACTIVO",H493)))</formula>
    </cfRule>
    <cfRule type="containsText" dxfId="302" priority="2736" operator="containsText" text="ACTIVO">
      <formula>NOT(ISERROR(SEARCH("ACTIVO",H493)))</formula>
    </cfRule>
    <cfRule type="containsText" dxfId="301" priority="2737" operator="containsText" text="INACTIVA">
      <formula>NOT(ISERROR(SEARCH("INACTIVA",H493)))</formula>
    </cfRule>
  </conditionalFormatting>
  <conditionalFormatting sqref="H498 H503 H505">
    <cfRule type="containsText" dxfId="300" priority="3264" operator="containsText" text="ACTIVO">
      <formula>NOT(ISERROR(SEARCH("ACTIVO",H498)))</formula>
    </cfRule>
    <cfRule type="containsText" dxfId="299" priority="3265" operator="containsText" text="ACTIVO">
      <formula>NOT(ISERROR(SEARCH("ACTIVO",H498)))</formula>
    </cfRule>
    <cfRule type="containsText" dxfId="298" priority="3266" operator="containsText" text="BAJA">
      <formula>NOT(ISERROR(SEARCH("BAJA",H498)))</formula>
    </cfRule>
    <cfRule type="containsText" dxfId="297" priority="3267" operator="containsText" text="ACTIVO">
      <formula>NOT(ISERROR(SEARCH("ACTIVO",H498)))</formula>
    </cfRule>
    <cfRule type="containsText" dxfId="296" priority="3268" operator="containsText" text="ACTIVO">
      <formula>NOT(ISERROR(SEARCH("ACTIVO",H498)))</formula>
    </cfRule>
    <cfRule type="containsText" dxfId="295" priority="3269" operator="containsText" text="BAJA">
      <formula>NOT(ISERROR(SEARCH("BAJA",H498)))</formula>
    </cfRule>
    <cfRule type="containsText" dxfId="294" priority="3270" operator="containsText" text="ACTIVO">
      <formula>NOT(ISERROR(SEARCH("ACTIVO",H498)))</formula>
    </cfRule>
    <cfRule type="containsText" dxfId="293" priority="3271" operator="containsText" text="ACTIVO">
      <formula>NOT(ISERROR(SEARCH("ACTIVO",H498)))</formula>
    </cfRule>
    <cfRule type="containsText" dxfId="292" priority="3272" operator="containsText" text="ACTIVO">
      <formula>NOT(ISERROR(SEARCH("ACTIVO",H498)))</formula>
    </cfRule>
    <cfRule type="containsText" dxfId="291" priority="3273" operator="containsText" text="ACTIVO">
      <formula>NOT(ISERROR(SEARCH("ACTIVO",H498)))</formula>
    </cfRule>
    <cfRule type="containsText" dxfId="290" priority="3274" operator="containsText" text="BAJA">
      <formula>NOT(ISERROR(SEARCH("BAJA",H498)))</formula>
    </cfRule>
    <cfRule type="containsText" dxfId="289" priority="3275" operator="containsText" text="INACTIVA">
      <formula>NOT(ISERROR(SEARCH("INACTIVA",H498)))</formula>
    </cfRule>
    <cfRule type="containsText" dxfId="288" priority="3276" operator="containsText" text="ACTIVO">
      <formula>NOT(ISERROR(SEARCH("ACTIVO",H498)))</formula>
    </cfRule>
    <cfRule type="containsText" dxfId="287" priority="3277" operator="containsText" text="BAJA">
      <formula>NOT(ISERROR(SEARCH("BAJA",H498)))</formula>
    </cfRule>
    <cfRule type="containsText" dxfId="286" priority="3278" operator="containsText" text="ACTIVO">
      <formula>NOT(ISERROR(SEARCH("ACTIVO",H498)))</formula>
    </cfRule>
    <cfRule type="containsText" dxfId="285" priority="3279" operator="containsText" text="INACTIVA">
      <formula>NOT(ISERROR(SEARCH("INACTIVA",H498)))</formula>
    </cfRule>
    <cfRule type="containsText" dxfId="284" priority="3280" operator="containsText" text="BAJA">
      <formula>NOT(ISERROR(SEARCH("BAJA",H498)))</formula>
    </cfRule>
    <cfRule type="containsText" dxfId="283" priority="3281" operator="containsText" text="ACTIVO">
      <formula>NOT(ISERROR(SEARCH("ACTIVO",H498)))</formula>
    </cfRule>
    <cfRule type="containsText" dxfId="282" priority="3282" operator="containsText" text="BAJA">
      <formula>NOT(ISERROR(SEARCH("BAJA",H498)))</formula>
    </cfRule>
    <cfRule type="containsText" dxfId="281" priority="3283" operator="containsText" text="ACTIVA">
      <formula>NOT(ISERROR(SEARCH("ACTIVA",H498)))</formula>
    </cfRule>
    <cfRule type="containsText" dxfId="280" priority="3284" operator="containsText" text="INACTIVA">
      <formula>NOT(ISERROR(SEARCH("INACTIVA",H498)))</formula>
    </cfRule>
    <cfRule type="containsText" dxfId="279" priority="3285" operator="containsText" text="ACTIVO">
      <formula>NOT(ISERROR(SEARCH("ACTIVO",H498)))</formula>
    </cfRule>
  </conditionalFormatting>
  <conditionalFormatting sqref="H498 H503">
    <cfRule type="containsText" dxfId="278" priority="3263" operator="containsText" text="BAJA">
      <formula>NOT(ISERROR(SEARCH("BAJA",H498)))</formula>
    </cfRule>
  </conditionalFormatting>
  <conditionalFormatting sqref="H498:H499">
    <cfRule type="containsText" dxfId="277" priority="3245" operator="containsText" text="ACTIVO">
      <formula>NOT(ISERROR(SEARCH("ACTIVO",H498)))</formula>
    </cfRule>
    <cfRule type="containsText" dxfId="276" priority="3253" operator="containsText" text="INACTIVA">
      <formula>NOT(ISERROR(SEARCH("INACTIVA",H498)))</formula>
    </cfRule>
  </conditionalFormatting>
  <conditionalFormatting sqref="H499">
    <cfRule type="containsText" dxfId="275" priority="3211" operator="containsText" text="BAJA">
      <formula>NOT(ISERROR(SEARCH("BAJA",H499)))</formula>
    </cfRule>
    <cfRule type="containsText" dxfId="274" priority="3212" operator="containsText" text="ACTIVO">
      <formula>NOT(ISERROR(SEARCH("ACTIVO",H499)))</formula>
    </cfRule>
    <cfRule type="containsText" dxfId="273" priority="3213" operator="containsText" text="BAJA">
      <formula>NOT(ISERROR(SEARCH("BAJA",H499)))</formula>
    </cfRule>
    <cfRule type="colorScale" priority="32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1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72" priority="3218" operator="containsText" text="ACTIVO">
      <formula>NOT(ISERROR(SEARCH("ACTIVO",H499)))</formula>
    </cfRule>
    <cfRule type="containsText" dxfId="271" priority="3219" operator="containsText" text="ACTIVO">
      <formula>NOT(ISERROR(SEARCH("ACTIVO",H499)))</formula>
    </cfRule>
    <cfRule type="containsText" dxfId="270" priority="3220" operator="containsText" text="BAJA">
      <formula>NOT(ISERROR(SEARCH("BAJA",H499)))</formula>
    </cfRule>
    <cfRule type="containsText" dxfId="269" priority="3221" operator="containsText" text="ACTIVO">
      <formula>NOT(ISERROR(SEARCH("ACTIVO",H499)))</formula>
    </cfRule>
    <cfRule type="containsText" dxfId="268" priority="3222" operator="containsText" text="ACTIVO">
      <formula>NOT(ISERROR(SEARCH("ACTIVO",H499)))</formula>
    </cfRule>
    <cfRule type="colorScale" priority="32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2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67" priority="3225" operator="containsText" text="BAJA">
      <formula>NOT(ISERROR(SEARCH("BAJA",H499)))</formula>
    </cfRule>
    <cfRule type="containsText" dxfId="266" priority="3226" operator="containsText" text="ACTIVO">
      <formula>NOT(ISERROR(SEARCH("ACTIVO",H499)))</formula>
    </cfRule>
    <cfRule type="containsText" dxfId="265" priority="3227" operator="containsText" text="ACTIVO">
      <formula>NOT(ISERROR(SEARCH("ACTIVO",H499)))</formula>
    </cfRule>
    <cfRule type="containsText" dxfId="264" priority="3228" operator="containsText" text="ACTIVO">
      <formula>NOT(ISERROR(SEARCH("ACTIVO",H499)))</formula>
    </cfRule>
    <cfRule type="containsText" dxfId="263" priority="3229" operator="containsText" text="ACTIVO">
      <formula>NOT(ISERROR(SEARCH("ACTIVO",H499)))</formula>
    </cfRule>
    <cfRule type="containsText" dxfId="262" priority="3230" operator="containsText" text="BAJA">
      <formula>NOT(ISERROR(SEARCH("BAJA",H499)))</formula>
    </cfRule>
    <cfRule type="containsText" dxfId="261" priority="3231" operator="containsText" text="INACTIVA">
      <formula>NOT(ISERROR(SEARCH("INACTIVA",H499)))</formula>
    </cfRule>
    <cfRule type="colorScale" priority="323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3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3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60" priority="3236" operator="containsText" text="ACTIVO">
      <formula>NOT(ISERROR(SEARCH("ACTIVO",H499)))</formula>
    </cfRule>
    <cfRule type="containsText" dxfId="259" priority="3237" operator="containsText" text="BAJA">
      <formula>NOT(ISERROR(SEARCH("BAJA",H499)))</formula>
    </cfRule>
    <cfRule type="containsText" dxfId="258" priority="3238" operator="containsText" text="ACTIVO">
      <formula>NOT(ISERROR(SEARCH("ACTIVO",H499)))</formula>
    </cfRule>
    <cfRule type="colorScale" priority="32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4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7" priority="3243" operator="containsText" text="INACTIVA">
      <formula>NOT(ISERROR(SEARCH("INACTIVA",H499)))</formula>
    </cfRule>
    <cfRule type="containsText" dxfId="256" priority="3244" operator="containsText" text="BAJA">
      <formula>NOT(ISERROR(SEARCH("BAJA",H499)))</formula>
    </cfRule>
    <cfRule type="containsText" dxfId="255" priority="3246" operator="containsText" text="BAJA">
      <formula>NOT(ISERROR(SEARCH("BAJA",H499)))</formula>
    </cfRule>
    <cfRule type="colorScale" priority="324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4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4" priority="3249" operator="containsText" text="INACTIVA">
      <formula>NOT(ISERROR(SEARCH("INACTIVA",H499)))</formula>
    </cfRule>
    <cfRule type="containsText" dxfId="253" priority="3250" operator="containsText" text="ACTIVA">
      <formula>NOT(ISERROR(SEARCH("ACTIVA",H499)))</formula>
    </cfRule>
    <cfRule type="colorScale" priority="325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5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5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5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2" priority="3258" operator="containsText" text="ACTIVO">
      <formula>NOT(ISERROR(SEARCH("ACTIVO",H499)))</formula>
    </cfRule>
    <cfRule type="colorScale" priority="325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6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99:H503">
    <cfRule type="containsText" dxfId="251" priority="2712" operator="containsText" text="ACTIVO">
      <formula>NOT(ISERROR(SEARCH("ACTIVO",H499)))</formula>
    </cfRule>
    <cfRule type="containsText" dxfId="250" priority="2713" operator="containsText" text="INACTIVA">
      <formula>NOT(ISERROR(SEARCH("INACTIVA",H499)))</formula>
    </cfRule>
  </conditionalFormatting>
  <conditionalFormatting sqref="H500:H502">
    <cfRule type="containsText" dxfId="249" priority="2690" operator="containsText" text="ACTIVO">
      <formula>NOT(ISERROR(SEARCH("ACTIVO",H500)))</formula>
    </cfRule>
    <cfRule type="containsText" dxfId="248" priority="2691" operator="containsText" text="INACTIVA">
      <formula>NOT(ISERROR(SEARCH("INACTIVA",H500)))</formula>
    </cfRule>
    <cfRule type="containsText" dxfId="247" priority="2692" operator="containsText" text="BAJA">
      <formula>NOT(ISERROR(SEARCH("BAJA",H500)))</formula>
    </cfRule>
    <cfRule type="containsText" dxfId="246" priority="2693" operator="containsText" text="ACTIVO">
      <formula>NOT(ISERROR(SEARCH("ACTIVO",H500)))</formula>
    </cfRule>
    <cfRule type="containsText" dxfId="245" priority="2694" operator="containsText" text="ACTIVO">
      <formula>NOT(ISERROR(SEARCH("ACTIVO",H500)))</formula>
    </cfRule>
    <cfRule type="containsText" dxfId="244" priority="2695" operator="containsText" text="BAJA">
      <formula>NOT(ISERROR(SEARCH("BAJA",H500)))</formula>
    </cfRule>
    <cfRule type="containsText" dxfId="243" priority="2696" operator="containsText" text="ACTIVO">
      <formula>NOT(ISERROR(SEARCH("ACTIVO",H500)))</formula>
    </cfRule>
    <cfRule type="containsText" dxfId="242" priority="2697" operator="containsText" text="ACTIVO">
      <formula>NOT(ISERROR(SEARCH("ACTIVO",H500)))</formula>
    </cfRule>
    <cfRule type="containsText" dxfId="241" priority="2698" operator="containsText" text="BAJA">
      <formula>NOT(ISERROR(SEARCH("BAJA",H500)))</formula>
    </cfRule>
    <cfRule type="containsText" dxfId="240" priority="2699" operator="containsText" text="ACTIVO">
      <formula>NOT(ISERROR(SEARCH("ACTIVO",H500)))</formula>
    </cfRule>
    <cfRule type="containsText" dxfId="239" priority="2700" operator="containsText" text="ACTIVO">
      <formula>NOT(ISERROR(SEARCH("ACTIVO",H500)))</formula>
    </cfRule>
    <cfRule type="containsText" dxfId="238" priority="2701" operator="containsText" text="ACTIVO">
      <formula>NOT(ISERROR(SEARCH("ACTIVO",H500)))</formula>
    </cfRule>
    <cfRule type="containsText" dxfId="237" priority="2702" operator="containsText" text="ACTIVO">
      <formula>NOT(ISERROR(SEARCH("ACTIVO",H500)))</formula>
    </cfRule>
    <cfRule type="containsText" dxfId="236" priority="2703" operator="containsText" text="BAJA">
      <formula>NOT(ISERROR(SEARCH("BAJA",H500)))</formula>
    </cfRule>
    <cfRule type="containsText" dxfId="235" priority="2704" operator="containsText" text="INACTIVA">
      <formula>NOT(ISERROR(SEARCH("INACTIVA",H500)))</formula>
    </cfRule>
    <cfRule type="containsText" dxfId="234" priority="2705" operator="containsText" text="ACTIVO">
      <formula>NOT(ISERROR(SEARCH("ACTIVO",H500)))</formula>
    </cfRule>
    <cfRule type="containsText" dxfId="233" priority="2706" operator="containsText" text="BAJA">
      <formula>NOT(ISERROR(SEARCH("BAJA",H500)))</formula>
    </cfRule>
    <cfRule type="containsText" dxfId="232" priority="2707" operator="containsText" text="ACTIVO">
      <formula>NOT(ISERROR(SEARCH("ACTIVO",H500)))</formula>
    </cfRule>
    <cfRule type="containsText" dxfId="231" priority="2708" operator="containsText" text="INACTIVA">
      <formula>NOT(ISERROR(SEARCH("INACTIVA",H500)))</formula>
    </cfRule>
    <cfRule type="containsText" dxfId="230" priority="2709" operator="containsText" text="BAJA">
      <formula>NOT(ISERROR(SEARCH("BAJA",H500)))</formula>
    </cfRule>
    <cfRule type="containsText" dxfId="229" priority="2710" operator="containsText" text="ACTIVA">
      <formula>NOT(ISERROR(SEARCH("ACTIVA",H500)))</formula>
    </cfRule>
    <cfRule type="containsText" dxfId="228" priority="2711" operator="containsText" text="ACTIVO">
      <formula>NOT(ISERROR(SEARCH("ACTIVO",H500)))</formula>
    </cfRule>
  </conditionalFormatting>
  <conditionalFormatting sqref="H504">
    <cfRule type="containsText" dxfId="227" priority="2666" operator="containsText" text="ACTIVO">
      <formula>NOT(ISERROR(SEARCH("ACTIVO",H504)))</formula>
    </cfRule>
    <cfRule type="containsText" dxfId="226" priority="2667" operator="containsText" text="INACTIVA">
      <formula>NOT(ISERROR(SEARCH("INACTIVA",H504)))</formula>
    </cfRule>
    <cfRule type="containsText" dxfId="225" priority="2668" operator="containsText" text="BAJA">
      <formula>NOT(ISERROR(SEARCH("BAJA",H504)))</formula>
    </cfRule>
    <cfRule type="containsText" dxfId="224" priority="2669" operator="containsText" text="ACTIVO">
      <formula>NOT(ISERROR(SEARCH("ACTIVO",H504)))</formula>
    </cfRule>
    <cfRule type="containsText" dxfId="223" priority="2670" operator="containsText" text="ACTIVO">
      <formula>NOT(ISERROR(SEARCH("ACTIVO",H504)))</formula>
    </cfRule>
    <cfRule type="containsText" dxfId="222" priority="2671" operator="containsText" text="BAJA">
      <formula>NOT(ISERROR(SEARCH("BAJA",H504)))</formula>
    </cfRule>
    <cfRule type="containsText" dxfId="221" priority="2672" operator="containsText" text="ACTIVO">
      <formula>NOT(ISERROR(SEARCH("ACTIVO",H504)))</formula>
    </cfRule>
    <cfRule type="containsText" dxfId="220" priority="2673" operator="containsText" text="ACTIVO">
      <formula>NOT(ISERROR(SEARCH("ACTIVO",H504)))</formula>
    </cfRule>
    <cfRule type="containsText" dxfId="219" priority="2674" operator="containsText" text="BAJA">
      <formula>NOT(ISERROR(SEARCH("BAJA",H504)))</formula>
    </cfRule>
    <cfRule type="containsText" dxfId="218" priority="2675" operator="containsText" text="ACTIVO">
      <formula>NOT(ISERROR(SEARCH("ACTIVO",H504)))</formula>
    </cfRule>
    <cfRule type="containsText" dxfId="217" priority="2676" operator="containsText" text="ACTIVO">
      <formula>NOT(ISERROR(SEARCH("ACTIVO",H504)))</formula>
    </cfRule>
    <cfRule type="containsText" dxfId="216" priority="2677" operator="containsText" text="ACTIVO">
      <formula>NOT(ISERROR(SEARCH("ACTIVO",H504)))</formula>
    </cfRule>
    <cfRule type="containsText" dxfId="215" priority="2678" operator="containsText" text="ACTIVO">
      <formula>NOT(ISERROR(SEARCH("ACTIVO",H504)))</formula>
    </cfRule>
    <cfRule type="containsText" dxfId="214" priority="2679" operator="containsText" text="BAJA">
      <formula>NOT(ISERROR(SEARCH("BAJA",H504)))</formula>
    </cfRule>
    <cfRule type="containsText" dxfId="213" priority="2680" operator="containsText" text="INACTIVA">
      <formula>NOT(ISERROR(SEARCH("INACTIVA",H504)))</formula>
    </cfRule>
    <cfRule type="containsText" dxfId="212" priority="2681" operator="containsText" text="ACTIVO">
      <formula>NOT(ISERROR(SEARCH("ACTIVO",H504)))</formula>
    </cfRule>
    <cfRule type="containsText" dxfId="211" priority="2682" operator="containsText" text="BAJA">
      <formula>NOT(ISERROR(SEARCH("BAJA",H504)))</formula>
    </cfRule>
    <cfRule type="containsText" dxfId="210" priority="2683" operator="containsText" text="ACTIVO">
      <formula>NOT(ISERROR(SEARCH("ACTIVO",H504)))</formula>
    </cfRule>
    <cfRule type="containsText" dxfId="209" priority="2684" operator="containsText" text="INACTIVA">
      <formula>NOT(ISERROR(SEARCH("INACTIVA",H504)))</formula>
    </cfRule>
    <cfRule type="containsText" dxfId="208" priority="2685" operator="containsText" text="BAJA">
      <formula>NOT(ISERROR(SEARCH("BAJA",H504)))</formula>
    </cfRule>
    <cfRule type="containsText" dxfId="207" priority="2686" operator="containsText" text="ACTIVA">
      <formula>NOT(ISERROR(SEARCH("ACTIVA",H504)))</formula>
    </cfRule>
    <cfRule type="containsText" dxfId="206" priority="2687" operator="containsText" text="ACTIVO">
      <formula>NOT(ISERROR(SEARCH("ACTIVO",H504)))</formula>
    </cfRule>
  </conditionalFormatting>
  <conditionalFormatting sqref="H504:H505">
    <cfRule type="containsText" dxfId="205" priority="2688" operator="containsText" text="ACTIVO">
      <formula>NOT(ISERROR(SEARCH("ACTIVO",H504)))</formula>
    </cfRule>
    <cfRule type="containsText" dxfId="204" priority="2689" operator="containsText" text="INACTIVA">
      <formula>NOT(ISERROR(SEARCH("INACTIVA",H504)))</formula>
    </cfRule>
  </conditionalFormatting>
  <conditionalFormatting sqref="H505:H508">
    <cfRule type="containsText" dxfId="203" priority="3207" operator="containsText" text="BAJA">
      <formula>NOT(ISERROR(SEARCH("BAJA",H505)))</formula>
    </cfRule>
  </conditionalFormatting>
  <conditionalFormatting sqref="H506:H508">
    <cfRule type="containsText" dxfId="202" priority="3188" operator="containsText" text="BAJA">
      <formula>NOT(ISERROR(SEARCH("BAJA",H506)))</formula>
    </cfRule>
    <cfRule type="containsText" dxfId="201" priority="3189" operator="containsText" text="ACTIVO">
      <formula>NOT(ISERROR(SEARCH("ACTIVO",H506)))</formula>
    </cfRule>
    <cfRule type="containsText" dxfId="200" priority="3190" operator="containsText" text="ACTIVO">
      <formula>NOT(ISERROR(SEARCH("ACTIVO",H506)))</formula>
    </cfRule>
    <cfRule type="containsText" dxfId="199" priority="3191" operator="containsText" text="BAJA">
      <formula>NOT(ISERROR(SEARCH("BAJA",H506)))</formula>
    </cfRule>
    <cfRule type="containsText" dxfId="198" priority="3192" operator="containsText" text="ACTIVO">
      <formula>NOT(ISERROR(SEARCH("ACTIVO",H506)))</formula>
    </cfRule>
    <cfRule type="containsText" dxfId="197" priority="3193" operator="containsText" text="ACTIVO">
      <formula>NOT(ISERROR(SEARCH("ACTIVO",H506)))</formula>
    </cfRule>
    <cfRule type="containsText" dxfId="196" priority="3194" operator="containsText" text="BAJA">
      <formula>NOT(ISERROR(SEARCH("BAJA",H506)))</formula>
    </cfRule>
    <cfRule type="containsText" dxfId="195" priority="3195" operator="containsText" text="ACTIVO">
      <formula>NOT(ISERROR(SEARCH("ACTIVO",H506)))</formula>
    </cfRule>
    <cfRule type="containsText" dxfId="194" priority="3196" operator="containsText" text="ACTIVO">
      <formula>NOT(ISERROR(SEARCH("ACTIVO",H506)))</formula>
    </cfRule>
    <cfRule type="containsText" dxfId="193" priority="3197" operator="containsText" text="ACTIVO">
      <formula>NOT(ISERROR(SEARCH("ACTIVO",H506)))</formula>
    </cfRule>
    <cfRule type="containsText" dxfId="192" priority="3198" operator="containsText" text="ACTIVO">
      <formula>NOT(ISERROR(SEARCH("ACTIVO",H506)))</formula>
    </cfRule>
    <cfRule type="containsText" dxfId="191" priority="3199" operator="containsText" text="BAJA">
      <formula>NOT(ISERROR(SEARCH("BAJA",H506)))</formula>
    </cfRule>
    <cfRule type="containsText" dxfId="190" priority="3200" operator="containsText" text="INACTIVA">
      <formula>NOT(ISERROR(SEARCH("INACTIVA",H506)))</formula>
    </cfRule>
    <cfRule type="containsText" dxfId="189" priority="3201" operator="containsText" text="ACTIVO">
      <formula>NOT(ISERROR(SEARCH("ACTIVO",H506)))</formula>
    </cfRule>
    <cfRule type="containsText" dxfId="188" priority="3202" operator="containsText" text="BAJA">
      <formula>NOT(ISERROR(SEARCH("BAJA",H506)))</formula>
    </cfRule>
    <cfRule type="containsText" dxfId="187" priority="3203" operator="containsText" text="ACTIVO">
      <formula>NOT(ISERROR(SEARCH("ACTIVO",H506)))</formula>
    </cfRule>
    <cfRule type="containsText" dxfId="186" priority="3204" operator="containsText" text="INACTIVA">
      <formula>NOT(ISERROR(SEARCH("INACTIVA",H506)))</formula>
    </cfRule>
    <cfRule type="containsText" dxfId="185" priority="3205" operator="containsText" text="BAJA">
      <formula>NOT(ISERROR(SEARCH("BAJA",H506)))</formula>
    </cfRule>
    <cfRule type="containsText" dxfId="184" priority="3206" operator="containsText" text="ACTIVO">
      <formula>NOT(ISERROR(SEARCH("ACTIVO",H506)))</formula>
    </cfRule>
    <cfRule type="containsText" dxfId="183" priority="3208" operator="containsText" text="ACTIVA">
      <formula>NOT(ISERROR(SEARCH("ACTIVA",H506)))</formula>
    </cfRule>
    <cfRule type="containsText" dxfId="182" priority="3209" operator="containsText" text="INACTIVA">
      <formula>NOT(ISERROR(SEARCH("INACTIVA",H506)))</formula>
    </cfRule>
    <cfRule type="containsText" dxfId="181" priority="3210" operator="containsText" text="ACTIVO">
      <formula>NOT(ISERROR(SEARCH("ACTIVO",H506)))</formula>
    </cfRule>
  </conditionalFormatting>
  <conditionalFormatting sqref="H506:H509">
    <cfRule type="containsText" dxfId="180" priority="3170" operator="containsText" text="ACTIVO">
      <formula>NOT(ISERROR(SEARCH("ACTIVO",H506)))</formula>
    </cfRule>
    <cfRule type="containsText" dxfId="179" priority="3178" operator="containsText" text="INACTIVA">
      <formula>NOT(ISERROR(SEARCH("INACTIVA",H506)))</formula>
    </cfRule>
  </conditionalFormatting>
  <conditionalFormatting sqref="H509">
    <cfRule type="containsText" dxfId="178" priority="3136" operator="containsText" text="BAJA">
      <formula>NOT(ISERROR(SEARCH("BAJA",H509)))</formula>
    </cfRule>
    <cfRule type="containsText" dxfId="177" priority="3137" operator="containsText" text="ACTIVO">
      <formula>NOT(ISERROR(SEARCH("ACTIVO",H509)))</formula>
    </cfRule>
    <cfRule type="containsText" dxfId="176" priority="3138" operator="containsText" text="BAJA">
      <formula>NOT(ISERROR(SEARCH("BAJA",H509)))</formula>
    </cfRule>
    <cfRule type="colorScale" priority="31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4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75" priority="3143" operator="containsText" text="ACTIVO">
      <formula>NOT(ISERROR(SEARCH("ACTIVO",H509)))</formula>
    </cfRule>
    <cfRule type="containsText" dxfId="174" priority="3144" operator="containsText" text="ACTIVO">
      <formula>NOT(ISERROR(SEARCH("ACTIVO",H509)))</formula>
    </cfRule>
    <cfRule type="containsText" dxfId="173" priority="3145" operator="containsText" text="BAJA">
      <formula>NOT(ISERROR(SEARCH("BAJA",H509)))</formula>
    </cfRule>
    <cfRule type="containsText" dxfId="172" priority="3146" operator="containsText" text="ACTIVO">
      <formula>NOT(ISERROR(SEARCH("ACTIVO",H509)))</formula>
    </cfRule>
    <cfRule type="containsText" dxfId="171" priority="3147" operator="containsText" text="ACTIVO">
      <formula>NOT(ISERROR(SEARCH("ACTIVO",H509)))</formula>
    </cfRule>
    <cfRule type="colorScale" priority="31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4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70" priority="3150" operator="containsText" text="BAJA">
      <formula>NOT(ISERROR(SEARCH("BAJA",H509)))</formula>
    </cfRule>
    <cfRule type="containsText" dxfId="169" priority="3151" operator="containsText" text="ACTIVO">
      <formula>NOT(ISERROR(SEARCH("ACTIVO",H509)))</formula>
    </cfRule>
    <cfRule type="containsText" dxfId="168" priority="3152" operator="containsText" text="ACTIVO">
      <formula>NOT(ISERROR(SEARCH("ACTIVO",H509)))</formula>
    </cfRule>
    <cfRule type="containsText" dxfId="167" priority="3153" operator="containsText" text="ACTIVO">
      <formula>NOT(ISERROR(SEARCH("ACTIVO",H509)))</formula>
    </cfRule>
    <cfRule type="containsText" dxfId="166" priority="3154" operator="containsText" text="ACTIVO">
      <formula>NOT(ISERROR(SEARCH("ACTIVO",H509)))</formula>
    </cfRule>
    <cfRule type="containsText" dxfId="165" priority="3155" operator="containsText" text="BAJA">
      <formula>NOT(ISERROR(SEARCH("BAJA",H509)))</formula>
    </cfRule>
    <cfRule type="containsText" dxfId="164" priority="3156" operator="containsText" text="INACTIVA">
      <formula>NOT(ISERROR(SEARCH("INACTIVA",H509)))</formula>
    </cfRule>
    <cfRule type="colorScale" priority="31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5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6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3" priority="3161" operator="containsText" text="ACTIVO">
      <formula>NOT(ISERROR(SEARCH("ACTIVO",H509)))</formula>
    </cfRule>
    <cfRule type="containsText" dxfId="162" priority="3162" operator="containsText" text="BAJA">
      <formula>NOT(ISERROR(SEARCH("BAJA",H509)))</formula>
    </cfRule>
    <cfRule type="containsText" dxfId="161" priority="3163" operator="containsText" text="ACTIVO">
      <formula>NOT(ISERROR(SEARCH("ACTIVO",H509)))</formula>
    </cfRule>
    <cfRule type="colorScale" priority="316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6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6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0" priority="3168" operator="containsText" text="INACTIVA">
      <formula>NOT(ISERROR(SEARCH("INACTIVA",H509)))</formula>
    </cfRule>
    <cfRule type="containsText" dxfId="159" priority="3169" operator="containsText" text="BAJA">
      <formula>NOT(ISERROR(SEARCH("BAJA",H509)))</formula>
    </cfRule>
    <cfRule type="containsText" dxfId="158" priority="3171" operator="containsText" text="BAJA">
      <formula>NOT(ISERROR(SEARCH("BAJA",H509)))</formula>
    </cfRule>
    <cfRule type="colorScale" priority="31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7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57" priority="3174" operator="containsText" text="INACTIVA">
      <formula>NOT(ISERROR(SEARCH("INACTIVA",H509)))</formula>
    </cfRule>
    <cfRule type="containsText" dxfId="156" priority="3175" operator="containsText" text="ACTIVA">
      <formula>NOT(ISERROR(SEARCH("ACTIVA",H509)))</formula>
    </cfRule>
    <cfRule type="colorScale" priority="31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7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8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8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8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55" priority="3183" operator="containsText" text="ACTIVO">
      <formula>NOT(ISERROR(SEARCH("ACTIVO",H509)))</formula>
    </cfRule>
    <cfRule type="colorScale" priority="31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8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8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8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509:H516">
    <cfRule type="containsText" dxfId="154" priority="2664" operator="containsText" text="ACTIVO">
      <formula>NOT(ISERROR(SEARCH("ACTIVO",H509)))</formula>
    </cfRule>
    <cfRule type="containsText" dxfId="153" priority="2665" operator="containsText" text="INACTIVA">
      <formula>NOT(ISERROR(SEARCH("INACTIVA",H509)))</formula>
    </cfRule>
  </conditionalFormatting>
  <conditionalFormatting sqref="H510:H514">
    <cfRule type="containsText" dxfId="152" priority="2642" operator="containsText" text="ACTIVO">
      <formula>NOT(ISERROR(SEARCH("ACTIVO",H510)))</formula>
    </cfRule>
    <cfRule type="containsText" dxfId="151" priority="2643" operator="containsText" text="INACTIVA">
      <formula>NOT(ISERROR(SEARCH("INACTIVA",H510)))</formula>
    </cfRule>
    <cfRule type="containsText" dxfId="150" priority="2644" operator="containsText" text="BAJA">
      <formula>NOT(ISERROR(SEARCH("BAJA",H510)))</formula>
    </cfRule>
    <cfRule type="containsText" dxfId="149" priority="2645" operator="containsText" text="ACTIVO">
      <formula>NOT(ISERROR(SEARCH("ACTIVO",H510)))</formula>
    </cfRule>
    <cfRule type="containsText" dxfId="148" priority="2646" operator="containsText" text="ACTIVO">
      <formula>NOT(ISERROR(SEARCH("ACTIVO",H510)))</formula>
    </cfRule>
    <cfRule type="containsText" dxfId="147" priority="2647" operator="containsText" text="BAJA">
      <formula>NOT(ISERROR(SEARCH("BAJA",H510)))</formula>
    </cfRule>
    <cfRule type="containsText" dxfId="146" priority="2648" operator="containsText" text="ACTIVO">
      <formula>NOT(ISERROR(SEARCH("ACTIVO",H510)))</formula>
    </cfRule>
    <cfRule type="containsText" dxfId="145" priority="2649" operator="containsText" text="ACTIVO">
      <formula>NOT(ISERROR(SEARCH("ACTIVO",H510)))</formula>
    </cfRule>
    <cfRule type="containsText" dxfId="144" priority="2650" operator="containsText" text="BAJA">
      <formula>NOT(ISERROR(SEARCH("BAJA",H510)))</formula>
    </cfRule>
    <cfRule type="containsText" dxfId="143" priority="2651" operator="containsText" text="ACTIVO">
      <formula>NOT(ISERROR(SEARCH("ACTIVO",H510)))</formula>
    </cfRule>
    <cfRule type="containsText" dxfId="142" priority="2652" operator="containsText" text="ACTIVO">
      <formula>NOT(ISERROR(SEARCH("ACTIVO",H510)))</formula>
    </cfRule>
    <cfRule type="containsText" dxfId="141" priority="2653" operator="containsText" text="ACTIVO">
      <formula>NOT(ISERROR(SEARCH("ACTIVO",H510)))</formula>
    </cfRule>
    <cfRule type="containsText" dxfId="140" priority="2654" operator="containsText" text="ACTIVO">
      <formula>NOT(ISERROR(SEARCH("ACTIVO",H510)))</formula>
    </cfRule>
    <cfRule type="containsText" dxfId="139" priority="2655" operator="containsText" text="BAJA">
      <formula>NOT(ISERROR(SEARCH("BAJA",H510)))</formula>
    </cfRule>
    <cfRule type="containsText" dxfId="138" priority="2656" operator="containsText" text="INACTIVA">
      <formula>NOT(ISERROR(SEARCH("INACTIVA",H510)))</formula>
    </cfRule>
    <cfRule type="containsText" dxfId="137" priority="2657" operator="containsText" text="ACTIVO">
      <formula>NOT(ISERROR(SEARCH("ACTIVO",H510)))</formula>
    </cfRule>
    <cfRule type="containsText" dxfId="136" priority="2658" operator="containsText" text="BAJA">
      <formula>NOT(ISERROR(SEARCH("BAJA",H510)))</formula>
    </cfRule>
    <cfRule type="containsText" dxfId="135" priority="2659" operator="containsText" text="ACTIVO">
      <formula>NOT(ISERROR(SEARCH("ACTIVO",H510)))</formula>
    </cfRule>
    <cfRule type="containsText" dxfId="134" priority="2660" operator="containsText" text="INACTIVA">
      <formula>NOT(ISERROR(SEARCH("INACTIVA",H510)))</formula>
    </cfRule>
    <cfRule type="containsText" dxfId="133" priority="2661" operator="containsText" text="BAJA">
      <formula>NOT(ISERROR(SEARCH("BAJA",H510)))</formula>
    </cfRule>
    <cfRule type="containsText" dxfId="132" priority="2662" operator="containsText" text="ACTIVA">
      <formula>NOT(ISERROR(SEARCH("ACTIVA",H510)))</formula>
    </cfRule>
    <cfRule type="containsText" dxfId="131" priority="2663" operator="containsText" text="ACTIVO">
      <formula>NOT(ISERROR(SEARCH("ACTIVO",H510)))</formula>
    </cfRule>
  </conditionalFormatting>
  <conditionalFormatting sqref="H515:H516">
    <cfRule type="containsText" dxfId="130" priority="3113" operator="containsText" text="BAJA">
      <formula>NOT(ISERROR(SEARCH("BAJA",H515)))</formula>
    </cfRule>
    <cfRule type="containsText" dxfId="129" priority="3114" operator="containsText" text="ACTIVO">
      <formula>NOT(ISERROR(SEARCH("ACTIVO",H515)))</formula>
    </cfRule>
    <cfRule type="containsText" dxfId="128" priority="3115" operator="containsText" text="ACTIVO">
      <formula>NOT(ISERROR(SEARCH("ACTIVO",H515)))</formula>
    </cfRule>
    <cfRule type="containsText" dxfId="127" priority="3116" operator="containsText" text="BAJA">
      <formula>NOT(ISERROR(SEARCH("BAJA",H515)))</formula>
    </cfRule>
    <cfRule type="containsText" dxfId="126" priority="3117" operator="containsText" text="ACTIVO">
      <formula>NOT(ISERROR(SEARCH("ACTIVO",H515)))</formula>
    </cfRule>
    <cfRule type="containsText" dxfId="125" priority="3118" operator="containsText" text="ACTIVO">
      <formula>NOT(ISERROR(SEARCH("ACTIVO",H515)))</formula>
    </cfRule>
    <cfRule type="containsText" dxfId="124" priority="3119" operator="containsText" text="BAJA">
      <formula>NOT(ISERROR(SEARCH("BAJA",H515)))</formula>
    </cfRule>
    <cfRule type="containsText" dxfId="123" priority="3120" operator="containsText" text="ACTIVO">
      <formula>NOT(ISERROR(SEARCH("ACTIVO",H515)))</formula>
    </cfRule>
    <cfRule type="containsText" dxfId="122" priority="3121" operator="containsText" text="ACTIVO">
      <formula>NOT(ISERROR(SEARCH("ACTIVO",H515)))</formula>
    </cfRule>
    <cfRule type="containsText" dxfId="121" priority="3122" operator="containsText" text="ACTIVO">
      <formula>NOT(ISERROR(SEARCH("ACTIVO",H515)))</formula>
    </cfRule>
    <cfRule type="containsText" dxfId="120" priority="3123" operator="containsText" text="ACTIVO">
      <formula>NOT(ISERROR(SEARCH("ACTIVO",H515)))</formula>
    </cfRule>
    <cfRule type="containsText" dxfId="119" priority="3124" operator="containsText" text="BAJA">
      <formula>NOT(ISERROR(SEARCH("BAJA",H515)))</formula>
    </cfRule>
    <cfRule type="containsText" dxfId="118" priority="3125" operator="containsText" text="INACTIVA">
      <formula>NOT(ISERROR(SEARCH("INACTIVA",H515)))</formula>
    </cfRule>
    <cfRule type="containsText" dxfId="117" priority="3126" operator="containsText" text="ACTIVO">
      <formula>NOT(ISERROR(SEARCH("ACTIVO",H515)))</formula>
    </cfRule>
    <cfRule type="containsText" dxfId="116" priority="3127" operator="containsText" text="BAJA">
      <formula>NOT(ISERROR(SEARCH("BAJA",H515)))</formula>
    </cfRule>
    <cfRule type="containsText" dxfId="115" priority="3128" operator="containsText" text="ACTIVO">
      <formula>NOT(ISERROR(SEARCH("ACTIVO",H515)))</formula>
    </cfRule>
    <cfRule type="containsText" dxfId="114" priority="3129" operator="containsText" text="INACTIVA">
      <formula>NOT(ISERROR(SEARCH("INACTIVA",H515)))</formula>
    </cfRule>
    <cfRule type="containsText" dxfId="113" priority="3130" operator="containsText" text="BAJA">
      <formula>NOT(ISERROR(SEARCH("BAJA",H515)))</formula>
    </cfRule>
    <cfRule type="containsText" dxfId="112" priority="3131" operator="containsText" text="ACTIVO">
      <formula>NOT(ISERROR(SEARCH("ACTIVO",H515)))</formula>
    </cfRule>
    <cfRule type="containsText" dxfId="111" priority="3132" operator="containsText" text="BAJA">
      <formula>NOT(ISERROR(SEARCH("BAJA",H515)))</formula>
    </cfRule>
    <cfRule type="containsText" dxfId="110" priority="3133" operator="containsText" text="ACTIVA">
      <formula>NOT(ISERROR(SEARCH("ACTIVA",H515)))</formula>
    </cfRule>
    <cfRule type="containsText" dxfId="109" priority="3134" operator="containsText" text="INACTIVA">
      <formula>NOT(ISERROR(SEARCH("INACTIVA",H515)))</formula>
    </cfRule>
    <cfRule type="containsText" dxfId="108" priority="3135" operator="containsText" text="ACTIVO">
      <formula>NOT(ISERROR(SEARCH("ACTIVO",H515)))</formula>
    </cfRule>
  </conditionalFormatting>
  <conditionalFormatting sqref="H517">
    <cfRule type="containsText" dxfId="107" priority="392" operator="containsText" text="ACTIVO">
      <formula>NOT(ISERROR(SEARCH("ACTIVO",H517)))</formula>
    </cfRule>
    <cfRule type="containsText" dxfId="106" priority="393" operator="containsText" text="INACTIVA">
      <formula>NOT(ISERROR(SEARCH("INACTIVA",H517)))</formula>
    </cfRule>
    <cfRule type="containsText" dxfId="105" priority="394" operator="containsText" text="BAJA">
      <formula>NOT(ISERROR(SEARCH("BAJA",H517)))</formula>
    </cfRule>
    <cfRule type="containsText" dxfId="104" priority="395" operator="containsText" text="ACTIVO">
      <formula>NOT(ISERROR(SEARCH("ACTIVO",H517)))</formula>
    </cfRule>
    <cfRule type="containsText" dxfId="103" priority="396" operator="containsText" text="BAJA">
      <formula>NOT(ISERROR(SEARCH("BAJA",H517)))</formula>
    </cfRule>
    <cfRule type="colorScale" priority="3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2" priority="401" operator="containsText" text="ACTIVO">
      <formula>NOT(ISERROR(SEARCH("ACTIVO",H517)))</formula>
    </cfRule>
    <cfRule type="containsText" dxfId="101" priority="402" operator="containsText" text="ACTIVO">
      <formula>NOT(ISERROR(SEARCH("ACTIVO",H517)))</formula>
    </cfRule>
    <cfRule type="containsText" dxfId="100" priority="403" operator="containsText" text="BAJA">
      <formula>NOT(ISERROR(SEARCH("BAJA",H517)))</formula>
    </cfRule>
    <cfRule type="containsText" dxfId="99" priority="404" operator="containsText" text="ACTIVO">
      <formula>NOT(ISERROR(SEARCH("ACTIVO",H517)))</formula>
    </cfRule>
    <cfRule type="containsText" dxfId="98" priority="405" operator="containsText" text="ACTIVO">
      <formula>NOT(ISERROR(SEARCH("ACTIVO",H517)))</formula>
    </cfRule>
    <cfRule type="colorScale" priority="40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7" priority="408" operator="containsText" text="BAJA">
      <formula>NOT(ISERROR(SEARCH("BAJA",H517)))</formula>
    </cfRule>
    <cfRule type="containsText" dxfId="96" priority="409" operator="containsText" text="ACTIVO">
      <formula>NOT(ISERROR(SEARCH("ACTIVO",H517)))</formula>
    </cfRule>
    <cfRule type="containsText" dxfId="95" priority="410" operator="containsText" text="ACTIVO">
      <formula>NOT(ISERROR(SEARCH("ACTIVO",H517)))</formula>
    </cfRule>
    <cfRule type="containsText" dxfId="94" priority="411" operator="containsText" text="ACTIVO">
      <formula>NOT(ISERROR(SEARCH("ACTIVO",H517)))</formula>
    </cfRule>
    <cfRule type="containsText" dxfId="93" priority="412" operator="containsText" text="ACTIVO">
      <formula>NOT(ISERROR(SEARCH("ACTIVO",H517)))</formula>
    </cfRule>
    <cfRule type="containsText" dxfId="92" priority="413" operator="containsText" text="BAJA">
      <formula>NOT(ISERROR(SEARCH("BAJA",H517)))</formula>
    </cfRule>
    <cfRule type="containsText" dxfId="91" priority="414" operator="containsText" text="INACTIVA">
      <formula>NOT(ISERROR(SEARCH("INACTIVA",H517)))</formula>
    </cfRule>
    <cfRule type="colorScale" priority="4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1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0" priority="419" operator="containsText" text="ACTIVO">
      <formula>NOT(ISERROR(SEARCH("ACTIVO",H517)))</formula>
    </cfRule>
    <cfRule type="containsText" dxfId="89" priority="420" operator="containsText" text="BAJA">
      <formula>NOT(ISERROR(SEARCH("BAJA",H517)))</formula>
    </cfRule>
    <cfRule type="containsText" dxfId="88" priority="421" operator="containsText" text="ACTIVO">
      <formula>NOT(ISERROR(SEARCH("ACTIVO",H517)))</formula>
    </cfRule>
    <cfRule type="colorScale" priority="42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2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2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7" priority="426" operator="containsText" text="INACTIVA">
      <formula>NOT(ISERROR(SEARCH("INACTIVA",H517)))</formula>
    </cfRule>
    <cfRule type="containsText" dxfId="86" priority="427" operator="containsText" text="BAJA">
      <formula>NOT(ISERROR(SEARCH("BAJA",H517)))</formula>
    </cfRule>
    <cfRule type="containsText" dxfId="85" priority="428" operator="containsText" text="ACTIVO">
      <formula>NOT(ISERROR(SEARCH("ACTIVO",H517)))</formula>
    </cfRule>
    <cfRule type="containsText" dxfId="84" priority="429" operator="containsText" text="BAJA">
      <formula>NOT(ISERROR(SEARCH("BAJA",H517)))</formula>
    </cfRule>
    <cfRule type="colorScale" priority="4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3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3" priority="432" operator="containsText" text="INACTIVA">
      <formula>NOT(ISERROR(SEARCH("INACTIVA",H517)))</formula>
    </cfRule>
    <cfRule type="containsText" dxfId="82" priority="433" operator="containsText" text="ACTIVA">
      <formula>NOT(ISERROR(SEARCH("ACTIVA",H517)))</formula>
    </cfRule>
    <cfRule type="colorScale" priority="4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3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1" priority="436" operator="containsText" text="INACTIVA">
      <formula>NOT(ISERROR(SEARCH("INACTIVA",H517)))</formula>
    </cfRule>
    <cfRule type="colorScale" priority="43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3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4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0" priority="441" operator="containsText" text="ACTIVO">
      <formula>NOT(ISERROR(SEARCH("ACTIVO",H517)))</formula>
    </cfRule>
    <cfRule type="colorScale" priority="44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4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4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4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518">
    <cfRule type="containsText" dxfId="79" priority="3061" operator="containsText" text="BAJA">
      <formula>NOT(ISERROR(SEARCH("BAJA",H518)))</formula>
    </cfRule>
    <cfRule type="containsText" dxfId="78" priority="3062" operator="containsText" text="ACTIVO">
      <formula>NOT(ISERROR(SEARCH("ACTIVO",H518)))</formula>
    </cfRule>
    <cfRule type="containsText" dxfId="77" priority="3063" operator="containsText" text="BAJA">
      <formula>NOT(ISERROR(SEARCH("BAJA",H518)))</formula>
    </cfRule>
    <cfRule type="colorScale" priority="306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6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6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76" priority="3068" operator="containsText" text="ACTIVO">
      <formula>NOT(ISERROR(SEARCH("ACTIVO",H518)))</formula>
    </cfRule>
    <cfRule type="containsText" dxfId="75" priority="3069" operator="containsText" text="ACTIVO">
      <formula>NOT(ISERROR(SEARCH("ACTIVO",H518)))</formula>
    </cfRule>
    <cfRule type="containsText" dxfId="74" priority="3070" operator="containsText" text="BAJA">
      <formula>NOT(ISERROR(SEARCH("BAJA",H518)))</formula>
    </cfRule>
    <cfRule type="containsText" dxfId="73" priority="3071" operator="containsText" text="ACTIVO">
      <formula>NOT(ISERROR(SEARCH("ACTIVO",H518)))</formula>
    </cfRule>
    <cfRule type="containsText" dxfId="72" priority="3072" operator="containsText" text="ACTIVO">
      <formula>NOT(ISERROR(SEARCH("ACTIVO",H518)))</formula>
    </cfRule>
    <cfRule type="colorScale" priority="30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7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71" priority="3075" operator="containsText" text="BAJA">
      <formula>NOT(ISERROR(SEARCH("BAJA",H518)))</formula>
    </cfRule>
    <cfRule type="containsText" dxfId="70" priority="3076" operator="containsText" text="ACTIVO">
      <formula>NOT(ISERROR(SEARCH("ACTIVO",H518)))</formula>
    </cfRule>
    <cfRule type="containsText" dxfId="69" priority="3077" operator="containsText" text="ACTIVO">
      <formula>NOT(ISERROR(SEARCH("ACTIVO",H518)))</formula>
    </cfRule>
    <cfRule type="containsText" dxfId="68" priority="3078" operator="containsText" text="ACTIVO">
      <formula>NOT(ISERROR(SEARCH("ACTIVO",H518)))</formula>
    </cfRule>
    <cfRule type="containsText" dxfId="67" priority="3079" operator="containsText" text="ACTIVO">
      <formula>NOT(ISERROR(SEARCH("ACTIVO",H518)))</formula>
    </cfRule>
    <cfRule type="containsText" dxfId="66" priority="3080" operator="containsText" text="BAJA">
      <formula>NOT(ISERROR(SEARCH("BAJA",H518)))</formula>
    </cfRule>
    <cfRule type="containsText" dxfId="65" priority="3081" operator="containsText" text="INACTIVA">
      <formula>NOT(ISERROR(SEARCH("INACTIVA",H518)))</formula>
    </cfRule>
    <cfRule type="colorScale" priority="30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8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64" priority="3086" operator="containsText" text="ACTIVO">
      <formula>NOT(ISERROR(SEARCH("ACTIVO",H518)))</formula>
    </cfRule>
    <cfRule type="containsText" dxfId="63" priority="3087" operator="containsText" text="BAJA">
      <formula>NOT(ISERROR(SEARCH("BAJA",H518)))</formula>
    </cfRule>
    <cfRule type="containsText" dxfId="62" priority="3088" operator="containsText" text="ACTIVO">
      <formula>NOT(ISERROR(SEARCH("ACTIVO",H518)))</formula>
    </cfRule>
    <cfRule type="colorScale" priority="308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9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61" priority="3093" operator="containsText" text="INACTIVA">
      <formula>NOT(ISERROR(SEARCH("INACTIVA",H518)))</formula>
    </cfRule>
    <cfRule type="containsText" dxfId="60" priority="3094" operator="containsText" text="BAJA">
      <formula>NOT(ISERROR(SEARCH("BAJA",H518)))</formula>
    </cfRule>
    <cfRule type="containsText" dxfId="59" priority="3095" operator="containsText" text="ACTIVO">
      <formula>NOT(ISERROR(SEARCH("ACTIVO",H518)))</formula>
    </cfRule>
    <cfRule type="containsText" dxfId="58" priority="3096" operator="containsText" text="BAJA">
      <formula>NOT(ISERROR(SEARCH("BAJA",H518)))</formula>
    </cfRule>
    <cfRule type="colorScale" priority="30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9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7" priority="3099" operator="containsText" text="INACTIVA">
      <formula>NOT(ISERROR(SEARCH("INACTIVA",H518)))</formula>
    </cfRule>
    <cfRule type="containsText" dxfId="56" priority="3100" operator="containsText" text="ACTIVA">
      <formula>NOT(ISERROR(SEARCH("ACTIVA",H518)))</formula>
    </cfRule>
    <cfRule type="colorScale" priority="310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0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5" priority="3103" operator="containsText" text="INACTIVA">
      <formula>NOT(ISERROR(SEARCH("INACTIVA",H518)))</formula>
    </cfRule>
    <cfRule type="colorScale" priority="310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0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0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0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4" priority="3108" operator="containsText" text="ACTIVO">
      <formula>NOT(ISERROR(SEARCH("ACTIVO",H518)))</formula>
    </cfRule>
    <cfRule type="colorScale" priority="310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1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1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1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518:H523">
    <cfRule type="containsText" dxfId="53" priority="2640" operator="containsText" text="ACTIVO">
      <formula>NOT(ISERROR(SEARCH("ACTIVO",H518)))</formula>
    </cfRule>
    <cfRule type="containsText" dxfId="52" priority="2641" operator="containsText" text="INACTIVA">
      <formula>NOT(ISERROR(SEARCH("INACTIVA",H518)))</formula>
    </cfRule>
  </conditionalFormatting>
  <conditionalFormatting sqref="H519:H521">
    <cfRule type="containsText" dxfId="51" priority="2618" operator="containsText" text="ACTIVO">
      <formula>NOT(ISERROR(SEARCH("ACTIVO",H519)))</formula>
    </cfRule>
    <cfRule type="containsText" dxfId="50" priority="2619" operator="containsText" text="INACTIVA">
      <formula>NOT(ISERROR(SEARCH("INACTIVA",H519)))</formula>
    </cfRule>
    <cfRule type="containsText" dxfId="49" priority="2620" operator="containsText" text="BAJA">
      <formula>NOT(ISERROR(SEARCH("BAJA",H519)))</formula>
    </cfRule>
    <cfRule type="containsText" dxfId="48" priority="2621" operator="containsText" text="ACTIVO">
      <formula>NOT(ISERROR(SEARCH("ACTIVO",H519)))</formula>
    </cfRule>
    <cfRule type="containsText" dxfId="47" priority="2622" operator="containsText" text="ACTIVO">
      <formula>NOT(ISERROR(SEARCH("ACTIVO",H519)))</formula>
    </cfRule>
    <cfRule type="containsText" dxfId="46" priority="2623" operator="containsText" text="BAJA">
      <formula>NOT(ISERROR(SEARCH("BAJA",H519)))</formula>
    </cfRule>
    <cfRule type="containsText" dxfId="45" priority="2624" operator="containsText" text="ACTIVO">
      <formula>NOT(ISERROR(SEARCH("ACTIVO",H519)))</formula>
    </cfRule>
    <cfRule type="containsText" dxfId="44" priority="2625" operator="containsText" text="ACTIVO">
      <formula>NOT(ISERROR(SEARCH("ACTIVO",H519)))</formula>
    </cfRule>
    <cfRule type="containsText" dxfId="43" priority="2626" operator="containsText" text="BAJA">
      <formula>NOT(ISERROR(SEARCH("BAJA",H519)))</formula>
    </cfRule>
    <cfRule type="containsText" dxfId="42" priority="2627" operator="containsText" text="ACTIVO">
      <formula>NOT(ISERROR(SEARCH("ACTIVO",H519)))</formula>
    </cfRule>
    <cfRule type="containsText" dxfId="41" priority="2628" operator="containsText" text="ACTIVO">
      <formula>NOT(ISERROR(SEARCH("ACTIVO",H519)))</formula>
    </cfRule>
    <cfRule type="containsText" dxfId="40" priority="2629" operator="containsText" text="ACTIVO">
      <formula>NOT(ISERROR(SEARCH("ACTIVO",H519)))</formula>
    </cfRule>
    <cfRule type="containsText" dxfId="39" priority="2630" operator="containsText" text="ACTIVO">
      <formula>NOT(ISERROR(SEARCH("ACTIVO",H519)))</formula>
    </cfRule>
    <cfRule type="containsText" dxfId="38" priority="2631" operator="containsText" text="BAJA">
      <formula>NOT(ISERROR(SEARCH("BAJA",H519)))</formula>
    </cfRule>
    <cfRule type="containsText" dxfId="37" priority="2632" operator="containsText" text="INACTIVA">
      <formula>NOT(ISERROR(SEARCH("INACTIVA",H519)))</formula>
    </cfRule>
    <cfRule type="containsText" dxfId="36" priority="2633" operator="containsText" text="ACTIVO">
      <formula>NOT(ISERROR(SEARCH("ACTIVO",H519)))</formula>
    </cfRule>
    <cfRule type="containsText" dxfId="35" priority="2634" operator="containsText" text="BAJA">
      <formula>NOT(ISERROR(SEARCH("BAJA",H519)))</formula>
    </cfRule>
    <cfRule type="containsText" dxfId="34" priority="2635" operator="containsText" text="ACTIVO">
      <formula>NOT(ISERROR(SEARCH("ACTIVO",H519)))</formula>
    </cfRule>
    <cfRule type="containsText" dxfId="33" priority="2636" operator="containsText" text="INACTIVA">
      <formula>NOT(ISERROR(SEARCH("INACTIVA",H519)))</formula>
    </cfRule>
    <cfRule type="containsText" dxfId="32" priority="2637" operator="containsText" text="BAJA">
      <formula>NOT(ISERROR(SEARCH("BAJA",H519)))</formula>
    </cfRule>
    <cfRule type="containsText" dxfId="31" priority="2638" operator="containsText" text="ACTIVA">
      <formula>NOT(ISERROR(SEARCH("ACTIVA",H519)))</formula>
    </cfRule>
    <cfRule type="containsText" dxfId="30" priority="2639" operator="containsText" text="ACTIVO">
      <formula>NOT(ISERROR(SEARCH("ACTIVO",H519)))</formula>
    </cfRule>
  </conditionalFormatting>
  <conditionalFormatting sqref="H522:H523">
    <cfRule type="containsText" dxfId="29" priority="3038" operator="containsText" text="BAJA">
      <formula>NOT(ISERROR(SEARCH("BAJA",H522)))</formula>
    </cfRule>
    <cfRule type="containsText" dxfId="28" priority="3039" operator="containsText" text="ACTIVO">
      <formula>NOT(ISERROR(SEARCH("ACTIVO",H522)))</formula>
    </cfRule>
    <cfRule type="containsText" dxfId="27" priority="3040" operator="containsText" text="ACTIVO">
      <formula>NOT(ISERROR(SEARCH("ACTIVO",H522)))</formula>
    </cfRule>
    <cfRule type="containsText" dxfId="26" priority="3041" operator="containsText" text="BAJA">
      <formula>NOT(ISERROR(SEARCH("BAJA",H522)))</formula>
    </cfRule>
    <cfRule type="containsText" dxfId="25" priority="3042" operator="containsText" text="ACTIVO">
      <formula>NOT(ISERROR(SEARCH("ACTIVO",H522)))</formula>
    </cfRule>
    <cfRule type="containsText" dxfId="24" priority="3043" operator="containsText" text="ACTIVO">
      <formula>NOT(ISERROR(SEARCH("ACTIVO",H522)))</formula>
    </cfRule>
    <cfRule type="containsText" dxfId="23" priority="3044" operator="containsText" text="BAJA">
      <formula>NOT(ISERROR(SEARCH("BAJA",H522)))</formula>
    </cfRule>
    <cfRule type="containsText" dxfId="22" priority="3045" operator="containsText" text="ACTIVO">
      <formula>NOT(ISERROR(SEARCH("ACTIVO",H522)))</formula>
    </cfRule>
    <cfRule type="containsText" dxfId="21" priority="3046" operator="containsText" text="ACTIVO">
      <formula>NOT(ISERROR(SEARCH("ACTIVO",H522)))</formula>
    </cfRule>
    <cfRule type="containsText" dxfId="20" priority="3047" operator="containsText" text="ACTIVO">
      <formula>NOT(ISERROR(SEARCH("ACTIVO",H522)))</formula>
    </cfRule>
    <cfRule type="containsText" dxfId="19" priority="3048" operator="containsText" text="ACTIVO">
      <formula>NOT(ISERROR(SEARCH("ACTIVO",H522)))</formula>
    </cfRule>
    <cfRule type="containsText" dxfId="18" priority="3049" operator="containsText" text="BAJA">
      <formula>NOT(ISERROR(SEARCH("BAJA",H522)))</formula>
    </cfRule>
    <cfRule type="containsText" dxfId="17" priority="3050" operator="containsText" text="INACTIVA">
      <formula>NOT(ISERROR(SEARCH("INACTIVA",H522)))</formula>
    </cfRule>
    <cfRule type="containsText" dxfId="16" priority="3051" operator="containsText" text="ACTIVO">
      <formula>NOT(ISERROR(SEARCH("ACTIVO",H522)))</formula>
    </cfRule>
    <cfRule type="containsText" dxfId="15" priority="3052" operator="containsText" text="BAJA">
      <formula>NOT(ISERROR(SEARCH("BAJA",H522)))</formula>
    </cfRule>
    <cfRule type="containsText" dxfId="14" priority="3053" operator="containsText" text="ACTIVO">
      <formula>NOT(ISERROR(SEARCH("ACTIVO",H522)))</formula>
    </cfRule>
    <cfRule type="containsText" dxfId="13" priority="3054" operator="containsText" text="INACTIVA">
      <formula>NOT(ISERROR(SEARCH("INACTIVA",H522)))</formula>
    </cfRule>
    <cfRule type="containsText" dxfId="12" priority="3055" operator="containsText" text="BAJA">
      <formula>NOT(ISERROR(SEARCH("BAJA",H522)))</formula>
    </cfRule>
    <cfRule type="containsText" dxfId="11" priority="3056" operator="containsText" text="ACTIVO">
      <formula>NOT(ISERROR(SEARCH("ACTIVO",H522)))</formula>
    </cfRule>
    <cfRule type="containsText" dxfId="10" priority="3057" operator="containsText" text="BAJA">
      <formula>NOT(ISERROR(SEARCH("BAJA",H522)))</formula>
    </cfRule>
    <cfRule type="containsText" dxfId="9" priority="3058" operator="containsText" text="ACTIVA">
      <formula>NOT(ISERROR(SEARCH("ACTIVA",H522)))</formula>
    </cfRule>
    <cfRule type="containsText" dxfId="8" priority="3059" operator="containsText" text="INACTIVA">
      <formula>NOT(ISERROR(SEARCH("INACTIVA",H522)))</formula>
    </cfRule>
    <cfRule type="containsText" dxfId="7" priority="3060" operator="containsText" text="ACTIVO">
      <formula>NOT(ISERROR(SEARCH("ACTIVO",H522)))</formula>
    </cfRule>
  </conditionalFormatting>
  <conditionalFormatting sqref="I269:I272 H263:I266 H255 H257 H259 H268:H272">
    <cfRule type="containsText" dxfId="6" priority="4113" operator="containsText" text="BAJA">
      <formula>NOT(ISERROR(SEARCH("BAJA",H255)))</formula>
    </cfRule>
  </conditionalFormatting>
  <conditionalFormatting sqref="I269:I272">
    <cfRule type="containsText" dxfId="5" priority="2380" operator="containsText" text="ACTIVO">
      <formula>NOT(ISERROR(SEARCH("ACTIVO",I269)))</formula>
    </cfRule>
    <cfRule type="containsText" dxfId="4" priority="2381" operator="containsText" text="INACTIVA">
      <formula>NOT(ISERROR(SEARCH("INACTIVA",I269)))</formula>
    </cfRule>
  </conditionalFormatting>
  <hyperlinks>
    <hyperlink ref="A22" r:id="rId1" display="vcervantes@vivelabaja.com" xr:uid="{3FC38319-2BF8-4DA0-866C-C446B22711AB}"/>
    <hyperlink ref="A16" r:id="rId2" display="gvalenzuela@geoingenieros.com.mx" xr:uid="{D7C835BD-230F-4BB2-9DAC-E72716318770}"/>
    <hyperlink ref="A21" r:id="rId3" display="svillafuerte@geoingenieros.com.mx" xr:uid="{2AAAB761-7F50-48DD-9D10-763A2F13215E}"/>
    <hyperlink ref="A18" r:id="rId4" display="bserrano@geoingenieros.com.mx" xr:uid="{4A6B6FD8-87E0-4844-90EA-D5875B181531}"/>
    <hyperlink ref="A17" r:id="rId5" display="etorres@geoingenieros.com.mx" xr:uid="{0DE9FF4F-FB5D-4958-B337-0CCF08E4203C}"/>
    <hyperlink ref="A13" r:id="rId6" display="igonzalez@geoingenieros.com.mx" xr:uid="{DEE2B1A0-B404-41C6-ADEE-EB1C2ACE1292}"/>
    <hyperlink ref="A15" r:id="rId7" display="cmarquez@geoingenieros.com.mx" xr:uid="{3DEBB84F-A0DA-4FF7-9FE3-562163BC762B}"/>
    <hyperlink ref="A14" r:id="rId8" display="fdmartinez@geoingenieros.com.mx" xr:uid="{F7B27EDE-E133-4CE0-BB87-E1C7034F9AD5}"/>
    <hyperlink ref="A23" r:id="rId9" display="falvarez@geoingenieros,com.mx" xr:uid="{55E0BF1F-810F-4544-9408-C442425F73E0}"/>
    <hyperlink ref="A20" r:id="rId10" display="saromero@costaerense.com.mx" xr:uid="{CD27AD94-29E0-43DD-AB73-ECF0F539334B}"/>
    <hyperlink ref="A19" r:id="rId11" display="kgarcia@geoingenieros.com.mx" xr:uid="{CAD0D2A6-C6A9-48E9-B778-7F6E72A3F84C}"/>
  </hyperlinks>
  <pageMargins left="0.25" right="0.25" top="0.75" bottom="0.75" header="0.3" footer="0.3"/>
  <pageSetup scale="33" fitToHeight="0" orientation="portrait" r:id="rId12"/>
  <rowBreaks count="4" manualBreakCount="4">
    <brk id="288" max="17" man="1"/>
    <brk id="330" max="17" man="1"/>
    <brk id="477" max="17" man="1"/>
    <brk id="527" max="17" man="1"/>
  </rowBreaks>
  <colBreaks count="1" manualBreakCount="1">
    <brk id="18" max="1048575" man="1"/>
  </colBreaks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DASHBOARD</vt:lpstr>
      <vt:lpstr>CONTROL</vt:lpstr>
      <vt:lpstr>RESUMEN GLOBAL</vt:lpstr>
      <vt:lpstr>COMPARATIVO POR UNIDAD</vt:lpstr>
      <vt:lpstr>DETALLE POR PARTIDA</vt:lpstr>
      <vt:lpstr>MAQUINARIA</vt:lpstr>
      <vt:lpstr>MAQUINARIA!Área_de_impresión</vt:lpstr>
      <vt:lpstr>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RICARDO  AMAYA GUERRA</dc:creator>
  <cp:keywords/>
  <dc:description/>
  <cp:lastModifiedBy>Sadrac Romero</cp:lastModifiedBy>
  <cp:revision/>
  <dcterms:created xsi:type="dcterms:W3CDTF">2026-07-02T21:18:22Z</dcterms:created>
  <dcterms:modified xsi:type="dcterms:W3CDTF">2026-07-07T23:25:55Z</dcterms:modified>
  <cp:category/>
  <cp:contentStatus/>
</cp:coreProperties>
</file>